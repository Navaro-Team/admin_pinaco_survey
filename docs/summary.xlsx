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https://pinacovn-my.sharepoint.com/personal/ngatran_pinaco_com/Documents/NGOC ANH/5.YEU CAU BAO CAO/25.THI PHAN/2025/"/>
    </mc:Choice>
  </mc:AlternateContent>
  <xr:revisionPtr revIDLastSave="0" documentId="8_{8CADE0D0-CF7E-49F6-9E5A-8F6E02E07203}" xr6:coauthVersionLast="47" xr6:coauthVersionMax="47" xr10:uidLastSave="{00000000-0000-0000-0000-000000000000}"/>
  <bookViews>
    <workbookView xWindow="-98" yWindow="-98" windowWidth="21795" windowHeight="12975" activeTab="2" xr2:uid="{00000000-000D-0000-FFFF-FFFF00000000}"/>
  </bookViews>
  <sheets>
    <sheet name="QLKV gui ket qua ra soat" sheetId="2" r:id="rId1"/>
    <sheet name="Số điểm bỏ khảo sát" sheetId="6" r:id="rId2"/>
    <sheet name="Số điểm khảo sát lại" sheetId="5" r:id="rId3"/>
    <sheet name="Đánh giá" sheetId="1" r:id="rId4"/>
  </sheets>
  <externalReferences>
    <externalReference r:id="rId5"/>
  </externalReferences>
  <definedNames>
    <definedName name="_xlnm._FilterDatabase" localSheetId="2" hidden="1">'Số điểm khảo sát lại'!$A$1:$AD$1082</definedName>
    <definedName name="Dữ_liệu_Bên_ngoài_1" localSheetId="0" hidden="1">'QLKV gui ket qua ra soat'!$A$1:$AB$3033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3" i="5" l="1"/>
  <c r="AD4" i="5"/>
  <c r="AD5" i="5"/>
  <c r="AD6" i="5"/>
  <c r="AD7" i="5"/>
  <c r="AD8" i="5"/>
  <c r="AD9" i="5"/>
  <c r="AD10" i="5"/>
  <c r="AD11" i="5"/>
  <c r="AD12" i="5"/>
  <c r="AD13" i="5"/>
  <c r="AD14" i="5"/>
  <c r="AD15" i="5"/>
  <c r="AD16" i="5"/>
  <c r="AD17" i="5"/>
  <c r="AD18" i="5"/>
  <c r="AD19" i="5"/>
  <c r="AD20" i="5"/>
  <c r="AD21" i="5"/>
  <c r="AD22" i="5"/>
  <c r="AD23" i="5"/>
  <c r="AD24" i="5"/>
  <c r="AD25" i="5"/>
  <c r="AD26" i="5"/>
  <c r="AD27" i="5"/>
  <c r="AD28" i="5"/>
  <c r="AD29" i="5"/>
  <c r="AD30" i="5"/>
  <c r="AD31" i="5"/>
  <c r="AD32" i="5"/>
  <c r="AD33" i="5"/>
  <c r="AD34" i="5"/>
  <c r="AD35" i="5"/>
  <c r="AD36" i="5"/>
  <c r="AD37" i="5"/>
  <c r="AD38" i="5"/>
  <c r="AD39" i="5"/>
  <c r="AD40" i="5"/>
  <c r="AD41" i="5"/>
  <c r="AD42" i="5"/>
  <c r="AD43" i="5"/>
  <c r="AD44" i="5"/>
  <c r="AD45" i="5"/>
  <c r="AD46" i="5"/>
  <c r="AD47" i="5"/>
  <c r="AD48" i="5"/>
  <c r="AD49" i="5"/>
  <c r="AD50" i="5"/>
  <c r="AD51" i="5"/>
  <c r="AD52" i="5"/>
  <c r="AD53" i="5"/>
  <c r="AD54" i="5"/>
  <c r="AD55" i="5"/>
  <c r="AD56" i="5"/>
  <c r="AD57" i="5"/>
  <c r="AD58" i="5"/>
  <c r="AD59" i="5"/>
  <c r="AD60" i="5"/>
  <c r="AD61" i="5"/>
  <c r="AD62" i="5"/>
  <c r="AD63" i="5"/>
  <c r="AD64" i="5"/>
  <c r="AD65" i="5"/>
  <c r="AD66" i="5"/>
  <c r="AD67" i="5"/>
  <c r="AD68" i="5"/>
  <c r="AD69" i="5"/>
  <c r="AD70" i="5"/>
  <c r="AD71" i="5"/>
  <c r="AD72" i="5"/>
  <c r="AD73" i="5"/>
  <c r="AD74" i="5"/>
  <c r="AD75" i="5"/>
  <c r="AD76" i="5"/>
  <c r="AD77" i="5"/>
  <c r="AD78" i="5"/>
  <c r="AD79" i="5"/>
  <c r="AD80" i="5"/>
  <c r="AD81" i="5"/>
  <c r="AD82" i="5"/>
  <c r="AD83" i="5"/>
  <c r="AD84" i="5"/>
  <c r="AD85" i="5"/>
  <c r="AD86" i="5"/>
  <c r="AD87" i="5"/>
  <c r="AD88" i="5"/>
  <c r="AD89" i="5"/>
  <c r="AD90" i="5"/>
  <c r="AD91" i="5"/>
  <c r="AD92" i="5"/>
  <c r="AD93" i="5"/>
  <c r="AD94" i="5"/>
  <c r="AD95" i="5"/>
  <c r="AD96" i="5"/>
  <c r="AD97" i="5"/>
  <c r="AD98" i="5"/>
  <c r="AD99" i="5"/>
  <c r="AD100" i="5"/>
  <c r="AD101" i="5"/>
  <c r="AD102" i="5"/>
  <c r="AD103" i="5"/>
  <c r="AD104" i="5"/>
  <c r="AD105" i="5"/>
  <c r="AD106" i="5"/>
  <c r="AD107" i="5"/>
  <c r="AD108" i="5"/>
  <c r="AD109" i="5"/>
  <c r="AD110" i="5"/>
  <c r="AD111" i="5"/>
  <c r="AD112" i="5"/>
  <c r="AD113" i="5"/>
  <c r="AD114" i="5"/>
  <c r="AD115" i="5"/>
  <c r="AD116" i="5"/>
  <c r="AD117" i="5"/>
  <c r="AD118" i="5"/>
  <c r="AD119" i="5"/>
  <c r="AD120" i="5"/>
  <c r="AD121" i="5"/>
  <c r="AD122" i="5"/>
  <c r="AD123" i="5"/>
  <c r="AD124" i="5"/>
  <c r="AD125" i="5"/>
  <c r="AD126" i="5"/>
  <c r="AD127" i="5"/>
  <c r="AD128" i="5"/>
  <c r="AD129" i="5"/>
  <c r="AD130" i="5"/>
  <c r="AD131" i="5"/>
  <c r="AD132" i="5"/>
  <c r="AD133" i="5"/>
  <c r="AD134" i="5"/>
  <c r="AD135" i="5"/>
  <c r="AD136" i="5"/>
  <c r="AD137" i="5"/>
  <c r="AD138" i="5"/>
  <c r="AD139" i="5"/>
  <c r="AD140" i="5"/>
  <c r="AD141" i="5"/>
  <c r="AD142" i="5"/>
  <c r="AD143" i="5"/>
  <c r="AD144" i="5"/>
  <c r="AD145" i="5"/>
  <c r="AD146" i="5"/>
  <c r="AD147" i="5"/>
  <c r="AD148" i="5"/>
  <c r="AD149" i="5"/>
  <c r="AD150" i="5"/>
  <c r="AD151" i="5"/>
  <c r="AD152" i="5"/>
  <c r="AD153" i="5"/>
  <c r="AD154" i="5"/>
  <c r="AD155" i="5"/>
  <c r="AD156" i="5"/>
  <c r="AD157" i="5"/>
  <c r="AD158" i="5"/>
  <c r="AD159" i="5"/>
  <c r="AD160" i="5"/>
  <c r="AD161" i="5"/>
  <c r="AD162" i="5"/>
  <c r="AD163" i="5"/>
  <c r="AD164" i="5"/>
  <c r="AD165" i="5"/>
  <c r="AD166" i="5"/>
  <c r="AD167" i="5"/>
  <c r="AD168" i="5"/>
  <c r="AD169" i="5"/>
  <c r="AD170" i="5"/>
  <c r="AD171" i="5"/>
  <c r="AD172" i="5"/>
  <c r="AD173" i="5"/>
  <c r="AD174" i="5"/>
  <c r="AD175" i="5"/>
  <c r="AD176" i="5"/>
  <c r="AD177" i="5"/>
  <c r="AD178" i="5"/>
  <c r="AD179" i="5"/>
  <c r="AD180" i="5"/>
  <c r="AD181" i="5"/>
  <c r="AD182" i="5"/>
  <c r="AD183" i="5"/>
  <c r="AD184" i="5"/>
  <c r="AD185" i="5"/>
  <c r="AD186" i="5"/>
  <c r="AD187" i="5"/>
  <c r="AD188" i="5"/>
  <c r="AD189" i="5"/>
  <c r="AD190" i="5"/>
  <c r="AD191" i="5"/>
  <c r="AD192" i="5"/>
  <c r="AD193" i="5"/>
  <c r="AD194" i="5"/>
  <c r="AD195" i="5"/>
  <c r="AD196" i="5"/>
  <c r="AD197" i="5"/>
  <c r="AD198" i="5"/>
  <c r="AD199" i="5"/>
  <c r="AD200" i="5"/>
  <c r="AD201" i="5"/>
  <c r="AD202" i="5"/>
  <c r="AD203" i="5"/>
  <c r="AD204" i="5"/>
  <c r="AD205" i="5"/>
  <c r="AD206" i="5"/>
  <c r="AD207" i="5"/>
  <c r="AD208" i="5"/>
  <c r="AD209" i="5"/>
  <c r="AD210" i="5"/>
  <c r="AD211" i="5"/>
  <c r="AD212" i="5"/>
  <c r="AD213" i="5"/>
  <c r="AD214" i="5"/>
  <c r="AD215" i="5"/>
  <c r="AD216" i="5"/>
  <c r="AD217" i="5"/>
  <c r="AD218" i="5"/>
  <c r="AD219" i="5"/>
  <c r="AD220" i="5"/>
  <c r="AD221" i="5"/>
  <c r="AD222" i="5"/>
  <c r="AD223" i="5"/>
  <c r="AD224" i="5"/>
  <c r="AD225" i="5"/>
  <c r="AD226" i="5"/>
  <c r="AD227" i="5"/>
  <c r="AD228" i="5"/>
  <c r="AD229" i="5"/>
  <c r="AD230" i="5"/>
  <c r="AD231" i="5"/>
  <c r="AD232" i="5"/>
  <c r="AD233" i="5"/>
  <c r="AD234" i="5"/>
  <c r="AD235" i="5"/>
  <c r="AD236" i="5"/>
  <c r="AD237" i="5"/>
  <c r="AD238" i="5"/>
  <c r="AD239" i="5"/>
  <c r="AD240" i="5"/>
  <c r="AD241" i="5"/>
  <c r="AD242" i="5"/>
  <c r="AD243" i="5"/>
  <c r="AD244" i="5"/>
  <c r="AD245" i="5"/>
  <c r="AD246" i="5"/>
  <c r="AD247" i="5"/>
  <c r="AD248" i="5"/>
  <c r="AD249" i="5"/>
  <c r="AD250" i="5"/>
  <c r="AD251" i="5"/>
  <c r="AD252" i="5"/>
  <c r="AD253" i="5"/>
  <c r="AD254" i="5"/>
  <c r="AD255" i="5"/>
  <c r="AD256" i="5"/>
  <c r="AD257" i="5"/>
  <c r="AD258" i="5"/>
  <c r="AD259" i="5"/>
  <c r="AD260" i="5"/>
  <c r="AD261" i="5"/>
  <c r="AD262" i="5"/>
  <c r="AD263" i="5"/>
  <c r="AD264" i="5"/>
  <c r="AD265" i="5"/>
  <c r="AD266" i="5"/>
  <c r="AD267" i="5"/>
  <c r="AD268" i="5"/>
  <c r="AD269" i="5"/>
  <c r="AD270" i="5"/>
  <c r="AD271" i="5"/>
  <c r="AD272" i="5"/>
  <c r="AD273" i="5"/>
  <c r="AD274" i="5"/>
  <c r="AD275" i="5"/>
  <c r="AD276" i="5"/>
  <c r="AD277" i="5"/>
  <c r="AD278" i="5"/>
  <c r="AD279" i="5"/>
  <c r="AD280" i="5"/>
  <c r="AD281" i="5"/>
  <c r="AD282" i="5"/>
  <c r="AD283" i="5"/>
  <c r="AD284" i="5"/>
  <c r="AD285" i="5"/>
  <c r="AD286" i="5"/>
  <c r="AD287" i="5"/>
  <c r="AD288" i="5"/>
  <c r="AD289" i="5"/>
  <c r="AD290" i="5"/>
  <c r="AD291" i="5"/>
  <c r="AD292" i="5"/>
  <c r="AD293" i="5"/>
  <c r="AD294" i="5"/>
  <c r="AD295" i="5"/>
  <c r="AD296" i="5"/>
  <c r="AD297" i="5"/>
  <c r="AD298" i="5"/>
  <c r="AD299" i="5"/>
  <c r="AD300" i="5"/>
  <c r="AD301" i="5"/>
  <c r="AD302" i="5"/>
  <c r="AD303" i="5"/>
  <c r="AD304" i="5"/>
  <c r="AD305" i="5"/>
  <c r="AD306" i="5"/>
  <c r="AD307" i="5"/>
  <c r="AD308" i="5"/>
  <c r="AD309" i="5"/>
  <c r="AD310" i="5"/>
  <c r="AD311" i="5"/>
  <c r="AD312" i="5"/>
  <c r="AD313" i="5"/>
  <c r="AD314" i="5"/>
  <c r="AD315" i="5"/>
  <c r="AD316" i="5"/>
  <c r="AD317" i="5"/>
  <c r="AD318" i="5"/>
  <c r="AD319" i="5"/>
  <c r="AD320" i="5"/>
  <c r="AD321" i="5"/>
  <c r="AD322" i="5"/>
  <c r="AD323" i="5"/>
  <c r="AD324" i="5"/>
  <c r="AD325" i="5"/>
  <c r="AD326" i="5"/>
  <c r="AD327" i="5"/>
  <c r="AD328" i="5"/>
  <c r="AD329" i="5"/>
  <c r="AD330" i="5"/>
  <c r="AD331" i="5"/>
  <c r="AD332" i="5"/>
  <c r="AD333" i="5"/>
  <c r="AD334" i="5"/>
  <c r="AD335" i="5"/>
  <c r="AD336" i="5"/>
  <c r="AD337" i="5"/>
  <c r="AD338" i="5"/>
  <c r="AD339" i="5"/>
  <c r="AD340" i="5"/>
  <c r="AD341" i="5"/>
  <c r="AD342" i="5"/>
  <c r="AD343" i="5"/>
  <c r="AD344" i="5"/>
  <c r="AD345" i="5"/>
  <c r="AD346" i="5"/>
  <c r="AD347" i="5"/>
  <c r="AD348" i="5"/>
  <c r="AD349" i="5"/>
  <c r="AD350" i="5"/>
  <c r="AD351" i="5"/>
  <c r="AD352" i="5"/>
  <c r="AD353" i="5"/>
  <c r="AD354" i="5"/>
  <c r="AD355" i="5"/>
  <c r="AD356" i="5"/>
  <c r="AD357" i="5"/>
  <c r="AD358" i="5"/>
  <c r="AD359" i="5"/>
  <c r="AD360" i="5"/>
  <c r="AD361" i="5"/>
  <c r="AD362" i="5"/>
  <c r="AD363" i="5"/>
  <c r="AD364" i="5"/>
  <c r="AD365" i="5"/>
  <c r="AD366" i="5"/>
  <c r="AD367" i="5"/>
  <c r="AD368" i="5"/>
  <c r="AD369" i="5"/>
  <c r="AD370" i="5"/>
  <c r="AD371" i="5"/>
  <c r="AD372" i="5"/>
  <c r="AD373" i="5"/>
  <c r="AD374" i="5"/>
  <c r="AD375" i="5"/>
  <c r="AD376" i="5"/>
  <c r="AD377" i="5"/>
  <c r="AD378" i="5"/>
  <c r="AD379" i="5"/>
  <c r="AD380" i="5"/>
  <c r="AD381" i="5"/>
  <c r="AD382" i="5"/>
  <c r="AD383" i="5"/>
  <c r="AD384" i="5"/>
  <c r="AD385" i="5"/>
  <c r="AD386" i="5"/>
  <c r="AD387" i="5"/>
  <c r="AD388" i="5"/>
  <c r="AD389" i="5"/>
  <c r="AD390" i="5"/>
  <c r="AD391" i="5"/>
  <c r="AD392" i="5"/>
  <c r="AD393" i="5"/>
  <c r="AD394" i="5"/>
  <c r="AD395" i="5"/>
  <c r="AD396" i="5"/>
  <c r="AD397" i="5"/>
  <c r="AD398" i="5"/>
  <c r="AD399" i="5"/>
  <c r="AD400" i="5"/>
  <c r="AD401" i="5"/>
  <c r="AD402" i="5"/>
  <c r="AD403" i="5"/>
  <c r="AD404" i="5"/>
  <c r="AD405" i="5"/>
  <c r="AD406" i="5"/>
  <c r="AD407" i="5"/>
  <c r="AD408" i="5"/>
  <c r="AD409" i="5"/>
  <c r="AD410" i="5"/>
  <c r="AD411" i="5"/>
  <c r="AD412" i="5"/>
  <c r="AD413" i="5"/>
  <c r="AD414" i="5"/>
  <c r="AD415" i="5"/>
  <c r="AD416" i="5"/>
  <c r="AD417" i="5"/>
  <c r="AD418" i="5"/>
  <c r="AD419" i="5"/>
  <c r="AD420" i="5"/>
  <c r="AD421" i="5"/>
  <c r="AD422" i="5"/>
  <c r="AD423" i="5"/>
  <c r="AD424" i="5"/>
  <c r="AD425" i="5"/>
  <c r="AD426" i="5"/>
  <c r="AD427" i="5"/>
  <c r="AD428" i="5"/>
  <c r="AD429" i="5"/>
  <c r="AD430" i="5"/>
  <c r="AD431" i="5"/>
  <c r="AD432" i="5"/>
  <c r="AD433" i="5"/>
  <c r="AD434" i="5"/>
  <c r="AD435" i="5"/>
  <c r="AD436" i="5"/>
  <c r="AD437" i="5"/>
  <c r="AD438" i="5"/>
  <c r="AD439" i="5"/>
  <c r="AD440" i="5"/>
  <c r="AD441" i="5"/>
  <c r="AD442" i="5"/>
  <c r="AD443" i="5"/>
  <c r="AD444" i="5"/>
  <c r="AD445" i="5"/>
  <c r="AD446" i="5"/>
  <c r="AD447" i="5"/>
  <c r="AD448" i="5"/>
  <c r="AD449" i="5"/>
  <c r="AD450" i="5"/>
  <c r="AD451" i="5"/>
  <c r="AD452" i="5"/>
  <c r="AD453" i="5"/>
  <c r="AD454" i="5"/>
  <c r="AD455" i="5"/>
  <c r="AD456" i="5"/>
  <c r="AD457" i="5"/>
  <c r="AD458" i="5"/>
  <c r="AD459" i="5"/>
  <c r="AD460" i="5"/>
  <c r="AD461" i="5"/>
  <c r="AD462" i="5"/>
  <c r="AD463" i="5"/>
  <c r="AD464" i="5"/>
  <c r="AD465" i="5"/>
  <c r="AD466" i="5"/>
  <c r="AD467" i="5"/>
  <c r="AD468" i="5"/>
  <c r="AD469" i="5"/>
  <c r="AD470" i="5"/>
  <c r="AD471" i="5"/>
  <c r="AD472" i="5"/>
  <c r="AD473" i="5"/>
  <c r="AD474" i="5"/>
  <c r="AD475" i="5"/>
  <c r="AD476" i="5"/>
  <c r="AD477" i="5"/>
  <c r="AD478" i="5"/>
  <c r="AD479" i="5"/>
  <c r="AD480" i="5"/>
  <c r="AD481" i="5"/>
  <c r="AD482" i="5"/>
  <c r="AD483" i="5"/>
  <c r="AD484" i="5"/>
  <c r="AD485" i="5"/>
  <c r="AD486" i="5"/>
  <c r="AD487" i="5"/>
  <c r="AD488" i="5"/>
  <c r="AD489" i="5"/>
  <c r="AD490" i="5"/>
  <c r="AD491" i="5"/>
  <c r="AD492" i="5"/>
  <c r="AD493" i="5"/>
  <c r="AD494" i="5"/>
  <c r="AD495" i="5"/>
  <c r="AD496" i="5"/>
  <c r="AD497" i="5"/>
  <c r="AD498" i="5"/>
  <c r="AD499" i="5"/>
  <c r="AD500" i="5"/>
  <c r="AD501" i="5"/>
  <c r="AD502" i="5"/>
  <c r="AD503" i="5"/>
  <c r="AD504" i="5"/>
  <c r="AD505" i="5"/>
  <c r="AD506" i="5"/>
  <c r="AD507" i="5"/>
  <c r="AD508" i="5"/>
  <c r="AD509" i="5"/>
  <c r="AD510" i="5"/>
  <c r="AD511" i="5"/>
  <c r="AD512" i="5"/>
  <c r="AD513" i="5"/>
  <c r="AD514" i="5"/>
  <c r="AD515" i="5"/>
  <c r="AD516" i="5"/>
  <c r="AD517" i="5"/>
  <c r="AD518" i="5"/>
  <c r="AD519" i="5"/>
  <c r="AD520" i="5"/>
  <c r="AD521" i="5"/>
  <c r="AD522" i="5"/>
  <c r="AD523" i="5"/>
  <c r="AD524" i="5"/>
  <c r="AD525" i="5"/>
  <c r="AD526" i="5"/>
  <c r="AD527" i="5"/>
  <c r="AD528" i="5"/>
  <c r="AD529" i="5"/>
  <c r="AD530" i="5"/>
  <c r="AD531" i="5"/>
  <c r="AD532" i="5"/>
  <c r="AD533" i="5"/>
  <c r="AD534" i="5"/>
  <c r="AD535" i="5"/>
  <c r="AD536" i="5"/>
  <c r="AD537" i="5"/>
  <c r="AD538" i="5"/>
  <c r="AD539" i="5"/>
  <c r="AD540" i="5"/>
  <c r="AD541" i="5"/>
  <c r="AD542" i="5"/>
  <c r="AD543" i="5"/>
  <c r="AD544" i="5"/>
  <c r="AD545" i="5"/>
  <c r="AD546" i="5"/>
  <c r="AD547" i="5"/>
  <c r="AD548" i="5"/>
  <c r="AD549" i="5"/>
  <c r="AD550" i="5"/>
  <c r="AD551" i="5"/>
  <c r="AD552" i="5"/>
  <c r="AD553" i="5"/>
  <c r="AD554" i="5"/>
  <c r="AD555" i="5"/>
  <c r="AD556" i="5"/>
  <c r="AD557" i="5"/>
  <c r="AD558" i="5"/>
  <c r="AD559" i="5"/>
  <c r="AD560" i="5"/>
  <c r="AD561" i="5"/>
  <c r="AD562" i="5"/>
  <c r="AD563" i="5"/>
  <c r="AD564" i="5"/>
  <c r="AD565" i="5"/>
  <c r="AD566" i="5"/>
  <c r="AD567" i="5"/>
  <c r="AD568" i="5"/>
  <c r="AD569" i="5"/>
  <c r="AD570" i="5"/>
  <c r="AD571" i="5"/>
  <c r="AD572" i="5"/>
  <c r="AD573" i="5"/>
  <c r="AD574" i="5"/>
  <c r="AD575" i="5"/>
  <c r="AD576" i="5"/>
  <c r="AD577" i="5"/>
  <c r="AD578" i="5"/>
  <c r="AD579" i="5"/>
  <c r="AD580" i="5"/>
  <c r="AD581" i="5"/>
  <c r="AD582" i="5"/>
  <c r="AD583" i="5"/>
  <c r="AD584" i="5"/>
  <c r="AD585" i="5"/>
  <c r="AD586" i="5"/>
  <c r="AD587" i="5"/>
  <c r="AD588" i="5"/>
  <c r="AD589" i="5"/>
  <c r="AD590" i="5"/>
  <c r="AD591" i="5"/>
  <c r="AD592" i="5"/>
  <c r="AD593" i="5"/>
  <c r="AD594" i="5"/>
  <c r="AD595" i="5"/>
  <c r="AD596" i="5"/>
  <c r="AD597" i="5"/>
  <c r="AD598" i="5"/>
  <c r="AD599" i="5"/>
  <c r="AD600" i="5"/>
  <c r="AD601" i="5"/>
  <c r="AD602" i="5"/>
  <c r="AD603" i="5"/>
  <c r="AD604" i="5"/>
  <c r="AD605" i="5"/>
  <c r="AD606" i="5"/>
  <c r="AD607" i="5"/>
  <c r="AD608" i="5"/>
  <c r="AD609" i="5"/>
  <c r="AD610" i="5"/>
  <c r="AD611" i="5"/>
  <c r="AD612" i="5"/>
  <c r="AD613" i="5"/>
  <c r="AD614" i="5"/>
  <c r="AD615" i="5"/>
  <c r="AD616" i="5"/>
  <c r="AD617" i="5"/>
  <c r="AD618" i="5"/>
  <c r="AD619" i="5"/>
  <c r="AD620" i="5"/>
  <c r="AD621" i="5"/>
  <c r="AD622" i="5"/>
  <c r="AD623" i="5"/>
  <c r="AD624" i="5"/>
  <c r="AD625" i="5"/>
  <c r="AD626" i="5"/>
  <c r="AD627" i="5"/>
  <c r="AD628" i="5"/>
  <c r="AD629" i="5"/>
  <c r="AD630" i="5"/>
  <c r="AD631" i="5"/>
  <c r="AD632" i="5"/>
  <c r="AD633" i="5"/>
  <c r="AD634" i="5"/>
  <c r="AD635" i="5"/>
  <c r="AD636" i="5"/>
  <c r="AD637" i="5"/>
  <c r="AD638" i="5"/>
  <c r="AD639" i="5"/>
  <c r="AD640" i="5"/>
  <c r="AD641" i="5"/>
  <c r="AD642" i="5"/>
  <c r="AD643" i="5"/>
  <c r="AD644" i="5"/>
  <c r="AD645" i="5"/>
  <c r="AD646" i="5"/>
  <c r="AD647" i="5"/>
  <c r="AD648" i="5"/>
  <c r="AD649" i="5"/>
  <c r="AD650" i="5"/>
  <c r="AD651" i="5"/>
  <c r="AD652" i="5"/>
  <c r="AD653" i="5"/>
  <c r="AD654" i="5"/>
  <c r="AD655" i="5"/>
  <c r="AD656" i="5"/>
  <c r="AD657" i="5"/>
  <c r="AD658" i="5"/>
  <c r="AD659" i="5"/>
  <c r="AD660" i="5"/>
  <c r="AD661" i="5"/>
  <c r="AD662" i="5"/>
  <c r="AD663" i="5"/>
  <c r="AD664" i="5"/>
  <c r="AD665" i="5"/>
  <c r="AD666" i="5"/>
  <c r="AD667" i="5"/>
  <c r="AD668" i="5"/>
  <c r="AD669" i="5"/>
  <c r="AD670" i="5"/>
  <c r="AD671" i="5"/>
  <c r="AD672" i="5"/>
  <c r="AD673" i="5"/>
  <c r="AD674" i="5"/>
  <c r="AD675" i="5"/>
  <c r="AD676" i="5"/>
  <c r="AD677" i="5"/>
  <c r="AD678" i="5"/>
  <c r="AD679" i="5"/>
  <c r="AD680" i="5"/>
  <c r="AD681" i="5"/>
  <c r="AD682" i="5"/>
  <c r="AD683" i="5"/>
  <c r="AD684" i="5"/>
  <c r="AD685" i="5"/>
  <c r="AD686" i="5"/>
  <c r="AD687" i="5"/>
  <c r="AD688" i="5"/>
  <c r="AD689" i="5"/>
  <c r="AD690" i="5"/>
  <c r="AD691" i="5"/>
  <c r="AD692" i="5"/>
  <c r="AD693" i="5"/>
  <c r="AD694" i="5"/>
  <c r="AD695" i="5"/>
  <c r="AD696" i="5"/>
  <c r="AD697" i="5"/>
  <c r="AD698" i="5"/>
  <c r="AD699" i="5"/>
  <c r="AD700" i="5"/>
  <c r="AD701" i="5"/>
  <c r="AD702" i="5"/>
  <c r="AD703" i="5"/>
  <c r="AD704" i="5"/>
  <c r="AD705" i="5"/>
  <c r="AD706" i="5"/>
  <c r="AD707" i="5"/>
  <c r="AD708" i="5"/>
  <c r="AD709" i="5"/>
  <c r="AD710" i="5"/>
  <c r="AD711" i="5"/>
  <c r="AD712" i="5"/>
  <c r="AD713" i="5"/>
  <c r="AD714" i="5"/>
  <c r="AD715" i="5"/>
  <c r="AD716" i="5"/>
  <c r="AD717" i="5"/>
  <c r="AD718" i="5"/>
  <c r="AD719" i="5"/>
  <c r="AD720" i="5"/>
  <c r="AD721" i="5"/>
  <c r="AD722" i="5"/>
  <c r="AD723" i="5"/>
  <c r="AD724" i="5"/>
  <c r="AD725" i="5"/>
  <c r="AD726" i="5"/>
  <c r="AD727" i="5"/>
  <c r="AD728" i="5"/>
  <c r="AD729" i="5"/>
  <c r="AD730" i="5"/>
  <c r="AD731" i="5"/>
  <c r="AD732" i="5"/>
  <c r="AD733" i="5"/>
  <c r="AD734" i="5"/>
  <c r="AD735" i="5"/>
  <c r="AD736" i="5"/>
  <c r="AD737" i="5"/>
  <c r="AD738" i="5"/>
  <c r="AD739" i="5"/>
  <c r="AD740" i="5"/>
  <c r="AD741" i="5"/>
  <c r="AD742" i="5"/>
  <c r="AD743" i="5"/>
  <c r="AD744" i="5"/>
  <c r="AD745" i="5"/>
  <c r="AD746" i="5"/>
  <c r="AD747" i="5"/>
  <c r="AD748" i="5"/>
  <c r="AD749" i="5"/>
  <c r="AD750" i="5"/>
  <c r="AD751" i="5"/>
  <c r="AD752" i="5"/>
  <c r="AD753" i="5"/>
  <c r="AD754" i="5"/>
  <c r="AD755" i="5"/>
  <c r="AD756" i="5"/>
  <c r="AD757" i="5"/>
  <c r="AD758" i="5"/>
  <c r="AD759" i="5"/>
  <c r="AD760" i="5"/>
  <c r="AD761" i="5"/>
  <c r="AD762" i="5"/>
  <c r="AD763" i="5"/>
  <c r="AD764" i="5"/>
  <c r="AD765" i="5"/>
  <c r="AD766" i="5"/>
  <c r="AD767" i="5"/>
  <c r="AD768" i="5"/>
  <c r="AD769" i="5"/>
  <c r="AD770" i="5"/>
  <c r="AD771" i="5"/>
  <c r="AD772" i="5"/>
  <c r="AD773" i="5"/>
  <c r="AD774" i="5"/>
  <c r="AD775" i="5"/>
  <c r="AD776" i="5"/>
  <c r="AD777" i="5"/>
  <c r="AD778" i="5"/>
  <c r="AD779" i="5"/>
  <c r="AD780" i="5"/>
  <c r="AD781" i="5"/>
  <c r="AD782" i="5"/>
  <c r="AD783" i="5"/>
  <c r="AD784" i="5"/>
  <c r="AD785" i="5"/>
  <c r="AD786" i="5"/>
  <c r="AD787" i="5"/>
  <c r="AD788" i="5"/>
  <c r="AD789" i="5"/>
  <c r="AD790" i="5"/>
  <c r="AD791" i="5"/>
  <c r="AD792" i="5"/>
  <c r="AD793" i="5"/>
  <c r="AD794" i="5"/>
  <c r="AD795" i="5"/>
  <c r="AD796" i="5"/>
  <c r="AD797" i="5"/>
  <c r="AD798" i="5"/>
  <c r="AD799" i="5"/>
  <c r="AD800" i="5"/>
  <c r="AD801" i="5"/>
  <c r="AD802" i="5"/>
  <c r="AD803" i="5"/>
  <c r="AD804" i="5"/>
  <c r="AD805" i="5"/>
  <c r="AD806" i="5"/>
  <c r="AD807" i="5"/>
  <c r="AD808" i="5"/>
  <c r="AD809" i="5"/>
  <c r="AD810" i="5"/>
  <c r="AD811" i="5"/>
  <c r="AD812" i="5"/>
  <c r="AD813" i="5"/>
  <c r="AD814" i="5"/>
  <c r="AD815" i="5"/>
  <c r="AD816" i="5"/>
  <c r="AD817" i="5"/>
  <c r="AD818" i="5"/>
  <c r="AD819" i="5"/>
  <c r="AD820" i="5"/>
  <c r="AD821" i="5"/>
  <c r="AD822" i="5"/>
  <c r="AD823" i="5"/>
  <c r="AD824" i="5"/>
  <c r="AD825" i="5"/>
  <c r="AD826" i="5"/>
  <c r="AD827" i="5"/>
  <c r="AD828" i="5"/>
  <c r="AD829" i="5"/>
  <c r="AD830" i="5"/>
  <c r="AD831" i="5"/>
  <c r="AD832" i="5"/>
  <c r="AD833" i="5"/>
  <c r="AD834" i="5"/>
  <c r="AD835" i="5"/>
  <c r="AD836" i="5"/>
  <c r="AD837" i="5"/>
  <c r="AD838" i="5"/>
  <c r="AD839" i="5"/>
  <c r="AD840" i="5"/>
  <c r="AD841" i="5"/>
  <c r="AD842" i="5"/>
  <c r="AD843" i="5"/>
  <c r="AD844" i="5"/>
  <c r="AD845" i="5"/>
  <c r="AD846" i="5"/>
  <c r="AD847" i="5"/>
  <c r="AD848" i="5"/>
  <c r="AD849" i="5"/>
  <c r="AD850" i="5"/>
  <c r="AD851" i="5"/>
  <c r="AD852" i="5"/>
  <c r="AD853" i="5"/>
  <c r="AD854" i="5"/>
  <c r="AD855" i="5"/>
  <c r="AD856" i="5"/>
  <c r="AD857" i="5"/>
  <c r="AD858" i="5"/>
  <c r="AD859" i="5"/>
  <c r="AD860" i="5"/>
  <c r="AD861" i="5"/>
  <c r="AD862" i="5"/>
  <c r="AD863" i="5"/>
  <c r="AD864" i="5"/>
  <c r="AD865" i="5"/>
  <c r="AD866" i="5"/>
  <c r="AD867" i="5"/>
  <c r="AD868" i="5"/>
  <c r="AD869" i="5"/>
  <c r="AD870" i="5"/>
  <c r="AD871" i="5"/>
  <c r="AD872" i="5"/>
  <c r="AD873" i="5"/>
  <c r="AD874" i="5"/>
  <c r="AD875" i="5"/>
  <c r="AD876" i="5"/>
  <c r="AD877" i="5"/>
  <c r="AD878" i="5"/>
  <c r="AD879" i="5"/>
  <c r="AD880" i="5"/>
  <c r="AD881" i="5"/>
  <c r="AD882" i="5"/>
  <c r="AD883" i="5"/>
  <c r="AD884" i="5"/>
  <c r="AD885" i="5"/>
  <c r="AD886" i="5"/>
  <c r="AD887" i="5"/>
  <c r="AD888" i="5"/>
  <c r="AD889" i="5"/>
  <c r="AD890" i="5"/>
  <c r="AD891" i="5"/>
  <c r="AD892" i="5"/>
  <c r="AD893" i="5"/>
  <c r="AD894" i="5"/>
  <c r="AD895" i="5"/>
  <c r="AD896" i="5"/>
  <c r="AD897" i="5"/>
  <c r="AD898" i="5"/>
  <c r="AD899" i="5"/>
  <c r="AD900" i="5"/>
  <c r="AD901" i="5"/>
  <c r="AD902" i="5"/>
  <c r="AD903" i="5"/>
  <c r="AD904" i="5"/>
  <c r="AD905" i="5"/>
  <c r="AD906" i="5"/>
  <c r="AD907" i="5"/>
  <c r="AD908" i="5"/>
  <c r="AD909" i="5"/>
  <c r="AD910" i="5"/>
  <c r="AD911" i="5"/>
  <c r="AD912" i="5"/>
  <c r="AD913" i="5"/>
  <c r="AD914" i="5"/>
  <c r="AD915" i="5"/>
  <c r="AD916" i="5"/>
  <c r="AD917" i="5"/>
  <c r="AD918" i="5"/>
  <c r="AD919" i="5"/>
  <c r="AD920" i="5"/>
  <c r="AD921" i="5"/>
  <c r="AD922" i="5"/>
  <c r="AD923" i="5"/>
  <c r="AD924" i="5"/>
  <c r="AD925" i="5"/>
  <c r="AD926" i="5"/>
  <c r="AD927" i="5"/>
  <c r="AD928" i="5"/>
  <c r="AD929" i="5"/>
  <c r="AD930" i="5"/>
  <c r="AD931" i="5"/>
  <c r="AD932" i="5"/>
  <c r="AD933" i="5"/>
  <c r="AD934" i="5"/>
  <c r="AD935" i="5"/>
  <c r="AD936" i="5"/>
  <c r="AD937" i="5"/>
  <c r="AD938" i="5"/>
  <c r="AD939" i="5"/>
  <c r="AD940" i="5"/>
  <c r="AD941" i="5"/>
  <c r="AD942" i="5"/>
  <c r="AD943" i="5"/>
  <c r="AD944" i="5"/>
  <c r="AD945" i="5"/>
  <c r="AD946" i="5"/>
  <c r="AD947" i="5"/>
  <c r="AD948" i="5"/>
  <c r="AD949" i="5"/>
  <c r="AD950" i="5"/>
  <c r="AD951" i="5"/>
  <c r="AD952" i="5"/>
  <c r="AD953" i="5"/>
  <c r="AD954" i="5"/>
  <c r="AD955" i="5"/>
  <c r="AD956" i="5"/>
  <c r="AD957" i="5"/>
  <c r="AD958" i="5"/>
  <c r="AD959" i="5"/>
  <c r="AD960" i="5"/>
  <c r="AD961" i="5"/>
  <c r="AD962" i="5"/>
  <c r="AD963" i="5"/>
  <c r="AD964" i="5"/>
  <c r="AD965" i="5"/>
  <c r="AD966" i="5"/>
  <c r="AD967" i="5"/>
  <c r="AD968" i="5"/>
  <c r="AD969" i="5"/>
  <c r="AD970" i="5"/>
  <c r="AD971" i="5"/>
  <c r="AD972" i="5"/>
  <c r="AD973" i="5"/>
  <c r="AD974" i="5"/>
  <c r="AD975" i="5"/>
  <c r="AD976" i="5"/>
  <c r="AD977" i="5"/>
  <c r="AD978" i="5"/>
  <c r="AD979" i="5"/>
  <c r="AD980" i="5"/>
  <c r="AD981" i="5"/>
  <c r="AD982" i="5"/>
  <c r="AD983" i="5"/>
  <c r="AD984" i="5"/>
  <c r="AD985" i="5"/>
  <c r="AD986" i="5"/>
  <c r="AD987" i="5"/>
  <c r="AD988" i="5"/>
  <c r="AD989" i="5"/>
  <c r="AD990" i="5"/>
  <c r="AD991" i="5"/>
  <c r="AD992" i="5"/>
  <c r="AD993" i="5"/>
  <c r="AD994" i="5"/>
  <c r="AD995" i="5"/>
  <c r="AD996" i="5"/>
  <c r="AD997" i="5"/>
  <c r="AD998" i="5"/>
  <c r="AD999" i="5"/>
  <c r="AD1000" i="5"/>
  <c r="AD1001" i="5"/>
  <c r="AD1002" i="5"/>
  <c r="AD1003" i="5"/>
  <c r="AD1004" i="5"/>
  <c r="AD1005" i="5"/>
  <c r="AD1006" i="5"/>
  <c r="AD1007" i="5"/>
  <c r="AD1008" i="5"/>
  <c r="AD1009" i="5"/>
  <c r="AD1010" i="5"/>
  <c r="AD1011" i="5"/>
  <c r="AD1012" i="5"/>
  <c r="AD1013" i="5"/>
  <c r="AD1014" i="5"/>
  <c r="AD1015" i="5"/>
  <c r="AD1016" i="5"/>
  <c r="AD1017" i="5"/>
  <c r="AD1018" i="5"/>
  <c r="AD1019" i="5"/>
  <c r="AD1020" i="5"/>
  <c r="AD1021" i="5"/>
  <c r="AD1022" i="5"/>
  <c r="AD1023" i="5"/>
  <c r="AD1024" i="5"/>
  <c r="AD1025" i="5"/>
  <c r="AD1026" i="5"/>
  <c r="AD1027" i="5"/>
  <c r="AD1028" i="5"/>
  <c r="AD1029" i="5"/>
  <c r="AD1030" i="5"/>
  <c r="AD1031" i="5"/>
  <c r="AD1032" i="5"/>
  <c r="AD1033" i="5"/>
  <c r="AD1034" i="5"/>
  <c r="AD1035" i="5"/>
  <c r="AD1036" i="5"/>
  <c r="AD1037" i="5"/>
  <c r="AD1038" i="5"/>
  <c r="AD1039" i="5"/>
  <c r="AD1040" i="5"/>
  <c r="AD1041" i="5"/>
  <c r="AD1042" i="5"/>
  <c r="AD1043" i="5"/>
  <c r="AD1044" i="5"/>
  <c r="AD1045" i="5"/>
  <c r="AD1046" i="5"/>
  <c r="AD1047" i="5"/>
  <c r="AD1048" i="5"/>
  <c r="AD1049" i="5"/>
  <c r="AD1050" i="5"/>
  <c r="AD1051" i="5"/>
  <c r="AD1052" i="5"/>
  <c r="AD1053" i="5"/>
  <c r="AD1054" i="5"/>
  <c r="AD1055" i="5"/>
  <c r="AD1056" i="5"/>
  <c r="AD1057" i="5"/>
  <c r="AD1058" i="5"/>
  <c r="AD1059" i="5"/>
  <c r="AD1060" i="5"/>
  <c r="AD1061" i="5"/>
  <c r="AD1062" i="5"/>
  <c r="AD1063" i="5"/>
  <c r="AD1064" i="5"/>
  <c r="AD1065" i="5"/>
  <c r="AD1066" i="5"/>
  <c r="AD1067" i="5"/>
  <c r="AD1068" i="5"/>
  <c r="AD1069" i="5"/>
  <c r="AD1070" i="5"/>
  <c r="AD1071" i="5"/>
  <c r="AD1072" i="5"/>
  <c r="AD1073" i="5"/>
  <c r="AD1074" i="5"/>
  <c r="AD1075" i="5"/>
  <c r="AD1076" i="5"/>
  <c r="AD1077" i="5"/>
  <c r="AD1078" i="5"/>
  <c r="AD1079" i="5"/>
  <c r="AD1080" i="5"/>
  <c r="AD1081" i="5"/>
  <c r="AD1082" i="5"/>
  <c r="AD2" i="5"/>
  <c r="AC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C354" i="2"/>
  <c r="AC355" i="2"/>
  <c r="AC356" i="2"/>
  <c r="AC357" i="2"/>
  <c r="AC358" i="2"/>
  <c r="AC359" i="2"/>
  <c r="AC360" i="2"/>
  <c r="AC361" i="2"/>
  <c r="AC362" i="2"/>
  <c r="AC363" i="2"/>
  <c r="AC364" i="2"/>
  <c r="AC365" i="2"/>
  <c r="AC366" i="2"/>
  <c r="AC367" i="2"/>
  <c r="AC368" i="2"/>
  <c r="AC369" i="2"/>
  <c r="AC370" i="2"/>
  <c r="AC371" i="2"/>
  <c r="AC372" i="2"/>
  <c r="AC373" i="2"/>
  <c r="AC374" i="2"/>
  <c r="AC375" i="2"/>
  <c r="AC376" i="2"/>
  <c r="AC377" i="2"/>
  <c r="AC378" i="2"/>
  <c r="AC379" i="2"/>
  <c r="AC380" i="2"/>
  <c r="AC381" i="2"/>
  <c r="AC382" i="2"/>
  <c r="AC383" i="2"/>
  <c r="AC384" i="2"/>
  <c r="AC385" i="2"/>
  <c r="AC386" i="2"/>
  <c r="AC387" i="2"/>
  <c r="AC388" i="2"/>
  <c r="AC389" i="2"/>
  <c r="AC390" i="2"/>
  <c r="AC391" i="2"/>
  <c r="AC392" i="2"/>
  <c r="AC393" i="2"/>
  <c r="AC394" i="2"/>
  <c r="AC395" i="2"/>
  <c r="AC396" i="2"/>
  <c r="AC397" i="2"/>
  <c r="AC398" i="2"/>
  <c r="AC399" i="2"/>
  <c r="AC400" i="2"/>
  <c r="AC401" i="2"/>
  <c r="AC402" i="2"/>
  <c r="AC403" i="2"/>
  <c r="AC404" i="2"/>
  <c r="AC405" i="2"/>
  <c r="AC406" i="2"/>
  <c r="AC407" i="2"/>
  <c r="AC408" i="2"/>
  <c r="AC409" i="2"/>
  <c r="AC410" i="2"/>
  <c r="AC411" i="2"/>
  <c r="AC412" i="2"/>
  <c r="AC413" i="2"/>
  <c r="AC414" i="2"/>
  <c r="AC415" i="2"/>
  <c r="AC416" i="2"/>
  <c r="AC417" i="2"/>
  <c r="AC418" i="2"/>
  <c r="AC419" i="2"/>
  <c r="AC420" i="2"/>
  <c r="AC421" i="2"/>
  <c r="AC422" i="2"/>
  <c r="AC423" i="2"/>
  <c r="AC424" i="2"/>
  <c r="AC425" i="2"/>
  <c r="AC426" i="2"/>
  <c r="AC427" i="2"/>
  <c r="AC428" i="2"/>
  <c r="AC429" i="2"/>
  <c r="AC430" i="2"/>
  <c r="AC431" i="2"/>
  <c r="AC432" i="2"/>
  <c r="AC433" i="2"/>
  <c r="AC434" i="2"/>
  <c r="AC435" i="2"/>
  <c r="AC436" i="2"/>
  <c r="AC437" i="2"/>
  <c r="AC438" i="2"/>
  <c r="AC439" i="2"/>
  <c r="AC440" i="2"/>
  <c r="AC441" i="2"/>
  <c r="AC442" i="2"/>
  <c r="AC443" i="2"/>
  <c r="AC444" i="2"/>
  <c r="AC445" i="2"/>
  <c r="AC446" i="2"/>
  <c r="AC447" i="2"/>
  <c r="AC448" i="2"/>
  <c r="AC449" i="2"/>
  <c r="AC450" i="2"/>
  <c r="AC451" i="2"/>
  <c r="AC452" i="2"/>
  <c r="AC453" i="2"/>
  <c r="AC454" i="2"/>
  <c r="AC455" i="2"/>
  <c r="AC456" i="2"/>
  <c r="AC457" i="2"/>
  <c r="AC458" i="2"/>
  <c r="AC459" i="2"/>
  <c r="AC460" i="2"/>
  <c r="AC461" i="2"/>
  <c r="AC462" i="2"/>
  <c r="AC463" i="2"/>
  <c r="AC464" i="2"/>
  <c r="AC465" i="2"/>
  <c r="AC466" i="2"/>
  <c r="AC467" i="2"/>
  <c r="AC468" i="2"/>
  <c r="AC469" i="2"/>
  <c r="AC470" i="2"/>
  <c r="AC471" i="2"/>
  <c r="AC472" i="2"/>
  <c r="AC473" i="2"/>
  <c r="AC474" i="2"/>
  <c r="AC475" i="2"/>
  <c r="AC476" i="2"/>
  <c r="AC477" i="2"/>
  <c r="AC478" i="2"/>
  <c r="AC479" i="2"/>
  <c r="AC480" i="2"/>
  <c r="AC481" i="2"/>
  <c r="AC482" i="2"/>
  <c r="AC483" i="2"/>
  <c r="AC484" i="2"/>
  <c r="AC485" i="2"/>
  <c r="AC486" i="2"/>
  <c r="AC487" i="2"/>
  <c r="AC488" i="2"/>
  <c r="AC489" i="2"/>
  <c r="AC490" i="2"/>
  <c r="AC491" i="2"/>
  <c r="AC492" i="2"/>
  <c r="AC493" i="2"/>
  <c r="AC494" i="2"/>
  <c r="AC495" i="2"/>
  <c r="AC496" i="2"/>
  <c r="AC497" i="2"/>
  <c r="AC498" i="2"/>
  <c r="AC499" i="2"/>
  <c r="AC500" i="2"/>
  <c r="AC501" i="2"/>
  <c r="AC502" i="2"/>
  <c r="AC503" i="2"/>
  <c r="AC504" i="2"/>
  <c r="AC505" i="2"/>
  <c r="AC506" i="2"/>
  <c r="AC507" i="2"/>
  <c r="AC508" i="2"/>
  <c r="AC509" i="2"/>
  <c r="AC510" i="2"/>
  <c r="AC511" i="2"/>
  <c r="AC512" i="2"/>
  <c r="AC513" i="2"/>
  <c r="AC514" i="2"/>
  <c r="AC515" i="2"/>
  <c r="AC516" i="2"/>
  <c r="AC517" i="2"/>
  <c r="AC518" i="2"/>
  <c r="AC519" i="2"/>
  <c r="AC520" i="2"/>
  <c r="AC521" i="2"/>
  <c r="AC522" i="2"/>
  <c r="AC523" i="2"/>
  <c r="AC524" i="2"/>
  <c r="AC525" i="2"/>
  <c r="AC526" i="2"/>
  <c r="AC527" i="2"/>
  <c r="AC528" i="2"/>
  <c r="AC529" i="2"/>
  <c r="AC530" i="2"/>
  <c r="AC531" i="2"/>
  <c r="AC532" i="2"/>
  <c r="AC533" i="2"/>
  <c r="AC534" i="2"/>
  <c r="AC535" i="2"/>
  <c r="AC536" i="2"/>
  <c r="AC537" i="2"/>
  <c r="AC538" i="2"/>
  <c r="AC539" i="2"/>
  <c r="AC540" i="2"/>
  <c r="AC541" i="2"/>
  <c r="AC542" i="2"/>
  <c r="AC543" i="2"/>
  <c r="AC544" i="2"/>
  <c r="AC545" i="2"/>
  <c r="AC546" i="2"/>
  <c r="AC547" i="2"/>
  <c r="AC548" i="2"/>
  <c r="AC549" i="2"/>
  <c r="AC550" i="2"/>
  <c r="AC551" i="2"/>
  <c r="AC552" i="2"/>
  <c r="AC553" i="2"/>
  <c r="AC554" i="2"/>
  <c r="AC555" i="2"/>
  <c r="AC556" i="2"/>
  <c r="AC557" i="2"/>
  <c r="AC558" i="2"/>
  <c r="AC559" i="2"/>
  <c r="AC560" i="2"/>
  <c r="AC561" i="2"/>
  <c r="AC562" i="2"/>
  <c r="AC563" i="2"/>
  <c r="AC564" i="2"/>
  <c r="AC565" i="2"/>
  <c r="AC566" i="2"/>
  <c r="AC567" i="2"/>
  <c r="AC568" i="2"/>
  <c r="AC569" i="2"/>
  <c r="AC570" i="2"/>
  <c r="AC571" i="2"/>
  <c r="AC572" i="2"/>
  <c r="AC573" i="2"/>
  <c r="AC574" i="2"/>
  <c r="AC575" i="2"/>
  <c r="AC576" i="2"/>
  <c r="AC577" i="2"/>
  <c r="AC578" i="2"/>
  <c r="AC579" i="2"/>
  <c r="AC580" i="2"/>
  <c r="AC581" i="2"/>
  <c r="AC582" i="2"/>
  <c r="AC583" i="2"/>
  <c r="AC584" i="2"/>
  <c r="AC585" i="2"/>
  <c r="AC586" i="2"/>
  <c r="AC587" i="2"/>
  <c r="AC588" i="2"/>
  <c r="AC589" i="2"/>
  <c r="AC590" i="2"/>
  <c r="AC591" i="2"/>
  <c r="AC592" i="2"/>
  <c r="AC593" i="2"/>
  <c r="AC594" i="2"/>
  <c r="AC595" i="2"/>
  <c r="AC596" i="2"/>
  <c r="AC597" i="2"/>
  <c r="AC598" i="2"/>
  <c r="AC599" i="2"/>
  <c r="AC600" i="2"/>
  <c r="AC601" i="2"/>
  <c r="AC602" i="2"/>
  <c r="AC603" i="2"/>
  <c r="AC604" i="2"/>
  <c r="AC605" i="2"/>
  <c r="AC606" i="2"/>
  <c r="AC607" i="2"/>
  <c r="AC608" i="2"/>
  <c r="AC609" i="2"/>
  <c r="AC610" i="2"/>
  <c r="AC611" i="2"/>
  <c r="AC612" i="2"/>
  <c r="AC613" i="2"/>
  <c r="AC614" i="2"/>
  <c r="AC615" i="2"/>
  <c r="AC616" i="2"/>
  <c r="AC617" i="2"/>
  <c r="AC618" i="2"/>
  <c r="AC619" i="2"/>
  <c r="AC620" i="2"/>
  <c r="AC621" i="2"/>
  <c r="AC622" i="2"/>
  <c r="AC623" i="2"/>
  <c r="AC624" i="2"/>
  <c r="AC625" i="2"/>
  <c r="AC626" i="2"/>
  <c r="AC627" i="2"/>
  <c r="AC628" i="2"/>
  <c r="AC629" i="2"/>
  <c r="AC630" i="2"/>
  <c r="AC631" i="2"/>
  <c r="AC632" i="2"/>
  <c r="AC633" i="2"/>
  <c r="AC634" i="2"/>
  <c r="AC635" i="2"/>
  <c r="AC636" i="2"/>
  <c r="AC637" i="2"/>
  <c r="AC638" i="2"/>
  <c r="AC639" i="2"/>
  <c r="AC640" i="2"/>
  <c r="AC641" i="2"/>
  <c r="AC642" i="2"/>
  <c r="AC643" i="2"/>
  <c r="AC644" i="2"/>
  <c r="AC645" i="2"/>
  <c r="AC646" i="2"/>
  <c r="AC647" i="2"/>
  <c r="AC648" i="2"/>
  <c r="AC649" i="2"/>
  <c r="AC650" i="2"/>
  <c r="AC651" i="2"/>
  <c r="AC652" i="2"/>
  <c r="AC653" i="2"/>
  <c r="AC654" i="2"/>
  <c r="AC655" i="2"/>
  <c r="AC656" i="2"/>
  <c r="AC657" i="2"/>
  <c r="AC658" i="2"/>
  <c r="AC659" i="2"/>
  <c r="AC660" i="2"/>
  <c r="AC661" i="2"/>
  <c r="AC662" i="2"/>
  <c r="AC663" i="2"/>
  <c r="AC664" i="2"/>
  <c r="AC665" i="2"/>
  <c r="AC666" i="2"/>
  <c r="AC667" i="2"/>
  <c r="AC668" i="2"/>
  <c r="AC669" i="2"/>
  <c r="AC670" i="2"/>
  <c r="AC671" i="2"/>
  <c r="AC672" i="2"/>
  <c r="AC673" i="2"/>
  <c r="AC674" i="2"/>
  <c r="AC675" i="2"/>
  <c r="AC676" i="2"/>
  <c r="AC677" i="2"/>
  <c r="AC678" i="2"/>
  <c r="AC679" i="2"/>
  <c r="AC680" i="2"/>
  <c r="AC681" i="2"/>
  <c r="AC682" i="2"/>
  <c r="AC683" i="2"/>
  <c r="AC684" i="2"/>
  <c r="AC685" i="2"/>
  <c r="AC686" i="2"/>
  <c r="AC687" i="2"/>
  <c r="AC688" i="2"/>
  <c r="AC689" i="2"/>
  <c r="AC690" i="2"/>
  <c r="AC691" i="2"/>
  <c r="AC692" i="2"/>
  <c r="AC693" i="2"/>
  <c r="AC694" i="2"/>
  <c r="AC695" i="2"/>
  <c r="AC696" i="2"/>
  <c r="AC697" i="2"/>
  <c r="AC698" i="2"/>
  <c r="AC699" i="2"/>
  <c r="AC700" i="2"/>
  <c r="AC701" i="2"/>
  <c r="AC702" i="2"/>
  <c r="AC703" i="2"/>
  <c r="AC704" i="2"/>
  <c r="AC705" i="2"/>
  <c r="AC706" i="2"/>
  <c r="AC707" i="2"/>
  <c r="AC708" i="2"/>
  <c r="AC709" i="2"/>
  <c r="AC710" i="2"/>
  <c r="AC711" i="2"/>
  <c r="AC712" i="2"/>
  <c r="AC713" i="2"/>
  <c r="AC714" i="2"/>
  <c r="AC715" i="2"/>
  <c r="AC716" i="2"/>
  <c r="AC717" i="2"/>
  <c r="AC718" i="2"/>
  <c r="AC719" i="2"/>
  <c r="AC720" i="2"/>
  <c r="AC721" i="2"/>
  <c r="AC722" i="2"/>
  <c r="AC723" i="2"/>
  <c r="AC724" i="2"/>
  <c r="AC725" i="2"/>
  <c r="AC726" i="2"/>
  <c r="AC727" i="2"/>
  <c r="AC728" i="2"/>
  <c r="AC729" i="2"/>
  <c r="AC730" i="2"/>
  <c r="AC731" i="2"/>
  <c r="AC732" i="2"/>
  <c r="AC733" i="2"/>
  <c r="AC734" i="2"/>
  <c r="AC735" i="2"/>
  <c r="AC736" i="2"/>
  <c r="AC737" i="2"/>
  <c r="AC738" i="2"/>
  <c r="AC739" i="2"/>
  <c r="AC740" i="2"/>
  <c r="AC741" i="2"/>
  <c r="AC742" i="2"/>
  <c r="AC743" i="2"/>
  <c r="AC744" i="2"/>
  <c r="AC745" i="2"/>
  <c r="AC746" i="2"/>
  <c r="AC747" i="2"/>
  <c r="AC748" i="2"/>
  <c r="AC749" i="2"/>
  <c r="AC750" i="2"/>
  <c r="AC751" i="2"/>
  <c r="AC752" i="2"/>
  <c r="AC753" i="2"/>
  <c r="AC754" i="2"/>
  <c r="AC755" i="2"/>
  <c r="AC756" i="2"/>
  <c r="AC757" i="2"/>
  <c r="AC758" i="2"/>
  <c r="AC759" i="2"/>
  <c r="AC760" i="2"/>
  <c r="AC761" i="2"/>
  <c r="AC762" i="2"/>
  <c r="AC763" i="2"/>
  <c r="AC764" i="2"/>
  <c r="AC765" i="2"/>
  <c r="AC766" i="2"/>
  <c r="AC767" i="2"/>
  <c r="AC768" i="2"/>
  <c r="AC769" i="2"/>
  <c r="AC770" i="2"/>
  <c r="AC771" i="2"/>
  <c r="AC772" i="2"/>
  <c r="AC773" i="2"/>
  <c r="AC774" i="2"/>
  <c r="AC775" i="2"/>
  <c r="AC776" i="2"/>
  <c r="AC777" i="2"/>
  <c r="AC778" i="2"/>
  <c r="AC779" i="2"/>
  <c r="AC780" i="2"/>
  <c r="AC781" i="2"/>
  <c r="AC782" i="2"/>
  <c r="AC783" i="2"/>
  <c r="AC784" i="2"/>
  <c r="AC785" i="2"/>
  <c r="AC786" i="2"/>
  <c r="AC787" i="2"/>
  <c r="AC788" i="2"/>
  <c r="AC789" i="2"/>
  <c r="AC790" i="2"/>
  <c r="AC791" i="2"/>
  <c r="AC792" i="2"/>
  <c r="AC793" i="2"/>
  <c r="AC794" i="2"/>
  <c r="AC795" i="2"/>
  <c r="AC796" i="2"/>
  <c r="AC797" i="2"/>
  <c r="AC798" i="2"/>
  <c r="AC799" i="2"/>
  <c r="AC800" i="2"/>
  <c r="AC801" i="2"/>
  <c r="AC802" i="2"/>
  <c r="AC803" i="2"/>
  <c r="AC804" i="2"/>
  <c r="AC805" i="2"/>
  <c r="AC806" i="2"/>
  <c r="AC807" i="2"/>
  <c r="AC808" i="2"/>
  <c r="AC809" i="2"/>
  <c r="AC810" i="2"/>
  <c r="AC811" i="2"/>
  <c r="AC812" i="2"/>
  <c r="AC813" i="2"/>
  <c r="AC814" i="2"/>
  <c r="AC815" i="2"/>
  <c r="AC816" i="2"/>
  <c r="AC817" i="2"/>
  <c r="AC818" i="2"/>
  <c r="AC819" i="2"/>
  <c r="AC820" i="2"/>
  <c r="AC821" i="2"/>
  <c r="AC822" i="2"/>
  <c r="AC823" i="2"/>
  <c r="AC824" i="2"/>
  <c r="AC825" i="2"/>
  <c r="AC826" i="2"/>
  <c r="AC827" i="2"/>
  <c r="AC828" i="2"/>
  <c r="AC829" i="2"/>
  <c r="AC830" i="2"/>
  <c r="AC831" i="2"/>
  <c r="AC832" i="2"/>
  <c r="AC833" i="2"/>
  <c r="AC834" i="2"/>
  <c r="AC835" i="2"/>
  <c r="AC836" i="2"/>
  <c r="AC837" i="2"/>
  <c r="AC838" i="2"/>
  <c r="AC839" i="2"/>
  <c r="AC840" i="2"/>
  <c r="AC841" i="2"/>
  <c r="AC842" i="2"/>
  <c r="AC843" i="2"/>
  <c r="AC844" i="2"/>
  <c r="AC845" i="2"/>
  <c r="AC846" i="2"/>
  <c r="AC847" i="2"/>
  <c r="AC848" i="2"/>
  <c r="AC849" i="2"/>
  <c r="AC850" i="2"/>
  <c r="AC851" i="2"/>
  <c r="AC852" i="2"/>
  <c r="AC853" i="2"/>
  <c r="AC854" i="2"/>
  <c r="AC855" i="2"/>
  <c r="AC856" i="2"/>
  <c r="AC857" i="2"/>
  <c r="AC858" i="2"/>
  <c r="AC859" i="2"/>
  <c r="AC860" i="2"/>
  <c r="AC861" i="2"/>
  <c r="AC862" i="2"/>
  <c r="AC863" i="2"/>
  <c r="AC864" i="2"/>
  <c r="AC865" i="2"/>
  <c r="AC866" i="2"/>
  <c r="AC867" i="2"/>
  <c r="AC868" i="2"/>
  <c r="AC869" i="2"/>
  <c r="AC870" i="2"/>
  <c r="AC871" i="2"/>
  <c r="AC872" i="2"/>
  <c r="AC873" i="2"/>
  <c r="AC874" i="2"/>
  <c r="AC875" i="2"/>
  <c r="AC876" i="2"/>
  <c r="AC877" i="2"/>
  <c r="AC878" i="2"/>
  <c r="AC879" i="2"/>
  <c r="AC880" i="2"/>
  <c r="AC881" i="2"/>
  <c r="AC882" i="2"/>
  <c r="AC883" i="2"/>
  <c r="AC884" i="2"/>
  <c r="AC885" i="2"/>
  <c r="AC886" i="2"/>
  <c r="AC887" i="2"/>
  <c r="AC888" i="2"/>
  <c r="AC889" i="2"/>
  <c r="AC890" i="2"/>
  <c r="AC891" i="2"/>
  <c r="AC892" i="2"/>
  <c r="AC893" i="2"/>
  <c r="AC894" i="2"/>
  <c r="AC895" i="2"/>
  <c r="AC896" i="2"/>
  <c r="AC897" i="2"/>
  <c r="AC898" i="2"/>
  <c r="AC899" i="2"/>
  <c r="AC900" i="2"/>
  <c r="AC901" i="2"/>
  <c r="AC902" i="2"/>
  <c r="AC903" i="2"/>
  <c r="AC904" i="2"/>
  <c r="AC905" i="2"/>
  <c r="AC906" i="2"/>
  <c r="AC907" i="2"/>
  <c r="AC908" i="2"/>
  <c r="AC909" i="2"/>
  <c r="AC910" i="2"/>
  <c r="AC911" i="2"/>
  <c r="AC912" i="2"/>
  <c r="AC913" i="2"/>
  <c r="AC914" i="2"/>
  <c r="AC915" i="2"/>
  <c r="AC916" i="2"/>
  <c r="AC917" i="2"/>
  <c r="AC918" i="2"/>
  <c r="AC919" i="2"/>
  <c r="AC920" i="2"/>
  <c r="AC921" i="2"/>
  <c r="AC922" i="2"/>
  <c r="AC923" i="2"/>
  <c r="AC924" i="2"/>
  <c r="AC925" i="2"/>
  <c r="AC926" i="2"/>
  <c r="AC927" i="2"/>
  <c r="AC928" i="2"/>
  <c r="AC929" i="2"/>
  <c r="AC930" i="2"/>
  <c r="AC931" i="2"/>
  <c r="AC932" i="2"/>
  <c r="AC933" i="2"/>
  <c r="AC934" i="2"/>
  <c r="AC935" i="2"/>
  <c r="AC936" i="2"/>
  <c r="AC937" i="2"/>
  <c r="AC938" i="2"/>
  <c r="AC939" i="2"/>
  <c r="AC940" i="2"/>
  <c r="AC941" i="2"/>
  <c r="AC942" i="2"/>
  <c r="AC943" i="2"/>
  <c r="AC944" i="2"/>
  <c r="AC945" i="2"/>
  <c r="AC946" i="2"/>
  <c r="AC947" i="2"/>
  <c r="AC948" i="2"/>
  <c r="AC949" i="2"/>
  <c r="AC950" i="2"/>
  <c r="AC951" i="2"/>
  <c r="AC952" i="2"/>
  <c r="AC953" i="2"/>
  <c r="AC954" i="2"/>
  <c r="AC955" i="2"/>
  <c r="AC956" i="2"/>
  <c r="AC957" i="2"/>
  <c r="AC958" i="2"/>
  <c r="AC959" i="2"/>
  <c r="AC960" i="2"/>
  <c r="AC961" i="2"/>
  <c r="AC962" i="2"/>
  <c r="AC963" i="2"/>
  <c r="AC964" i="2"/>
  <c r="AC965" i="2"/>
  <c r="AC966" i="2"/>
  <c r="AC967" i="2"/>
  <c r="AC968" i="2"/>
  <c r="AC969" i="2"/>
  <c r="AC970" i="2"/>
  <c r="AC971" i="2"/>
  <c r="AC972" i="2"/>
  <c r="AC973" i="2"/>
  <c r="AC974" i="2"/>
  <c r="AC975" i="2"/>
  <c r="AC976" i="2"/>
  <c r="AC977" i="2"/>
  <c r="AC978" i="2"/>
  <c r="AC979" i="2"/>
  <c r="AC980" i="2"/>
  <c r="AC981" i="2"/>
  <c r="AC982" i="2"/>
  <c r="AC983" i="2"/>
  <c r="AC984" i="2"/>
  <c r="AC985" i="2"/>
  <c r="AC986" i="2"/>
  <c r="AC987" i="2"/>
  <c r="AC988" i="2"/>
  <c r="AC989" i="2"/>
  <c r="AC990" i="2"/>
  <c r="AC991" i="2"/>
  <c r="AC992" i="2"/>
  <c r="AC993" i="2"/>
  <c r="AC994" i="2"/>
  <c r="AC995" i="2"/>
  <c r="AC996" i="2"/>
  <c r="AC997" i="2"/>
  <c r="AC998" i="2"/>
  <c r="AC999" i="2"/>
  <c r="AC1000" i="2"/>
  <c r="AC1001" i="2"/>
  <c r="AC1002" i="2"/>
  <c r="AC1003" i="2"/>
  <c r="AC1004" i="2"/>
  <c r="AC1005" i="2"/>
  <c r="AC1006" i="2"/>
  <c r="AC1007" i="2"/>
  <c r="AC1008" i="2"/>
  <c r="AC1009" i="2"/>
  <c r="AC1010" i="2"/>
  <c r="AC1011" i="2"/>
  <c r="AC1012" i="2"/>
  <c r="AC1013" i="2"/>
  <c r="AC1014" i="2"/>
  <c r="AC1015" i="2"/>
  <c r="AC1016" i="2"/>
  <c r="AC1017" i="2"/>
  <c r="AC1018" i="2"/>
  <c r="AC1019" i="2"/>
  <c r="AC1020" i="2"/>
  <c r="AC1021" i="2"/>
  <c r="AC1022" i="2"/>
  <c r="AC1023" i="2"/>
  <c r="AC1024" i="2"/>
  <c r="AC1025" i="2"/>
  <c r="AC1026" i="2"/>
  <c r="AC1027" i="2"/>
  <c r="AC1028" i="2"/>
  <c r="AC1029" i="2"/>
  <c r="AC1030" i="2"/>
  <c r="AC1031" i="2"/>
  <c r="AC1032" i="2"/>
  <c r="AC1033" i="2"/>
  <c r="AC1034" i="2"/>
  <c r="AC1035" i="2"/>
  <c r="AC1036" i="2"/>
  <c r="AC1037" i="2"/>
  <c r="AC1038" i="2"/>
  <c r="AC1039" i="2"/>
  <c r="AC1040" i="2"/>
  <c r="AC1041" i="2"/>
  <c r="AC1042" i="2"/>
  <c r="AC1043" i="2"/>
  <c r="AC1044" i="2"/>
  <c r="AC1045" i="2"/>
  <c r="AC1046" i="2"/>
  <c r="AC1047" i="2"/>
  <c r="AC1048" i="2"/>
  <c r="AC1049" i="2"/>
  <c r="AC1050" i="2"/>
  <c r="AC1051" i="2"/>
  <c r="AC1052" i="2"/>
  <c r="AC1053" i="2"/>
  <c r="AC1054" i="2"/>
  <c r="AC1055" i="2"/>
  <c r="AC1056" i="2"/>
  <c r="AC1057" i="2"/>
  <c r="AC1058" i="2"/>
  <c r="AC1059" i="2"/>
  <c r="AC1060" i="2"/>
  <c r="AC1061" i="2"/>
  <c r="AC1062" i="2"/>
  <c r="AC1063" i="2"/>
  <c r="AC1064" i="2"/>
  <c r="AC1065" i="2"/>
  <c r="AC1066" i="2"/>
  <c r="AC1067" i="2"/>
  <c r="AC1068" i="2"/>
  <c r="AC1069" i="2"/>
  <c r="AC1070" i="2"/>
  <c r="AC1071" i="2"/>
  <c r="AC1072" i="2"/>
  <c r="AC1073" i="2"/>
  <c r="AC1074" i="2"/>
  <c r="AC1075" i="2"/>
  <c r="AC1076" i="2"/>
  <c r="AC1077" i="2"/>
  <c r="AC1078" i="2"/>
  <c r="AC1079" i="2"/>
  <c r="AC1080" i="2"/>
  <c r="AC1081" i="2"/>
  <c r="AC1082" i="2"/>
  <c r="AC1083" i="2"/>
  <c r="AC1084" i="2"/>
  <c r="AC1085" i="2"/>
  <c r="AC1086" i="2"/>
  <c r="AC1087" i="2"/>
  <c r="AC1088" i="2"/>
  <c r="AC1089" i="2"/>
  <c r="AC1090" i="2"/>
  <c r="AC1091" i="2"/>
  <c r="AC1092" i="2"/>
  <c r="AC1093" i="2"/>
  <c r="AC1094" i="2"/>
  <c r="AC1095" i="2"/>
  <c r="AC1096" i="2"/>
  <c r="AC1097" i="2"/>
  <c r="AC1098" i="2"/>
  <c r="AC1099" i="2"/>
  <c r="AC1100" i="2"/>
  <c r="AC1101" i="2"/>
  <c r="AC1102" i="2"/>
  <c r="AC1103" i="2"/>
  <c r="AC1104" i="2"/>
  <c r="AC1105" i="2"/>
  <c r="AC1106" i="2"/>
  <c r="AC1107" i="2"/>
  <c r="AC1108" i="2"/>
  <c r="AC1109" i="2"/>
  <c r="AC1110" i="2"/>
  <c r="AC1111" i="2"/>
  <c r="AC1112" i="2"/>
  <c r="AC1113" i="2"/>
  <c r="AC1114" i="2"/>
  <c r="AC1115" i="2"/>
  <c r="AC1116" i="2"/>
  <c r="AC1117" i="2"/>
  <c r="AC1118" i="2"/>
  <c r="AC1119" i="2"/>
  <c r="AC1120" i="2"/>
  <c r="AC1121" i="2"/>
  <c r="AC1122" i="2"/>
  <c r="AC1123" i="2"/>
  <c r="AC1124" i="2"/>
  <c r="AC1125" i="2"/>
  <c r="AC1126" i="2"/>
  <c r="AC1127" i="2"/>
  <c r="AC1128" i="2"/>
  <c r="AC1129" i="2"/>
  <c r="AC1130" i="2"/>
  <c r="AC1131" i="2"/>
  <c r="AC1132" i="2"/>
  <c r="AC1133" i="2"/>
  <c r="AC1134" i="2"/>
  <c r="AC1135" i="2"/>
  <c r="AC1136" i="2"/>
  <c r="AC1137" i="2"/>
  <c r="AC1138" i="2"/>
  <c r="AC1139" i="2"/>
  <c r="AC1140" i="2"/>
  <c r="AC1141" i="2"/>
  <c r="AC1142" i="2"/>
  <c r="AC1143" i="2"/>
  <c r="AC1144" i="2"/>
  <c r="AC1145" i="2"/>
  <c r="AC1146" i="2"/>
  <c r="AC1147" i="2"/>
  <c r="AC1148" i="2"/>
  <c r="AC1149" i="2"/>
  <c r="AC1150" i="2"/>
  <c r="AC1151" i="2"/>
  <c r="AC1152" i="2"/>
  <c r="AC1153" i="2"/>
  <c r="AC1154" i="2"/>
  <c r="AC1155" i="2"/>
  <c r="AC1156" i="2"/>
  <c r="AC1157" i="2"/>
  <c r="AC1158" i="2"/>
  <c r="AC1159" i="2"/>
  <c r="AC1160" i="2"/>
  <c r="AC1161" i="2"/>
  <c r="AC1162" i="2"/>
  <c r="AC1163" i="2"/>
  <c r="AC1164" i="2"/>
  <c r="AC1165" i="2"/>
  <c r="AC1166" i="2"/>
  <c r="AC1167" i="2"/>
  <c r="AC1168" i="2"/>
  <c r="AC1169" i="2"/>
  <c r="AC1170" i="2"/>
  <c r="AC1171" i="2"/>
  <c r="AC1172" i="2"/>
  <c r="AC1173" i="2"/>
  <c r="AC1174" i="2"/>
  <c r="AC1175" i="2"/>
  <c r="AC1176" i="2"/>
  <c r="AC1177" i="2"/>
  <c r="AC1178" i="2"/>
  <c r="AC1179" i="2"/>
  <c r="AC1180" i="2"/>
  <c r="AC1181" i="2"/>
  <c r="AC1182" i="2"/>
  <c r="AC1183" i="2"/>
  <c r="AC1184" i="2"/>
  <c r="AC1185" i="2"/>
  <c r="AC1186" i="2"/>
  <c r="AC1187" i="2"/>
  <c r="AC1188" i="2"/>
  <c r="AC1189" i="2"/>
  <c r="AC1190" i="2"/>
  <c r="AC1191" i="2"/>
  <c r="AC1192" i="2"/>
  <c r="AC1193" i="2"/>
  <c r="AC1194" i="2"/>
  <c r="AC1195" i="2"/>
  <c r="AC1196" i="2"/>
  <c r="AC1197" i="2"/>
  <c r="AC1198" i="2"/>
  <c r="AC1199" i="2"/>
  <c r="AC1200" i="2"/>
  <c r="AC1201" i="2"/>
  <c r="AC1202" i="2"/>
  <c r="AC1203" i="2"/>
  <c r="AC1204" i="2"/>
  <c r="AC1205" i="2"/>
  <c r="AC1206" i="2"/>
  <c r="AC1207" i="2"/>
  <c r="AC1208" i="2"/>
  <c r="AC1209" i="2"/>
  <c r="AC1210" i="2"/>
  <c r="AC1211" i="2"/>
  <c r="AC1212" i="2"/>
  <c r="AC1213" i="2"/>
  <c r="AC1214" i="2"/>
  <c r="AC1215" i="2"/>
  <c r="AC1216" i="2"/>
  <c r="AC1217" i="2"/>
  <c r="AC1218" i="2"/>
  <c r="AC1219" i="2"/>
  <c r="AC1220" i="2"/>
  <c r="AC1221" i="2"/>
  <c r="AC1222" i="2"/>
  <c r="AC1223" i="2"/>
  <c r="AC1224" i="2"/>
  <c r="AC1225" i="2"/>
  <c r="AC1226" i="2"/>
  <c r="AC1227" i="2"/>
  <c r="AC1228" i="2"/>
  <c r="AC1229" i="2"/>
  <c r="AC1230" i="2"/>
  <c r="AC1231" i="2"/>
  <c r="AC1232" i="2"/>
  <c r="AC1233" i="2"/>
  <c r="AC1234" i="2"/>
  <c r="AC1235" i="2"/>
  <c r="AC1236" i="2"/>
  <c r="AC1237" i="2"/>
  <c r="AC1238" i="2"/>
  <c r="AC1239" i="2"/>
  <c r="AC1240" i="2"/>
  <c r="AC1241" i="2"/>
  <c r="AC1242" i="2"/>
  <c r="AC1243" i="2"/>
  <c r="AC1244" i="2"/>
  <c r="AC1245" i="2"/>
  <c r="AC1246" i="2"/>
  <c r="AC1247" i="2"/>
  <c r="AC1248" i="2"/>
  <c r="AC1249" i="2"/>
  <c r="AC1250" i="2"/>
  <c r="AC1251" i="2"/>
  <c r="AC1252" i="2"/>
  <c r="AC1253" i="2"/>
  <c r="AC1254" i="2"/>
  <c r="AC1255" i="2"/>
  <c r="AC1256" i="2"/>
  <c r="AC1257" i="2"/>
  <c r="AC1258" i="2"/>
  <c r="AC1259" i="2"/>
  <c r="AC1260" i="2"/>
  <c r="AC1261" i="2"/>
  <c r="AC1262" i="2"/>
  <c r="AC1263" i="2"/>
  <c r="AC1264" i="2"/>
  <c r="AC1265" i="2"/>
  <c r="AC1266" i="2"/>
  <c r="AC1267" i="2"/>
  <c r="AC1268" i="2"/>
  <c r="AC1269" i="2"/>
  <c r="AC1270" i="2"/>
  <c r="AC1271" i="2"/>
  <c r="AC1272" i="2"/>
  <c r="AC1273" i="2"/>
  <c r="AC1274" i="2"/>
  <c r="AC1275" i="2"/>
  <c r="AC1276" i="2"/>
  <c r="AC1277" i="2"/>
  <c r="AC1278" i="2"/>
  <c r="AC1279" i="2"/>
  <c r="AC1280" i="2"/>
  <c r="AC1281" i="2"/>
  <c r="AC1282" i="2"/>
  <c r="AC1283" i="2"/>
  <c r="AC1284" i="2"/>
  <c r="AC1285" i="2"/>
  <c r="AC1286" i="2"/>
  <c r="AC1287" i="2"/>
  <c r="AC1288" i="2"/>
  <c r="AC1289" i="2"/>
  <c r="AC1290" i="2"/>
  <c r="AC1291" i="2"/>
  <c r="AC1292" i="2"/>
  <c r="AC1293" i="2"/>
  <c r="AC1294" i="2"/>
  <c r="AC1295" i="2"/>
  <c r="AC1296" i="2"/>
  <c r="AC1297" i="2"/>
  <c r="AC1298" i="2"/>
  <c r="AC1299" i="2"/>
  <c r="AC1300" i="2"/>
  <c r="AC1301" i="2"/>
  <c r="AC1302" i="2"/>
  <c r="AC1303" i="2"/>
  <c r="AC1304" i="2"/>
  <c r="AC1305" i="2"/>
  <c r="AC1306" i="2"/>
  <c r="AC1307" i="2"/>
  <c r="AC1308" i="2"/>
  <c r="AC1309" i="2"/>
  <c r="AC1310" i="2"/>
  <c r="AC1311" i="2"/>
  <c r="AC1312" i="2"/>
  <c r="AC1313" i="2"/>
  <c r="AC1314" i="2"/>
  <c r="AC1315" i="2"/>
  <c r="AC1316" i="2"/>
  <c r="AC1317" i="2"/>
  <c r="AC1318" i="2"/>
  <c r="AC1319" i="2"/>
  <c r="AC1320" i="2"/>
  <c r="AC1321" i="2"/>
  <c r="AC1322" i="2"/>
  <c r="AC1323" i="2"/>
  <c r="AC1324" i="2"/>
  <c r="AC1325" i="2"/>
  <c r="AC1326" i="2"/>
  <c r="AC1327" i="2"/>
  <c r="AC1328" i="2"/>
  <c r="AC1329" i="2"/>
  <c r="AC1330" i="2"/>
  <c r="AC1331" i="2"/>
  <c r="AC1332" i="2"/>
  <c r="AC1333" i="2"/>
  <c r="AC1334" i="2"/>
  <c r="AC1335" i="2"/>
  <c r="AC1336" i="2"/>
  <c r="AC1337" i="2"/>
  <c r="AC1338" i="2"/>
  <c r="AC1339" i="2"/>
  <c r="AC1340" i="2"/>
  <c r="AC1341" i="2"/>
  <c r="AC1342" i="2"/>
  <c r="AC1343" i="2"/>
  <c r="AC1344" i="2"/>
  <c r="AC1345" i="2"/>
  <c r="AC1346" i="2"/>
  <c r="AC1347" i="2"/>
  <c r="AC1348" i="2"/>
  <c r="AC1349" i="2"/>
  <c r="AC1350" i="2"/>
  <c r="AC1351" i="2"/>
  <c r="AC1352" i="2"/>
  <c r="AC1353" i="2"/>
  <c r="AC1354" i="2"/>
  <c r="AC1355" i="2"/>
  <c r="AC1356" i="2"/>
  <c r="AC1357" i="2"/>
  <c r="AC1358" i="2"/>
  <c r="AC1359" i="2"/>
  <c r="AC1360" i="2"/>
  <c r="AC1361" i="2"/>
  <c r="AC1362" i="2"/>
  <c r="AC1363" i="2"/>
  <c r="AC1364" i="2"/>
  <c r="AC1365" i="2"/>
  <c r="AC1366" i="2"/>
  <c r="AC1367" i="2"/>
  <c r="AC1368" i="2"/>
  <c r="AC1369" i="2"/>
  <c r="AC1370" i="2"/>
  <c r="AC1371" i="2"/>
  <c r="AC1372" i="2"/>
  <c r="AC1373" i="2"/>
  <c r="AC1374" i="2"/>
  <c r="AC1375" i="2"/>
  <c r="AC1376" i="2"/>
  <c r="AC1377" i="2"/>
  <c r="AC1378" i="2"/>
  <c r="AC1379" i="2"/>
  <c r="AC1380" i="2"/>
  <c r="AC1381" i="2"/>
  <c r="AC1382" i="2"/>
  <c r="AC1383" i="2"/>
  <c r="AC1384" i="2"/>
  <c r="AC1385" i="2"/>
  <c r="AC1386" i="2"/>
  <c r="AC1387" i="2"/>
  <c r="AC1388" i="2"/>
  <c r="AC1389" i="2"/>
  <c r="AC1390" i="2"/>
  <c r="AC1391" i="2"/>
  <c r="AC1392" i="2"/>
  <c r="AC1393" i="2"/>
  <c r="AC1394" i="2"/>
  <c r="AC1395" i="2"/>
  <c r="AC1396" i="2"/>
  <c r="AC1397" i="2"/>
  <c r="AC1398" i="2"/>
  <c r="AC1399" i="2"/>
  <c r="AC1400" i="2"/>
  <c r="AC1401" i="2"/>
  <c r="AC1402" i="2"/>
  <c r="AC1403" i="2"/>
  <c r="AC1404" i="2"/>
  <c r="AC1405" i="2"/>
  <c r="AC1406" i="2"/>
  <c r="AC1407" i="2"/>
  <c r="AC1408" i="2"/>
  <c r="AC1409" i="2"/>
  <c r="AC1410" i="2"/>
  <c r="AC1411" i="2"/>
  <c r="AC1412" i="2"/>
  <c r="AC1413" i="2"/>
  <c r="AC1414" i="2"/>
  <c r="AC1415" i="2"/>
  <c r="AC1416" i="2"/>
  <c r="AC1417" i="2"/>
  <c r="AC1418" i="2"/>
  <c r="AC1419" i="2"/>
  <c r="AC1420" i="2"/>
  <c r="AC1421" i="2"/>
  <c r="AC1422" i="2"/>
  <c r="AC1423" i="2"/>
  <c r="AC1424" i="2"/>
  <c r="AC1425" i="2"/>
  <c r="AC1426" i="2"/>
  <c r="AC1427" i="2"/>
  <c r="AC1428" i="2"/>
  <c r="AC1429" i="2"/>
  <c r="AC1430" i="2"/>
  <c r="AC1431" i="2"/>
  <c r="AC1432" i="2"/>
  <c r="AC1433" i="2"/>
  <c r="AC1434" i="2"/>
  <c r="AC1435" i="2"/>
  <c r="AC1436" i="2"/>
  <c r="AC1437" i="2"/>
  <c r="AC1438" i="2"/>
  <c r="AC1439" i="2"/>
  <c r="AC1440" i="2"/>
  <c r="AC1441" i="2"/>
  <c r="AC1442" i="2"/>
  <c r="AC1443" i="2"/>
  <c r="AC1444" i="2"/>
  <c r="AC1445" i="2"/>
  <c r="AC1446" i="2"/>
  <c r="AC1447" i="2"/>
  <c r="AC1448" i="2"/>
  <c r="AC1449" i="2"/>
  <c r="AC1450" i="2"/>
  <c r="AC1451" i="2"/>
  <c r="AC1452" i="2"/>
  <c r="AC1453" i="2"/>
  <c r="AC1454" i="2"/>
  <c r="AC1455" i="2"/>
  <c r="AC1456" i="2"/>
  <c r="AC1457" i="2"/>
  <c r="AC1458" i="2"/>
  <c r="AC1459" i="2"/>
  <c r="AC1460" i="2"/>
  <c r="AC1461" i="2"/>
  <c r="AC1462" i="2"/>
  <c r="AC1463" i="2"/>
  <c r="AC1464" i="2"/>
  <c r="AC1465" i="2"/>
  <c r="AC1466" i="2"/>
  <c r="AC1467" i="2"/>
  <c r="AC1468" i="2"/>
  <c r="AC1469" i="2"/>
  <c r="AC1470" i="2"/>
  <c r="AC1471" i="2"/>
  <c r="AC1472" i="2"/>
  <c r="AC1473" i="2"/>
  <c r="AC1474" i="2"/>
  <c r="AC1475" i="2"/>
  <c r="AC1476" i="2"/>
  <c r="AC1477" i="2"/>
  <c r="AC1478" i="2"/>
  <c r="AC1479" i="2"/>
  <c r="AC1480" i="2"/>
  <c r="AC1481" i="2"/>
  <c r="AC1482" i="2"/>
  <c r="AC1483" i="2"/>
  <c r="AC1484" i="2"/>
  <c r="AC1485" i="2"/>
  <c r="AC1486" i="2"/>
  <c r="AC1487" i="2"/>
  <c r="AC1488" i="2"/>
  <c r="AC1489" i="2"/>
  <c r="AC1490" i="2"/>
  <c r="AC1491" i="2"/>
  <c r="AC1492" i="2"/>
  <c r="AC1493" i="2"/>
  <c r="AC1494" i="2"/>
  <c r="AC1495" i="2"/>
  <c r="AC1496" i="2"/>
  <c r="AC1497" i="2"/>
  <c r="AC1498" i="2"/>
  <c r="AC1499" i="2"/>
  <c r="AC1500" i="2"/>
  <c r="AC1501" i="2"/>
  <c r="AC1502" i="2"/>
  <c r="AC1503" i="2"/>
  <c r="AC1504" i="2"/>
  <c r="AC1505" i="2"/>
  <c r="AC1506" i="2"/>
  <c r="AC1507" i="2"/>
  <c r="AC1508" i="2"/>
  <c r="AC1509" i="2"/>
  <c r="AC1510" i="2"/>
  <c r="AC1511" i="2"/>
  <c r="AC1512" i="2"/>
  <c r="AC1513" i="2"/>
  <c r="AC1514" i="2"/>
  <c r="AC1515" i="2"/>
  <c r="AC1516" i="2"/>
  <c r="AC1517" i="2"/>
  <c r="AC1518" i="2"/>
  <c r="AC1519" i="2"/>
  <c r="AC1520" i="2"/>
  <c r="AC1521" i="2"/>
  <c r="AC1522" i="2"/>
  <c r="AC1523" i="2"/>
  <c r="AC1524" i="2"/>
  <c r="AC1525" i="2"/>
  <c r="AC1526" i="2"/>
  <c r="AC1527" i="2"/>
  <c r="AC1528" i="2"/>
  <c r="AC1529" i="2"/>
  <c r="AC1530" i="2"/>
  <c r="AC1531" i="2"/>
  <c r="AC1532" i="2"/>
  <c r="AC1533" i="2"/>
  <c r="AC1534" i="2"/>
  <c r="AC1535" i="2"/>
  <c r="AC1536" i="2"/>
  <c r="AC1537" i="2"/>
  <c r="AC1538" i="2"/>
  <c r="AC1539" i="2"/>
  <c r="AC1540" i="2"/>
  <c r="AC1541" i="2"/>
  <c r="AC1542" i="2"/>
  <c r="AC1543" i="2"/>
  <c r="AC1544" i="2"/>
  <c r="AC1545" i="2"/>
  <c r="AC1546" i="2"/>
  <c r="AC1547" i="2"/>
  <c r="AC1548" i="2"/>
  <c r="AC1549" i="2"/>
  <c r="AC1550" i="2"/>
  <c r="AC1551" i="2"/>
  <c r="AC1552" i="2"/>
  <c r="AC1553" i="2"/>
  <c r="AC1554" i="2"/>
  <c r="AC1555" i="2"/>
  <c r="AC1556" i="2"/>
  <c r="AC1557" i="2"/>
  <c r="AC1558" i="2"/>
  <c r="AC1559" i="2"/>
  <c r="AC1560" i="2"/>
  <c r="AC1561" i="2"/>
  <c r="AC1562" i="2"/>
  <c r="AC1563" i="2"/>
  <c r="AC1564" i="2"/>
  <c r="AC1565" i="2"/>
  <c r="AC1566" i="2"/>
  <c r="AC1567" i="2"/>
  <c r="AC1568" i="2"/>
  <c r="AC1569" i="2"/>
  <c r="AC1570" i="2"/>
  <c r="AC1571" i="2"/>
  <c r="AC1572" i="2"/>
  <c r="AC1573" i="2"/>
  <c r="AC1574" i="2"/>
  <c r="AC1575" i="2"/>
  <c r="AC1576" i="2"/>
  <c r="AC1577" i="2"/>
  <c r="AC1578" i="2"/>
  <c r="AC1579" i="2"/>
  <c r="AC1580" i="2"/>
  <c r="AC1581" i="2"/>
  <c r="AC1582" i="2"/>
  <c r="AC1583" i="2"/>
  <c r="AC1584" i="2"/>
  <c r="AC1585" i="2"/>
  <c r="AC1586" i="2"/>
  <c r="AC1587" i="2"/>
  <c r="AC1588" i="2"/>
  <c r="AC1589" i="2"/>
  <c r="AC1590" i="2"/>
  <c r="AC1591" i="2"/>
  <c r="AC1592" i="2"/>
  <c r="AC1593" i="2"/>
  <c r="AC1594" i="2"/>
  <c r="AC1595" i="2"/>
  <c r="AC1596" i="2"/>
  <c r="AC1597" i="2"/>
  <c r="AC1598" i="2"/>
  <c r="AC1599" i="2"/>
  <c r="AC1600" i="2"/>
  <c r="AC1601" i="2"/>
  <c r="AC1602" i="2"/>
  <c r="AC1603" i="2"/>
  <c r="AC1604" i="2"/>
  <c r="AC1605" i="2"/>
  <c r="AC1606" i="2"/>
  <c r="AC1607" i="2"/>
  <c r="AC1608" i="2"/>
  <c r="AC1609" i="2"/>
  <c r="AC1610" i="2"/>
  <c r="AC1611" i="2"/>
  <c r="AC1612" i="2"/>
  <c r="AC1613" i="2"/>
  <c r="AC1614" i="2"/>
  <c r="AC1615" i="2"/>
  <c r="AC1616" i="2"/>
  <c r="AC1617" i="2"/>
  <c r="AC1618" i="2"/>
  <c r="AC1619" i="2"/>
  <c r="AC1620" i="2"/>
  <c r="AC1621" i="2"/>
  <c r="AC1622" i="2"/>
  <c r="AC1623" i="2"/>
  <c r="AC1624" i="2"/>
  <c r="AC1625" i="2"/>
  <c r="AC1626" i="2"/>
  <c r="AC1627" i="2"/>
  <c r="AC1628" i="2"/>
  <c r="AC1629" i="2"/>
  <c r="AC1630" i="2"/>
  <c r="AC1631" i="2"/>
  <c r="AC1632" i="2"/>
  <c r="AC1633" i="2"/>
  <c r="AC1634" i="2"/>
  <c r="AC1635" i="2"/>
  <c r="AC1636" i="2"/>
  <c r="AC1637" i="2"/>
  <c r="AC1638" i="2"/>
  <c r="AC1639" i="2"/>
  <c r="AC1640" i="2"/>
  <c r="AC1641" i="2"/>
  <c r="AC1642" i="2"/>
  <c r="AC1643" i="2"/>
  <c r="AC1644" i="2"/>
  <c r="AC1645" i="2"/>
  <c r="AC1646" i="2"/>
  <c r="AC1647" i="2"/>
  <c r="AC1648" i="2"/>
  <c r="AC1649" i="2"/>
  <c r="AC1650" i="2"/>
  <c r="AC1651" i="2"/>
  <c r="AC1652" i="2"/>
  <c r="AC1653" i="2"/>
  <c r="AC1654" i="2"/>
  <c r="AC1655" i="2"/>
  <c r="AC1656" i="2"/>
  <c r="AC1657" i="2"/>
  <c r="AC1658" i="2"/>
  <c r="AC1659" i="2"/>
  <c r="AC1660" i="2"/>
  <c r="AC1661" i="2"/>
  <c r="AC1662" i="2"/>
  <c r="AC1663" i="2"/>
  <c r="AC1664" i="2"/>
  <c r="AC1665" i="2"/>
  <c r="AC1666" i="2"/>
  <c r="AC1667" i="2"/>
  <c r="AC1668" i="2"/>
  <c r="AC1669" i="2"/>
  <c r="AC1670" i="2"/>
  <c r="AC1671" i="2"/>
  <c r="AC1672" i="2"/>
  <c r="AC1673" i="2"/>
  <c r="AC1674" i="2"/>
  <c r="AC1675" i="2"/>
  <c r="AC1676" i="2"/>
  <c r="AC1677" i="2"/>
  <c r="AC1678" i="2"/>
  <c r="AC1679" i="2"/>
  <c r="AC1680" i="2"/>
  <c r="AC1681" i="2"/>
  <c r="AC1682" i="2"/>
  <c r="AC1683" i="2"/>
  <c r="AC1684" i="2"/>
  <c r="AC1685" i="2"/>
  <c r="AC1686" i="2"/>
  <c r="AC1687" i="2"/>
  <c r="AC1688" i="2"/>
  <c r="AC1689" i="2"/>
  <c r="AC1690" i="2"/>
  <c r="AC1691" i="2"/>
  <c r="AC1692" i="2"/>
  <c r="AC1693" i="2"/>
  <c r="AC1694" i="2"/>
  <c r="AC1695" i="2"/>
  <c r="AC1696" i="2"/>
  <c r="AC1697" i="2"/>
  <c r="AC1698" i="2"/>
  <c r="AC1699" i="2"/>
  <c r="AC1700" i="2"/>
  <c r="AC1701" i="2"/>
  <c r="AC1702" i="2"/>
  <c r="AC1703" i="2"/>
  <c r="AC1704" i="2"/>
  <c r="AC1705" i="2"/>
  <c r="AC1706" i="2"/>
  <c r="AC1707" i="2"/>
  <c r="AC1708" i="2"/>
  <c r="AC1709" i="2"/>
  <c r="AC1710" i="2"/>
  <c r="AC1711" i="2"/>
  <c r="AC1712" i="2"/>
  <c r="AC1713" i="2"/>
  <c r="AC1714" i="2"/>
  <c r="AC1715" i="2"/>
  <c r="AC1716" i="2"/>
  <c r="AC1717" i="2"/>
  <c r="AC1718" i="2"/>
  <c r="AC1719" i="2"/>
  <c r="AC1720" i="2"/>
  <c r="AC1721" i="2"/>
  <c r="AC1722" i="2"/>
  <c r="AC1723" i="2"/>
  <c r="AC1724" i="2"/>
  <c r="AC1725" i="2"/>
  <c r="AC1726" i="2"/>
  <c r="AC1727" i="2"/>
  <c r="AC1728" i="2"/>
  <c r="AC1729" i="2"/>
  <c r="AC1730" i="2"/>
  <c r="AC1731" i="2"/>
  <c r="AC1732" i="2"/>
  <c r="AC1733" i="2"/>
  <c r="AC1734" i="2"/>
  <c r="AC1735" i="2"/>
  <c r="AC1736" i="2"/>
  <c r="AC1737" i="2"/>
  <c r="AC1738" i="2"/>
  <c r="AC1739" i="2"/>
  <c r="AC1740" i="2"/>
  <c r="AC1741" i="2"/>
  <c r="AC1742" i="2"/>
  <c r="AC1743" i="2"/>
  <c r="AC1744" i="2"/>
  <c r="AC1745" i="2"/>
  <c r="AC1746" i="2"/>
  <c r="AC1747" i="2"/>
  <c r="AC1748" i="2"/>
  <c r="AC1749" i="2"/>
  <c r="AC1750" i="2"/>
  <c r="AC1751" i="2"/>
  <c r="AC1752" i="2"/>
  <c r="AC1753" i="2"/>
  <c r="AC1754" i="2"/>
  <c r="AC1755" i="2"/>
  <c r="AC1756" i="2"/>
  <c r="AC1757" i="2"/>
  <c r="AC1758" i="2"/>
  <c r="AC1759" i="2"/>
  <c r="AC1760" i="2"/>
  <c r="AC1761" i="2"/>
  <c r="AC1762" i="2"/>
  <c r="AC1763" i="2"/>
  <c r="AC1764" i="2"/>
  <c r="AC1765" i="2"/>
  <c r="AC1766" i="2"/>
  <c r="AC1767" i="2"/>
  <c r="AC1768" i="2"/>
  <c r="AC1769" i="2"/>
  <c r="AC1770" i="2"/>
  <c r="AC1771" i="2"/>
  <c r="AC1772" i="2"/>
  <c r="AC1773" i="2"/>
  <c r="AC1774" i="2"/>
  <c r="AC1775" i="2"/>
  <c r="AC1776" i="2"/>
  <c r="AC1777" i="2"/>
  <c r="AC1778" i="2"/>
  <c r="AC1779" i="2"/>
  <c r="AC1780" i="2"/>
  <c r="AC1781" i="2"/>
  <c r="AC1782" i="2"/>
  <c r="AC1783" i="2"/>
  <c r="AC1784" i="2"/>
  <c r="AC1785" i="2"/>
  <c r="AC1786" i="2"/>
  <c r="AC1787" i="2"/>
  <c r="AC1788" i="2"/>
  <c r="AC1789" i="2"/>
  <c r="AC1790" i="2"/>
  <c r="AC1791" i="2"/>
  <c r="AC1792" i="2"/>
  <c r="AC1793" i="2"/>
  <c r="AC1794" i="2"/>
  <c r="AC1795" i="2"/>
  <c r="AC1796" i="2"/>
  <c r="AC1797" i="2"/>
  <c r="AC1798" i="2"/>
  <c r="AC1799" i="2"/>
  <c r="AC1800" i="2"/>
  <c r="AC1801" i="2"/>
  <c r="AC1802" i="2"/>
  <c r="AC1803" i="2"/>
  <c r="AC1804" i="2"/>
  <c r="AC1805" i="2"/>
  <c r="AC1806" i="2"/>
  <c r="AC1807" i="2"/>
  <c r="AC1808" i="2"/>
  <c r="AC1809" i="2"/>
  <c r="AC1810" i="2"/>
  <c r="AC1811" i="2"/>
  <c r="AC1812" i="2"/>
  <c r="AC1813" i="2"/>
  <c r="AC1814" i="2"/>
  <c r="AC1815" i="2"/>
  <c r="AC1816" i="2"/>
  <c r="AC1817" i="2"/>
  <c r="AC1818" i="2"/>
  <c r="AC1819" i="2"/>
  <c r="AC1820" i="2"/>
  <c r="AC1821" i="2"/>
  <c r="AC1822" i="2"/>
  <c r="AC1823" i="2"/>
  <c r="AC1824" i="2"/>
  <c r="AC1825" i="2"/>
  <c r="AC1826" i="2"/>
  <c r="AC1827" i="2"/>
  <c r="AC1828" i="2"/>
  <c r="AC1829" i="2"/>
  <c r="AC1830" i="2"/>
  <c r="AC1831" i="2"/>
  <c r="AC1832" i="2"/>
  <c r="AC1833" i="2"/>
  <c r="AC1834" i="2"/>
  <c r="AC1835" i="2"/>
  <c r="AC1836" i="2"/>
  <c r="AC1837" i="2"/>
  <c r="AC1838" i="2"/>
  <c r="AC1839" i="2"/>
  <c r="AC1840" i="2"/>
  <c r="AC1841" i="2"/>
  <c r="AC1842" i="2"/>
  <c r="AC1843" i="2"/>
  <c r="AC1844" i="2"/>
  <c r="AC1845" i="2"/>
  <c r="AC1846" i="2"/>
  <c r="AC1847" i="2"/>
  <c r="AC1848" i="2"/>
  <c r="AC1849" i="2"/>
  <c r="AC1850" i="2"/>
  <c r="AC1851" i="2"/>
  <c r="AC1852" i="2"/>
  <c r="AC1853" i="2"/>
  <c r="AC1854" i="2"/>
  <c r="AC1855" i="2"/>
  <c r="AC1856" i="2"/>
  <c r="AC1857" i="2"/>
  <c r="AC1858" i="2"/>
  <c r="AC1859" i="2"/>
  <c r="AC1860" i="2"/>
  <c r="AC1861" i="2"/>
  <c r="AC1862" i="2"/>
  <c r="AC1863" i="2"/>
  <c r="AC1864" i="2"/>
  <c r="AC1865" i="2"/>
  <c r="AC1866" i="2"/>
  <c r="AC1867" i="2"/>
  <c r="AC1868" i="2"/>
  <c r="AC1869" i="2"/>
  <c r="AC1870" i="2"/>
  <c r="AC1871" i="2"/>
  <c r="AC1872" i="2"/>
  <c r="AC1873" i="2"/>
  <c r="AC1874" i="2"/>
  <c r="AC1875" i="2"/>
  <c r="AC1876" i="2"/>
  <c r="AC1877" i="2"/>
  <c r="AC1878" i="2"/>
  <c r="AC1879" i="2"/>
  <c r="AC1880" i="2"/>
  <c r="AC1881" i="2"/>
  <c r="AC1882" i="2"/>
  <c r="AC1883" i="2"/>
  <c r="AC1884" i="2"/>
  <c r="AC1885" i="2"/>
  <c r="AC1886" i="2"/>
  <c r="AC1887" i="2"/>
  <c r="AC1888" i="2"/>
  <c r="AC1889" i="2"/>
  <c r="AC1890" i="2"/>
  <c r="AC1891" i="2"/>
  <c r="AC1892" i="2"/>
  <c r="AC1893" i="2"/>
  <c r="AC1894" i="2"/>
  <c r="AC1895" i="2"/>
  <c r="AC1896" i="2"/>
  <c r="AC1897" i="2"/>
  <c r="AC1898" i="2"/>
  <c r="AC1899" i="2"/>
  <c r="AC1900" i="2"/>
  <c r="AC1901" i="2"/>
  <c r="AC1902" i="2"/>
  <c r="AC1903" i="2"/>
  <c r="AC1904" i="2"/>
  <c r="AC1905" i="2"/>
  <c r="AC1906" i="2"/>
  <c r="AC1907" i="2"/>
  <c r="AC1908" i="2"/>
  <c r="AC1909" i="2"/>
  <c r="AC1910" i="2"/>
  <c r="AC1911" i="2"/>
  <c r="AC1912" i="2"/>
  <c r="AC1913" i="2"/>
  <c r="AC1914" i="2"/>
  <c r="AC1915" i="2"/>
  <c r="AC1916" i="2"/>
  <c r="AC1917" i="2"/>
  <c r="AC1918" i="2"/>
  <c r="AC1919" i="2"/>
  <c r="AC1920" i="2"/>
  <c r="AC1921" i="2"/>
  <c r="AC1922" i="2"/>
  <c r="AC1923" i="2"/>
  <c r="AC1924" i="2"/>
  <c r="AC1925" i="2"/>
  <c r="AC1926" i="2"/>
  <c r="AC1927" i="2"/>
  <c r="AC1928" i="2"/>
  <c r="AC1929" i="2"/>
  <c r="AC1930" i="2"/>
  <c r="AC1931" i="2"/>
  <c r="AC1932" i="2"/>
  <c r="AC1933" i="2"/>
  <c r="AC1934" i="2"/>
  <c r="AC1935" i="2"/>
  <c r="AC1936" i="2"/>
  <c r="AC1937" i="2"/>
  <c r="AC1938" i="2"/>
  <c r="AC1939" i="2"/>
  <c r="AC1940" i="2"/>
  <c r="AC1941" i="2"/>
  <c r="AC1942" i="2"/>
  <c r="AC1943" i="2"/>
  <c r="AC1944" i="2"/>
  <c r="AC1945" i="2"/>
  <c r="AC1946" i="2"/>
  <c r="AC1947" i="2"/>
  <c r="AC1948" i="2"/>
  <c r="AC1949" i="2"/>
  <c r="AC1950" i="2"/>
  <c r="AC1951" i="2"/>
  <c r="AC1952" i="2"/>
  <c r="AC1953" i="2"/>
  <c r="AC1954" i="2"/>
  <c r="AC1955" i="2"/>
  <c r="AC1956" i="2"/>
  <c r="AC1957" i="2"/>
  <c r="AC1958" i="2"/>
  <c r="AC1959" i="2"/>
  <c r="AC1960" i="2"/>
  <c r="AC1961" i="2"/>
  <c r="AC1962" i="2"/>
  <c r="AC1963" i="2"/>
  <c r="AC1964" i="2"/>
  <c r="AC1965" i="2"/>
  <c r="AC1966" i="2"/>
  <c r="AC1967" i="2"/>
  <c r="AC1968" i="2"/>
  <c r="AC1969" i="2"/>
  <c r="AC1970" i="2"/>
  <c r="AC1971" i="2"/>
  <c r="AC1972" i="2"/>
  <c r="AC1973" i="2"/>
  <c r="AC1974" i="2"/>
  <c r="AC1975" i="2"/>
  <c r="AC1976" i="2"/>
  <c r="AC1977" i="2"/>
  <c r="AC1978" i="2"/>
  <c r="AC1979" i="2"/>
  <c r="AC1980" i="2"/>
  <c r="AC1981" i="2"/>
  <c r="AC1982" i="2"/>
  <c r="AC1983" i="2"/>
  <c r="AC1984" i="2"/>
  <c r="AC1985" i="2"/>
  <c r="AC1986" i="2"/>
  <c r="AC1987" i="2"/>
  <c r="AC1988" i="2"/>
  <c r="AC1989" i="2"/>
  <c r="AC1990" i="2"/>
  <c r="AC1991" i="2"/>
  <c r="AC1992" i="2"/>
  <c r="AC1993" i="2"/>
  <c r="AC1994" i="2"/>
  <c r="AC1995" i="2"/>
  <c r="AC1996" i="2"/>
  <c r="AC1997" i="2"/>
  <c r="AC1998" i="2"/>
  <c r="AC1999" i="2"/>
  <c r="AC2000" i="2"/>
  <c r="AC2001" i="2"/>
  <c r="AC2002" i="2"/>
  <c r="AC2003" i="2"/>
  <c r="AC2004" i="2"/>
  <c r="AC2005" i="2"/>
  <c r="AC2006" i="2"/>
  <c r="AC2007" i="2"/>
  <c r="AC2008" i="2"/>
  <c r="AC2009" i="2"/>
  <c r="AC2010" i="2"/>
  <c r="AC2011" i="2"/>
  <c r="AC2012" i="2"/>
  <c r="AC2013" i="2"/>
  <c r="AC2014" i="2"/>
  <c r="AC2015" i="2"/>
  <c r="AC2016" i="2"/>
  <c r="AC2017" i="2"/>
  <c r="AC2018" i="2"/>
  <c r="AC2019" i="2"/>
  <c r="AC2020" i="2"/>
  <c r="AC2021" i="2"/>
  <c r="AC2022" i="2"/>
  <c r="AC2023" i="2"/>
  <c r="AC2024" i="2"/>
  <c r="AC2025" i="2"/>
  <c r="AC2026" i="2"/>
  <c r="AC2027" i="2"/>
  <c r="AC2028" i="2"/>
  <c r="AC2029" i="2"/>
  <c r="AC2030" i="2"/>
  <c r="AC2031" i="2"/>
  <c r="AC2032" i="2"/>
  <c r="AC2033" i="2"/>
  <c r="AC2034" i="2"/>
  <c r="AC2035" i="2"/>
  <c r="AC2036" i="2"/>
  <c r="AC2037" i="2"/>
  <c r="AC2038" i="2"/>
  <c r="AC2039" i="2"/>
  <c r="AC2040" i="2"/>
  <c r="AC2041" i="2"/>
  <c r="AC2042" i="2"/>
  <c r="AC2043" i="2"/>
  <c r="AC2044" i="2"/>
  <c r="AC2045" i="2"/>
  <c r="AC2046" i="2"/>
  <c r="AC2047" i="2"/>
  <c r="AC2048" i="2"/>
  <c r="AC2049" i="2"/>
  <c r="AC2050" i="2"/>
  <c r="AC2051" i="2"/>
  <c r="AC2052" i="2"/>
  <c r="AC2053" i="2"/>
  <c r="AC2054" i="2"/>
  <c r="AC2055" i="2"/>
  <c r="AC2056" i="2"/>
  <c r="AC2057" i="2"/>
  <c r="AC2058" i="2"/>
  <c r="AC2059" i="2"/>
  <c r="AC2060" i="2"/>
  <c r="AC2061" i="2"/>
  <c r="AC2062" i="2"/>
  <c r="AC2063" i="2"/>
  <c r="AC2064" i="2"/>
  <c r="AC2065" i="2"/>
  <c r="AC2066" i="2"/>
  <c r="AC2067" i="2"/>
  <c r="AC2068" i="2"/>
  <c r="AC2069" i="2"/>
  <c r="AC2070" i="2"/>
  <c r="AC2071" i="2"/>
  <c r="AC2072" i="2"/>
  <c r="AC2073" i="2"/>
  <c r="AC2074" i="2"/>
  <c r="AC2075" i="2"/>
  <c r="AC2076" i="2"/>
  <c r="AC2077" i="2"/>
  <c r="AC2078" i="2"/>
  <c r="AC2079" i="2"/>
  <c r="AC2080" i="2"/>
  <c r="AC2081" i="2"/>
  <c r="AC2082" i="2"/>
  <c r="AC2083" i="2"/>
  <c r="AC2084" i="2"/>
  <c r="AC2085" i="2"/>
  <c r="AC2086" i="2"/>
  <c r="AC2087" i="2"/>
  <c r="AC2088" i="2"/>
  <c r="AC2089" i="2"/>
  <c r="AC2090" i="2"/>
  <c r="AC2091" i="2"/>
  <c r="AC2092" i="2"/>
  <c r="AC2093" i="2"/>
  <c r="AC2094" i="2"/>
  <c r="AC2095" i="2"/>
  <c r="AC2096" i="2"/>
  <c r="AC2097" i="2"/>
  <c r="AC2098" i="2"/>
  <c r="AC2099" i="2"/>
  <c r="AC2100" i="2"/>
  <c r="AC2101" i="2"/>
  <c r="AC2102" i="2"/>
  <c r="AC2103" i="2"/>
  <c r="AC2104" i="2"/>
  <c r="AC2105" i="2"/>
  <c r="AC2106" i="2"/>
  <c r="AC2107" i="2"/>
  <c r="AC2108" i="2"/>
  <c r="AC2109" i="2"/>
  <c r="AC2110" i="2"/>
  <c r="AC2111" i="2"/>
  <c r="AC2112" i="2"/>
  <c r="AC2113" i="2"/>
  <c r="AC2114" i="2"/>
  <c r="AC2115" i="2"/>
  <c r="AC2116" i="2"/>
  <c r="AC2117" i="2"/>
  <c r="AC2118" i="2"/>
  <c r="AC2119" i="2"/>
  <c r="AC2120" i="2"/>
  <c r="AC2121" i="2"/>
  <c r="AC2122" i="2"/>
  <c r="AC2123" i="2"/>
  <c r="AC2124" i="2"/>
  <c r="AC2125" i="2"/>
  <c r="AC2126" i="2"/>
  <c r="AC2127" i="2"/>
  <c r="AC2128" i="2"/>
  <c r="AC2129" i="2"/>
  <c r="AC2130" i="2"/>
  <c r="AC2131" i="2"/>
  <c r="AC2132" i="2"/>
  <c r="AC2133" i="2"/>
  <c r="AC2134" i="2"/>
  <c r="AC2135" i="2"/>
  <c r="AC2136" i="2"/>
  <c r="AC2137" i="2"/>
  <c r="AC2138" i="2"/>
  <c r="AC2139" i="2"/>
  <c r="AC2140" i="2"/>
  <c r="AC2141" i="2"/>
  <c r="AC2142" i="2"/>
  <c r="AC2143" i="2"/>
  <c r="AC2144" i="2"/>
  <c r="AC2145" i="2"/>
  <c r="AC2146" i="2"/>
  <c r="AC2147" i="2"/>
  <c r="AC2148" i="2"/>
  <c r="AC2149" i="2"/>
  <c r="AC2150" i="2"/>
  <c r="AC2151" i="2"/>
  <c r="AC2152" i="2"/>
  <c r="AC2153" i="2"/>
  <c r="AC2154" i="2"/>
  <c r="AC2155" i="2"/>
  <c r="AC2156" i="2"/>
  <c r="AC2157" i="2"/>
  <c r="AC2158" i="2"/>
  <c r="AC2159" i="2"/>
  <c r="AC2160" i="2"/>
  <c r="AC2161" i="2"/>
  <c r="AC2162" i="2"/>
  <c r="AC2163" i="2"/>
  <c r="AC2164" i="2"/>
  <c r="AC2165" i="2"/>
  <c r="AC2166" i="2"/>
  <c r="AC2167" i="2"/>
  <c r="AC2168" i="2"/>
  <c r="AC2169" i="2"/>
  <c r="AC2170" i="2"/>
  <c r="AC2171" i="2"/>
  <c r="AC2172" i="2"/>
  <c r="AC2173" i="2"/>
  <c r="AC2174" i="2"/>
  <c r="AC2175" i="2"/>
  <c r="AC2176" i="2"/>
  <c r="AC2177" i="2"/>
  <c r="AC2178" i="2"/>
  <c r="AC2179" i="2"/>
  <c r="AC2180" i="2"/>
  <c r="AC2181" i="2"/>
  <c r="AC2182" i="2"/>
  <c r="AC2183" i="2"/>
  <c r="AC2184" i="2"/>
  <c r="AC2185" i="2"/>
  <c r="AC2186" i="2"/>
  <c r="AC2187" i="2"/>
  <c r="AC2188" i="2"/>
  <c r="AC2189" i="2"/>
  <c r="AC2190" i="2"/>
  <c r="AC2191" i="2"/>
  <c r="AC2192" i="2"/>
  <c r="AC2193" i="2"/>
  <c r="AC2194" i="2"/>
  <c r="AC2195" i="2"/>
  <c r="AC2196" i="2"/>
  <c r="AC2197" i="2"/>
  <c r="AC2198" i="2"/>
  <c r="AC2199" i="2"/>
  <c r="AC2200" i="2"/>
  <c r="AC2201" i="2"/>
  <c r="AC2202" i="2"/>
  <c r="AC2203" i="2"/>
  <c r="AC2204" i="2"/>
  <c r="AC2205" i="2"/>
  <c r="AC2206" i="2"/>
  <c r="AC2207" i="2"/>
  <c r="AC2208" i="2"/>
  <c r="AC2209" i="2"/>
  <c r="AC2210" i="2"/>
  <c r="AC2211" i="2"/>
  <c r="AC2212" i="2"/>
  <c r="AC2213" i="2"/>
  <c r="AC2214" i="2"/>
  <c r="AC2215" i="2"/>
  <c r="AC2216" i="2"/>
  <c r="AC2217" i="2"/>
  <c r="AC2218" i="2"/>
  <c r="AC2219" i="2"/>
  <c r="AC2220" i="2"/>
  <c r="AC2221" i="2"/>
  <c r="AC2222" i="2"/>
  <c r="AC2223" i="2"/>
  <c r="AC2224" i="2"/>
  <c r="AC2225" i="2"/>
  <c r="AC2226" i="2"/>
  <c r="AC2227" i="2"/>
  <c r="AC2228" i="2"/>
  <c r="AC2229" i="2"/>
  <c r="AC2230" i="2"/>
  <c r="AC2231" i="2"/>
  <c r="AC2232" i="2"/>
  <c r="AC2233" i="2"/>
  <c r="AC2234" i="2"/>
  <c r="AC2235" i="2"/>
  <c r="AC2236" i="2"/>
  <c r="AC2237" i="2"/>
  <c r="AC2238" i="2"/>
  <c r="AC2239" i="2"/>
  <c r="AC2240" i="2"/>
  <c r="AC2241" i="2"/>
  <c r="AC2242" i="2"/>
  <c r="AC2243" i="2"/>
  <c r="AC2244" i="2"/>
  <c r="AC2245" i="2"/>
  <c r="AC2246" i="2"/>
  <c r="AC2247" i="2"/>
  <c r="AC2248" i="2"/>
  <c r="AC2249" i="2"/>
  <c r="AC2250" i="2"/>
  <c r="AC2251" i="2"/>
  <c r="AC2252" i="2"/>
  <c r="AC2253" i="2"/>
  <c r="AC2254" i="2"/>
  <c r="AC2255" i="2"/>
  <c r="AC2256" i="2"/>
  <c r="AC2257" i="2"/>
  <c r="AC2258" i="2"/>
  <c r="AC2259" i="2"/>
  <c r="AC2260" i="2"/>
  <c r="AC2261" i="2"/>
  <c r="AC2262" i="2"/>
  <c r="AC2263" i="2"/>
  <c r="AC2264" i="2"/>
  <c r="AC2265" i="2"/>
  <c r="AC2266" i="2"/>
  <c r="AC2267" i="2"/>
  <c r="AC2268" i="2"/>
  <c r="AC2269" i="2"/>
  <c r="AC2270" i="2"/>
  <c r="AC2271" i="2"/>
  <c r="AC2272" i="2"/>
  <c r="AC2273" i="2"/>
  <c r="AC2274" i="2"/>
  <c r="AC2275" i="2"/>
  <c r="AC2276" i="2"/>
  <c r="AC2277" i="2"/>
  <c r="AC2278" i="2"/>
  <c r="AC2279" i="2"/>
  <c r="AC2280" i="2"/>
  <c r="AC2281" i="2"/>
  <c r="AC2282" i="2"/>
  <c r="AC2283" i="2"/>
  <c r="AC2284" i="2"/>
  <c r="AC2285" i="2"/>
  <c r="AC2286" i="2"/>
  <c r="AC2287" i="2"/>
  <c r="AC2288" i="2"/>
  <c r="AC2289" i="2"/>
  <c r="AC2290" i="2"/>
  <c r="AC2291" i="2"/>
  <c r="AC2292" i="2"/>
  <c r="AC2293" i="2"/>
  <c r="AC2294" i="2"/>
  <c r="AC2295" i="2"/>
  <c r="AC2296" i="2"/>
  <c r="AC2297" i="2"/>
  <c r="AC2298" i="2"/>
  <c r="AC2299" i="2"/>
  <c r="AC2300" i="2"/>
  <c r="AC2301" i="2"/>
  <c r="AC2302" i="2"/>
  <c r="AC2303" i="2"/>
  <c r="AC2304" i="2"/>
  <c r="AC2305" i="2"/>
  <c r="AC2306" i="2"/>
  <c r="AC2307" i="2"/>
  <c r="AC2308" i="2"/>
  <c r="AC2309" i="2"/>
  <c r="AC2310" i="2"/>
  <c r="AC2311" i="2"/>
  <c r="AC2312" i="2"/>
  <c r="AC2313" i="2"/>
  <c r="AC2314" i="2"/>
  <c r="AC2315" i="2"/>
  <c r="AC2316" i="2"/>
  <c r="AC2317" i="2"/>
  <c r="AC2318" i="2"/>
  <c r="AC2319" i="2"/>
  <c r="AC2320" i="2"/>
  <c r="AC2321" i="2"/>
  <c r="AC2322" i="2"/>
  <c r="AC2323" i="2"/>
  <c r="AC2324" i="2"/>
  <c r="AC2325" i="2"/>
  <c r="AC2326" i="2"/>
  <c r="AC2327" i="2"/>
  <c r="AC2328" i="2"/>
  <c r="AC2329" i="2"/>
  <c r="AC2330" i="2"/>
  <c r="AC2331" i="2"/>
  <c r="AC2332" i="2"/>
  <c r="AC2333" i="2"/>
  <c r="AC2334" i="2"/>
  <c r="AC2335" i="2"/>
  <c r="AC2336" i="2"/>
  <c r="AC2337" i="2"/>
  <c r="AC2338" i="2"/>
  <c r="AC2339" i="2"/>
  <c r="AC2340" i="2"/>
  <c r="AC2341" i="2"/>
  <c r="AC2342" i="2"/>
  <c r="AC2343" i="2"/>
  <c r="AC2344" i="2"/>
  <c r="AC2345" i="2"/>
  <c r="AC2346" i="2"/>
  <c r="AC2347" i="2"/>
  <c r="AC2348" i="2"/>
  <c r="AC2349" i="2"/>
  <c r="AC2350" i="2"/>
  <c r="AC2351" i="2"/>
  <c r="AC2352" i="2"/>
  <c r="AC2353" i="2"/>
  <c r="AC2354" i="2"/>
  <c r="AC2355" i="2"/>
  <c r="AC2356" i="2"/>
  <c r="AC2357" i="2"/>
  <c r="AC2358" i="2"/>
  <c r="AC2359" i="2"/>
  <c r="AC2360" i="2"/>
  <c r="AC2361" i="2"/>
  <c r="AC2362" i="2"/>
  <c r="AC2363" i="2"/>
  <c r="AC2364" i="2"/>
  <c r="AC2365" i="2"/>
  <c r="AC2366" i="2"/>
  <c r="AC2367" i="2"/>
  <c r="AC2368" i="2"/>
  <c r="AC2369" i="2"/>
  <c r="AC2370" i="2"/>
  <c r="AC2371" i="2"/>
  <c r="AC2372" i="2"/>
  <c r="AC2373" i="2"/>
  <c r="AC2374" i="2"/>
  <c r="AC2375" i="2"/>
  <c r="AC2376" i="2"/>
  <c r="AC2377" i="2"/>
  <c r="AC2378" i="2"/>
  <c r="AC2379" i="2"/>
  <c r="AC2380" i="2"/>
  <c r="AC2381" i="2"/>
  <c r="AC2382" i="2"/>
  <c r="AC2383" i="2"/>
  <c r="AC2384" i="2"/>
  <c r="AC2385" i="2"/>
  <c r="AC2386" i="2"/>
  <c r="AC2387" i="2"/>
  <c r="AC2388" i="2"/>
  <c r="AC2389" i="2"/>
  <c r="AC2390" i="2"/>
  <c r="AC2391" i="2"/>
  <c r="AC2392" i="2"/>
  <c r="AC2393" i="2"/>
  <c r="AC2394" i="2"/>
  <c r="AC2395" i="2"/>
  <c r="AC2396" i="2"/>
  <c r="AC2397" i="2"/>
  <c r="AC2398" i="2"/>
  <c r="AC2399" i="2"/>
  <c r="AC2400" i="2"/>
  <c r="AC2401" i="2"/>
  <c r="AC2402" i="2"/>
  <c r="AC2403" i="2"/>
  <c r="AC2404" i="2"/>
  <c r="AC2405" i="2"/>
  <c r="AC2406" i="2"/>
  <c r="AC2407" i="2"/>
  <c r="AC2408" i="2"/>
  <c r="AC2409" i="2"/>
  <c r="AC2410" i="2"/>
  <c r="AC2411" i="2"/>
  <c r="AC2412" i="2"/>
  <c r="AC2413" i="2"/>
  <c r="AC2414" i="2"/>
  <c r="AC2415" i="2"/>
  <c r="AC2416" i="2"/>
  <c r="AC2417" i="2"/>
  <c r="AC2418" i="2"/>
  <c r="AC2419" i="2"/>
  <c r="AC2420" i="2"/>
  <c r="AC2421" i="2"/>
  <c r="AC2422" i="2"/>
  <c r="AC2423" i="2"/>
  <c r="AC2424" i="2"/>
  <c r="AC2425" i="2"/>
  <c r="AC2426" i="2"/>
  <c r="AC2427" i="2"/>
  <c r="AC2428" i="2"/>
  <c r="AC2429" i="2"/>
  <c r="AC2430" i="2"/>
  <c r="AC2431" i="2"/>
  <c r="AC2432" i="2"/>
  <c r="AC2433" i="2"/>
  <c r="AC2434" i="2"/>
  <c r="AC2435" i="2"/>
  <c r="AC2436" i="2"/>
  <c r="AC2437" i="2"/>
  <c r="AC2438" i="2"/>
  <c r="AC2439" i="2"/>
  <c r="AC2440" i="2"/>
  <c r="AC2441" i="2"/>
  <c r="AC2442" i="2"/>
  <c r="AC2443" i="2"/>
  <c r="AC2444" i="2"/>
  <c r="AC2445" i="2"/>
  <c r="AC2446" i="2"/>
  <c r="AC2447" i="2"/>
  <c r="AC2448" i="2"/>
  <c r="AC2449" i="2"/>
  <c r="AC2450" i="2"/>
  <c r="AC2451" i="2"/>
  <c r="AC2452" i="2"/>
  <c r="AC2453" i="2"/>
  <c r="AC2454" i="2"/>
  <c r="AC2455" i="2"/>
  <c r="AC2456" i="2"/>
  <c r="AC2457" i="2"/>
  <c r="AC2458" i="2"/>
  <c r="AC2459" i="2"/>
  <c r="AC2460" i="2"/>
  <c r="AC2461" i="2"/>
  <c r="AC2462" i="2"/>
  <c r="AC2463" i="2"/>
  <c r="AC2464" i="2"/>
  <c r="AC2465" i="2"/>
  <c r="AC2466" i="2"/>
  <c r="AC2467" i="2"/>
  <c r="AC2468" i="2"/>
  <c r="AC2469" i="2"/>
  <c r="AC2470" i="2"/>
  <c r="AC2471" i="2"/>
  <c r="AC2472" i="2"/>
  <c r="AC2473" i="2"/>
  <c r="AC2474" i="2"/>
  <c r="AC2475" i="2"/>
  <c r="AC2476" i="2"/>
  <c r="AC2477" i="2"/>
  <c r="AC2478" i="2"/>
  <c r="AC2479" i="2"/>
  <c r="AC2480" i="2"/>
  <c r="AC2481" i="2"/>
  <c r="AC2482" i="2"/>
  <c r="AC2483" i="2"/>
  <c r="AC2484" i="2"/>
  <c r="AC2485" i="2"/>
  <c r="AC2486" i="2"/>
  <c r="AC2487" i="2"/>
  <c r="AC2488" i="2"/>
  <c r="AC2489" i="2"/>
  <c r="AC2490" i="2"/>
  <c r="AC2491" i="2"/>
  <c r="AC2492" i="2"/>
  <c r="AC2493" i="2"/>
  <c r="AC2494" i="2"/>
  <c r="AC2495" i="2"/>
  <c r="AC2496" i="2"/>
  <c r="AC2497" i="2"/>
  <c r="AC2498" i="2"/>
  <c r="AC2499" i="2"/>
  <c r="AC2500" i="2"/>
  <c r="AC2501" i="2"/>
  <c r="AC2502" i="2"/>
  <c r="AC2503" i="2"/>
  <c r="AC2504" i="2"/>
  <c r="AC2505" i="2"/>
  <c r="AC2506" i="2"/>
  <c r="AC2507" i="2"/>
  <c r="AC2508" i="2"/>
  <c r="AC2509" i="2"/>
  <c r="AC2510" i="2"/>
  <c r="AC2511" i="2"/>
  <c r="AC2512" i="2"/>
  <c r="AC2513" i="2"/>
  <c r="AC2514" i="2"/>
  <c r="AC2515" i="2"/>
  <c r="AC2516" i="2"/>
  <c r="AC2517" i="2"/>
  <c r="AC2518" i="2"/>
  <c r="AC2519" i="2"/>
  <c r="AC2520" i="2"/>
  <c r="AC2521" i="2"/>
  <c r="AC2522" i="2"/>
  <c r="AC2523" i="2"/>
  <c r="AC2524" i="2"/>
  <c r="AC2525" i="2"/>
  <c r="AC2526" i="2"/>
  <c r="AC2527" i="2"/>
  <c r="AC2528" i="2"/>
  <c r="AC2529" i="2"/>
  <c r="AC2530" i="2"/>
  <c r="AC2531" i="2"/>
  <c r="AC2532" i="2"/>
  <c r="AC2533" i="2"/>
  <c r="AC2534" i="2"/>
  <c r="AC2535" i="2"/>
  <c r="AC2536" i="2"/>
  <c r="AC2537" i="2"/>
  <c r="AC2538" i="2"/>
  <c r="AC2539" i="2"/>
  <c r="AC2540" i="2"/>
  <c r="AC2541" i="2"/>
  <c r="AC2542" i="2"/>
  <c r="AC2543" i="2"/>
  <c r="AC2544" i="2"/>
  <c r="AC2545" i="2"/>
  <c r="AC2546" i="2"/>
  <c r="AC2547" i="2"/>
  <c r="AC2548" i="2"/>
  <c r="AC2549" i="2"/>
  <c r="AC2550" i="2"/>
  <c r="AC2551" i="2"/>
  <c r="AC2552" i="2"/>
  <c r="AC2553" i="2"/>
  <c r="AC2554" i="2"/>
  <c r="AC2555" i="2"/>
  <c r="AC2556" i="2"/>
  <c r="AC2557" i="2"/>
  <c r="AC2558" i="2"/>
  <c r="AC2559" i="2"/>
  <c r="AC2560" i="2"/>
  <c r="AC2561" i="2"/>
  <c r="AC2562" i="2"/>
  <c r="AC2563" i="2"/>
  <c r="AC2564" i="2"/>
  <c r="AC2565" i="2"/>
  <c r="AC2566" i="2"/>
  <c r="AC2567" i="2"/>
  <c r="AC2568" i="2"/>
  <c r="AC2569" i="2"/>
  <c r="AC2570" i="2"/>
  <c r="AC2571" i="2"/>
  <c r="AC2572" i="2"/>
  <c r="AC2573" i="2"/>
  <c r="AC2574" i="2"/>
  <c r="AC2575" i="2"/>
  <c r="AC2576" i="2"/>
  <c r="AC2577" i="2"/>
  <c r="AC2578" i="2"/>
  <c r="AC2579" i="2"/>
  <c r="AC2580" i="2"/>
  <c r="AC2581" i="2"/>
  <c r="AC2582" i="2"/>
  <c r="AC2583" i="2"/>
  <c r="AC2584" i="2"/>
  <c r="AC2585" i="2"/>
  <c r="AC2586" i="2"/>
  <c r="AC2587" i="2"/>
  <c r="AC2588" i="2"/>
  <c r="AC2589" i="2"/>
  <c r="AC2590" i="2"/>
  <c r="AC2591" i="2"/>
  <c r="AC2592" i="2"/>
  <c r="AC2593" i="2"/>
  <c r="AC2594" i="2"/>
  <c r="AC2595" i="2"/>
  <c r="AC2596" i="2"/>
  <c r="AC2597" i="2"/>
  <c r="AC2598" i="2"/>
  <c r="AC2599" i="2"/>
  <c r="AC2600" i="2"/>
  <c r="AC2601" i="2"/>
  <c r="AC2602" i="2"/>
  <c r="AC2603" i="2"/>
  <c r="AC2604" i="2"/>
  <c r="AC2605" i="2"/>
  <c r="AC2606" i="2"/>
  <c r="AC2607" i="2"/>
  <c r="AC2608" i="2"/>
  <c r="AC2609" i="2"/>
  <c r="AC2610" i="2"/>
  <c r="AC2611" i="2"/>
  <c r="AC2612" i="2"/>
  <c r="AC2613" i="2"/>
  <c r="AC2614" i="2"/>
  <c r="AC2615" i="2"/>
  <c r="AC2616" i="2"/>
  <c r="AC2617" i="2"/>
  <c r="AC2618" i="2"/>
  <c r="AC2619" i="2"/>
  <c r="AC2620" i="2"/>
  <c r="AC2621" i="2"/>
  <c r="AC2622" i="2"/>
  <c r="AC2623" i="2"/>
  <c r="AC2624" i="2"/>
  <c r="AC2625" i="2"/>
  <c r="AC2626" i="2"/>
  <c r="AC2627" i="2"/>
  <c r="AC2628" i="2"/>
  <c r="AC2629" i="2"/>
  <c r="AC2630" i="2"/>
  <c r="AC2631" i="2"/>
  <c r="AC2632" i="2"/>
  <c r="AC2633" i="2"/>
  <c r="AC2634" i="2"/>
  <c r="AC2635" i="2"/>
  <c r="AC2636" i="2"/>
  <c r="AC2637" i="2"/>
  <c r="AC2638" i="2"/>
  <c r="AC2639" i="2"/>
  <c r="AC2640" i="2"/>
  <c r="AC2641" i="2"/>
  <c r="AC2642" i="2"/>
  <c r="AC2643" i="2"/>
  <c r="AC2644" i="2"/>
  <c r="AC2645" i="2"/>
  <c r="AC2646" i="2"/>
  <c r="AC2647" i="2"/>
  <c r="AC2648" i="2"/>
  <c r="AC2649" i="2"/>
  <c r="AC2650" i="2"/>
  <c r="AC2651" i="2"/>
  <c r="AC2652" i="2"/>
  <c r="AC2653" i="2"/>
  <c r="AC2654" i="2"/>
  <c r="AC2655" i="2"/>
  <c r="AC2656" i="2"/>
  <c r="AC2657" i="2"/>
  <c r="AC2658" i="2"/>
  <c r="AC2659" i="2"/>
  <c r="AC2660" i="2"/>
  <c r="AC2661" i="2"/>
  <c r="AC2662" i="2"/>
  <c r="AC2663" i="2"/>
  <c r="AC2664" i="2"/>
  <c r="AC2665" i="2"/>
  <c r="AC2666" i="2"/>
  <c r="AC2667" i="2"/>
  <c r="AC2668" i="2"/>
  <c r="AC2669" i="2"/>
  <c r="AC2670" i="2"/>
  <c r="AC2671" i="2"/>
  <c r="AC2672" i="2"/>
  <c r="AC2673" i="2"/>
  <c r="AC2674" i="2"/>
  <c r="AC2675" i="2"/>
  <c r="AC2676" i="2"/>
  <c r="AC2677" i="2"/>
  <c r="AC2678" i="2"/>
  <c r="AC2679" i="2"/>
  <c r="AC2680" i="2"/>
  <c r="AC2681" i="2"/>
  <c r="AC2682" i="2"/>
  <c r="AC2683" i="2"/>
  <c r="AC2684" i="2"/>
  <c r="AC2685" i="2"/>
  <c r="AC2686" i="2"/>
  <c r="AC2687" i="2"/>
  <c r="AC2688" i="2"/>
  <c r="AC2689" i="2"/>
  <c r="AC2690" i="2"/>
  <c r="AC2691" i="2"/>
  <c r="AC2692" i="2"/>
  <c r="AC2693" i="2"/>
  <c r="AC2694" i="2"/>
  <c r="AC2695" i="2"/>
  <c r="AC2696" i="2"/>
  <c r="AC2697" i="2"/>
  <c r="AC2698" i="2"/>
  <c r="AC2699" i="2"/>
  <c r="AC2700" i="2"/>
  <c r="AC2701" i="2"/>
  <c r="AC2702" i="2"/>
  <c r="AC2703" i="2"/>
  <c r="AC2704" i="2"/>
  <c r="AC2705" i="2"/>
  <c r="AC2706" i="2"/>
  <c r="AC2707" i="2"/>
  <c r="AC2708" i="2"/>
  <c r="AC2709" i="2"/>
  <c r="AC2710" i="2"/>
  <c r="AC2711" i="2"/>
  <c r="AC2712" i="2"/>
  <c r="AC2713" i="2"/>
  <c r="AC2714" i="2"/>
  <c r="AC2715" i="2"/>
  <c r="AC2716" i="2"/>
  <c r="AC2717" i="2"/>
  <c r="AC2718" i="2"/>
  <c r="AC2719" i="2"/>
  <c r="AC2720" i="2"/>
  <c r="AC2721" i="2"/>
  <c r="AC2722" i="2"/>
  <c r="AC2723" i="2"/>
  <c r="AC2724" i="2"/>
  <c r="AC2725" i="2"/>
  <c r="AC2726" i="2"/>
  <c r="AC2727" i="2"/>
  <c r="AC2728" i="2"/>
  <c r="AC2729" i="2"/>
  <c r="AC2730" i="2"/>
  <c r="AC2731" i="2"/>
  <c r="AC2732" i="2"/>
  <c r="AC2733" i="2"/>
  <c r="AC2734" i="2"/>
  <c r="AC2735" i="2"/>
  <c r="AC2736" i="2"/>
  <c r="AC2737" i="2"/>
  <c r="AC2738" i="2"/>
  <c r="AC2739" i="2"/>
  <c r="AC2740" i="2"/>
  <c r="AC2741" i="2"/>
  <c r="AC2742" i="2"/>
  <c r="AC2743" i="2"/>
  <c r="AC2744" i="2"/>
  <c r="AC2745" i="2"/>
  <c r="AC2746" i="2"/>
  <c r="AC2747" i="2"/>
  <c r="AC2748" i="2"/>
  <c r="AC2749" i="2"/>
  <c r="AC2750" i="2"/>
  <c r="AC2751" i="2"/>
  <c r="AC2752" i="2"/>
  <c r="AC2753" i="2"/>
  <c r="AC2754" i="2"/>
  <c r="AC2755" i="2"/>
  <c r="AC2756" i="2"/>
  <c r="AC2757" i="2"/>
  <c r="AC2758" i="2"/>
  <c r="AC2759" i="2"/>
  <c r="AC2760" i="2"/>
  <c r="AC2761" i="2"/>
  <c r="AC2762" i="2"/>
  <c r="AC2763" i="2"/>
  <c r="AC2764" i="2"/>
  <c r="AC2765" i="2"/>
  <c r="AC2766" i="2"/>
  <c r="AC2767" i="2"/>
  <c r="AC2768" i="2"/>
  <c r="AC2769" i="2"/>
  <c r="AC2770" i="2"/>
  <c r="AC2771" i="2"/>
  <c r="AC2772" i="2"/>
  <c r="AC2773" i="2"/>
  <c r="AC2774" i="2"/>
  <c r="AC2775" i="2"/>
  <c r="AC2776" i="2"/>
  <c r="AC2777" i="2"/>
  <c r="AC2778" i="2"/>
  <c r="AC2779" i="2"/>
  <c r="AC2780" i="2"/>
  <c r="AC2781" i="2"/>
  <c r="AC2782" i="2"/>
  <c r="AC2783" i="2"/>
  <c r="AC2784" i="2"/>
  <c r="AC2785" i="2"/>
  <c r="AC2786" i="2"/>
  <c r="AC2787" i="2"/>
  <c r="AC2788" i="2"/>
  <c r="AC2789" i="2"/>
  <c r="AC2790" i="2"/>
  <c r="AC2791" i="2"/>
  <c r="AC2792" i="2"/>
  <c r="AC2793" i="2"/>
  <c r="AC2794" i="2"/>
  <c r="AC2795" i="2"/>
  <c r="AC2796" i="2"/>
  <c r="AC2797" i="2"/>
  <c r="AC2798" i="2"/>
  <c r="AC2799" i="2"/>
  <c r="AC2800" i="2"/>
  <c r="AC2801" i="2"/>
  <c r="AC2802" i="2"/>
  <c r="AC2803" i="2"/>
  <c r="AC2804" i="2"/>
  <c r="AC2805" i="2"/>
  <c r="AC2806" i="2"/>
  <c r="AC2807" i="2"/>
  <c r="AC2808" i="2"/>
  <c r="AC2809" i="2"/>
  <c r="AC2810" i="2"/>
  <c r="AC2811" i="2"/>
  <c r="AC2812" i="2"/>
  <c r="AC2813" i="2"/>
  <c r="AC2814" i="2"/>
  <c r="AC2815" i="2"/>
  <c r="AC2816" i="2"/>
  <c r="AC2817" i="2"/>
  <c r="AC2818" i="2"/>
  <c r="AC2819" i="2"/>
  <c r="AC2820" i="2"/>
  <c r="AC2821" i="2"/>
  <c r="AC2822" i="2"/>
  <c r="AC2823" i="2"/>
  <c r="AC2824" i="2"/>
  <c r="AC2825" i="2"/>
  <c r="AC2826" i="2"/>
  <c r="AC2827" i="2"/>
  <c r="AC2828" i="2"/>
  <c r="AC2829" i="2"/>
  <c r="AC2830" i="2"/>
  <c r="AC2831" i="2"/>
  <c r="AC2832" i="2"/>
  <c r="AC2833" i="2"/>
  <c r="AC2834" i="2"/>
  <c r="AC2835" i="2"/>
  <c r="AC2836" i="2"/>
  <c r="AC2837" i="2"/>
  <c r="AC2838" i="2"/>
  <c r="AC2839" i="2"/>
  <c r="AC2840" i="2"/>
  <c r="AC2841" i="2"/>
  <c r="AC2842" i="2"/>
  <c r="AC2843" i="2"/>
  <c r="AC2844" i="2"/>
  <c r="AC2845" i="2"/>
  <c r="AC2846" i="2"/>
  <c r="AC2847" i="2"/>
  <c r="AC2848" i="2"/>
  <c r="AC2849" i="2"/>
  <c r="AC2850" i="2"/>
  <c r="AC2851" i="2"/>
  <c r="AC2852" i="2"/>
  <c r="AC2853" i="2"/>
  <c r="AC2854" i="2"/>
  <c r="AC2855" i="2"/>
  <c r="AC2856" i="2"/>
  <c r="AC2857" i="2"/>
  <c r="AC2858" i="2"/>
  <c r="AC2859" i="2"/>
  <c r="AC2860" i="2"/>
  <c r="AC2861" i="2"/>
  <c r="AC2862" i="2"/>
  <c r="AC2863" i="2"/>
  <c r="AC2864" i="2"/>
  <c r="AC2865" i="2"/>
  <c r="AC2866" i="2"/>
  <c r="AC2867" i="2"/>
  <c r="AC2868" i="2"/>
  <c r="AC2869" i="2"/>
  <c r="AC2870" i="2"/>
  <c r="AC2871" i="2"/>
  <c r="AC2872" i="2"/>
  <c r="AC2873" i="2"/>
  <c r="AC2874" i="2"/>
  <c r="AC2875" i="2"/>
  <c r="AC2876" i="2"/>
  <c r="AC2877" i="2"/>
  <c r="AC2878" i="2"/>
  <c r="AC2879" i="2"/>
  <c r="AC2880" i="2"/>
  <c r="AC2881" i="2"/>
  <c r="AC2882" i="2"/>
  <c r="AC2883" i="2"/>
  <c r="AC2884" i="2"/>
  <c r="AC2885" i="2"/>
  <c r="AC2886" i="2"/>
  <c r="AC2887" i="2"/>
  <c r="AC2888" i="2"/>
  <c r="AC2889" i="2"/>
  <c r="AC2890" i="2"/>
  <c r="AC2891" i="2"/>
  <c r="AC2892" i="2"/>
  <c r="AC2893" i="2"/>
  <c r="AC2894" i="2"/>
  <c r="AC2895" i="2"/>
  <c r="AC2896" i="2"/>
  <c r="AC2897" i="2"/>
  <c r="AC2898" i="2"/>
  <c r="AC2899" i="2"/>
  <c r="AC2900" i="2"/>
  <c r="AC2901" i="2"/>
  <c r="AC2902" i="2"/>
  <c r="AC2903" i="2"/>
  <c r="AC2904" i="2"/>
  <c r="AC2905" i="2"/>
  <c r="AC2906" i="2"/>
  <c r="AC2907" i="2"/>
  <c r="AC2908" i="2"/>
  <c r="AC2909" i="2"/>
  <c r="AC2910" i="2"/>
  <c r="AC2911" i="2"/>
  <c r="AC2912" i="2"/>
  <c r="AC2913" i="2"/>
  <c r="AC2914" i="2"/>
  <c r="AC2915" i="2"/>
  <c r="AC2916" i="2"/>
  <c r="AC2917" i="2"/>
  <c r="AC2918" i="2"/>
  <c r="AC2919" i="2"/>
  <c r="AC2920" i="2"/>
  <c r="AC2921" i="2"/>
  <c r="AC2922" i="2"/>
  <c r="AC2923" i="2"/>
  <c r="AC2924" i="2"/>
  <c r="AC2925" i="2"/>
  <c r="AC2926" i="2"/>
  <c r="AC2927" i="2"/>
  <c r="AC2928" i="2"/>
  <c r="AC2929" i="2"/>
  <c r="AC2930" i="2"/>
  <c r="AC2931" i="2"/>
  <c r="AC2932" i="2"/>
  <c r="AC2933" i="2"/>
  <c r="AC2934" i="2"/>
  <c r="AC2935" i="2"/>
  <c r="AC2936" i="2"/>
  <c r="AC2937" i="2"/>
  <c r="AC2938" i="2"/>
  <c r="AC2939" i="2"/>
  <c r="AC2940" i="2"/>
  <c r="AC2941" i="2"/>
  <c r="AC2942" i="2"/>
  <c r="AC2943" i="2"/>
  <c r="AC2944" i="2"/>
  <c r="AC2945" i="2"/>
  <c r="AC2946" i="2"/>
  <c r="AC2947" i="2"/>
  <c r="AC2948" i="2"/>
  <c r="AC2949" i="2"/>
  <c r="AC2950" i="2"/>
  <c r="AC2951" i="2"/>
  <c r="AC2952" i="2"/>
  <c r="AC2953" i="2"/>
  <c r="AC2954" i="2"/>
  <c r="AC2955" i="2"/>
  <c r="AC2956" i="2"/>
  <c r="AC2957" i="2"/>
  <c r="AC2958" i="2"/>
  <c r="AC2959" i="2"/>
  <c r="AC2960" i="2"/>
  <c r="AC2961" i="2"/>
  <c r="AC2962" i="2"/>
  <c r="AC2963" i="2"/>
  <c r="AC2964" i="2"/>
  <c r="AC2965" i="2"/>
  <c r="AC2966" i="2"/>
  <c r="AC2967" i="2"/>
  <c r="AC2968" i="2"/>
  <c r="AC2969" i="2"/>
  <c r="AC2970" i="2"/>
  <c r="AC2971" i="2"/>
  <c r="AC2972" i="2"/>
  <c r="AC2973" i="2"/>
  <c r="AC2974" i="2"/>
  <c r="AC2975" i="2"/>
  <c r="AC2976" i="2"/>
  <c r="AC2977" i="2"/>
  <c r="AC2978" i="2"/>
  <c r="AC2979" i="2"/>
  <c r="AC2980" i="2"/>
  <c r="AC2981" i="2"/>
  <c r="AC2982" i="2"/>
  <c r="AC2983" i="2"/>
  <c r="AC2984" i="2"/>
  <c r="AC2985" i="2"/>
  <c r="AC2986" i="2"/>
  <c r="AC2987" i="2"/>
  <c r="AC2988" i="2"/>
  <c r="AC2989" i="2"/>
  <c r="AC2990" i="2"/>
  <c r="AC2991" i="2"/>
  <c r="AC2992" i="2"/>
  <c r="AC2993" i="2"/>
  <c r="AC2994" i="2"/>
  <c r="AC2995" i="2"/>
  <c r="AC2996" i="2"/>
  <c r="AC2997" i="2"/>
  <c r="AC2998" i="2"/>
  <c r="AC2999" i="2"/>
  <c r="AC3000" i="2"/>
  <c r="AC3001" i="2"/>
  <c r="AC3002" i="2"/>
  <c r="AC3003" i="2"/>
  <c r="AC3004" i="2"/>
  <c r="AC3005" i="2"/>
  <c r="AC3006" i="2"/>
  <c r="AC3007" i="2"/>
  <c r="AC3008" i="2"/>
  <c r="AC3009" i="2"/>
  <c r="AC3010" i="2"/>
  <c r="AC3011" i="2"/>
  <c r="AC3012" i="2"/>
  <c r="AC3013" i="2"/>
  <c r="AC3014" i="2"/>
  <c r="AC3015" i="2"/>
  <c r="AC3016" i="2"/>
  <c r="AC3017" i="2"/>
  <c r="AC3018" i="2"/>
  <c r="AC3019" i="2"/>
  <c r="AC3020" i="2"/>
  <c r="AC3021" i="2"/>
  <c r="AC3022" i="2"/>
  <c r="AC3023" i="2"/>
  <c r="AC3024" i="2"/>
  <c r="AC3025" i="2"/>
  <c r="AC3026" i="2"/>
  <c r="AC3027" i="2"/>
  <c r="AC3028" i="2"/>
  <c r="AC3029" i="2"/>
  <c r="AC3030" i="2"/>
  <c r="AC3031" i="2"/>
  <c r="AC3032" i="2"/>
  <c r="AC3033" i="2"/>
  <c r="B4" i="1"/>
  <c r="B3" i="1"/>
  <c r="B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AD9E65-275E-4755-9E01-8D20BBEA43A1}" keepAlive="1" name="Truy vấn - Chuyển đổi tệp" description="Kết nối với truy vấn 'Chuyển đổi tệp' trong sổ làm việc." type="5" refreshedVersion="0" background="1">
    <dbPr connection="Provider=Microsoft.Mashup.OleDb.1;Data Source=$Workbook$;Location=&quot;Chuyển đổi tệp&quot;;Extended Properties=&quot;&quot;" command="SELECT * FROM [Chuyển đổi tệp]"/>
  </connection>
  <connection id="2" xr16:uid="{6D25FA2A-57A6-455D-9718-05D2A4BBF928}" keepAlive="1" name="Truy vấn - Chuyển đổi tệp mẫu" description="Kết nối với truy vấn 'Chuyển đổi tệp mẫu' trong sổ làm việc." type="5" refreshedVersion="0" background="1">
    <dbPr connection="Provider=Microsoft.Mashup.OleDb.1;Data Source=$Workbook$;Location=&quot;Chuyển đổi tệp mẫu&quot;;Extended Properties=&quot;&quot;" command="SELECT * FROM [Chuyển đổi tệp mẫu]"/>
  </connection>
  <connection id="3" xr16:uid="{E9E6C7C6-2185-4664-ABDF-6FA51372ED44}" keepAlive="1" name="Truy vấn - QLKV gui ket qua ra soat" description="Kết nối với truy vấn 'QLKV gui ket qua ra soat' trong sổ làm việc." type="5" refreshedVersion="8" background="1" saveData="1">
    <dbPr connection="Provider=Microsoft.Mashup.OleDb.1;Data Source=$Workbook$;Location=&quot;QLKV gui ket qua ra soat&quot;;Extended Properties=&quot;&quot;" command="SELECT * FROM [QLKV gui ket qua ra soat]"/>
  </connection>
  <connection id="4" xr16:uid="{90CB0A30-6BF5-4A02-A0C5-B6455BFF890C}" keepAlive="1" name="Truy vấn - Tệp mẫu" description="Kết nối với truy vấn 'Tệp mẫu' trong sổ làm việc." type="5" refreshedVersion="0" background="1">
    <dbPr connection="Provider=Microsoft.Mashup.OleDb.1;Data Source=$Workbook$;Location=&quot;Tệp mẫu&quot;;Extended Properties=&quot;&quot;" command="SELECT * FROM [Tệp mẫu]"/>
  </connection>
  <connection id="5" xr16:uid="{68439184-0C50-4108-8BE9-4B97E3712C92}" keepAlive="1" name="Truy vấn - Tham số1" description="Kết nối với truy vấn 'Tham số1' trong sổ làm việc." type="5" refreshedVersion="0" background="1">
    <dbPr connection="Provider=Microsoft.Mashup.OleDb.1;Data Source=$Workbook$;Location=&quot;Tham số1&quot;;Extended Properties=&quot;&quot;" command="SELECT * FROM [Tham số1]"/>
  </connection>
</connections>
</file>

<file path=xl/sharedStrings.xml><?xml version="1.0" encoding="utf-8"?>
<sst xmlns="http://schemas.openxmlformats.org/spreadsheetml/2006/main" count="100458" uniqueCount="10786">
  <si>
    <t>Source.Name</t>
  </si>
  <si>
    <t>STT</t>
  </si>
  <si>
    <t>Mã điểm bán</t>
  </si>
  <si>
    <t>Tên điểm bán</t>
  </si>
  <si>
    <t>Anh/Chị vui lòng kiểm tra và cho biết giá trị tồn kho thực tế tại cửa hàng của các mã hàng Ắc quy (Xe máy/Ô tô, xe tải) sau: - Tổng cộng</t>
  </si>
  <si>
    <t>Tổng 10 bình bán ra thì có bao nhiêu bình Ắc quy thuộc các thương hiệu trên?</t>
  </si>
  <si>
    <t>Vui lòng chụp 2-3 bức ảnh cho khu vực trưng bày/tồn kho ắc quy chính thức tại cửa hàng, ảnh phải rõ nét.</t>
  </si>
  <si>
    <t>Tỷ trọng doanh số của Bán lẻ / Bán sỉ là như thế nào?</t>
  </si>
  <si>
    <t>Anh/Chị vui lòng cho biết giá bán THỰC TẾ (giá cuối cùng bán cho khách hàng) của các mã hàng sau:</t>
  </si>
  <si>
    <t>Vấn đề xác định lỗi sản phẩm bảo hành của PINACO/ĐỒNG NAI có khó khăn không?</t>
  </si>
  <si>
    <t>Thời gian đổi trả sản phẩm bảo hành của PINACO/ĐỒNG NAI có nhanh hay không? (chất lượng dịch vụ của NPP liên quan đến bảo hành)</t>
  </si>
  <si>
    <t>Chính sách bảo hành của PINACO/ĐỒNG NAI so với công ty khác như thế nào?</t>
  </si>
  <si>
    <t>CHƯƠNG TRÌNH KHUYẾN MÃI của PINACO/ĐỒNG NAI có dễ hiểu, dễ tính toán hay không?</t>
  </si>
  <si>
    <t>Tần suất CTKM của PINACO/ĐỒNG NAI vậy có phù hợp hay không?</t>
  </si>
  <si>
    <t>Chương trình khuyến mãi của PINACO/ĐỒNG NAI so với công ty khác tốt hơn hay tệ hơn?</t>
  </si>
  <si>
    <t>Anh/Chị có tốn chi phí vận chuyển khi mua hàng từ Nhà phân phối của PINACO/ĐỒNG NAI không?</t>
  </si>
  <si>
    <t>Mức độ hài lòng của Anh/Chị về công tác vận chuyển của Nhà Phân Phối của PINACO/ĐỒNG NAI</t>
  </si>
  <si>
    <t>Anh/Chị thấy về dịch vụ vận chuyển của Pinaco so với các công ty khác như thế nào?</t>
  </si>
  <si>
    <t>Anh/Chị có đề xuất ý kiến góp ý hoặc kiến nghị cho Pinaco không?</t>
  </si>
  <si>
    <t>Họ tên (assignee)</t>
  </si>
  <si>
    <t>NPP</t>
  </si>
  <si>
    <t>Khu vực</t>
  </si>
  <si>
    <t>Tỉnh thành</t>
  </si>
  <si>
    <t>Xác định kết quả tốt (đánh dấu x)</t>
  </si>
  <si>
    <t>Bỏ khỏi khảo sát (đánh dấu x)</t>
  </si>
  <si>
    <t>Yêu cầu khảo sát lại ( đánh dấu x)</t>
  </si>
  <si>
    <t>Chỉ định người khảo sát lại (ghi tên người khảo sát)</t>
  </si>
  <si>
    <t>Gợi ý QC</t>
  </si>
  <si>
    <t>CNHN-HIEP.xlsx</t>
  </si>
  <si>
    <t>C000020920</t>
  </si>
  <si>
    <t>Tâm Hợi</t>
  </si>
  <si>
    <t>76.000.000 VNĐ</t>
  </si>
  <si>
    <t>30.000.000 VNĐ</t>
  </si>
  <si>
    <t>Pinaco / Đồng Nai - 6_x000D_
Nhãn hiệu khác - 4</t>
  </si>
  <si>
    <t>3 ảnh</t>
  </si>
  <si>
    <t>Bán lẻ: 0%; Bán sỉ: 100%</t>
  </si>
  <si>
    <t>Ắc quy xe máy - PTZ6L  - PINACO: 280.000, OTHER: 220.000_x000D_
Ắc quy xe máy - PTZ6HL  - PINACO: 240.000, OTHER: 190.000_x000D_
Ắc quy xe máy - PTZ5  - PINACO: 230.000, OTHER: 170.000</t>
  </si>
  <si>
    <t>4</t>
  </si>
  <si>
    <t>5</t>
  </si>
  <si>
    <t>2 (Bình thường)</t>
  </si>
  <si>
    <t>3 (Tốt hơn)</t>
  </si>
  <si>
    <t/>
  </si>
  <si>
    <t>Dương Thanh Tùng</t>
  </si>
  <si>
    <t>CÔNG TY TNHH ĐẦU TƯ TMDV CÔNG SƠN</t>
  </si>
  <si>
    <t>CNHN - QLKV HIỆP</t>
  </si>
  <si>
    <t>BẮC GIANG</t>
  </si>
  <si>
    <t>X</t>
  </si>
  <si>
    <t>Hà Giang Thanh</t>
  </si>
  <si>
    <t>Hoàng Văn Nghĩa</t>
  </si>
  <si>
    <t>C000040861</t>
  </si>
  <si>
    <t>TIẾN DŨNG FI</t>
  </si>
  <si>
    <t>1.100.000 VNĐ</t>
  </si>
  <si>
    <t>650.000 VNĐ</t>
  </si>
  <si>
    <t>Pinaco / Đồng Nai - 10</t>
  </si>
  <si>
    <t>Bán lẻ: 100%; Bán sỉ: 0%</t>
  </si>
  <si>
    <t>Ắc quy xe máy - Ptz5l - PINACO: 280.000_x000D_
Ắc quy xe máy - Ptz6HL - PINACO: 300.000_x000D_
Ắc quy xe máy - Ptz6L iss - PINACO: 350.000</t>
  </si>
  <si>
    <t>3</t>
  </si>
  <si>
    <t>Xây dựng các chương trình hấp dẫn, chiết khấu cao hơn cho các khách hàng sửa chữa.</t>
  </si>
  <si>
    <t>Đỗ Nguyễn Tuân</t>
  </si>
  <si>
    <t>CÔNG TY TNHH ĐOÀN LÂM KHOA</t>
  </si>
  <si>
    <t>NINH BÌNH</t>
  </si>
  <si>
    <t>C000020809</t>
  </si>
  <si>
    <t>Lanh Nhi</t>
  </si>
  <si>
    <t>3.700.000 VNĐ</t>
  </si>
  <si>
    <t>1.500.000 VNĐ</t>
  </si>
  <si>
    <t>Ắc quy xe máy - PTZ6L  - PINACO: 320.000_x000D_
Ắc quy xe máy - PTZ6HL  - PINACO: 290.000_x000D_
Ắc quy xe máy - PTZ5  - PINACO: 280.000</t>
  </si>
  <si>
    <t>C000021568</t>
  </si>
  <si>
    <t>Khả Hiệp</t>
  </si>
  <si>
    <t>3.500.000 VNĐ</t>
  </si>
  <si>
    <t>2.000.000 VNĐ</t>
  </si>
  <si>
    <t>Pinaco / Đồng Nai - 7_x000D_
Nhãn hiệu khác - 3</t>
  </si>
  <si>
    <t>Ắc quy xe máy - PTZ6L  - PINACO: 320.000_x000D_
Ắc quy xe máy - PTZ6HL  - PINACO: 290.000, OTHER: 240.000_x000D_
Ắc quy xe máy - PTZ5  - PINACO: 280.000, OTHER: 230.000</t>
  </si>
  <si>
    <t>C000028730</t>
  </si>
  <si>
    <t>TẤN NHÀN</t>
  </si>
  <si>
    <t>47.000.000 VNĐ</t>
  </si>
  <si>
    <t>28.000.000 VNĐ</t>
  </si>
  <si>
    <t>Pinaco / Đồng Nai - 8_x000D_
Ắc quy ngoại nhập - 2</t>
  </si>
  <si>
    <t>Bán lẻ: 32%; Bán sỉ: 68%</t>
  </si>
  <si>
    <t>Ắc quy xe máy - Pinaco - PINACO: 216</t>
  </si>
  <si>
    <t>Đỗ Quốc Việt</t>
  </si>
  <si>
    <t>HỘ KINH DOANH NGUYỄN TIẾN THỦY</t>
  </si>
  <si>
    <t>HÀ NỘI</t>
  </si>
  <si>
    <t>Nguyễn Viết Cường</t>
  </si>
  <si>
    <t>Trần Quốc Vương</t>
  </si>
  <si>
    <t>C000020889</t>
  </si>
  <si>
    <t>Tiến Hiệp</t>
  </si>
  <si>
    <t>2.600.000 VNĐ</t>
  </si>
  <si>
    <t>1.200.000 VNĐ</t>
  </si>
  <si>
    <t>Ắc quy xe máy - PTZ6L  - PINACO: 300.000_x000D_
Ắc quy xe máy - PTZ6HL  - PINACO: 280.000_x000D_
Ắc quy xe máy - PTZ5  - PINACO: 270.000</t>
  </si>
  <si>
    <t>C000020888</t>
  </si>
  <si>
    <t>Ngọc Lan</t>
  </si>
  <si>
    <t>10.000.000 VNĐ</t>
  </si>
  <si>
    <t>5.500.000 VNĐ</t>
  </si>
  <si>
    <t>Ắc quy xe máy - PTZ6L  - PINACO: 320.000, OTHER: 270.000_x000D_
Ắc quy xe máy - PTZ6HL  - PINACO: 280.000, OTHER: 250.000_x000D_
Ắc quy xe máy - PTZ5  - PINACO: 270.000, OTHER: 220.000_x000D_
Ắc quy xe điện - Pa 12-14 - PINACO: 1.600.000</t>
  </si>
  <si>
    <t>GS - Vương</t>
  </si>
  <si>
    <t>C000022559</t>
  </si>
  <si>
    <t>Chiến Thảo</t>
  </si>
  <si>
    <t>50.000.000 VNĐ</t>
  </si>
  <si>
    <t>18.000.000 VNĐ</t>
  </si>
  <si>
    <t>GS - 7_x000D_
Pinaco / Đồng Nai - 3</t>
  </si>
  <si>
    <t>Bán lẻ: 98%; Bán sỉ: 2%</t>
  </si>
  <si>
    <t>Ắc quy xe máy - Ptx5l - GS: 240.000, PINACO: 230.000</t>
  </si>
  <si>
    <t>Bình hay bị lỗi hơn GS.</t>
  </si>
  <si>
    <t>Nguyễn Hữu Tuyến</t>
  </si>
  <si>
    <t>HỘ KINH DOANH TÙNG THƠM 1</t>
  </si>
  <si>
    <t>BẮC NINH</t>
  </si>
  <si>
    <t>C000020849</t>
  </si>
  <si>
    <t>Văn Đương</t>
  </si>
  <si>
    <t>5.000.000 VNĐ</t>
  </si>
  <si>
    <t>2.500.000 VNĐ</t>
  </si>
  <si>
    <t>Ắc quy xe máy - PTZ6L  - PINACO: 320.000_x000D_
Ắc quy xe máy - PTZ6HL  - PINACO: 280.000_x000D_
Ắc quy xe máy - PTZ5  - PINACO: 270.000</t>
  </si>
  <si>
    <t>C000028437</t>
  </si>
  <si>
    <t>Tuấn Hợi</t>
  </si>
  <si>
    <t>7.000.000 VNĐ</t>
  </si>
  <si>
    <t>3.200.000 VNĐ</t>
  </si>
  <si>
    <t>Pinaco / Đồng Nai - 6_x000D_
GS - 4</t>
  </si>
  <si>
    <t>Ắc quy xe máy - PTZ6L  - PINACO: 320.000, GS: 330.000_x000D_
Ắc quy xe máy - PTZ6HL  - PINACO: 290.000, GS: 300.000_x000D_
Ắc quy xe máy - PTZ5L  - PINACO: 280.000, GS: 290.000</t>
  </si>
  <si>
    <t>GS - Thanh</t>
  </si>
  <si>
    <t>C000020922</t>
  </si>
  <si>
    <t>Hữu Tư</t>
  </si>
  <si>
    <t>Ắc quy xe máy - PTZ6L  - PINACO: 320.000_x000D_
Ắc quy xe máy - PTZ6HL  - PINACO: 290.000_x000D_
Ắc quy xe máy - PTZ5L  - PINACO: 280.000</t>
  </si>
  <si>
    <t>1 (Tệ hơn)</t>
  </si>
  <si>
    <t>C000031114</t>
  </si>
  <si>
    <t>ĐỨC NGỌC</t>
  </si>
  <si>
    <t>Ắc quy xe máy - Z9 - PINACO: 409.000</t>
  </si>
  <si>
    <t>C000039585</t>
  </si>
  <si>
    <t>Chung Hữu</t>
  </si>
  <si>
    <t>100.000.000 VNĐ</t>
  </si>
  <si>
    <t>25.000.000 VNĐ</t>
  </si>
  <si>
    <t>Ắc quy xe máy - PTZ6L  - PINACO: 275.000_x000D_
Ắc quy xe máy - PTZ6HL  - PINACO: 235.000_x000D_
Ắc quy xe máy - PTZ5L  - PINACO: 225.000</t>
  </si>
  <si>
    <t>C000033126</t>
  </si>
  <si>
    <t>Chuyên Cửu</t>
  </si>
  <si>
    <t>3.800.000 VNĐ</t>
  </si>
  <si>
    <t>Bán lẻ: 89%; Bán sỉ: 11%</t>
  </si>
  <si>
    <t>Ắc quy xe máy - Ptz5l - PINACO: 260.000, GS: 270.000</t>
  </si>
  <si>
    <t>Không thấy tậng áo.</t>
  </si>
  <si>
    <t>C000020846</t>
  </si>
  <si>
    <t>Quyết Hảo (HQ)</t>
  </si>
  <si>
    <t>13.000.000 VNĐ</t>
  </si>
  <si>
    <t>Ắc quy xe máy - PTZ6L  - PINACO: 280.000_x000D_
Ắc quy xe máy - PTZ6HL  - PINACO: 240.000_x000D_
Ắc quy xe máy - PTZ5L  - PINACO: 235.000_x000D_
Ắc quy xe điện - PA12-14 - PINACO: 1.550.000</t>
  </si>
  <si>
    <t>C000020931</t>
  </si>
  <si>
    <t>Công Hậu</t>
  </si>
  <si>
    <t>85.000.000 VNĐ</t>
  </si>
  <si>
    <t>38.000.000 VNĐ</t>
  </si>
  <si>
    <t>Ắc quy xe máy - Ptz5l - PINACO: 230.000, GS: 235.000</t>
  </si>
  <si>
    <t>Tặng thêm áo cho khách hàng.</t>
  </si>
  <si>
    <t>C000024630</t>
  </si>
  <si>
    <t>MINH TUẤT</t>
  </si>
  <si>
    <t>6.000.000 VNĐ</t>
  </si>
  <si>
    <t>5.200.000 VNĐ</t>
  </si>
  <si>
    <t>4 ảnh</t>
  </si>
  <si>
    <t>Ắc quy xe máy - PTZ6HL - PINACO: 280.000</t>
  </si>
  <si>
    <t>Tôi rất hài lòng với chính sách của công ty Pinaco</t>
  </si>
  <si>
    <t>Nguyễn Đức Long</t>
  </si>
  <si>
    <t>NAM ĐỊNH</t>
  </si>
  <si>
    <t>C000032569</t>
  </si>
  <si>
    <t>HOÀNG TÍN THÀNH</t>
  </si>
  <si>
    <t>4.000.000 VNĐ</t>
  </si>
  <si>
    <t>Ắc quy xe máy - X5l - PINACO: 230.000</t>
  </si>
  <si>
    <t>ASM - Vương</t>
  </si>
  <si>
    <t>C000020905</t>
  </si>
  <si>
    <t>Bắc Diệu</t>
  </si>
  <si>
    <t>140.000.000 VNĐ</t>
  </si>
  <si>
    <t>Ắc quy xe máy - PTZ6L  - PINACO: 275.000, OTHER: 230.000_x000D_
Ắc quy xe máy - PTZ6HL  - PINACO: 235.000, OTHER: 185.000_x000D_
Ắc quy xe máy - PTZ5L  - PINACO: 225.000, OTHER: 175.000</t>
  </si>
  <si>
    <t>C000022236</t>
  </si>
  <si>
    <t>Đức Lợi</t>
  </si>
  <si>
    <t>Pinaco / Đồng Nai - 7_x000D_
GS - 3</t>
  </si>
  <si>
    <t>Ắc quy xe máy - PTZ6L  - PINACO: 330.000, GS: 340.000_x000D_
Ắc quy xe máy - PTZ6HL  - PINACO: 300.000, GS: 320.000_x000D_
Ắc quy xe máy - PTZ5L  - PINACO: 280.000, GS: 290.000</t>
  </si>
  <si>
    <t>C000020943</t>
  </si>
  <si>
    <t>Việt Thái Motor</t>
  </si>
  <si>
    <t>6.500.000 VNĐ</t>
  </si>
  <si>
    <t>Bán lẻ: 90%; Bán sỉ: 10%</t>
  </si>
  <si>
    <t>Ắc quy xe máy - Ptz6hl - PINACO: 270.000</t>
  </si>
  <si>
    <t>Không thấy tặng áo.</t>
  </si>
  <si>
    <t>C000020898</t>
  </si>
  <si>
    <t>Trần Xanh</t>
  </si>
  <si>
    <t>3.000.000 VNĐ</t>
  </si>
  <si>
    <t>2 ảnh</t>
  </si>
  <si>
    <t>Ắc quy xe máy - PTZ6L  - PINACO: 300.000_x000D_
Ắc quy xe máy - PTZ6HL  - PINACO: 290.000_x000D_
Ắc quy xe máy - PTZ5L  - PINACO: 280.000</t>
  </si>
  <si>
    <t>C000020847</t>
  </si>
  <si>
    <t>Hải Quân</t>
  </si>
  <si>
    <t>95.000.000 VNĐ</t>
  </si>
  <si>
    <t>Ắc quy xe máy - PTZ6L  - PINACO: 270.000_x000D_
Ắc quy xe máy - PTZ6HL  - PINACO: 230.000_x000D_
Ắc quy xe máy - PTZ5L  - PINACO: 220.000</t>
  </si>
  <si>
    <t>C000021580</t>
  </si>
  <si>
    <t>Thịnh Hà</t>
  </si>
  <si>
    <t>2.700.000 VNĐ</t>
  </si>
  <si>
    <t>Ắc quy xe máy - PTZ6L  - PINACO: 320.000_x000D_
Ắc quy xe máy - PTZ6HL  - PINACO: 280.000_x000D_
Ắc quy xe máy - PTZ5L  - PINACO: 270.000</t>
  </si>
  <si>
    <t>C000022455</t>
  </si>
  <si>
    <t>Thanh Tú</t>
  </si>
  <si>
    <t>4.300.000 VNĐ</t>
  </si>
  <si>
    <t>1.800.000 VNĐ</t>
  </si>
  <si>
    <t>Pinaco / Đồng Nai - 7_x000D_
Enimac - 3</t>
  </si>
  <si>
    <t>Bán lẻ: 52%; Bán sỉ: 48%</t>
  </si>
  <si>
    <t>Ắc quy xe máy - Ptx5l - PINACO: 260.000, ENIMAC: 250.000</t>
  </si>
  <si>
    <t>Bình xe điện nhỏ bị lỗi.</t>
  </si>
  <si>
    <t>C000024787</t>
  </si>
  <si>
    <t>Thành Đạt</t>
  </si>
  <si>
    <t>1.300.000 VNĐ</t>
  </si>
  <si>
    <t>Ắc quy xe máy - PTZ6L  - PINACO: 300.000_x000D_
Ắc quy xe máy - PTZ6HL  - PINACO: 270.000_x000D_
Ắc quy xe máy - PTZ5L  - PINACO: 260.000</t>
  </si>
  <si>
    <t>C000021569</t>
  </si>
  <si>
    <t>Nghiêm Motor</t>
  </si>
  <si>
    <t>C000034868</t>
  </si>
  <si>
    <t>Tiến Cường</t>
  </si>
  <si>
    <t>Ắc quy xe máy - Ptz6l - PINACO: 280.000</t>
  </si>
  <si>
    <t>C000020927</t>
  </si>
  <si>
    <t>Minh Bằng</t>
  </si>
  <si>
    <t>8.000.000 VNĐ</t>
  </si>
  <si>
    <t>3.600.000 VNĐ</t>
  </si>
  <si>
    <t>Ắc quy xe máy - PTZ6L  - PINACO: 320.000, OTHER: 290.000_x000D_
Ắc quy xe máy - PTZ6HL - PINACO: 290.000, OTHER: 240.000_x000D_
Ắc quy xe máy - PTZ5L - PINACO: 280.000, OTHER: 240.000</t>
  </si>
  <si>
    <t>C000021738</t>
  </si>
  <si>
    <t>Nghĩa Hằng</t>
  </si>
  <si>
    <t>75.000.000 VNĐ</t>
  </si>
  <si>
    <t>65.000.000 VNĐ</t>
  </si>
  <si>
    <t>Pinaco / Đồng Nai - 6_x000D_
Globe - 2_x000D_
GS - 2</t>
  </si>
  <si>
    <t>Bán lẻ: 80%; Bán sỉ: 20%</t>
  </si>
  <si>
    <t>Ắc quy xe máy - PTZ5l - PINACO: 225.000, GLOBE: 225.000, GS: 230.000</t>
  </si>
  <si>
    <t>Tăng chương trình khuyến mại</t>
  </si>
  <si>
    <t>C000035905</t>
  </si>
  <si>
    <t>Lê KHơi</t>
  </si>
  <si>
    <t>20.000.000 VNĐ</t>
  </si>
  <si>
    <t>Ắc quy xe máy - PTZ5  - PINACO: 232.000_x000D_
Ắc quy xe máy - PTZ6L  - PINACO: 290.000_x000D_
Ắc quy xe máy - PTZ6HL - PINACO: 245.000</t>
  </si>
  <si>
    <t>C000021177</t>
  </si>
  <si>
    <t>Huy Kim</t>
  </si>
  <si>
    <t>55.000.000 VNĐ</t>
  </si>
  <si>
    <t>Pinaco / Đồng Nai - 5_x000D_
GS - 3_x000D_
Globe - 2</t>
  </si>
  <si>
    <t>Ắc quy xe máy - PTZ5  - PINACO: 232.000, GS: 215.000, GLOBE: 232.000</t>
  </si>
  <si>
    <t>C000029683</t>
  </si>
  <si>
    <t>Cao Thiệu</t>
  </si>
  <si>
    <t>Ắc quy xe máy - PTZ6L - PINACO: 320.000</t>
  </si>
  <si>
    <t>C000029487</t>
  </si>
  <si>
    <t>PT HỒNG THỰC</t>
  </si>
  <si>
    <t>Ắc quy xe máy - Ptz5l - PINACO: 229.000</t>
  </si>
  <si>
    <t>Nguyễn Viết Linh</t>
  </si>
  <si>
    <t>CÔNG TY TNHH ĐẦU TƯ THƯƠNG MẠI CHUNG TÂM</t>
  </si>
  <si>
    <t>THÁI BÌNH</t>
  </si>
  <si>
    <t>C000023431</t>
  </si>
  <si>
    <t>PT HƯNG BÍCH</t>
  </si>
  <si>
    <t>Ắc quy xe máy - Z5l - PINACO: 250.000</t>
  </si>
  <si>
    <t>Hoàng Đình Tùng</t>
  </si>
  <si>
    <t>C000039590</t>
  </si>
  <si>
    <t>TRUNG KIÊN</t>
  </si>
  <si>
    <t>968.000 VNĐ</t>
  </si>
  <si>
    <t>Ắc quy xe máy - Ptz5l  - PINACO: 270_x000D_
Ắc quy xe máy - Ptz6l  - PINACO: 320.000_x000D_
Ắc quy xe máy - Ptz6HL  - PINACO: 280.000</t>
  </si>
  <si>
    <t>A c chỉ để hàng tồn ở kệ ạ</t>
  </si>
  <si>
    <t>Trần Thị Hường</t>
  </si>
  <si>
    <t>Công Ty TNHH Thương Mại Và Dịch Vụ Kiên Hoà Phong</t>
  </si>
  <si>
    <t>VĨNH PHÚC</t>
  </si>
  <si>
    <t>Nguyễn Văn Chinh</t>
  </si>
  <si>
    <t>C000037127</t>
  </si>
  <si>
    <t>MAI MUI</t>
  </si>
  <si>
    <t>Ắc quy xe máy - Ptz5l  - PINACO: 260.000_x000D_
Ắc quy xe máy - Ptz6hl - PINACO: 280.000_x000D_
Ắc quy xe máy - Ptz6l  - PINACO: 300.000</t>
  </si>
  <si>
    <t>Cần nâng cao chất lượng sản phẩm</t>
  </si>
  <si>
    <t>Nguyễn Đức Hoàng</t>
  </si>
  <si>
    <t>C000026270</t>
  </si>
  <si>
    <t>HÀO QUANG</t>
  </si>
  <si>
    <t>2.800.000 VNĐ</t>
  </si>
  <si>
    <t>900.000 VNĐ</t>
  </si>
  <si>
    <t>Ắc quy xe máy - Ptz5l - PINACO: 260.000_x000D_
Ắc quy xe máy - Ptz6hl - PINACO: 280.000_x000D_
Ắc quy xe máy - Ptz6l - PINACO: 300.000</t>
  </si>
  <si>
    <t>Cần nâng cao chất lượng.chất lượng k tương xứng với giá thành.hàng giao trôi date nhiều</t>
  </si>
  <si>
    <t>C000020269</t>
  </si>
  <si>
    <t>VIỆT THANH</t>
  </si>
  <si>
    <t>35.000.000 VNĐ</t>
  </si>
  <si>
    <t>Ắc quy xe máy - Z5l - PINACO: 240.000, GS: 260.000, GLOBE: 250.000</t>
  </si>
  <si>
    <t>C000020836</t>
  </si>
  <si>
    <t>PT TRẦN BANG</t>
  </si>
  <si>
    <t>220.000.000 VNĐ</t>
  </si>
  <si>
    <t>Ắc quy xe máy - Z5l - PINACO: 230.000, GS: 250.000, GLOBE: 240.000</t>
  </si>
  <si>
    <t>C000030087</t>
  </si>
  <si>
    <t>SC TRẦN QUỲNH</t>
  </si>
  <si>
    <t>800.000 VNĐ</t>
  </si>
  <si>
    <t>Ắc quy xe máy - Ptz6hl - PINACO: 280.000_x000D_
Ắc quy xe máy - Ptz5l - PINACO: 260.000_x000D_
Ắc quy xe máy - Ptz6l iss - PINACO: 320.000</t>
  </si>
  <si>
    <t>C000035337</t>
  </si>
  <si>
    <t>PHONG HÒA</t>
  </si>
  <si>
    <t>39.784.000 VNĐ</t>
  </si>
  <si>
    <t>Bán lẻ: 6%; Bán sỉ: 94%</t>
  </si>
  <si>
    <t>Ắc quy xe máy - PTZ6HL  - PINACO: 232.000_x000D_
Ắc quy xe máy - Ptz5l - PINACO: 220.000_x000D_
Ắc quy xe máy - Ptz6l - PINACO: 270.000_x000D_
Ắc quy xe điện - Pa 12_24 - PINACO: 1.536.000_x000D_
Ắc quy xe điện - Pa 12_23 - PINACO: 2.423.000</t>
  </si>
  <si>
    <t xml:space="preserve">Nâng cao chất lượng </t>
  </si>
  <si>
    <t>C000020256</t>
  </si>
  <si>
    <t>PT NAM NHIÊN</t>
  </si>
  <si>
    <t>27.000.000 VNĐ</t>
  </si>
  <si>
    <t>Pinaco / Đồng Nai - 4_x000D_
GS - 4_x000D_
Nhãn hiệu khác - 2</t>
  </si>
  <si>
    <t>Ắc quy xe máy - Z6hl - PINACO: 270.000, GS: 280.000, OTHER: 220.000</t>
  </si>
  <si>
    <t>C000020250</t>
  </si>
  <si>
    <t>PT GIA KHÁNH</t>
  </si>
  <si>
    <t>228.000.000 VNĐ</t>
  </si>
  <si>
    <t>200.000.000 VNĐ</t>
  </si>
  <si>
    <t>Pinaco / Đồng Nai - 3_x000D_
GS - 5_x000D_
Globe - 2</t>
  </si>
  <si>
    <t>Ắc quy xe máy - X5l - PINACO: 230.000, GS: 260.000, GLOBE: 240.000</t>
  </si>
  <si>
    <t>C000020243</t>
  </si>
  <si>
    <t>PT DƯƠNG OANH</t>
  </si>
  <si>
    <t>14.000.000 VNĐ</t>
  </si>
  <si>
    <t>11.000.000 VNĐ</t>
  </si>
  <si>
    <t>Pinaco / Đồng Nai - 4_x000D_
GS - 3_x000D_
Globe - 3</t>
  </si>
  <si>
    <t>Ắc quy xe máy - Z5l - PINACO: 240.000, GS: 270.000, GLOBE: 260.000</t>
  </si>
  <si>
    <t>C000020242</t>
  </si>
  <si>
    <t>PT CHUÂN BẰNG</t>
  </si>
  <si>
    <t>23.000.000 VNĐ</t>
  </si>
  <si>
    <t>12.000.000 VNĐ</t>
  </si>
  <si>
    <t>Pinaco / Đồng Nai - 3_x000D_
GS - 4_x000D_
Thiên Năng - 3</t>
  </si>
  <si>
    <t>Ắc quy xe máy - Z6hl - PINACO: 270.000, GS: 290.000, THIEN_NANG: 2.000.000</t>
  </si>
  <si>
    <t>C000036581</t>
  </si>
  <si>
    <t>ĐỨC QUÂN</t>
  </si>
  <si>
    <t>C000026335</t>
  </si>
  <si>
    <t>TRƯỜNG SƠN</t>
  </si>
  <si>
    <t>1.000.000 VNĐ</t>
  </si>
  <si>
    <t>C000030083</t>
  </si>
  <si>
    <t>NGÔ QUYẾT</t>
  </si>
  <si>
    <t>40.000.000 VNĐ</t>
  </si>
  <si>
    <t>Ắc quy xe máy - Ptz4l - PINACO: 230.000</t>
  </si>
  <si>
    <t>Phạm Quang Dương</t>
  </si>
  <si>
    <t>C000020079</t>
  </si>
  <si>
    <t>ĐỨC HẠ</t>
  </si>
  <si>
    <t>Ắc quy xe máy - Z9 - PINACO: 409</t>
  </si>
  <si>
    <t>C000036109</t>
  </si>
  <si>
    <t>LUẬN ĐÔNG</t>
  </si>
  <si>
    <t>C000038193</t>
  </si>
  <si>
    <t>VAN TRANG</t>
  </si>
  <si>
    <t>55.600.000 VNĐ</t>
  </si>
  <si>
    <t>Pinaco / Đồng Nai - 1_x000D_
Ắc quy ngoại nhập - 2_x000D_
Yamato - 7</t>
  </si>
  <si>
    <t>Bán lẻ: 30%; Bán sỉ: 70%</t>
  </si>
  <si>
    <t>Ắc quy xe máy - Pinaco - PINACO: 800.000, NGOAI_NHAP: 800.000, YAMATO: 800.000</t>
  </si>
  <si>
    <t>C000022052</t>
  </si>
  <si>
    <t>PT TRÍ DŨNG</t>
  </si>
  <si>
    <t>110.000.000 VNĐ</t>
  </si>
  <si>
    <t>12.500.000 VNĐ</t>
  </si>
  <si>
    <t>Pinaco / Đồng Nai - 8_x000D_
GS - 2</t>
  </si>
  <si>
    <t>Ắc quy oto - Cf - PINACO: 2.350.000, GS: 2.450.000</t>
  </si>
  <si>
    <t>Vũ Văn Khải</t>
  </si>
  <si>
    <t>C000022010</t>
  </si>
  <si>
    <t>Sỹ Nhài</t>
  </si>
  <si>
    <t>70.000.000 VNĐ</t>
  </si>
  <si>
    <t>Pinaco / Đồng Nai - 5_x000D_
GS - 3_x000D_
Enimac - 2</t>
  </si>
  <si>
    <t>Bán lẻ: 91%; Bán sỉ: 9%</t>
  </si>
  <si>
    <t>Ắc quy xe máy - Ptz5l - PINACO: 280.000, GS: 300.000</t>
  </si>
  <si>
    <t xml:space="preserve">Hàng bảo hành nhiều </t>
  </si>
  <si>
    <t>Nguyễn Duy Hiếu</t>
  </si>
  <si>
    <t>C000020602</t>
  </si>
  <si>
    <t>PT PHÚC BẮC</t>
  </si>
  <si>
    <t>60.000.000 VNĐ</t>
  </si>
  <si>
    <t>Pinaco / Đồng Nai - 5_x000D_
GS - 2_x000D_
Globe - 3</t>
  </si>
  <si>
    <t>Bán lẻ: 65%; Bán sỉ: 35%</t>
  </si>
  <si>
    <t>Ắc quy xe máy - Ptz6hl - PINACO: 241.000</t>
  </si>
  <si>
    <t>C000021585</t>
  </si>
  <si>
    <t>Trần Minh</t>
  </si>
  <si>
    <t>9.000.000 VNĐ</t>
  </si>
  <si>
    <t>Bán lẻ: 64%; Bán sỉ: 36%</t>
  </si>
  <si>
    <t>Ắc quy xe máy - Ptz5l - PINACO: 250.000, GS: 260.000</t>
  </si>
  <si>
    <t xml:space="preserve">Khắc phục bình lỗi nhiều quá </t>
  </si>
  <si>
    <t>C000023098</t>
  </si>
  <si>
    <t>Minh Nhâm</t>
  </si>
  <si>
    <t>Bán lẻ: 79%; Bán sỉ: 21%</t>
  </si>
  <si>
    <t>Ắc quy xe máy - Ptz6l - PINACO: 290.000</t>
  </si>
  <si>
    <t>C000022239</t>
  </si>
  <si>
    <t>Minh Đang</t>
  </si>
  <si>
    <t>135.000.000 VNĐ</t>
  </si>
  <si>
    <t>68.000.000 VNĐ</t>
  </si>
  <si>
    <t>Bán lẻ: 71%; Bán sỉ: 29%</t>
  </si>
  <si>
    <t>Ắc quy xe máy - Ptz6hl - PINACO: 235.000, GS: 250.000</t>
  </si>
  <si>
    <t xml:space="preserve">Tỷ lệ bảo hành cao quá </t>
  </si>
  <si>
    <t>C000037205</t>
  </si>
  <si>
    <t>HẢI MOTOR</t>
  </si>
  <si>
    <t>640.000 VNĐ</t>
  </si>
  <si>
    <t>Ắc quy xe máy - Ptz6l - PINACO: 400.000</t>
  </si>
  <si>
    <t>C000020270</t>
  </si>
  <si>
    <t>TẤN PHÁT</t>
  </si>
  <si>
    <t>400.000 VNĐ</t>
  </si>
  <si>
    <t>Ắc quy xe máy - ptz5l - PINACO: 280.000_x000D_
Ắc quy xe máy - ptz6hl - PINACO: 290.000_x000D_
Ắc quy xe máy - ptz6l - PINACO: 350.000</t>
  </si>
  <si>
    <t>Trịnh Quang Nhã</t>
  </si>
  <si>
    <t>C000020323</t>
  </si>
  <si>
    <t>PT THANH BÌNH TĐ</t>
  </si>
  <si>
    <t>19.000.000 VNĐ</t>
  </si>
  <si>
    <t>15.500.000 VNĐ</t>
  </si>
  <si>
    <t>Ắc quy xe máy - Ptz5l - PINACO: 227.000, GS: 245.000, GLOBE: 235.000_x000D_
Ắc quy xe máy - Ptz6HL - PINACO: 240.000, GS: 255.000, GLOBE: 245.000</t>
  </si>
  <si>
    <t>Kiến nghị : công ty cần nâng cao chất lượng sản phẩm bình GM</t>
  </si>
  <si>
    <t>C000022291</t>
  </si>
  <si>
    <t>Thanh Thơm</t>
  </si>
  <si>
    <t>32.000.000 VNĐ</t>
  </si>
  <si>
    <t>Pinaco / Đồng Nai - 3_x000D_
Thiên Năng - 7</t>
  </si>
  <si>
    <t>Bán lẻ: 21%; Bán sỉ: 79%</t>
  </si>
  <si>
    <t>Ắc quy xe điện - Pa 12.14 - PINACO: 1.500.000, THIEN_NANG: 1.300.000</t>
  </si>
  <si>
    <t xml:space="preserve">Bị hư hỏng rất nhiều.chỉ dùng được 8 tháng đến 12 tháng là hư hỏng </t>
  </si>
  <si>
    <t>C000038188</t>
  </si>
  <si>
    <t>MẠNH MOTOR</t>
  </si>
  <si>
    <t>C000020138</t>
  </si>
  <si>
    <t>HÙNG CƯỜNG</t>
  </si>
  <si>
    <t>Ắc quy xe máy - PTZ5l - PINACO: 260.000, GS: 270.000</t>
  </si>
  <si>
    <t>Nguyễn Anh Quý</t>
  </si>
  <si>
    <t>GSBH mới</t>
  </si>
  <si>
    <t>C000019983</t>
  </si>
  <si>
    <t>HINH THẢO</t>
  </si>
  <si>
    <t>Cần bảo hàn nhạn hơn</t>
  </si>
  <si>
    <t>C000032782</t>
  </si>
  <si>
    <t>Nhung Hoàng</t>
  </si>
  <si>
    <t>Pinaco / Đồng Nai - 3_x000D_
GS - 3_x000D_
Globe - 1_x000D_
Nhãn hiệu khác - 3</t>
  </si>
  <si>
    <t>Ắc quy xe máy - PTZ5L - PINACO: 270.000, GS: 290.000, GLOBE: 270.000, OTHER: 250.000_x000D_
Ắc quy xe máy - PTZ6HL - PINACO: 280.000, GS: 300.000, GLOBE: 280.000, OTHER: 260.000_x000D_
Ắc quy xe máy - PTZ6L - PINACO: 350.000, GS: 350.000, GLOBE: 350.000, OTHER: 300.000</t>
  </si>
  <si>
    <t>Ngô Mạnh Tùng</t>
  </si>
  <si>
    <t>CÔNG TY TNHH THƯƠNG MẠI VÀ DỊCH VỤ THẮNG PHÁT TUYÊN QUANG</t>
  </si>
  <si>
    <t>TUYÊN QUANG</t>
  </si>
  <si>
    <t>Trần Ánh Dương</t>
  </si>
  <si>
    <t>C000020921</t>
  </si>
  <si>
    <t>Chính Thành</t>
  </si>
  <si>
    <t>Pinaco / Đồng Nai - 4_x000D_
GS - 6</t>
  </si>
  <si>
    <t>Bán lẻ: 60%; Bán sỉ: 40%</t>
  </si>
  <si>
    <t>Ắc quy oto - Ptz6l - PINACO: 320.000, GS: 330.000</t>
  </si>
  <si>
    <t>Tỷ lệ bảo hành cao</t>
  </si>
  <si>
    <t>C000036930</t>
  </si>
  <si>
    <t>ĐÌNH PHONG</t>
  </si>
  <si>
    <t>700.000 VNĐ</t>
  </si>
  <si>
    <t>Ắc quy xe máy - Z9 - PINACO: 419</t>
  </si>
  <si>
    <t>C000022492</t>
  </si>
  <si>
    <t>TOẢN DUNG</t>
  </si>
  <si>
    <t>38.650.000 VNĐ</t>
  </si>
  <si>
    <t>Ắc quy xe máy - Bình lùn  - PINACO: 220.000, GS: 245.000, GLOBE: 220.000_x000D_
Ắc quy xe máy - Bình cao - PINACO: 230.000, GS: 260.000, GLOBE: 260.000_x000D_
Ắc quy xe máy - Bình nhỡ  - GS: 300.000, GLOBE: 300.000, PINACO: 270.000</t>
  </si>
  <si>
    <t>Trương Trình tốt hơn</t>
  </si>
  <si>
    <t>C000026107</t>
  </si>
  <si>
    <t>NGỌC LAN</t>
  </si>
  <si>
    <t>4.500.000 VNĐ</t>
  </si>
  <si>
    <t>Pinaco / Đồng Nai - 3_x000D_
GS - 7</t>
  </si>
  <si>
    <t>Ắc quy xe máy - Ptz5l - PINACO: 300.000, GS: 350.000</t>
  </si>
  <si>
    <t>C000029032</t>
  </si>
  <si>
    <t>NGỌC QUÝ</t>
  </si>
  <si>
    <t>1.400.000 VNĐ</t>
  </si>
  <si>
    <t>Ắc quy xe máy - Ptz5l - PINACO: 300.000</t>
  </si>
  <si>
    <t>C000040862</t>
  </si>
  <si>
    <t>HẠNH LAN</t>
  </si>
  <si>
    <t>1.700.090 VNĐ</t>
  </si>
  <si>
    <t>Pinaco / Đồng Nai - 5_x000D_
GS - 5</t>
  </si>
  <si>
    <t>Ắc quy xe máy - Z9 - PINACO: 409, GS: 459</t>
  </si>
  <si>
    <t>Đồng nai cần cải thiện chất lượng hơn</t>
  </si>
  <si>
    <t>C000035530</t>
  </si>
  <si>
    <t>XUÂN LẬP</t>
  </si>
  <si>
    <t>77.000.000 VNĐ</t>
  </si>
  <si>
    <t>Pinaco / Đồng Nai - 5_x000D_
GS - 1_x000D_
Nhãn hiệu khác - 4</t>
  </si>
  <si>
    <t>Bán lẻ: 7%; Bán sỉ: 93%</t>
  </si>
  <si>
    <t>Ắc quy xe máy - Ptz5l - PINACO: 230.000, GS: 236.000, OTHER: 200.000</t>
  </si>
  <si>
    <t>C000021435</t>
  </si>
  <si>
    <t>Tuấn Motor</t>
  </si>
  <si>
    <t>Ắc quy xe máy - Z5 - PINACO: 300.000</t>
  </si>
  <si>
    <t>Nguyễn Tiến Thịnh</t>
  </si>
  <si>
    <t>C000021444</t>
  </si>
  <si>
    <t>Đức Bình Motor</t>
  </si>
  <si>
    <t>Pinaco / Đồng Nai - 8_x000D_
Nhãn hiệu khác - 2</t>
  </si>
  <si>
    <t>Ắc quy xe máy - Z5 - PINACO: 280.000, OTHER: 260.000</t>
  </si>
  <si>
    <t>C000026462</t>
  </si>
  <si>
    <t>THANH HẢI</t>
  </si>
  <si>
    <t>Ắc quy xe máy - PTZ5l - PINACO: 260.000</t>
  </si>
  <si>
    <t>C000035364</t>
  </si>
  <si>
    <t>ĐOÀN LAN</t>
  </si>
  <si>
    <t>751.000 VNĐ</t>
  </si>
  <si>
    <t>Ắc quy xe máy - PTZ5L - PINACO: 280.000_x000D_
Ắc quy xe máy - PTZ6HL - PINACO: 300.000_x000D_
Ắc quy xe máy - PTZ6L - PINACO: 380.000</t>
  </si>
  <si>
    <t>Trần Văn Nãm</t>
  </si>
  <si>
    <t>HỘ KINH DOANH PHỤ TÙNG MINH ĐỨC</t>
  </si>
  <si>
    <t>HẢI PHÒNG</t>
  </si>
  <si>
    <t>C000023403</t>
  </si>
  <si>
    <t>PT PHƯƠNG DIỆN</t>
  </si>
  <si>
    <t>16.000.000 VNĐ</t>
  </si>
  <si>
    <t>Pinaco / Đồng Nai - 4_x000D_
Globe - 6</t>
  </si>
  <si>
    <t>Bán lẻ: 35%; Bán sỉ: 65%</t>
  </si>
  <si>
    <t>Ắc quy xe máy - Ptz5l - PINACO: 220.000, GLOBE: 240.000</t>
  </si>
  <si>
    <t>C000020966</t>
  </si>
  <si>
    <t>PT LÊ SƠN</t>
  </si>
  <si>
    <t>Pinaco / Đồng Nai - 3_x000D_
GS - 3_x000D_
Globe - 4</t>
  </si>
  <si>
    <t>Bán lẻ: 22%; Bán sỉ: 78%</t>
  </si>
  <si>
    <t>Ắc quy xe máy - Ptz5l - PINACO: 220.000, GS: 240.000, GLOBE: 235.000</t>
  </si>
  <si>
    <t>C000024403</t>
  </si>
  <si>
    <t>THANH THƯỞNG</t>
  </si>
  <si>
    <t>6.300.000 VNĐ</t>
  </si>
  <si>
    <t>Pinaco / Đồng Nai - 4_x000D_
Enimac - 6</t>
  </si>
  <si>
    <t>Ắc quy xe máy - PTZ5L - PINACO: 280.000, ENIMAC: 270.000</t>
  </si>
  <si>
    <t xml:space="preserve">giá cao. </t>
  </si>
  <si>
    <t>Nguyễn Viết Cảnh</t>
  </si>
  <si>
    <t>C000026743</t>
  </si>
  <si>
    <t>PT ĐỨC PHƯỢNG</t>
  </si>
  <si>
    <t>Bán lẻ: 11%; Bán sỉ: 89%</t>
  </si>
  <si>
    <t>Ắc quy xe máy - Ptz5l - PINACO: 210.000, GS: 235.000</t>
  </si>
  <si>
    <t>giá cao, chênh so với các sản phẩm cùng loại, thợ thắc mắc. chất lượng băm 2026 cải thiện so với cắc năm trước tủ lệ bảo hành tốt hơn.</t>
  </si>
  <si>
    <t>C000020229</t>
  </si>
  <si>
    <t>ĐỨC TRỊNH</t>
  </si>
  <si>
    <t>Pinaco / Đồng Nai - 6_x000D_
Enimac - 4</t>
  </si>
  <si>
    <t>Bán lẻ: 84%; Bán sỉ: 16%</t>
  </si>
  <si>
    <t>Ắc quy xe máy - Ptz5l - PINACO: 260.000, ENIMAC: 240.000</t>
  </si>
  <si>
    <t>C000037456</t>
  </si>
  <si>
    <t>ANH PHƯƠNG</t>
  </si>
  <si>
    <t>Ắc quy xe máy - Ptz6l iss - PINACO: 350.000</t>
  </si>
  <si>
    <t>Đỗ Thị Thanh Hằng</t>
  </si>
  <si>
    <t>CÔNG TY TNHH THƯƠNG MẠI TÂN GIA PHÁT</t>
  </si>
  <si>
    <t>Lục Văn Dưỡng</t>
  </si>
  <si>
    <t>C000027171</t>
  </si>
  <si>
    <t>LÂM KHIÊM</t>
  </si>
  <si>
    <t>Ắc quy xe máy - Ptz5l - PINACO: 260.000</t>
  </si>
  <si>
    <t>C000021451</t>
  </si>
  <si>
    <t>PT DUY VỤ</t>
  </si>
  <si>
    <t>Pinaco / Đồng Nai - 4_x000D_
GS - 3_x000D_
Globe - 2_x000D_
Nhãn hiệu khác - 1</t>
  </si>
  <si>
    <t>Ắc quy xe máy - PTZ6L - PINACO: 275.000, GS: 285.000, GLOBE: 280.000, OTHER: 250.000_x000D_
Ắc quy xe máy - PTZ6HL - PINACO: 235.000, GS: 250.000, GLOBE: 240.000, OTHER: 220.000_x000D_
Ắc quy xe máy - PTZ5L - PINACO: 225.000, GS: 240.000, GLOBE: 235.000, OTHER: 210.000</t>
  </si>
  <si>
    <t>C000020606</t>
  </si>
  <si>
    <t>PT CƯỜNG THUÝ</t>
  </si>
  <si>
    <t>Ắc quy xe máy - Ptz6l - PINACO: 281.000</t>
  </si>
  <si>
    <t>C000022079</t>
  </si>
  <si>
    <t>Phước Huế</t>
  </si>
  <si>
    <t>7.500.000 VNĐ</t>
  </si>
  <si>
    <t>Ắc quy xe máy - Ptz5l - PINACO: 330.000_x000D_
Ắc quy xe máy - Ptz6hl - PINACO: 350.000_x000D_
Ắc quy xe máy - Ptz6l - PINACO: 430.000</t>
  </si>
  <si>
    <t>Nguyễn Văn Đạt</t>
  </si>
  <si>
    <t>C000034142</t>
  </si>
  <si>
    <t>HẢI HƯƠNG</t>
  </si>
  <si>
    <t>22.600.000 VNĐ</t>
  </si>
  <si>
    <t>6.750.000 VNĐ</t>
  </si>
  <si>
    <t>Pinaco / Đồng Nai - 3_x000D_
Globe - 4_x000D_
Ắc quy ngoại nhập - 2_x000D_
Yamato - 1</t>
  </si>
  <si>
    <t>Bán lẻ: 82%; Bán sỉ: 18%</t>
  </si>
  <si>
    <t>Ắc quy oto - Pinaco - PINACO: 260, GLOBE: 300, NGOAI_NHAP: 230, YAMATO: 700</t>
  </si>
  <si>
    <t>Hàng công ty tăng mạnh trong khi đối thủ chưa tăng , giá cao khó bán</t>
  </si>
  <si>
    <t>C000021653</t>
  </si>
  <si>
    <t>NAM HUYỀN</t>
  </si>
  <si>
    <t>Pinaco / Đồng Nai - 5_x000D_
GS - 3_x000D_
Globe - 2_x000D_
Nhãn hiệu khác - 0</t>
  </si>
  <si>
    <t>C000032119</t>
  </si>
  <si>
    <t>HUY HIỆU</t>
  </si>
  <si>
    <t>1.700.000 VNĐ</t>
  </si>
  <si>
    <t>Ắc quy xe máy - Ptz5l  - PINACO: 300.000_x000D_
Ắc quy xe máy - Ptz6hl - PINACO: 300.000_x000D_
Ắc quy xe máy - Ptz6l  - PINACO: 400.000</t>
  </si>
  <si>
    <t xml:space="preserve">Không có ý kiến gì </t>
  </si>
  <si>
    <t>Ngô Quang Giang</t>
  </si>
  <si>
    <t>CÔNG TY TNHH DV THƯƠNG MẠI ĐẠI QUANG</t>
  </si>
  <si>
    <t>C000030565</t>
  </si>
  <si>
    <t>SC SƠN HẰNG</t>
  </si>
  <si>
    <t>53.000.000 VNĐ</t>
  </si>
  <si>
    <t>48.000.000 VNĐ</t>
  </si>
  <si>
    <t>Pinaco / Đồng Nai - 1_x000D_
Thiên Năng - 2_x000D_
Nhãn hiệu khác - 7</t>
  </si>
  <si>
    <t>Bán lẻ: 37%; Bán sỉ: 63%</t>
  </si>
  <si>
    <t>Ắc quy xe điện - Pa 12-24 - PINACO: 2.700.000, THIEN_NANG: 2.500.000, OTHER: 2.700.000</t>
  </si>
  <si>
    <t>C000032017</t>
  </si>
  <si>
    <t>MINH THÀNH</t>
  </si>
  <si>
    <t>15.000.000 VNĐ</t>
  </si>
  <si>
    <t>Bán lẻ: 28%; Bán sỉ: 72%</t>
  </si>
  <si>
    <t>Ắc quy xe máy - PTZ6l - PINACO: 300.000</t>
  </si>
  <si>
    <t>C000020844</t>
  </si>
  <si>
    <t>PT ANH THƯ GT</t>
  </si>
  <si>
    <t>10.800.000 VNĐ</t>
  </si>
  <si>
    <t>Pinaco / Đồng Nai - 4_x000D_
Nhãn hiệu khác - 6</t>
  </si>
  <si>
    <t>Ắc quy xe điện - Pa 12-24 - PINACO: 2.500.000, OTHER: 1.900.000</t>
  </si>
  <si>
    <t>C000032974</t>
  </si>
  <si>
    <t>VĂN TƯỞNG</t>
  </si>
  <si>
    <t>Ắc quy xe máy - Ptz5l - PINACO: 300.000_x000D_
Ắc quy xe máy - Ptz6hl - PINACO: 320.000_x000D_
Ắc quy xe máy - Ptz6l  - PINACO: 380.000</t>
  </si>
  <si>
    <t>C000024674</t>
  </si>
  <si>
    <t>AQ THÁI THỤC</t>
  </si>
  <si>
    <t>Ắc quy xe máy - PA 12-7,2 - PINACO: 280.000, OTHER: 230.000</t>
  </si>
  <si>
    <t>C000021522</t>
  </si>
  <si>
    <t>Thủy Uyên</t>
  </si>
  <si>
    <t>Pinaco / Đồng Nai - 8_x000D_
Globe - 1_x000D_
Nhãn hiệu khác - 1</t>
  </si>
  <si>
    <t>Bán lẻ: 10%; Bán sỉ: 90%</t>
  </si>
  <si>
    <t>Ắc quy xe máy - Z5 - PINACO: 214.000, GLOBE: 230.000, OTHER: 185.000</t>
  </si>
  <si>
    <t>C000034813</t>
  </si>
  <si>
    <t>TỐ NGA</t>
  </si>
  <si>
    <t>Bán lẻ: 9%; Bán sỉ: 91%</t>
  </si>
  <si>
    <t>Ắc quy xe máy - Ptz5l  - PINACO: 230.000_x000D_
Ắc quy xe máy - Ptz6hl - PINACO: 240.000_x000D_
Ắc quy xe máy - Ptz6l  - PINACO: 280.000_x000D_
Ắc quy xe máy - Ptx6hl - PINACO: 235.000_x000D_
Ắc quy xe máy - Ptx5l - PINACO: 220.000</t>
  </si>
  <si>
    <t xml:space="preserve">Giá cao so với gs và globe </t>
  </si>
  <si>
    <t>C000031040</t>
  </si>
  <si>
    <t>Hương Bốn</t>
  </si>
  <si>
    <t>Bán lẻ: 76%; Bán sỉ: 24%</t>
  </si>
  <si>
    <t>Ắc quy xe máy - Z5 - PINACO: 215.000, GS: 230.000, GLOBE: 230.000</t>
  </si>
  <si>
    <t>C000032823</t>
  </si>
  <si>
    <t>Ngọc Thắng</t>
  </si>
  <si>
    <t>Pinaco / Đồng Nai - 4_x000D_
GS - 4_x000D_
Globe - 2</t>
  </si>
  <si>
    <t>Ắc quy xe máy - PT5L - PINACO: 270.000, GS: 300.000, GLOBE: 270.000_x000D_
Ắc quy xe máy - PTZ6HL - PINACO: 280.000, GS: 320.000, GLOBE: 280.000_x000D_
Ắc quy xe máy - PTZ6L - PINACO: 350.000, GS: 380.000, GLOBE: 350.000</t>
  </si>
  <si>
    <t>C000021528</t>
  </si>
  <si>
    <t>Ba Quyên</t>
  </si>
  <si>
    <t>24.000.000 VNĐ</t>
  </si>
  <si>
    <t>Pinaco / Đồng Nai - 5_x000D_
GS - 2_x000D_
Globe - 1_x000D_
Nhãn hiệu khác - 2</t>
  </si>
  <si>
    <t>Bán lẻ: 95%; Bán sỉ: 5%</t>
  </si>
  <si>
    <t>Ắc quy xe máy - Z5 - PINACO: 214, GS: 230, GLOBE: 230, OTHER: 185</t>
  </si>
  <si>
    <t>C000031160</t>
  </si>
  <si>
    <t>HÀ TRANG</t>
  </si>
  <si>
    <t>Ắc quy xe máy - Ptz5l  - PINACO: 280.000_x000D_
Ắc quy xe máy - Ptz6hl - PINACO: 300.000_x000D_
Ắc quy xe máy - Ptz6l  - PINACO: 380.000</t>
  </si>
  <si>
    <t>Dương Ánh Dương</t>
  </si>
  <si>
    <t>C000021157</t>
  </si>
  <si>
    <t>ĐỨC LƯƠNG</t>
  </si>
  <si>
    <t>1.900.000 VNĐ</t>
  </si>
  <si>
    <t>Ắc quy xe máy - Ptz5l - PINACO: 260.000_x000D_
Ắc quy xe máy - Ptz6hl - PINACO: 280.000</t>
  </si>
  <si>
    <t>C000020037</t>
  </si>
  <si>
    <t>HẢI VIỂN</t>
  </si>
  <si>
    <t>C000020841</t>
  </si>
  <si>
    <t>PT NGUYÊN QUẾ</t>
  </si>
  <si>
    <t>63.000.000 VNĐ</t>
  </si>
  <si>
    <t>31.000.000 VNĐ</t>
  </si>
  <si>
    <t>Pinaco / Đồng Nai - 2_x000D_
GS - 8</t>
  </si>
  <si>
    <t>Ắc quy xe máy - z5l - PINACO: 240, GS: 260</t>
  </si>
  <si>
    <t>C000020206</t>
  </si>
  <si>
    <t>QUANG THƯỞNG</t>
  </si>
  <si>
    <t>C000035246</t>
  </si>
  <si>
    <t>VĂN CƯỜNG TN</t>
  </si>
  <si>
    <t>1.502.000 VNĐ</t>
  </si>
  <si>
    <t>Ắc quy xe máy - PTZ6L - PINACO: 400.000_x000D_
Ắc quy xe máy - PTZ6HL - PINACO: 310.000_x000D_
Ắc quy xe máy - PTZ5L - PINACO: 300.000</t>
  </si>
  <si>
    <t>C000020284</t>
  </si>
  <si>
    <t>THÁI DƯƠNG</t>
  </si>
  <si>
    <t>C000019947</t>
  </si>
  <si>
    <t>MINH CHU</t>
  </si>
  <si>
    <t>C000021010</t>
  </si>
  <si>
    <t>THẮNG MỴ</t>
  </si>
  <si>
    <t>Ắc quy xe máy - ptz5l - PINACO: 280.000_x000D_
Ắc quy xe máy - ptz6hl - PINACO: 280.000_x000D_
Ắc quy xe máy - prz6l - PINACO: 340.000</t>
  </si>
  <si>
    <t>C000026017</t>
  </si>
  <si>
    <t>Nguyễn Luật</t>
  </si>
  <si>
    <t>C000041282</t>
  </si>
  <si>
    <t>Anh Cường PT</t>
  </si>
  <si>
    <t>Pinaco / Đồng Nai - 5_x000D_
Nhãn hiệu khác - 5</t>
  </si>
  <si>
    <t>Ắc quy xe máy - Ptz 6l - PINACO: 275.000, OTHER: 240.000_x000D_
Ắc quy xe máy - Ptz 5l - PINACO: 225.000, OTHER: 185.000</t>
  </si>
  <si>
    <t>Nguyễn Trọng Cường</t>
  </si>
  <si>
    <t>C000021013</t>
  </si>
  <si>
    <t>VĂN YÊN</t>
  </si>
  <si>
    <t>Ắc quy xe máy - prz5l - PINACO: 2.800.000_x000D_
Ắc quy xe máy - ptz6hl - PINACO: 280.000_x000D_
Ắc quy xe máy - ptz6l - PINACO: 330.000</t>
  </si>
  <si>
    <t>C000021535</t>
  </si>
  <si>
    <t>Đông Đô Motor</t>
  </si>
  <si>
    <t>1.336.600 VNĐ</t>
  </si>
  <si>
    <t>Ắc quy xe máy - Z6l - PINACO: 400.000</t>
  </si>
  <si>
    <t>C000026044</t>
  </si>
  <si>
    <t>ĐỨC QUYẾT</t>
  </si>
  <si>
    <t>Ắc quy xe điện - Pa -12-14 - PINACO: 457, GS: 400</t>
  </si>
  <si>
    <t>C000038414</t>
  </si>
  <si>
    <t>Cửa Hàng Huyền Hoa</t>
  </si>
  <si>
    <t>28.600.000 VNĐ</t>
  </si>
  <si>
    <t>Pinaco / Đồng Nai - 1_x000D_
GS - 1_x000D_
Globe - 1_x000D_
Nhãn hiệu khác - 7_x000D_
Yamato - 0</t>
  </si>
  <si>
    <t>Ắc quy xe máy - Ptz 6l - PINACO: 275.000, GS: 295.000, GLOBE: 285.000, OTHER: 240.000_x000D_
Ắc quy xe máy - Ptz 5l - PINACO: 225.000, GS: 240.000, GLOBE: 235.000, OTHER: 185.000_x000D_
Ắc quy xe điện - Yamato 12_30 - OTHER: 0, YAMATO: 410.000</t>
  </si>
  <si>
    <t>C000019952</t>
  </si>
  <si>
    <t>VIỆN GIAO AN</t>
  </si>
  <si>
    <t>Bán lẻ: 99%; Bán sỉ: 1%</t>
  </si>
  <si>
    <t>Ắc quy xe điện - ptz5l - PINACO: 270.000_x000D_
Ắc quy xe máy - ptz6hl - PINACO: 2.800.000_x000D_
Ắc quy xe máy - ptz6l - PINACO: 360.000</t>
  </si>
  <si>
    <t>C000024959</t>
  </si>
  <si>
    <t>Công Trịnh Motor</t>
  </si>
  <si>
    <t>Ắc quy xe máy - Z6 - PINACO: 360.000</t>
  </si>
  <si>
    <t>C000025017</t>
  </si>
  <si>
    <t>Thăng Long Motor III</t>
  </si>
  <si>
    <t>Không</t>
  </si>
  <si>
    <t>300.000 VNĐ</t>
  </si>
  <si>
    <t>Nhãn hiệu khác - 10</t>
  </si>
  <si>
    <t>Ắc quy xe máy - Ptz6l iss - OTHER: 300.000</t>
  </si>
  <si>
    <t>C000019953</t>
  </si>
  <si>
    <t>QUANG TUYỂN GT</t>
  </si>
  <si>
    <t>Ắc quy xe máy - ptz5l - PINACO: 270.000_x000D_
Ắc quy xe máy - ptz6hl - PINACO: 280.000_x000D_
Ắc quy xe máy - ptz6l - PINACO: 3.500.000</t>
  </si>
  <si>
    <t>Cần có kệ trưng bày</t>
  </si>
  <si>
    <t>C000019957</t>
  </si>
  <si>
    <t>HOÀNG BIỂN</t>
  </si>
  <si>
    <t>Ắc quy dân dụng - ptz5l - PINACO: 270.000_x000D_
Ắc quy xe máy - ptz6hl - PINACO: 280.000_x000D_
Ắc quy xe máy - ptz6l - PINACO: 350.000</t>
  </si>
  <si>
    <t>Cần kệ trưng bày</t>
  </si>
  <si>
    <t>C000028761</t>
  </si>
  <si>
    <t>Bình Minh</t>
  </si>
  <si>
    <t>10.500.000 VNĐ</t>
  </si>
  <si>
    <t>Ắc quy xe máy - Ptz 6l - PINACO: 420.000, OTHER: 390.000_x000D_
Ắc quy xe máy - Ptx5l - PINACO: 300.000, OTHER: 280.000_x000D_
Ắc quy xe máy - Ptz 7l - PINACO: 470.000, OTHER: 430.000</t>
  </si>
  <si>
    <t>C000022089</t>
  </si>
  <si>
    <t>Minh Thuyên Motor</t>
  </si>
  <si>
    <t>Ắc quy xe máy - Z5 - PINACO: 290.000</t>
  </si>
  <si>
    <t>C000034570</t>
  </si>
  <si>
    <t>Huỳnh Quang</t>
  </si>
  <si>
    <t>126.500.000 VNĐ</t>
  </si>
  <si>
    <t>Pinaco / Đồng Nai - 6_x000D_
Globe - 3_x000D_
Nhãn hiệu khác - 1</t>
  </si>
  <si>
    <t>Ắc quy xe máy - Z5 - PINACO: 214.000, GLOBE: 230.000, OTHER: 180.000</t>
  </si>
  <si>
    <t>C000037484</t>
  </si>
  <si>
    <t>Anh Quân</t>
  </si>
  <si>
    <t>Pinaco / Đồng Nai - 9_x000D_
Nhãn hiệu khác - 1</t>
  </si>
  <si>
    <t>Ắc quy xe máy - Ptz 6l - OTHER: 230.000, PINACO: 270.000_x000D_
Ắc quy xe máy - Ptz 5l - PINACO: 220.000, OTHER: 185.000_x000D_
Ắc quy dân dụng - Pa 6_4.5 - PINACO: 107.000</t>
  </si>
  <si>
    <t>C000020028</t>
  </si>
  <si>
    <t>PT DỰ THOẢ</t>
  </si>
  <si>
    <t>45.000.000 VNĐ</t>
  </si>
  <si>
    <t>Bán lẻ: 23%; Bán sỉ: 77%</t>
  </si>
  <si>
    <t>Ắc quy xe máy - Ptz5l - PINACO: 220.000, GS: 245.000</t>
  </si>
  <si>
    <t>C000021152</t>
  </si>
  <si>
    <t>ANH KHOA GT</t>
  </si>
  <si>
    <t>Ắc quy xe điện - ptz5l - PINACO: 280.000_x000D_
Ắc quy xe máy - ptz6hl - PINACO: 290.000_x000D_
Ắc quy xe máy - ptz6l - PINACO: 340.000</t>
  </si>
  <si>
    <t>C000022128</t>
  </si>
  <si>
    <t>Quốc Đạt phụ tùng xe máy</t>
  </si>
  <si>
    <t>750.000 VNĐ</t>
  </si>
  <si>
    <t>Pinaco / Đồng Nai - 5_x000D_
Globe - 5</t>
  </si>
  <si>
    <t>Ắc quy xe máy - Ptz6l iss - PINACO: 350.000, GLOBE: 400.000</t>
  </si>
  <si>
    <t>C000032968</t>
  </si>
  <si>
    <t>HOÀNG KHOA</t>
  </si>
  <si>
    <t>Ắc quy xe máy - Ptz5l - PINACO: 270.000_x000D_
Ắc quy xe máy - Ptz6hl - PINACO: 280.000_x000D_
Ắc quy xe máy - Ptz6l  - PINACO: 350.000</t>
  </si>
  <si>
    <t xml:space="preserve">Giá cao , có ý định chuyển sang hãng bình khác rẻ hơn </t>
  </si>
  <si>
    <t>C000025026</t>
  </si>
  <si>
    <t>NGHỊ PHƯƠNG</t>
  </si>
  <si>
    <t>17.000.000 VNĐ</t>
  </si>
  <si>
    <t>Ắc quy xe máy - ptz6hl - PINACO: 300.000</t>
  </si>
  <si>
    <t>giá cao, date sâu. PTZ6HL so với trước chất lượng được cải thiện hơn.</t>
  </si>
  <si>
    <t>C000021506</t>
  </si>
  <si>
    <t>XUÂN TRƯỜNG</t>
  </si>
  <si>
    <t>Ắc quy xe máy - PTZ5L - PINACO: 320.000_x000D_
Ắc quy xe máy - PTZ6L - PINACO: 400.000_x000D_
Ắc quy xe máy - PTZ6HL - PINACO: 320.000</t>
  </si>
  <si>
    <t>C000020331</t>
  </si>
  <si>
    <t>PT QUỲNH TRANG</t>
  </si>
  <si>
    <t>22.000.000 VNĐ</t>
  </si>
  <si>
    <t>18.200.000 VNĐ</t>
  </si>
  <si>
    <t>GS - 9_x000D_
Pinaco / Đồng Nai - 1</t>
  </si>
  <si>
    <t>Bán lẻ: 50%; Bán sỉ: 50%</t>
  </si>
  <si>
    <t>Ắc quy xe máy - Pa 12-23 - GS: 500.000, PINACO: 728.000</t>
  </si>
  <si>
    <t>Đồng nai bảo hành nhiều cần cải thiện thêm chất lượng</t>
  </si>
  <si>
    <t>C000025025</t>
  </si>
  <si>
    <t>ĐỨC DÂN</t>
  </si>
  <si>
    <t>4.565.000 VNĐ</t>
  </si>
  <si>
    <t>Ắc quy xe máy - ptz6l - PINACO: 350.000</t>
  </si>
  <si>
    <t>giá cao</t>
  </si>
  <si>
    <t>C000023682</t>
  </si>
  <si>
    <t>PT ĐẠO LOAN</t>
  </si>
  <si>
    <t>78.000.000 VNĐ</t>
  </si>
  <si>
    <t>Pinaco / Đồng Nai - 5_x000D_
GS - 4_x000D_
Globe - 1</t>
  </si>
  <si>
    <t>Bán lẻ: 20%; Bán sỉ: 80%</t>
  </si>
  <si>
    <t>Ắc quy xe máy - Ptz5l - PINACO: 225.000, GS: 230.000, GLOBE: 225.000_x000D_
Ắc quy xe máy - Ptz6hl - PINACO: 235.000, GS: 240.000, GLOBE: 235.000_x000D_
Ắc quy xe máy - Ptz6l  - PINACO: 275.000, GS: 280.000, GLOBE: 275.000</t>
  </si>
  <si>
    <t>C000026262</t>
  </si>
  <si>
    <t>PT CỪ THOA</t>
  </si>
  <si>
    <t>9.500.000 VNĐ</t>
  </si>
  <si>
    <t>Ắc quy xe máy - Ptz5l  - PINACO: 225.000, GS: 245.000_x000D_
Ắc quy xe máy - Ptz6l  - PINACO: 280.000, GS: 310.000_x000D_
Ắc quy xe máy - Ptz6hl  - PINACO: 240.000, GS: 280.000</t>
  </si>
  <si>
    <t xml:space="preserve">Giá thành cao. </t>
  </si>
  <si>
    <t>C000021690</t>
  </si>
  <si>
    <t>DUY KHÁNH</t>
  </si>
  <si>
    <t>12.967.009 VNĐ</t>
  </si>
  <si>
    <t>Pinaco / Đồng Nai - 7_x000D_
Ắc quy ngoại nhập - 3</t>
  </si>
  <si>
    <t>Bán lẻ: 97%; Bán sỉ: 3%</t>
  </si>
  <si>
    <t>Ắc quy khác - Pinaco - PINACO: 270, NGOAI_NHAP: 700</t>
  </si>
  <si>
    <t>C000025774</t>
  </si>
  <si>
    <t>TĨNH NHẪN</t>
  </si>
  <si>
    <t>1.450.000 VNĐ</t>
  </si>
  <si>
    <t>Ắc quy xe máy - PTZ5l - PINACO: 300.000</t>
  </si>
  <si>
    <t xml:space="preserve">Bình hay bị chôi date </t>
  </si>
  <si>
    <t>C000022539</t>
  </si>
  <si>
    <t>QUANG HUY VB</t>
  </si>
  <si>
    <t>Ắc quy xe máy - Z6hl - PINACO: 241.000</t>
  </si>
  <si>
    <t>Đang xây lại cửa hàng. Tạm thời nghỉ</t>
  </si>
  <si>
    <t>C000021169</t>
  </si>
  <si>
    <t>MẠNH CƯỜNG GT</t>
  </si>
  <si>
    <t>4.400.000 VNĐ</t>
  </si>
  <si>
    <t>Ắc quy xe máy - Ptz6hl - PINACO: 280.000_x000D_
Ắc quy xe máy - Ptz5l - PINACO: 260.000_x000D_
Ắc quy xe máy - Ptz6l - PINACO: 320.000</t>
  </si>
  <si>
    <t>C000023139</t>
  </si>
  <si>
    <t>QUANG KHẢI</t>
  </si>
  <si>
    <t>Ắc quy xe máy - Ptz5l - PINACO: 280.000_x000D_
Ắc quy xe máy - Ptx6hl - PINACO: 290.000_x000D_
Ắc quy xe máy - Ptz6l  - PINACO: 350.000</t>
  </si>
  <si>
    <t>C000024343</t>
  </si>
  <si>
    <t>HỒNG KHANH</t>
  </si>
  <si>
    <t>8.500.000 VNĐ</t>
  </si>
  <si>
    <t>20.417.000 VNĐ</t>
  </si>
  <si>
    <t>Ắc quy khác - Pinaco - PINACO: 268, NGOAI_NHAP: 700</t>
  </si>
  <si>
    <t>C000020330</t>
  </si>
  <si>
    <t>KHƯƠNG VIỆT LONG</t>
  </si>
  <si>
    <t>Pinaco / Đồng Nai - 2_x000D_
Globe - 8</t>
  </si>
  <si>
    <t>Ắc quy xe điện - Pa - PINACO: 728, GLOBE: 650</t>
  </si>
  <si>
    <t>Đồng nai hay lỗi hơn globe</t>
  </si>
  <si>
    <t>C000029642</t>
  </si>
  <si>
    <t>Duy Đạt</t>
  </si>
  <si>
    <t>3.328.000 VNĐ</t>
  </si>
  <si>
    <t>Ắc quy xe máy - Ptz5l - PINACO: 330.000_x000D_
Ắc quy xe máy - Ptz6hl - PINACO: 340.000_x000D_
Ắc quy xe máy - Ptz6l - PINACO: 380.000_x000D_
Ắc quy xe điện - Pa 12-14 - PINACO: 1.500.000</t>
  </si>
  <si>
    <t>C000021474</t>
  </si>
  <si>
    <t>PT ĐÔNG PHONG</t>
  </si>
  <si>
    <t>80.000.000 VNĐ</t>
  </si>
  <si>
    <t>Ắc quy xe máy - Ptz5l - PINACO: 220.000, GS: 225.000, GLOBE: 220.000_x000D_
Ắc quy xe máy - Ptz6hl - PINACO: 235.000, GS: 240.000, GLOBE: 235.000_x000D_
Ắc quy xe máy - Ptz6l  - PINACO: 270.000, GS: 275.000, GLOBE: 270.000</t>
  </si>
  <si>
    <t>C000019962</t>
  </si>
  <si>
    <t>CẦU BẠCH LONG</t>
  </si>
  <si>
    <t>3.900.000 VNĐ</t>
  </si>
  <si>
    <t>Ắc quy xe máy - Ptz6l - PINACO: 320.000_x000D_
Ắc quy xe máy - Ptz5l - PINACO: 260.000_x000D_
Ắc quy xe máy - Ptz6hl - PINACO: 280.000</t>
  </si>
  <si>
    <t>C000024461</t>
  </si>
  <si>
    <t>HẢI THUẦN</t>
  </si>
  <si>
    <t>Ắc quy xe máy - ptz6hl - PINACO: 280.000</t>
  </si>
  <si>
    <t>giá cao so với mặt hàng cùng chất lương.</t>
  </si>
  <si>
    <t>C000022918</t>
  </si>
  <si>
    <t>PT HƯƠNG CHANG</t>
  </si>
  <si>
    <t>Bán lẻ: 17%; Bán sỉ: 83%</t>
  </si>
  <si>
    <t>Ắc quy xe máy - Ptz5l - PINACO: 220.000</t>
  </si>
  <si>
    <t>C000021477</t>
  </si>
  <si>
    <t>PT CƯỜNG HÀ</t>
  </si>
  <si>
    <t>Ắc quy xe máy - Ptz5l - PINACO: 230.000, GS: 235.000_x000D_
Ắc quy xe máy - Ptz6hl - PINACO: 235.000, GS: 240.000_x000D_
Ắc quy xe máy - Ptz6l - PINACO: 275.000, GS: 280.000</t>
  </si>
  <si>
    <t>Giá cao , kém khách</t>
  </si>
  <si>
    <t>C000037012</t>
  </si>
  <si>
    <t>Việt Hoàng</t>
  </si>
  <si>
    <t>Pinaco / Đồng Nai - 9_x000D_
Thiên Năng - 1</t>
  </si>
  <si>
    <t>Ắc quy xe máy - Ptz 6l - PINACO: 390.000_x000D_
Ắc quy xe máy - Ptz5l - PINACO: 280.000_x000D_
Ắc quy xe máy - Ptz 6hl - PINACO: 290.000_x000D_
Ắc quy xe điện - Pa12_23 - PINACO: 630.000, THIEN_NANG: 550.000</t>
  </si>
  <si>
    <t>C000021652</t>
  </si>
  <si>
    <t>TRUNG TĨNH</t>
  </si>
  <si>
    <t>Ắc quy xe máy - ptz5l - PINACO: 270.000_x000D_
Ắc quy xe máy - ptz6hl - PINACO: 270.000_x000D_
Ắc quy xe máy - ptz6l - PINACO: 350.000</t>
  </si>
  <si>
    <t>C000032178</t>
  </si>
  <si>
    <t>SC QUỲNH</t>
  </si>
  <si>
    <t>C000038030</t>
  </si>
  <si>
    <t>MINH CHIẾN</t>
  </si>
  <si>
    <t>44.000.000 VNĐ</t>
  </si>
  <si>
    <t>4.800.000 VNĐ</t>
  </si>
  <si>
    <t>Pinaco / Đồng Nai - 1_x000D_
Nhãn hiệu khác - 2_x000D_
Cửu Hội (Passion) - 1_x000D_
Thiên Năng - 3_x000D_
Yamato - 3</t>
  </si>
  <si>
    <t>Ắc quy xe máy - Ptz5l - PINACO: 260.000_x000D_
Ắc quy xe máy - Ptz6l - PINACO: 280.000_x000D_
Ắc quy xe máy - Ptz6hl - PINACO: 280.000</t>
  </si>
  <si>
    <t>2</t>
  </si>
  <si>
    <t>Bình e bike đắt mà chất lượng quá kém.nhập 15 bộ bảo hành 12 bộ.sợ k dám dùng.chào hàng thì hay lắm</t>
  </si>
  <si>
    <t>C000020271</t>
  </si>
  <si>
    <t>BA BÁU</t>
  </si>
  <si>
    <t>Bảo hành lâu</t>
  </si>
  <si>
    <t>C000033566</t>
  </si>
  <si>
    <t>Tuấn Anh</t>
  </si>
  <si>
    <t>850.500 VNĐ</t>
  </si>
  <si>
    <t>Ắc quy xe máy - Z5 - PINACO: 250.000, GS: 270.000</t>
  </si>
  <si>
    <t>C000020239</t>
  </si>
  <si>
    <t>HUY THÔNG</t>
  </si>
  <si>
    <t>C000036333</t>
  </si>
  <si>
    <t>Xuân Thế</t>
  </si>
  <si>
    <t>36.000.000 VNĐ</t>
  </si>
  <si>
    <t>22.500.000 VNĐ</t>
  </si>
  <si>
    <t>Pinaco / Đồng Nai - 8_x000D_
Globe - 1_x000D_
GS - 1</t>
  </si>
  <si>
    <t>Ắc quy xe máy - Ptz6l - PINACO: 290.000, GS: 310.000, GLOBE: 300.000_x000D_
Ắc quy xe máy - Ptz5l - PINACO: 225.000, GLOBE: 235.000, GS: 240.000_x000D_
Ắc quy xe máy - Ptz6hl - GS: 260.000, GLOBE: 250.000, PINACO: 240.000</t>
  </si>
  <si>
    <t>C000020236</t>
  </si>
  <si>
    <t>THẮNG SƠN</t>
  </si>
  <si>
    <t>Ắc quy xe máy - ptx5l - PINACO: 250.000_x000D_
Ắc quy xe máy - ptx6hl - PINACO: 250.000_x000D_
Ắc quy xe máy - ptz6l - PINACO: 350.000</t>
  </si>
  <si>
    <t>Cần giá riêng của pinaco để trưng bày</t>
  </si>
  <si>
    <t>C000032174</t>
  </si>
  <si>
    <t>TRỌNG DƯƠNG</t>
  </si>
  <si>
    <t>3.300.000 VNĐ</t>
  </si>
  <si>
    <t>C000020265</t>
  </si>
  <si>
    <t>SC CẢNH TT</t>
  </si>
  <si>
    <t>Hãng bảo hành quá lâu</t>
  </si>
  <si>
    <t>C000020060</t>
  </si>
  <si>
    <t>KHOA ĐIỀN</t>
  </si>
  <si>
    <t>Ắc quy xe máy - ptx5l - PINACO: 250.000_x000D_
Ắc quy xe máy - ptx6hl - PINACO: 250.000_x000D_
Ắc quy xe máy - ptz6l - PINACO: 340.000</t>
  </si>
  <si>
    <t>C000036438</t>
  </si>
  <si>
    <t>Cao Đặng moto 2</t>
  </si>
  <si>
    <t>1.021.400 VNĐ</t>
  </si>
  <si>
    <t>Ắc quy xe máy - Z5 - PINACO: 250</t>
  </si>
  <si>
    <t>C000032626</t>
  </si>
  <si>
    <t>TÍNH GIANG</t>
  </si>
  <si>
    <t>C000028746</t>
  </si>
  <si>
    <t>PT HẢI HƯNG</t>
  </si>
  <si>
    <t>Ắc quy xe điện - Pa - PINACO: 728</t>
  </si>
  <si>
    <t>C000020253</t>
  </si>
  <si>
    <t>TRẦN TRÌNH</t>
  </si>
  <si>
    <t>Ắc quy xe máy - ptz5l - PINACO: 260.000_x000D_
Ắc quy xe máy - ptz6hl - PINACO: 260.000_x000D_
Ắc quy xe máy - ptz6l - PINACO: 350.000</t>
  </si>
  <si>
    <t>C000040548</t>
  </si>
  <si>
    <t>Sơn Lý</t>
  </si>
  <si>
    <t>Pinaco / Đồng Nai - 6_x000D_
Globe - 4</t>
  </si>
  <si>
    <t>Ắc quy xe máy - Ptz 6l - PINACO: 285.000, GLOBE: 290.000_x000D_
Ắc quy xe máy - Ptz 5l - PINACO: 230.000, GLOBE: 235.000_x000D_
Ắc quy xe máy - Ptz 6hl - PINACO: 245.000, GLOBE: 250.000</t>
  </si>
  <si>
    <t>C000036332</t>
  </si>
  <si>
    <t>Thoại Yên</t>
  </si>
  <si>
    <t>83.000.000 VNĐ</t>
  </si>
  <si>
    <t>Pinaco / Đồng Nai - 3_x000D_
GS - 4_x000D_
Globe - 3_x000D_
Nhãn hiệu khác - 0</t>
  </si>
  <si>
    <t>Ắc quy xe máy - Ptz 6l - PINACO: 280.000, GS: 290.000, GLOBE: 280.000_x000D_
Ắc quy xe máy - Ptz 5l - PINACO: 230.000, GS: 250.000, GLOBE: 240.000_x000D_
Ắc quy xe máy - Ptz 6hl - PINACO: 240.000, GLOBE: 250.000, GS: 265.000</t>
  </si>
  <si>
    <t>C000038367</t>
  </si>
  <si>
    <t>HẢI ĐĂNG</t>
  </si>
  <si>
    <t>41.000.000 VNĐ</t>
  </si>
  <si>
    <t>Pinaco / Đồng Nai - 3_x000D_
Nhãn hiệu khác - 7</t>
  </si>
  <si>
    <t>Ắc quy xe điện - Pa - PINACO: 400.000, OTHER: 350.000</t>
  </si>
  <si>
    <t>Bình đồng nai xe điện lỗi nhiều hơn</t>
  </si>
  <si>
    <t>C000026226</t>
  </si>
  <si>
    <t>MINH TUẤN</t>
  </si>
  <si>
    <t>Bán lẻ: 83%; Bán sỉ: 17%</t>
  </si>
  <si>
    <t>Ắc quy xe máy - Ptz5l - PINACO: 250.000, OTHER: 230.000</t>
  </si>
  <si>
    <t>C000038517</t>
  </si>
  <si>
    <t>Đức Thành Moto 3</t>
  </si>
  <si>
    <t>1.329.867 VNĐ</t>
  </si>
  <si>
    <t>Ắc quy xe máy - Z6l - PINACO: 330.000</t>
  </si>
  <si>
    <t>C000020599</t>
  </si>
  <si>
    <t>ĐỨC PHẤT</t>
  </si>
  <si>
    <t>Bán lẻ: 85%; Bán sỉ: 15%</t>
  </si>
  <si>
    <t>Ắc quy xe máy - PTZ5L - PINACO: 250.000</t>
  </si>
  <si>
    <t>C000027648</t>
  </si>
  <si>
    <t>Bình Motor</t>
  </si>
  <si>
    <t>1.767.467 VNĐ</t>
  </si>
  <si>
    <t>Ắc quy xe máy - Z5 - PINACO: 280.000</t>
  </si>
  <si>
    <t>C000039790</t>
  </si>
  <si>
    <t>VŨ HIÊU</t>
  </si>
  <si>
    <t>Ắc quy xe máy - ptz5l - PINACO: 260.000_x000D_
Ắc quy xe máy - ptz6l - PINACO: 260.000_x000D_
Ắc quy xe máy - ptz6l - PINACO: 34.000</t>
  </si>
  <si>
    <t>C000035492</t>
  </si>
  <si>
    <t>Việt Hùng</t>
  </si>
  <si>
    <t>18.500.000 VNĐ</t>
  </si>
  <si>
    <t>Ắc quy xe máy - Ptz 6l - PINACO: 390.000_x000D_
Ắc quy xe máy - Ptz 6hl - PINACO: 2.900.000_x000D_
Ắc quy xe điện - Thiên năng  - THIEN_NANG: 2.000.000</t>
  </si>
  <si>
    <t>C000021400</t>
  </si>
  <si>
    <t>Hoàng Hiệp Motor</t>
  </si>
  <si>
    <t>500.000 VNĐ</t>
  </si>
  <si>
    <t>Ắc quy xe máy - Ptz6l Iss - PINACO: 350.000</t>
  </si>
  <si>
    <t>C000020590</t>
  </si>
  <si>
    <t>BẢO LONG</t>
  </si>
  <si>
    <t>52.000.000 VNĐ</t>
  </si>
  <si>
    <t>Pinaco / Đồng Nai - 2_x000D_
Thiên Năng - 4_x000D_
Nhãn hiệu khác - 4</t>
  </si>
  <si>
    <t>Bán lẻ: 77%; Bán sỉ: 23%</t>
  </si>
  <si>
    <t>Ắc quy xe điện - Pa12-23AH - PINACO: 600.000, THIEN_NANG: 550.000, OTHER: 550.000</t>
  </si>
  <si>
    <t>C000032190</t>
  </si>
  <si>
    <t>SC XUÂN MẠNH</t>
  </si>
  <si>
    <t>Ắc quy xe máy - Ptz5l - PINACO: 300.000_x000D_
Ắc quy xe máy - Ptz6hl - PINACO: 300.000_x000D_
Ắc quy xe máy - Ptz6l  - PINACO: 350.000</t>
  </si>
  <si>
    <t>C000027550</t>
  </si>
  <si>
    <t>TOẢN THƠM</t>
  </si>
  <si>
    <t>Bảo hành quá lâu.chất lượng ko ổn định</t>
  </si>
  <si>
    <t>C000027647</t>
  </si>
  <si>
    <t>HÙNG MẠNH MOTOR</t>
  </si>
  <si>
    <t>1.680.000 VNĐ</t>
  </si>
  <si>
    <t>201.330.000 VNĐ</t>
  </si>
  <si>
    <t>GS - 2_x000D_
Pinaco / Đồng Nai - 5_x000D_
Globe - 3</t>
  </si>
  <si>
    <t>Ắc quy xe máy - Ptz6l iSS - GS: 300.000, PINACO: 350.000, GLOBE: 380.000</t>
  </si>
  <si>
    <t>C000021648</t>
  </si>
  <si>
    <t>HẢI HẬU 2</t>
  </si>
  <si>
    <t>Ắc quy xe máy - ptz5l - PINACO: 260.000_x000D_
Ắc quy xe máy - ptz6hl - PINACO: 260.000_x000D_
Ắc quy xe máy - ptz6l - PINACO: 340.000</t>
  </si>
  <si>
    <t>C000032801</t>
  </si>
  <si>
    <t>Trung Hiếu</t>
  </si>
  <si>
    <t>1.600.000 VNĐ</t>
  </si>
  <si>
    <t>1.950.000 VNĐ</t>
  </si>
  <si>
    <t>Pinaco / Đồng Nai - 6_x000D_
GS - 2_x000D_
Globe - 2</t>
  </si>
  <si>
    <t>Ắc quy xe máy - Bình lùn - PINACO: 300.000, GS: 300.000, GLOBE: 300.000_x000D_
Ắc quy xe máy - Bình cao  - PINACO: 300.000, GS: 300.000, GLOBE: 300.000_x000D_
Ắc quy xe máy - Bình nhỡ - PINACO: 450.000, GS: 450.000, GLOBE: 450.000</t>
  </si>
  <si>
    <t>Yêu cầu bên công ty cung cấp giá trưng bầy sản phẩm, áo và mũ có logo sản phẩm của công ty</t>
  </si>
  <si>
    <t>C000021650</t>
  </si>
  <si>
    <t>HẢI HẬU 1</t>
  </si>
  <si>
    <t>Pinaco / Đồng Nai - 10_x000D_
Nhãn hiệu khác - 0</t>
  </si>
  <si>
    <t>Ắc quy xe máy - Ptz5L - PINACO: 260.000_x000D_
Ắc quy xe máy - Ptz6l - PINACO: 320.000_x000D_
Ắc quy xe máy - Ptz6HL - PINACO: 270.000</t>
  </si>
  <si>
    <t xml:space="preserve">- Mã bình GM 2021 Rất tốt, Date 10-12/ 2023 ,2024 kém,chỉ được khoảng hơn 1 năm.
- Hỗ trợ kệ biển bảng cho kh để quảng bá hình ảnh tốt hơn.
</t>
  </si>
  <si>
    <t>C000035343</t>
  </si>
  <si>
    <t>THIỆN TÙNG</t>
  </si>
  <si>
    <t>Ắc quy dân dụng - Cf - PINACO: 2.500.000, THIEN_NANG: 2.400.000, OTHER: 2.300.000</t>
  </si>
  <si>
    <t xml:space="preserve">Đồng nai bảo hành lỗi nhiều hơn </t>
  </si>
  <si>
    <t>C000030715</t>
  </si>
  <si>
    <t>MINH THUẤN</t>
  </si>
  <si>
    <t>Ắc quy xe máy - ptz5 - PINACO: 280.000</t>
  </si>
  <si>
    <t xml:space="preserve">giá cao </t>
  </si>
  <si>
    <t>C000036331</t>
  </si>
  <si>
    <t>Tiến Anh</t>
  </si>
  <si>
    <t>Ắc quy xe máy - Ptz6l - PINACO: 270.000, GLOBE: 295.000_x000D_
Ắc quy xe máy - Ptz 5l - PINACO: 220.000, GLOBE: 230.000</t>
  </si>
  <si>
    <t>C000027551</t>
  </si>
  <si>
    <t>TƯ LOAN</t>
  </si>
  <si>
    <t>5.228.000 VNĐ</t>
  </si>
  <si>
    <t>Cần cải thiện chất lượng. Hàng trôi date dập lại date nhiều.giao trôi date bảo hành khó khăn</t>
  </si>
  <si>
    <t>C000035361</t>
  </si>
  <si>
    <t>CỬA HÀNG QUANG  VỮNG</t>
  </si>
  <si>
    <t>Ắc quy xe máy - PTZ6L - PINACO: 400.000_x000D_
Ắc quy xe máy - PTZ6HL - PINACO: 300.000_x000D_
Ắc quy xe máy - PTZ5L - PINACO: 300.000</t>
  </si>
  <si>
    <t>C000033106</t>
  </si>
  <si>
    <t>PT ĐỨC ĐÔNG</t>
  </si>
  <si>
    <t>Bán lẻ: 24%; Bán sỉ: 76%</t>
  </si>
  <si>
    <t>Ắc quy xe máy - ptz5l - PINACO: 220.000, GS: 220.000</t>
  </si>
  <si>
    <t xml:space="preserve">Giá cao </t>
  </si>
  <si>
    <t>C000020586</t>
  </si>
  <si>
    <t>XUÂN DƯỠNG</t>
  </si>
  <si>
    <t>Bán lẻ: 75%; Bán sỉ: 25%</t>
  </si>
  <si>
    <t>Ắc quy xe máy - PTZ5L - PINACO: 260.000, GS: 270.000</t>
  </si>
  <si>
    <t>C000020211</t>
  </si>
  <si>
    <t>ĐỨC DUY MOTOR</t>
  </si>
  <si>
    <t>C000020255</t>
  </si>
  <si>
    <t>DUY DỊU</t>
  </si>
  <si>
    <t>C000020210</t>
  </si>
  <si>
    <t>THANH LAN</t>
  </si>
  <si>
    <t>C000020237</t>
  </si>
  <si>
    <t>KIM CƯƠNG</t>
  </si>
  <si>
    <t>Bảo hành lâu quá</t>
  </si>
  <si>
    <t>C000032635</t>
  </si>
  <si>
    <t>PT HẢO THÀNH</t>
  </si>
  <si>
    <t>Pinaco / Đồng Nai - 7_x000D_
Globe - 3</t>
  </si>
  <si>
    <t>Bán lẻ: 68%; Bán sỉ: 32%</t>
  </si>
  <si>
    <t>C000023205</t>
  </si>
  <si>
    <t>PT HẢI THÀNH</t>
  </si>
  <si>
    <t>Pinaco / Đồng Nai - 2_x000D_
GS - 5_x000D_
Globe - 3</t>
  </si>
  <si>
    <t>Ắc quy xe máy - PTZ6L - PINACO: 275.000, GS: 280.000, GLOBE: 280.000_x000D_
Ắc quy xe máy - PTZ5L - PINACO: 225.000, GS: 240.000, GLOBE: 235.000_x000D_
Ắc quy xe máy - PTZ6HL - PINACO: 235.000, GS: 250.000, GLOBE: 250.000</t>
  </si>
  <si>
    <t>C000032187</t>
  </si>
  <si>
    <t>CƯỜNG HƯƠNG</t>
  </si>
  <si>
    <t>Ắc quy xe máy - Ptz5l - PINACO: 300.000_x000D_
Ắc quy xe máy - Ptz6hl - PINACO: 300.000_x000D_
Ắc quy xe máy - Ptz6l  - PINACO: 400.000</t>
  </si>
  <si>
    <t>C000026365</t>
  </si>
  <si>
    <t>THÁI THUỴ MOTOR</t>
  </si>
  <si>
    <t>Ắc quy xe máy - PTZ6HL - PINACO: 320.000</t>
  </si>
  <si>
    <t>C000032185</t>
  </si>
  <si>
    <t>SAN</t>
  </si>
  <si>
    <t>Ắc quy xe máy - Ptz5l - PINACO: 300.000_x000D_
Ắc quy xe máy - Ptz6hl - PINACO: 300.000_x000D_
Ắc quy xe máy - Ptz6l - PINACO: 400.000</t>
  </si>
  <si>
    <t>C000035247</t>
  </si>
  <si>
    <t>KỸ THUẬT CAO THẮNG</t>
  </si>
  <si>
    <t>Ắc quy xe máy - PTZ6L - PINACO: 350.000_x000D_
Ắc quy xe máy - PTZ6HL - PINACO: 280.000_x000D_
Ắc quy xe máy - PTZ5L - PINACO: 250.000</t>
  </si>
  <si>
    <t>C000020249</t>
  </si>
  <si>
    <t>QUYẾT THẮNG NT</t>
  </si>
  <si>
    <t>Ắc quy xe máy - ptz5l - PINACO: 260.000_x000D_
Ắc quy xe máy - ptz6hl - PINACO: 270.000_x000D_
Ắc quy xe máy - ptz6l - PINACO: 350.000</t>
  </si>
  <si>
    <t>C000021422</t>
  </si>
  <si>
    <t>Hạnh Minh Khai</t>
  </si>
  <si>
    <t>Ắc quy xe máy - Ptz5l - PINACO: 320.000_x000D_
Ắc quy xe máy - Ptz6hl - PINACO: 350.000_x000D_
Ắc quy xe máy - Ptz6l - PINACO: 400.000</t>
  </si>
  <si>
    <t>C000029422</t>
  </si>
  <si>
    <t>QUANG CHỨC</t>
  </si>
  <si>
    <t>C000022845</t>
  </si>
  <si>
    <t>MẠNH CHUYỆN</t>
  </si>
  <si>
    <t>Ắc quy xe máy - Ptz6l - PINACO: 420.000</t>
  </si>
  <si>
    <t>Bán hơi đắt.</t>
  </si>
  <si>
    <t>C000033224</t>
  </si>
  <si>
    <t>CHUNG TIẾN</t>
  </si>
  <si>
    <t>C000030915</t>
  </si>
  <si>
    <t>QUANG HÙNG</t>
  </si>
  <si>
    <t>Ắc quy xe máy - Ptz5L - PINACO: 260.000_x000D_
Ắc quy xe máy - Ptz6HL - PINACO: 270.000_x000D_
Ắc quy xe máy - Ptz6L - PINACO: 340.000</t>
  </si>
  <si>
    <t>C000026348</t>
  </si>
  <si>
    <t>LÝ HÙNG</t>
  </si>
  <si>
    <t>2.400.000 VNĐ</t>
  </si>
  <si>
    <t>Ắc quy xe máy - Ptz5l  - PINACO: 260.000_x000D_
Ắc quy xe máy - Ptz6l  - PINACO: 200.000_x000D_
Ắc quy xe máy - Ptz6hl  - PINACO: 280.000</t>
  </si>
  <si>
    <t xml:space="preserve">Bình nhanh chết cần nâng cao chất lượng </t>
  </si>
  <si>
    <t>C000024475</t>
  </si>
  <si>
    <t>NGỌC ĐỈNH</t>
  </si>
  <si>
    <t>Ắc quy xe máy - PTZ6HL - PINACO: 300.000</t>
  </si>
  <si>
    <t>giá cao so với sản phẩm  chất lượng tương đương.</t>
  </si>
  <si>
    <t>C000020247</t>
  </si>
  <si>
    <t>THÀNH LỢI</t>
  </si>
  <si>
    <t>6.586.000 VNĐ</t>
  </si>
  <si>
    <t>Ắc quy xe máy - Ptz5l - PINACO: 280.000_x000D_
Ắc quy xe máy - Ptz6hl - PINACO: 300.000_x000D_
Ắc quy xe máy - Ptz6l - PINACO: 330.000</t>
  </si>
  <si>
    <t>C000029662</t>
  </si>
  <si>
    <t>Anh Thiện</t>
  </si>
  <si>
    <t>C000040868</t>
  </si>
  <si>
    <t>XĐ ĐÌNH KHIẾT</t>
  </si>
  <si>
    <t>Ắc quy xe điện - Pa 12-14 - PINACO: 470.000</t>
  </si>
  <si>
    <t>Nâng cao chất lượng hơn nữa sp. Cần bảo hàn nhanh hơn</t>
  </si>
  <si>
    <t>C000020181</t>
  </si>
  <si>
    <t>ANH ĐỨC TN</t>
  </si>
  <si>
    <t>Ắc quy xe máy - ptz5l - PINACO: 260.000_x000D_
Ắc quy xe máy - ptz6hl - PINACO: 26.000_x000D_
Ắc quy xe máy - ptz6l - PINACO: 320.090</t>
  </si>
  <si>
    <t>C000020170</t>
  </si>
  <si>
    <t>TRUNG TỰ</t>
  </si>
  <si>
    <t>2.200.000 VNĐ</t>
  </si>
  <si>
    <t>Ắc quy xe máy - Paz6hl - PINACO: 241.000</t>
  </si>
  <si>
    <t>Cần nâng cao chất lượng sp. Tăng cường ct</t>
  </si>
  <si>
    <t>C000033558</t>
  </si>
  <si>
    <t>THÀNH ĐẠT PVĐ</t>
  </si>
  <si>
    <t>Ắc quy xe máy - PTZ6L - PINACO: 380.000_x000D_
Ắc quy xe máy - PTZ6HL - PINACO: 300.000_x000D_
Ắc quy xe máy - PTZ5L - PINACO: 300.000</t>
  </si>
  <si>
    <t>C000036560</t>
  </si>
  <si>
    <t>QUANG ĐẮC</t>
  </si>
  <si>
    <t>Sản phẩm chất lượng bình thường. Bảo hành hãng rất lâu</t>
  </si>
  <si>
    <t>C000034810</t>
  </si>
  <si>
    <t>TRẦN TĨNH</t>
  </si>
  <si>
    <t>241.000 VNĐ</t>
  </si>
  <si>
    <t>Ắc quy xe máy - Z9 - PINACO: 390</t>
  </si>
  <si>
    <t>C000029040</t>
  </si>
  <si>
    <t>HOÀNG ĐÔNG</t>
  </si>
  <si>
    <t>Ắc quy xe máy - Z6l - PINACO: 281, GS: 291</t>
  </si>
  <si>
    <t>Cải thiện chất lượng bình. Trả bảo hành cần nhanh hơn</t>
  </si>
  <si>
    <t>C000027500</t>
  </si>
  <si>
    <t>PT TIẾN DŨNG</t>
  </si>
  <si>
    <t>185.000.000 VNĐ</t>
  </si>
  <si>
    <t>42.600.000 VNĐ</t>
  </si>
  <si>
    <t>Bán lẻ: 4%; Bán sỉ: 96%</t>
  </si>
  <si>
    <t>Ắc quy xe máy - Ptz5l - PINACO: 215.000, GS: 240.000, GLOBE: 220.000_x000D_
Ắc quy xe máy - Ptz6hl - PINACO: 230.000, GS: 275.000, GLOBE: 240.000_x000D_
Ắc quy xe máy - Ptz6 - PINACO: 275.000, GS: 290.000, GLOBE: 280.000</t>
  </si>
  <si>
    <t>Giá cao.chất lượng kém</t>
  </si>
  <si>
    <t>C000037691</t>
  </si>
  <si>
    <t>Phụ Tùng Tiến Thông</t>
  </si>
  <si>
    <t>91.000.000 VNĐ</t>
  </si>
  <si>
    <t>87.000.000 VNĐ</t>
  </si>
  <si>
    <t>Pinaco / Đồng Nai - 1_x000D_
Globe - 2_x000D_
Nhãn hiệu khác - 7</t>
  </si>
  <si>
    <t>Ắc quy xe máy - Ptz6l - PINACO: 270.000, GLOBE: 285.000, OTHER: 240.000_x000D_
Ắc quy xe máy - Ptx5l - OTHER: 190.000, GLOBE: 240.000, PINACO: 220.000</t>
  </si>
  <si>
    <t>C000027502</t>
  </si>
  <si>
    <t>NGỌ XE GA</t>
  </si>
  <si>
    <t xml:space="preserve">Cần cải thiện chất lượng </t>
  </si>
  <si>
    <t>C000020741</t>
  </si>
  <si>
    <t>PT QUANG HƯỚNG</t>
  </si>
  <si>
    <t>Pinaco / Đồng Nai - 3_x000D_
Globe - 7</t>
  </si>
  <si>
    <t>Bán lẻ: 19%; Bán sỉ: 81%</t>
  </si>
  <si>
    <t>Ắc quy xe máy - Z5l - PINACO: 240, GLOBE: 250</t>
  </si>
  <si>
    <t>C000028869</t>
  </si>
  <si>
    <t>Trần Việt</t>
  </si>
  <si>
    <t>Ắc quy xe máy - Ptz6l - PINACO: 480.000_x000D_
Ắc quy xe máy - Ptx5l - PINACO: 380.000, OTHER: 340.000</t>
  </si>
  <si>
    <t>C000020162</t>
  </si>
  <si>
    <t>THUẬN PHÁT</t>
  </si>
  <si>
    <t>C000038186</t>
  </si>
  <si>
    <t>THU HÀ MOTOR</t>
  </si>
  <si>
    <t>1</t>
  </si>
  <si>
    <t>Nâng cao chất lượng sp. Bảo hành nhành hơn</t>
  </si>
  <si>
    <t>C000024408</t>
  </si>
  <si>
    <t>HUY VIỆT</t>
  </si>
  <si>
    <t>8.100.000 VNĐ</t>
  </si>
  <si>
    <t>Ắc quy xe máy - PTZ5l - PINACO: 290.000</t>
  </si>
  <si>
    <t xml:space="preserve">bình xe điện giá còn cao, so với các sản phẩm nội. </t>
  </si>
  <si>
    <t>C000024415</t>
  </si>
  <si>
    <t>VĂN SỸ</t>
  </si>
  <si>
    <t>600.000 VNĐ</t>
  </si>
  <si>
    <t>Ắc quy xe máy - ptz5l - PINACO: 290.000</t>
  </si>
  <si>
    <t>Giá cao hơn với sản phẩm vùng chất lượng</t>
  </si>
  <si>
    <t>C000020165</t>
  </si>
  <si>
    <t>MẠNH DOÃN</t>
  </si>
  <si>
    <t>Ắc quy xe máy - ptz5l - PINACO: 260.000_x000D_
Ắc quy xe máy - ptz6hl - PINACO: 270.000_x000D_
Ắc quy xe máy - ptz6l - PINACO: 330.000</t>
  </si>
  <si>
    <t>C000026329</t>
  </si>
  <si>
    <t>DUY THANH 1</t>
  </si>
  <si>
    <t>Pinaco / Đồng Nai - 4_x000D_
GS - 6_x000D_
Enimac - 0</t>
  </si>
  <si>
    <t>Bán lẻ: 15%; Bán sỉ: 85%</t>
  </si>
  <si>
    <t>Ắc quy xe máy - Ptz5l - PINACO: 225.000, GS: 245.000_x000D_
Ắc quy xe máy - Ptz6hl - PINACO: 235.000, GS: 270.000_x000D_
Ắc quy xe máy - Ptz6l - PINACO: 270.000, GS: 290.000</t>
  </si>
  <si>
    <t>Giá cao.bảo hành nhiều</t>
  </si>
  <si>
    <t>C000032489</t>
  </si>
  <si>
    <t>AQ NGỌC ANH</t>
  </si>
  <si>
    <t>Ắc quy xe máy - Ptz5l  - PINACO: 230.000_x000D_
Ắc quy xe máy - Ptz6hl - PINACO: 250.000_x000D_
Ắc quy xe máy - Ptz6l  - PINACO: 300.000</t>
  </si>
  <si>
    <t>C000020121</t>
  </si>
  <si>
    <t>PT TOÀN PHÁT</t>
  </si>
  <si>
    <t>Ắc quy xe máy - Ptz5l - PINACO: 220.000, GS: 240.000</t>
  </si>
  <si>
    <t>C000027671</t>
  </si>
  <si>
    <t>QUYẾN ĐẠT</t>
  </si>
  <si>
    <t>Nâng cao chất.lượng hơn nữa. Bảo hành nhanh hơn nữa</t>
  </si>
  <si>
    <t>C000026259</t>
  </si>
  <si>
    <t>CÔNG ĐIỀN</t>
  </si>
  <si>
    <t>Ắc quy xe máy - Ptz5l - PINACO: 230.000_x000D_
Ắc quy xe máy - Ptz6hl - PINACO: 240.000_x000D_
Ắc quy xe máy - Ptz6l - PINACO: 270.000</t>
  </si>
  <si>
    <t>Giá cao khó bán</t>
  </si>
  <si>
    <t>C000036764</t>
  </si>
  <si>
    <t>HÒA LINH</t>
  </si>
  <si>
    <t>Ắc quy xe máy - Ptz5l - PINACO: 280.000_x000D_
Ắc quy xe máy - Ptz6hl - PINACO: 300.000_x000D_
Ắc quy xe máy - Ptz6l  - PINACO: 380.000_x000D_
Ắc quy xe máy - Ptz7l - PINACO: 480.000_x000D_
Ắc quy xe máy - Ptz7a - PINACO: 380.000</t>
  </si>
  <si>
    <t>C000020157</t>
  </si>
  <si>
    <t>TIẾN PHÁT</t>
  </si>
  <si>
    <t>Ắc quy xe máy - ptz5l - PINACO: 260.000_x000D_
Ắc quy xe máy - ptz6hl - PINACO: 260.000_x000D_
Ắc quy xe máy - ptz6l - PINACO: 320.000</t>
  </si>
  <si>
    <t xml:space="preserve">đề nghị có kệ trưng bày </t>
  </si>
  <si>
    <t>C000034047</t>
  </si>
  <si>
    <t>PT TÂM TỈNH</t>
  </si>
  <si>
    <t>Ắc quy xe máy - PTZ6L - PINACO: 285.000_x000D_
Ắc quy xe máy - PTZ6HL - PINACO: 245.000_x000D_
Ắc quy xe máy - PTZ5L - PINACO: 235.000</t>
  </si>
  <si>
    <t>C000032981</t>
  </si>
  <si>
    <t>Sửa Xe Chí Nguyện</t>
  </si>
  <si>
    <t>Ắc quy xe máy - Ptz6l - PINACO: 450.000_x000D_
Ắc quy xe máy - Ptz5l - PINACO: 330.000_x000D_
Ắc quy xe máy - Ptz6hl - PINACO: 330.000_x000D_
Ắc quy xe máy - Ptz7l - PINACO: 480.000</t>
  </si>
  <si>
    <t>C000027499</t>
  </si>
  <si>
    <t>PT ĐỨC THẮNG</t>
  </si>
  <si>
    <t>Ắc quy xe tải - Cf - PINACO: 213.000, GS: 9</t>
  </si>
  <si>
    <t>Chất lượng bảo hành nhiều GS rất nhiều</t>
  </si>
  <si>
    <t>C000032131</t>
  </si>
  <si>
    <t>THANH BÌNH</t>
  </si>
  <si>
    <t>Ắc quy xe máy - Ptz5l  - PINACO: 260.000_x000D_
Ắc quy xe máy - Ptz6hl - PINACO: 270.000_x000D_
Ắc quy xe máy - Ptz6l  - PINACO: 350.000</t>
  </si>
  <si>
    <t>C000020161</t>
  </si>
  <si>
    <t>TRẦN TRUNG</t>
  </si>
  <si>
    <t>5.828.000 VNĐ</t>
  </si>
  <si>
    <t>Ắc quy xe máy - Ptz6l - PINACO: 320.000</t>
  </si>
  <si>
    <t xml:space="preserve">- Đầu tư thêm kệ trưng bày
- Một số bình ptx5l ,PTx6HL nhanh bị chết,có sạc nhưng không phục hồi được.
- Các CTKM tăng thêm thời gian để khách hàng ổn định giá khi thay cho người tiêu dùng.
</t>
  </si>
  <si>
    <t>C000035188</t>
  </si>
  <si>
    <t>PHƯƠNG ĐÔNG</t>
  </si>
  <si>
    <t>Ắc quy xe máy - PTZ6L - PINACO: 380.000_x000D_
Ắc quy xe máy - PTX6HL - PINACO: 300.000_x000D_
Ắc quy xe máy - PTZ5L - PINACO: 300.000</t>
  </si>
  <si>
    <t>C000020154</t>
  </si>
  <si>
    <t>NGỌC DŨNG NT</t>
  </si>
  <si>
    <t>Ắc quy xe máy - ptz5l - PINACO: 270.000_x000D_
Ắc quy xe máy - ptz6hl - PINACO: 270.000_x000D_
Ắc quy xe máy - ptz6l - PINACO: 330.000</t>
  </si>
  <si>
    <t>C000032290</t>
  </si>
  <si>
    <t>THỊNH VƯỢNG</t>
  </si>
  <si>
    <t>Ắc quy xe máy - Ptz5l  - PINACO: 280.000_x000D_
Ắc quy xe máy - Ptz6hl - PINACO: 300.000_x000D_
Ắc quy xe máy - Ptz6l  - PINACO: 400.000</t>
  </si>
  <si>
    <t>C000031512</t>
  </si>
  <si>
    <t>DUY MẠNH</t>
  </si>
  <si>
    <t>2.100.000 VNĐ</t>
  </si>
  <si>
    <t>C000038843</t>
  </si>
  <si>
    <t>QUYẾT LINH</t>
  </si>
  <si>
    <t>Ắc quy xe máy - Z6l iSS - PINACO: 350.000</t>
  </si>
  <si>
    <t>C000021462</t>
  </si>
  <si>
    <t>PT ĐĂNG KHOA</t>
  </si>
  <si>
    <t>Ắc quy xe máy - Ptz5l  - PINACO: 230.000_x000D_
Ắc quy xe máy - Pt6hl - PINACO: 240.000_x000D_
Ắc quy xe máy - Ptz6l  - PINACO: 280.000</t>
  </si>
  <si>
    <t xml:space="preserve">Giá cao so với globe </t>
  </si>
  <si>
    <t>C000019946</t>
  </si>
  <si>
    <t>MINH QUÂN TN</t>
  </si>
  <si>
    <t>Ắc quy xe máy - ptz5l - PINACO: 260.000_x000D_
Ắc quy xe máy - ptz6hl - PINACO: 270.000_x000D_
Ắc quy xe máy - ptz6l - PINACO: 340.000</t>
  </si>
  <si>
    <t>có kệ riêng để trưng bày ác quy</t>
  </si>
  <si>
    <t>C000019990</t>
  </si>
  <si>
    <t>SC VIỆT TÂN</t>
  </si>
  <si>
    <t>Ắc quy xe máy - Z6l - PINACO: 281</t>
  </si>
  <si>
    <t>Nâng cao chất lượng sản phẩm. Bảo hành nhanh hơn</t>
  </si>
  <si>
    <t>C000032748</t>
  </si>
  <si>
    <t>HẢI CÒI</t>
  </si>
  <si>
    <t>C000030712</t>
  </si>
  <si>
    <t>ĐỨC TAM</t>
  </si>
  <si>
    <t>6.400.000 VNĐ</t>
  </si>
  <si>
    <t>Ắc quy xe máy - ptz6hl - PINACO: 300.000, ENIMAC: 300.000</t>
  </si>
  <si>
    <t>chất lượng so với các công ty  bình thường. bình mới cùng chủng loại Enimac khoẻ hơn.</t>
  </si>
  <si>
    <t>C000021351</t>
  </si>
  <si>
    <t>Đức Tam</t>
  </si>
  <si>
    <t>8.700.000 VNĐ</t>
  </si>
  <si>
    <t>Ắc quy xe máy - Ptz5l - PINACO: 300.000_x000D_
Ắc quy xe máy - Ptz6hl - PINACO: 320.000_x000D_
Ắc quy xe máy - Ptz6l - PINACO: 450.000</t>
  </si>
  <si>
    <t>C000026255</t>
  </si>
  <si>
    <t>PT ĐÔNG TUYẾT</t>
  </si>
  <si>
    <t>Ắc quy xe điện - A 12-23 - PINACO: 728</t>
  </si>
  <si>
    <t>Chất lượng không được dài hết bảo hành là bình hỏng nhiều</t>
  </si>
  <si>
    <t>C000035007</t>
  </si>
  <si>
    <t>KIÊM BÌNH</t>
  </si>
  <si>
    <t>Ắc quy xe máy - Ptz6l  - PINACO: 320.000, NGOAI_NHAP: 280.000_x000D_
Ắc quy xe máy - Ptz6hl  - PINACO: 280.000, NGOAI_NHAP: 260.000_x000D_
Ắc quy xe máy - Ptz5l  - PINACO: 260.000, NGOAI_NHAP: 240.000</t>
  </si>
  <si>
    <t xml:space="preserve">Giá hiện tại đã cao. Cần cải thiện chất lượng </t>
  </si>
  <si>
    <t>C000032636</t>
  </si>
  <si>
    <t>PT OANH CHÍNH</t>
  </si>
  <si>
    <t>C000020147</t>
  </si>
  <si>
    <t>QUỐC VIỆT TN</t>
  </si>
  <si>
    <t>Ắc quy xe máy - prz5l - PINACO: 250.000_x000D_
Ắc quy xe máy - ptz6hl - PINACO: 250.000_x000D_
Ắc quy xe máy - ptz6l - PINACO: 340.000</t>
  </si>
  <si>
    <t>thêm kệ riêng của pinaco để trưng bày</t>
  </si>
  <si>
    <t>C000036582</t>
  </si>
  <si>
    <t>RỒNG TƯƠI</t>
  </si>
  <si>
    <t>Ắc quy xe máy - Ptx5l - PINACO: 225.000</t>
  </si>
  <si>
    <t>Cần nâng cao chất lượng hơn nữa để sản phẩm có tính ổn định.</t>
  </si>
  <si>
    <t>C000032644</t>
  </si>
  <si>
    <t>BÙI PHÓNG</t>
  </si>
  <si>
    <t>Ắc quy xe máy - Ptz5l - PINACO: 280.000_x000D_
Ắc quy xe máy - Ptz6hl - PINACO: 300.000_x000D_
Ắc quy xe máy - Ptz6l  - PINACO: 380.000_x000D_
Ắc quy xe máy - Ptz7l - PINACO: 500.000_x000D_
Ắc quy xe máy - Ptz7a - PINACO: 500.000</t>
  </si>
  <si>
    <t>C000027386</t>
  </si>
  <si>
    <t>Tiến Bào</t>
  </si>
  <si>
    <t>128.000.000 VNĐ</t>
  </si>
  <si>
    <t>58.000.000 VNĐ</t>
  </si>
  <si>
    <t>Pinaco / Đồng Nai - 3_x000D_
GS - 1_x000D_
Nhãn hiệu khác - 6</t>
  </si>
  <si>
    <t>Ắc quy xe máy - Ptz5l - PINACO: 225.000, GS: 230.000, OTHER: 185.000_x000D_
Ắc quy xe máy - Ptz6l - PINACO: 275.000, GS: 300.000, OTHER: 235.000</t>
  </si>
  <si>
    <t>C000023402</t>
  </si>
  <si>
    <t>PT SÔNG NHUỆ</t>
  </si>
  <si>
    <t>Pinaco / Đồng Nai - 4_x000D_
GS - 5_x000D_
Nhãn hiệu khác - 1</t>
  </si>
  <si>
    <t>Ắc quy xe máy - Ptz5l - PINACO: 220.000, GS: 218.000, OTHER: 180.000</t>
  </si>
  <si>
    <t>C000020671</t>
  </si>
  <si>
    <t>PT THẮNG OANH</t>
  </si>
  <si>
    <t>Bán lẻ: 8%; Bán sỉ: 92%</t>
  </si>
  <si>
    <t>Ắc quy xe máy - ptz5l - PINACO: 220.000, GS: 245.000_x000D_
Ắc quy xe máy - ptz6hl - PINACO: 230.000, GS: 245.000_x000D_
Ắc quy xe máy - ptz6l - PINACO: 275.000, GS: 285.000</t>
  </si>
  <si>
    <t>C000019991</t>
  </si>
  <si>
    <t>SC ĐỨC LỘC</t>
  </si>
  <si>
    <t>Ắc quy xe máy - Z6l - PINACO: 281.000</t>
  </si>
  <si>
    <t>Cần bảo hành nhanh hành bình lỗi nhanh hơn nữa. Nâng cao chất lượng bình lên. Lỗi vặt nhiều</t>
  </si>
  <si>
    <t>C000021357</t>
  </si>
  <si>
    <t>Hồng Đức</t>
  </si>
  <si>
    <t>155.000.000 VNĐ</t>
  </si>
  <si>
    <t>Pinaco / Đồng Nai - 4_x000D_
Globe - 3_x000D_
Nhãn hiệu khác - 3</t>
  </si>
  <si>
    <t>Ắc quy xe máy - Ptz5l - PINACO: 219.000, GLOBE: 230.000, OTHER: 180.000_x000D_
Ắc quy xe máy - Ptz6l - GLOBE: 280.000, PINACO: 270.000, OTHER: 225.000</t>
  </si>
  <si>
    <t>C000029036</t>
  </si>
  <si>
    <t>LONG LY</t>
  </si>
  <si>
    <t>Bán lẻ: 49%; Bán sỉ: 51%</t>
  </si>
  <si>
    <t>Ắc quy xe máy - Ptz6hl - PINACO: 244.000</t>
  </si>
  <si>
    <t>Cần bảo hàn nhanh hơn và linh hoạt hơn</t>
  </si>
  <si>
    <t>C000020013</t>
  </si>
  <si>
    <t>PT HỒNG NGUYỆN</t>
  </si>
  <si>
    <t>120.000.000 VNĐ</t>
  </si>
  <si>
    <t>Pinaco / Đồng Nai - 3_x000D_
GS - 4_x000D_
Globe - 2_x000D_
Nhãn hiệu khác - 1</t>
  </si>
  <si>
    <t>Bán lẻ: 81%; Bán sỉ: 19%</t>
  </si>
  <si>
    <t>Ắc quy xe máy - PTZ5l - PINACO: 220.000, GS: 210.000, GLOBE: 210.000, OTHER: 190.000</t>
  </si>
  <si>
    <t>C000024503</t>
  </si>
  <si>
    <t>ANH KHOA XT</t>
  </si>
  <si>
    <t>Bán lẻ: 70%; Bán sỉ: 30%</t>
  </si>
  <si>
    <t>Ắc quy xe máy - Ptz5l - PINACO: 260.000_x000D_
Ắc quy xe máy - Ptz6hl - PINACO: 280.000_x000D_
Ắc quy xe máy - Ptz6l - PINACO: 320.000</t>
  </si>
  <si>
    <t>Tạo nhiều chương trình ưu đãi đến khách hàng hơn</t>
  </si>
  <si>
    <t>C000020019</t>
  </si>
  <si>
    <t>PT THẮNG VÓC</t>
  </si>
  <si>
    <t>Ắc quy xe máy - PTZ5L  - PINACO: 220.000, GS: 225.000</t>
  </si>
  <si>
    <t>C000034653</t>
  </si>
  <si>
    <t>TRẦN THANH</t>
  </si>
  <si>
    <t>Ắc quy xe máy - Z5 - PINACO: 280, GS: 300</t>
  </si>
  <si>
    <t>C000031903</t>
  </si>
  <si>
    <t>PT KÍNH</t>
  </si>
  <si>
    <t>Bán lẻ: 55%; Bán sỉ: 45%</t>
  </si>
  <si>
    <t>Ắc quy xe máy - PTZ5L - PINACO: 225.000, OTHER: 200.000</t>
  </si>
  <si>
    <t>C000031320</t>
  </si>
  <si>
    <t>PHÁT HƯỜNG</t>
  </si>
  <si>
    <t>5.400.000 VNĐ</t>
  </si>
  <si>
    <t>3.728.000 VNĐ</t>
  </si>
  <si>
    <t>Ắc quy xe máy - Ptz5l  - PINACO: 260.000, GS: 300.000_x000D_
Ắc quy xe máy - Ptz6l  - PINACO: 300.000, GS: 330.000_x000D_
Ắc quy xe máy - Ptz6hl - PINACO: 280.000, GS: 310.000</t>
  </si>
  <si>
    <t xml:space="preserve">Chất lượng cần cải thiện. </t>
  </si>
  <si>
    <t>C000020064</t>
  </si>
  <si>
    <t>PT PHƯƠNG HẰNG</t>
  </si>
  <si>
    <t>Ắc quy xe máy - Z5 - PINACO: 280, GS: 300.000</t>
  </si>
  <si>
    <t>C000020065</t>
  </si>
  <si>
    <t>HÙNG MỸ</t>
  </si>
  <si>
    <t>Ắc quy xe điện - Pa12 - PINACO: 728</t>
  </si>
  <si>
    <t>C000020032</t>
  </si>
  <si>
    <t>TRẦN KHẢI</t>
  </si>
  <si>
    <t>C000024522</t>
  </si>
  <si>
    <t>MINH TÂM</t>
  </si>
  <si>
    <t>Ắc quy xe máy - PTZ6L - PINACO: 400.000_x000D_
Ắc quy xe máy - PTZ6HL - PINACO: 320.000_x000D_
Ắc quy xe máy - PTZ5L - PINACO: 300.000_x000D_
Ắc quy xe máy - PTZ7A - PINACO: 500.000_x000D_
Ắc quy xe máy - PTZ7L - PINACO: 500.000</t>
  </si>
  <si>
    <t>C000023297</t>
  </si>
  <si>
    <t>PT THÀNH TRANH</t>
  </si>
  <si>
    <t>Ắc quy xe máy - ptz5l - PINACO: 205.000, GS: 233.000_x000D_
Ắc quy xe máy - ptz6hl - PINACO: 210.000, GS: 235.000_x000D_
Ắc quy xe máy - ptz6l - PINACO: 245.000, GS: 280.000</t>
  </si>
  <si>
    <t>Cần cải thiện để chất lượng tốt hơn</t>
  </si>
  <si>
    <t>C000033122</t>
  </si>
  <si>
    <t>LÊ HANH</t>
  </si>
  <si>
    <t>Pinaco / Đồng Nai - 10_x000D_
Thiên Năng - 0</t>
  </si>
  <si>
    <t>Ắc quy xe máy - ptz5l - PINACO: 280.000</t>
  </si>
  <si>
    <t xml:space="preserve">date về đến tiệm sửa thường chôi date đến hơn 3 tháng. </t>
  </si>
  <si>
    <t>C000021502</t>
  </si>
  <si>
    <t>CƯỜNG THỊNH</t>
  </si>
  <si>
    <t>3.250.000 VNĐ</t>
  </si>
  <si>
    <t>Ắc quy xe máy - PTZ6L - PINACO: 400.000_x000D_
Ắc quy xe máy - PTZ6HL - PINACO: 320.000_x000D_
Ắc quy xe máy - PTZ5L - PINACO: 310.000</t>
  </si>
  <si>
    <t>C000033009</t>
  </si>
  <si>
    <t>MINH TUÂN</t>
  </si>
  <si>
    <t>Ắc quy xe máy - PTZ6L - PINACO: 400.000_x000D_
Ắc quy xe máy - PTZ6HL - PINACO: 320.000_x000D_
Ắc quy xe máy - PTZ5L - PINACO: 320.000</t>
  </si>
  <si>
    <t>C000033455</t>
  </si>
  <si>
    <t>NAM NGỌC</t>
  </si>
  <si>
    <t>Ắc quy xe máy - PTZ6L - PINACO: 380.000_x000D_
Ắc quy xe máy - PTZ5L - PINACO: 300.000_x000D_
Ắc quy xe máy - PTZ6HL - PINACO: 310.000</t>
  </si>
  <si>
    <t>C000022605</t>
  </si>
  <si>
    <t>VIỆT THÁI</t>
  </si>
  <si>
    <t>Ắc quy xe máy - ptz5l - PINACO: 280.000_x000D_
Ắc quy xe máy - pts6hl - PINACO: 290.000_x000D_
Ắc quy xe máy - ptz6l - PINACO: 340.000</t>
  </si>
  <si>
    <t>C000028358</t>
  </si>
  <si>
    <t>PHƯƠNG TÙNG</t>
  </si>
  <si>
    <t>Ắc quy xe máy - PTZ6L - PINACO: 400.000_x000D_
Ắc quy xe máy - PTZ6HL - PINACO: 320.000_x000D_
Ắc quy xe máy - PTZ5L - PINACO: 300.000</t>
  </si>
  <si>
    <t>C000032133</t>
  </si>
  <si>
    <t>THÀNH PHƯƠNG</t>
  </si>
  <si>
    <t>C000023646</t>
  </si>
  <si>
    <t>QUANG BA</t>
  </si>
  <si>
    <t>4.035.000 VNĐ</t>
  </si>
  <si>
    <t>Ắc quy xe máy - PTZ6L - PINACO: 380.000_x000D_
Ắc quy xe máy - PTZ5L - PINACO: 280.000_x000D_
Ắc quy xe máy - PTZ6HL - PINACO: 280.000_x000D_
Ắc quy xe máy - PTZ7A - PINACO: 480.000_x000D_
Ắc quy xe máy - PTZ7L - PINACO: 500.000</t>
  </si>
  <si>
    <t>C000037113</t>
  </si>
  <si>
    <t>HOÀNG HẢI</t>
  </si>
  <si>
    <t>Ắc quy xe máy - Ptz5l  - PINACO: 260.000_x000D_
Ắc quy xe máy - Ptz6l  - PINACO: 300.000_x000D_
Ắc quy xe máy - Ptz6hl - PINACO: 280.000</t>
  </si>
  <si>
    <t>Cần cải thiện chất lượng. Giá thành chưa phù hơp</t>
  </si>
  <si>
    <t>C000022612</t>
  </si>
  <si>
    <t>QUANG MỘC</t>
  </si>
  <si>
    <t>Ắc quy xe máy - ptz5l - PINACO: 270.000, GS: 290.000_x000D_
Ắc quy xe máy - ptz6hl - PINACO: 280.000, GS: 290.000_x000D_
Ắc quy xe máy - ptz6l - PINACO: 330.000, GS: 350.000</t>
  </si>
  <si>
    <t>C000020015</t>
  </si>
  <si>
    <t>LÊ LIN</t>
  </si>
  <si>
    <t>C000021508</t>
  </si>
  <si>
    <t>ĐỨC PHÚC</t>
  </si>
  <si>
    <t>Ắc quy xe máy - PTZ6L - PINACO: 400.000, OTHER: 380.000_x000D_
Ắc quy xe máy - PTZ6HL - PINACO: 320.000, OTHER: 300.000_x000D_
Ắc quy xe máy - PTZ5L - PINACO: 300.000, OTHER: 280.000</t>
  </si>
  <si>
    <t>C000032643</t>
  </si>
  <si>
    <t>HẢI HIÊN</t>
  </si>
  <si>
    <t>Bán lẻ: 47%; Bán sỉ: 53%</t>
  </si>
  <si>
    <t>Ắc quy xe máy - Ptx5l - PINACO: 230.000_x000D_
Ắc quy xe máy - Ptx6hl - PINACO: 250.000_x000D_
Ắc quy xe máy - Ptz6l - PINACO: 350.000</t>
  </si>
  <si>
    <t>C000020086</t>
  </si>
  <si>
    <t>BÁ TRỰC</t>
  </si>
  <si>
    <t>26.000.000 VNĐ</t>
  </si>
  <si>
    <t>Ắc quy xe máy - Ptz5l  - PINACO: 260.000_x000D_
Ắc quy xe máy - Ptz6l  - PINACO: 300.000_x000D_
Ắc quy xe máy - Ptz6lhl - PINACO: 280.000</t>
  </si>
  <si>
    <t>Cần cải thiện chất lượng nhất là bình ebike</t>
  </si>
  <si>
    <t>C000036886</t>
  </si>
  <si>
    <t>VĂN HUYỆN</t>
  </si>
  <si>
    <t>Ắc quy xe máy - Ptz5l  - PINACO: 300.000_x000D_
Ắc quy xe máy - Ptz6hl - PINACO: 300.000_x000D_
Ắc quy xe máy - Ptz6l - PINACO: 400.000</t>
  </si>
  <si>
    <t>C000021453</t>
  </si>
  <si>
    <t>THÀNH ĐẠT</t>
  </si>
  <si>
    <t>Ắc quy xe máy - PTZ6L - PINACO: 380.000_x000D_
Ắc quy xe máy - PTZ6HL - PINACO: 320.000_x000D_
Ắc quy xe máy - PTZ5L - PINACO: 300.000</t>
  </si>
  <si>
    <t>C000020074</t>
  </si>
  <si>
    <t>PT BẢO TRUNG</t>
  </si>
  <si>
    <t>17.228.000 VNĐ</t>
  </si>
  <si>
    <t>Pinaco / Đồng Nai - 2_x000D_
Thiên Năng - 8</t>
  </si>
  <si>
    <t>Bán lẻ: 40%; Bán sỉ: 60%</t>
  </si>
  <si>
    <t>Ắc quy xe máy - Z9 - PINACO: 500.000, THIEN_NANG: 600.000</t>
  </si>
  <si>
    <t>Bình pa 12-14 pa 12-23 chất lượng không ổn định</t>
  </si>
  <si>
    <t>C000034814</t>
  </si>
  <si>
    <t>THẾ KHIÊM</t>
  </si>
  <si>
    <t>C000031122</t>
  </si>
  <si>
    <t>NGỌC HÀ</t>
  </si>
  <si>
    <t>Ắc quy xe máy - Ptz5l  - PINACO: 260.000_x000D_
Ắc quy xe máy - Ptz6hl  - PINACO: 280.000_x000D_
Ắc quy xe máy - Ptz6l - PINACO: 300.000</t>
  </si>
  <si>
    <t xml:space="preserve">Cần nâng cao chất lượng. Tăng thêm chương trình khuyến mãi </t>
  </si>
  <si>
    <t>C000032171</t>
  </si>
  <si>
    <t>QUANG TỐ</t>
  </si>
  <si>
    <t xml:space="preserve">Không có ý kiến </t>
  </si>
  <si>
    <t>C000035513</t>
  </si>
  <si>
    <t>CHÍ HÒA</t>
  </si>
  <si>
    <t>Ắc quy xe máy - PTZ6L - PINACO: 350.000_x000D_
Ắc quy xe máy - PTZ5L - PINACO: 300.000_x000D_
Ắc quy xe máy - PTZ6HL - PINACO: 320.000</t>
  </si>
  <si>
    <t>C000035377</t>
  </si>
  <si>
    <t>ĐÀM HÙNG</t>
  </si>
  <si>
    <t>1.760.000 VNĐ</t>
  </si>
  <si>
    <t>C000032542</t>
  </si>
  <si>
    <t>TIẾN HƯỞNG</t>
  </si>
  <si>
    <t>1.262.000 VNĐ</t>
  </si>
  <si>
    <t>C000032116</t>
  </si>
  <si>
    <t>ĐỨC LỢI</t>
  </si>
  <si>
    <t>3.550.000 VNĐ</t>
  </si>
  <si>
    <t>Ắc quy xe máy - PTZ6L - PINACO: 400.000, GS: 400.000_x000D_
Ắc quy xe máy - PTX6HL - PINACO: 320.000, GS: 320.000_x000D_
Ắc quy xe máy - PTZ5L - PINACO: 300.000, GS: 300.000</t>
  </si>
  <si>
    <t>C000035679</t>
  </si>
  <si>
    <t>VIỆT TỒ HA</t>
  </si>
  <si>
    <t>Ắc quy xe máy - PTZ6L - PINACO: 380.000_x000D_
Ắc quy xe máy - PTZ5L - PINACO: 320.000_x000D_
Ắc quy xe máy - PTZ6HL - PINACO: 320.000</t>
  </si>
  <si>
    <t>C000035281</t>
  </si>
  <si>
    <t>NGỌC TOÀN</t>
  </si>
  <si>
    <t>960.000 VNĐ</t>
  </si>
  <si>
    <t>Ắc quy xe máy - PTZ6L - PINACO: 380.000, GS: 380.000_x000D_
Ắc quy xe máy - PTZ5L - PINACO: 280.000, GS: 280.000_x000D_
Ắc quy xe máy - PTZ6HL - PINACO: 300.000, GS: 300.000</t>
  </si>
  <si>
    <t>C000021434</t>
  </si>
  <si>
    <t>Bảo An Motor</t>
  </si>
  <si>
    <t>Ắc quy xe máy - Z6 - PINACO: 350.000</t>
  </si>
  <si>
    <t>C000032209</t>
  </si>
  <si>
    <t>QUANG THẮNG</t>
  </si>
  <si>
    <t>C000027614</t>
  </si>
  <si>
    <t>PT NGỌC DŨNG</t>
  </si>
  <si>
    <t>290.000.000 VNĐ</t>
  </si>
  <si>
    <t>Bán lẻ: 2%; Bán sỉ: 98%</t>
  </si>
  <si>
    <t>Ắc quy xe máy - Ptz5l  - PINACO: 225.000, OTHER: 210.000_x000D_
Ắc quy xe máy - Ptz6l  - PINACO: 235.000, OTHER: 215.000_x000D_
Ắc quy xe máy - Ptz6l  - PINACO: 270.000, OTHER: 250.000</t>
  </si>
  <si>
    <t>Bình e bike đồng nai quá kem. Lấy 10 bộ chết cả 10.bình xe máy chất lượng k tốt. Cần cải thiện nhiều</t>
  </si>
  <si>
    <t>C000031039</t>
  </si>
  <si>
    <t>4.461.000 VNĐ</t>
  </si>
  <si>
    <t>Ắc quy xe máy - Z5 - PINACO: 280.000, OTHER: 250.000</t>
  </si>
  <si>
    <t>C000026278</t>
  </si>
  <si>
    <t>MINH HIẾU</t>
  </si>
  <si>
    <t>Ắc quy xe máy - Ptz5l  - PINACO: 230.000, GS: 245.000_x000D_
Ắc quy xe máy - Ptz6l  - PINACO: 265.000, GS: 300.000_x000D_
Ắc quy xe máy - Ptz6hl  - PINACO: 230.000, GS: 260.000</t>
  </si>
  <si>
    <t xml:space="preserve">Giá đồng nai đang đẩy cao gần bằng gs. Cần cải thiện chất lượng </t>
  </si>
  <si>
    <t>C000026282</t>
  </si>
  <si>
    <t>DOANH THẠO</t>
  </si>
  <si>
    <t>Bảo hành lâu. Chất lượng ko tương xứng với giá thành</t>
  </si>
  <si>
    <t>C000021430</t>
  </si>
  <si>
    <t>Đức Thăng Motor</t>
  </si>
  <si>
    <t>1.901.073 VNĐ</t>
  </si>
  <si>
    <t>Pinaco / Đồng Nai - 9_x000D_
Globe - 1</t>
  </si>
  <si>
    <t>Ắc quy xe máy - Z6l - PINACO: 380.000, GLOBE: 380.000</t>
  </si>
  <si>
    <t>C000020234</t>
  </si>
  <si>
    <t>PT NHẬT NGUYÊN</t>
  </si>
  <si>
    <t>Pinaco / Đồng Nai - 3_x000D_
GS - 6_x000D_
Nhãn hiệu khác - 1</t>
  </si>
  <si>
    <t>Ắc quy xe máy - Ptz6hl - PINACO: 230.000, GS: 250.000, OTHER: 190.000</t>
  </si>
  <si>
    <t>Đát bình quá sâu</t>
  </si>
  <si>
    <t>C000019989</t>
  </si>
  <si>
    <t>KHÁNH DẦN</t>
  </si>
  <si>
    <t>Ắc quy xe máy - Ptz6hl - PINACO: 280.000_x000D_
Ắc quy xe máy - Ptz6l - PINACO: 330.000_x000D_
Ắc quy xe máy - Ptz5l - PINACO: 270.000</t>
  </si>
  <si>
    <t>C000020615</t>
  </si>
  <si>
    <t>TUẤN THU</t>
  </si>
  <si>
    <t>Ắc quy xe máy - ptz5l - PINACO: 270.000_x000D_
Ắc quy xe máy - ptz6hl - PINACO: 290.000_x000D_
Ắc quy xe máy - ptz6l - PINACO: 360.000_x000D_
Ắc quy xe máy - ptz7l - PINACO: 450.000</t>
  </si>
  <si>
    <t xml:space="preserve">cần cấp giá trưng bày </t>
  </si>
  <si>
    <t>C000033105</t>
  </si>
  <si>
    <t>PT HANH LỤA</t>
  </si>
  <si>
    <t>Ắc quy xe máy - Ptz5l  - PINACO: 2.200.000, GS: 2.400.000, GLOBE: 2.280.000</t>
  </si>
  <si>
    <t>Giá tăng nhiều 6% so với đối thủ globe 3%. Đát quá sâu, chất lương chưa tốt bảo hành nhiều, tuổi thọ thấp.</t>
  </si>
  <si>
    <t>C000021438</t>
  </si>
  <si>
    <t>Hoàng Trung Motor</t>
  </si>
  <si>
    <t>1.397.000 VNĐ</t>
  </si>
  <si>
    <t>Ắc quy xe máy - Z6 - PINACO: 290</t>
  </si>
  <si>
    <t>C000027560</t>
  </si>
  <si>
    <t>PT QUỲNH SAN</t>
  </si>
  <si>
    <t>39.000.000 VNĐ</t>
  </si>
  <si>
    <t>Ắc quy xe máy - Ptz6l  - PINACO: 225.000, GS: 275.000_x000D_
Ắc quy xe máy - Ptz5l  - PINACO: 225.000, GS: 245.000</t>
  </si>
  <si>
    <t>Nâng cao chất lượng. Trả bảo hành nhanh</t>
  </si>
  <si>
    <t>C000020230</t>
  </si>
  <si>
    <t>THUỶ THIÊM</t>
  </si>
  <si>
    <t>Ắc quy xe máy - Ptz5l  - PINACO: 270.000</t>
  </si>
  <si>
    <t>Đát xả xuất quá sâu.tuổi thọ trung bình thấp chỉ khoảng 18 đến 24 tháng tháng kể từ ngày lắp.</t>
  </si>
  <si>
    <t>C000028864</t>
  </si>
  <si>
    <t>Đại Phát</t>
  </si>
  <si>
    <t>Ắc quy xe máy - Ptz6l - PINACO: 450.000_x000D_
Ắc quy xe máy - Ptz5l - PINACO: 370.000_x000D_
Ắc quy xe máy - Ptz6hl - PINACO: 370.000_x000D_
Ắc quy xe máy - Ptz7l - PINACO: 550.000</t>
  </si>
  <si>
    <t>C000036305</t>
  </si>
  <si>
    <t>Phụ Tùng Đức Nam</t>
  </si>
  <si>
    <t>123.000.000 VNĐ</t>
  </si>
  <si>
    <t>58.200.000 VNĐ</t>
  </si>
  <si>
    <t>Pinaco / Đồng Nai - 1_x000D_
Globe - 6_x000D_
Nhãn hiệu khác - 3</t>
  </si>
  <si>
    <t>Ắc quy xe máy - Ptz6 - PINACO: 270.000, GLOBE: 290.000, OTHER: 230.000_x000D_
Ắc quy xe máy - Ptz 5l - PINACO: 220.000, GLOBE: 235.000, OTHER: 185.000</t>
  </si>
  <si>
    <t>C000024615</t>
  </si>
  <si>
    <t>VŨ BINH</t>
  </si>
  <si>
    <t>Chính sách bảo hành cần duyệt nhanh hơn nữa</t>
  </si>
  <si>
    <t>C000032186</t>
  </si>
  <si>
    <t>THANH XUÂN</t>
  </si>
  <si>
    <t>Ắc quy xe máy - Ptz5l - PINACO: 300.000, GLOBE: 300.000_x000D_
Ắc quy xe máy - Ptz6hl - PINACO: 300.000, GLOBE: 300.000_x000D_
Ắc quy xe máy - Ptz6l - PINACO: 400.000, GLOBE: 400.000</t>
  </si>
  <si>
    <t>C000020299</t>
  </si>
  <si>
    <t>PT THƯƠNG HIỀN</t>
  </si>
  <si>
    <t>137.000.000 VNĐ</t>
  </si>
  <si>
    <t>Pinaco / Đồng Nai - 6_x000D_
GS - 2_x000D_
Nhãn hiệu khác - 2</t>
  </si>
  <si>
    <t>Ắc quy xe máy - Ptz5l - PINACO: 215, GS: 220, OTHER: 190</t>
  </si>
  <si>
    <t>Đất Bình quá sâu cần phải cải thiện. Vào mùa Bình pa7,2và pa 6v thường bị thiếu hàng</t>
  </si>
  <si>
    <t>C000019992</t>
  </si>
  <si>
    <t>ĐỨC THẮNG</t>
  </si>
  <si>
    <t>Ắc quy xe máy - ptz5l - PINACO: 270.000_x000D_
Ắc quy xe máy - ptz6hl - PINACO: 300.000_x000D_
Ắc quy xe máy - ptz6l - PINACO: 350.000_x000D_
Ắc quy xe máy - ptz7a - PINACO: 450.000</t>
  </si>
  <si>
    <t>C000034879</t>
  </si>
  <si>
    <t>HẬU PHƯƠNG</t>
  </si>
  <si>
    <t>Ắc quy xe máy - PTZ6L - PINACO: 350.000_x000D_
Ắc quy xe máy - PTZ6HL - PINACO: 260.000_x000D_
Ắc quy xe máy - PTZ5L - PINACO: 250.000</t>
  </si>
  <si>
    <t>C000033454</t>
  </si>
  <si>
    <t>VŨ QUẢNG</t>
  </si>
  <si>
    <t>2.545.000 VNĐ</t>
  </si>
  <si>
    <t>Ắc quy xe máy - PTZ6L - PINACO: 360.000_x000D_
Ắc quy xe máy - PTZ5L - PINACO: 300.000_x000D_
Ắc quy xe máy - PTZ6HL - PINACO: 320.000</t>
  </si>
  <si>
    <t>C000028777</t>
  </si>
  <si>
    <t>SC ANH LAI</t>
  </si>
  <si>
    <t>Ắc quy xe máy - Ptz6l  - PINACO: 280.000, GS: 300.000_x000D_
Ắc quy xe máy - Ptz5l - PINACO: 260.000, GS: 280.000_x000D_
Ắc quy xe máy - Ptz6l  - PINACO: 300.000, GS: 320.000</t>
  </si>
  <si>
    <t>Giao hàng trôi date. Lúc bảo hành thì khó khăn. Chất lượng chưa tốt</t>
  </si>
  <si>
    <t>C000030713</t>
  </si>
  <si>
    <t>NGỌC VĂN</t>
  </si>
  <si>
    <t>Ắc quy xe máy - PTZ6l - PINACO: 380.000</t>
  </si>
  <si>
    <t xml:space="preserve">giá đắt </t>
  </si>
  <si>
    <t>C000019922</t>
  </si>
  <si>
    <t>THÀNH ĐOÀN</t>
  </si>
  <si>
    <t>Ắc quy xe máy - ptz6hl - PINACO: 280.000_x000D_
Ắc quy xe máy - ptz5l - PINACO: 260.000_x000D_
Ắc quy xe máy - ptz6l - PINACO: 320.000</t>
  </si>
  <si>
    <t>tạo thêm kệ trưng bày và những vật phẩm khác để quảng cáo</t>
  </si>
  <si>
    <t>C000040860</t>
  </si>
  <si>
    <t>LINH AN</t>
  </si>
  <si>
    <t>Ắc quy xe điện - Pa - PINACO: 6.000</t>
  </si>
  <si>
    <t>C000019924</t>
  </si>
  <si>
    <t>TRÍ TUẤN</t>
  </si>
  <si>
    <t>Ắc quy xe máy - ptx5l - PINACO: 320.000_x000D_
Ắc quy xe máy - ptx6hl - PINACO: 340.000_x000D_
Ắc quy xe máy - ptz6l - PINACO: 380.000</t>
  </si>
  <si>
    <t>Tạo nhiều chương trình khuyến mại hơn</t>
  </si>
  <si>
    <t>C000032869</t>
  </si>
  <si>
    <t>QUANG HUY MOTOR</t>
  </si>
  <si>
    <t>Ắc quy xe máy - Ptz5l  - PINACO: 300.000_x000D_
Ắc quy xe máy - Pt6hl - PINACO: 320.000_x000D_
Ắc quy xe máy - Ptz6l  - PINACO: 400.000</t>
  </si>
  <si>
    <t xml:space="preserve">Không có ý kiến đề xuất góp ý gì </t>
  </si>
  <si>
    <t>C000025947</t>
  </si>
  <si>
    <t>Đại Lý Nam Tâm</t>
  </si>
  <si>
    <t>Pinaco / Đồng Nai - 7_x000D_
Globe - 1_x000D_
Nhãn hiệu khác - 2</t>
  </si>
  <si>
    <t>Ắc quy xe máy - Ptz5l - PINACO: 225.000, GLOBE: 235.000, OTHER: 185.000_x000D_
Ắc quy xe máy - Ptz6l - PINACO: 275.000, GLOBE: 285.000, OTHER: 230.000</t>
  </si>
  <si>
    <t>C000025064</t>
  </si>
  <si>
    <t>DUY HƯNG HH</t>
  </si>
  <si>
    <t>Enimac - 2_x000D_
Pinaco / Đồng Nai - 8</t>
  </si>
  <si>
    <t>Ắc quy xe máy - gm - ENIMAC: 290.000, PINACO: 320.000</t>
  </si>
  <si>
    <t>nâng cao chất lượng. giá cạnh tranh hơn.</t>
  </si>
  <si>
    <t>C000032201</t>
  </si>
  <si>
    <t>VŨ VỊ</t>
  </si>
  <si>
    <t>Ắc quy xe máy - Ptz5l - PINACO: 300.000_x000D_
Ắc quy xe máy - Ptz6hl - PINACO: 300.000_x000D_
Ắc quy xe máy - Ptz6l - PINACO: 380.000</t>
  </si>
  <si>
    <t xml:space="preserve">Bình Ptz6hl chất lượng còn kém bảo hành nhiều </t>
  </si>
  <si>
    <t>C000021340</t>
  </si>
  <si>
    <t>Hùng Cờ Lê</t>
  </si>
  <si>
    <t>2.450.000 VNĐ</t>
  </si>
  <si>
    <t>Ắc quy xe máy - Ptz6l - PINACO: 380.000, OTHER: 320.000_x000D_
Ắc quy xe máy - Ptz5l - PINACO: 330.000, OTHER: 280.000</t>
  </si>
  <si>
    <t>C000022724</t>
  </si>
  <si>
    <t>Phú Hán</t>
  </si>
  <si>
    <t>Ắc quy xe máy - Z5 - PINACO: 230, OTHER: 185</t>
  </si>
  <si>
    <t>C000021081</t>
  </si>
  <si>
    <t>THUẬT HƯNG</t>
  </si>
  <si>
    <t>96.000.000 VNĐ</t>
  </si>
  <si>
    <t>43.960.000 VNĐ</t>
  </si>
  <si>
    <t>GS - 2_x000D_
Globe - 4_x000D_
Ắc quy ngoại nhập - 2_x000D_
Pinaco / Đồng Nai - 2</t>
  </si>
  <si>
    <t>Ắc quy xe máy - Pinaco - GS: 225, GLOBE: 216, NGOAI_NHAP: 220, PINACO: 215</t>
  </si>
  <si>
    <t>C000038478</t>
  </si>
  <si>
    <t>TRUNG HƯƠNG</t>
  </si>
  <si>
    <t>22.666.000 VNĐ</t>
  </si>
  <si>
    <t>Pinaco / Đồng Nai - 2_x000D_
Ắc quy ngoại nhập - 8</t>
  </si>
  <si>
    <t>Ắc quy xe điện - Pinaco - PINACO: 700, NGOAI_NHAP: 680</t>
  </si>
  <si>
    <t>Cần thêm những phân khúc hàng giảm giá giảm cân nặng , để giá về phân khúc thấp dễ bán hơn</t>
  </si>
  <si>
    <t>C000025964</t>
  </si>
  <si>
    <t>Pinaco / Đồng Nai - 5_x000D_
Globe - 3_x000D_
Nhãn hiệu khác - 2</t>
  </si>
  <si>
    <t>Ắc quy xe máy - Z5 - PINACO: 214, GLOBE: 235, OTHER: 195</t>
  </si>
  <si>
    <t>C000021450</t>
  </si>
  <si>
    <t>BÌNH DƯƠNG</t>
  </si>
  <si>
    <t>6 ảnh</t>
  </si>
  <si>
    <t>Ắc quy xe máy - Ptz5l - PINACO: 300.000_x000D_
Ắc quy xe máy - Ptz6hl - PINACO: 300.000_x000D_
Ắc quy xe máy - Ptz6l - PINACO: 400.000_x000D_
Ắc quy xe máy - Ptz7l - PINACO: 500.000</t>
  </si>
  <si>
    <t xml:space="preserve">Chất lượng bình cần cải thiện tốt hơn nữa </t>
  </si>
  <si>
    <t>C000037492</t>
  </si>
  <si>
    <t>Phụ Tùng Huy Hà</t>
  </si>
  <si>
    <t>89.500.000 VNĐ</t>
  </si>
  <si>
    <t>Pinaco / Đồng Nai - 1_x000D_
GS - 1_x000D_
Nhãn hiệu khác - 8</t>
  </si>
  <si>
    <t>Ắc quy xe máy - Ptz6l - OTHER: 230.000, GS: 290.000, PINACO: 270.000_x000D_
Ắc quy xe máy - Ptz5l - OTHER: 185.000, PINACO: 220.000, GS: 230.000</t>
  </si>
  <si>
    <t>C000032136</t>
  </si>
  <si>
    <t>ĐỨC HIỆP</t>
  </si>
  <si>
    <t>Ắc quy xe máy - Ptz5l - PINACO: 280.000_x000D_
Ắc quy xe máy - Ptz6hl - PINACO: 300.000_x000D_
Ắc quy xe máy - Ptz6l - PINACO: 400.000</t>
  </si>
  <si>
    <t>C000024428</t>
  </si>
  <si>
    <t>BÌNH MINH</t>
  </si>
  <si>
    <t>GS - 3_x000D_
Pinaco / Đồng Nai - 7</t>
  </si>
  <si>
    <t>Ắc quy xe máy - Gm - GS: 340.000, PINACO: 320.000</t>
  </si>
  <si>
    <t xml:space="preserve">nâng cao chất lượng. </t>
  </si>
  <si>
    <t>C000035340</t>
  </si>
  <si>
    <t>HẬU HIỀN</t>
  </si>
  <si>
    <t>Pinaco / Đồng Nai - 2_x000D_
Xupai - 8</t>
  </si>
  <si>
    <t>Ắc quy xe điện - Pa - PINACO: 500.000, XUPAI: 600.000</t>
  </si>
  <si>
    <t>Bình pa đồng nai chất lượng rất kém khách hàng phản hồi rất gay gắt nên cửa hành không dám nhập nữa</t>
  </si>
  <si>
    <t>C000040671</t>
  </si>
  <si>
    <t>THE GIOI XE DIEN</t>
  </si>
  <si>
    <t>35.250.000 VNĐ</t>
  </si>
  <si>
    <t>Pinaco / Đồng Nai - 2_x000D_
Thiên Năng - 4_x000D_
Ắc quy ngoại nhập - 4</t>
  </si>
  <si>
    <t>Bán lẻ: 92%; Bán sỉ: 8%</t>
  </si>
  <si>
    <t>Ắc quy xe điện - Pinaco - PINACO: 700, THIEN_NANG: 700, NGOAI_NHAP: 680</t>
  </si>
  <si>
    <t>C000024223</t>
  </si>
  <si>
    <t>VIỆT THẮNG</t>
  </si>
  <si>
    <t>54.600.000 VNĐ</t>
  </si>
  <si>
    <t>Pinaco / Đồng Nai - 3_x000D_
GS - 1_x000D_
Globe - 4_x000D_
Yamato - 2</t>
  </si>
  <si>
    <t>Ắc quy xe máy - Globe - PINACO: 215, GS: 225, GLOBE: 216, YAMATO: 1.320.000</t>
  </si>
  <si>
    <t>C000021484</t>
  </si>
  <si>
    <t>PT LỘC CHINH</t>
  </si>
  <si>
    <t>130.000.000 VNĐ</t>
  </si>
  <si>
    <t>Pinaco / Đồng Nai - 1_x000D_
GS - 1_x000D_
Globe - 8</t>
  </si>
  <si>
    <t>Bán lẻ: 12%; Bán sỉ: 88%</t>
  </si>
  <si>
    <t>Ắc quy xe máy - Ptz5l  - PINACO: 200.000, GS: 200.000, GLOBE: 200.000_x000D_
Ắc quy xe máy - Ptz6l - PINACO: 270, GS: 275, GLOBE: 275</t>
  </si>
  <si>
    <t>Giá cao so với gs và globe</t>
  </si>
  <si>
    <t>C000021479</t>
  </si>
  <si>
    <t>SƠN TÙNG</t>
  </si>
  <si>
    <t>Ắc quy xe máy - Ptz7l - PINACO: 500.000_x000D_
Ắc quy xe máy - Ptz5l - PINACO: 300.000_x000D_
Ắc quy xe máy - Ptz6hl - PINACO: 300.000_x000D_
Ắc quy xe máy - Ptz6l - PINACO: 400.000</t>
  </si>
  <si>
    <t xml:space="preserve">Không có ý </t>
  </si>
  <si>
    <t>C000021086</t>
  </si>
  <si>
    <t>HUY HOÀNG</t>
  </si>
  <si>
    <t>74.004.000 VNĐ</t>
  </si>
  <si>
    <t>Pinaco / Đồng Nai - 3_x000D_
GS - 2_x000D_
Enimac - 0_x000D_
Ắc quy ngoại nhập - 2_x000D_
Nhãn hiệu khác - 3</t>
  </si>
  <si>
    <t>Ắc quy xe máy - GS - PINACO: 212, GS: 223, NGOAI_NHAP: 220</t>
  </si>
  <si>
    <t>C000021655</t>
  </si>
  <si>
    <t>PT ĐỨC THỊNH GT</t>
  </si>
  <si>
    <t>14.200.000 VNĐ</t>
  </si>
  <si>
    <t>Pinaco / Đồng Nai - 2_x000D_
GS - 3_x000D_
Globe - 2_x000D_
Nhãn hiệu khác - 3</t>
  </si>
  <si>
    <t>Ắc quy xe máy - Z5l - PINACO: 240.000, GS: 270.000, GLOBE: 260.000, OTHER: 210.000</t>
  </si>
  <si>
    <t>C000037617</t>
  </si>
  <si>
    <t>NGỌC ANH</t>
  </si>
  <si>
    <t>3.502.000 VNĐ</t>
  </si>
  <si>
    <t>Ắc quy xe máy - PTZ6L - PINACO: 400.000, GS: 410.000_x000D_
Ắc quy xe máy - PTZ6HL - PINACO: 320.000, GS: 330.000_x000D_
Ắc quy xe máy - PTZ5L - PINACO: 300.000, GS: 310.000</t>
  </si>
  <si>
    <t>C000023675</t>
  </si>
  <si>
    <t>THÀNH ĐỒNG</t>
  </si>
  <si>
    <t>C000034829</t>
  </si>
  <si>
    <t>TUYÊN TÂM</t>
  </si>
  <si>
    <t>93.363.000 VNĐ</t>
  </si>
  <si>
    <t>GS - 4_x000D_
Pinaco / Đồng Nai - 4_x000D_
Ắc quy ngoại nhập - 2_x000D_
Nhãn hiệu khác - 0</t>
  </si>
  <si>
    <t>Ắc quy xe máy - GS - GS: 215, PINACO: 212, OTHER: 185</t>
  </si>
  <si>
    <t>Tôi ko muốn tham gia CT quay số trúng thưởng, lên làm CT khác tốt hơn</t>
  </si>
  <si>
    <t>C000033225</t>
  </si>
  <si>
    <t>Mạnh Đạt MoTor</t>
  </si>
  <si>
    <t>Ắc quy xe máy - Ptz6l - PINACO: 450.000_x000D_
Ắc quy xe máy - Ptz5l - PINACO: 385.000_x000D_
Ắc quy xe máy - Ptz6hl - PINACO: 385.000</t>
  </si>
  <si>
    <t>C000020633</t>
  </si>
  <si>
    <t>ÁNH DƯƠNG</t>
  </si>
  <si>
    <t>Ắc quy xe máy - Z9 - PINACO: 400</t>
  </si>
  <si>
    <t>C000021490</t>
  </si>
  <si>
    <t>NHƯ Ý</t>
  </si>
  <si>
    <t>Chất lượng cần tốt hơn nưa</t>
  </si>
  <si>
    <t>C000034811</t>
  </si>
  <si>
    <t>XUÂN LÂM</t>
  </si>
  <si>
    <t>Ắc quy xe máy - Ptz5l - PINACO: 270.000_x000D_
Ắc quy xe máy - Ptz6hl - PINACO: 285.000_x000D_
Ắc quy xe máy - Ptz6l - PINACO: 310.000</t>
  </si>
  <si>
    <t>Hàng trôi date nhiều. Chất lượng ko tốt nhanh chết so với hãng khác</t>
  </si>
  <si>
    <t>C000035457</t>
  </si>
  <si>
    <t>MINH THUẬN</t>
  </si>
  <si>
    <t>C000035080</t>
  </si>
  <si>
    <t>Văn An</t>
  </si>
  <si>
    <t>22.900.000 VNĐ</t>
  </si>
  <si>
    <t>Pinaco / Đồng Nai - 2_x000D_
GS - 2_x000D_
Globe - 6</t>
  </si>
  <si>
    <t>Bán lẻ: 96%; Bán sỉ: 4%</t>
  </si>
  <si>
    <t>Ắc quy xe máy - Ptz6l - PINACO: 350.000, GS: 390.000, GLOBE: 350.000</t>
  </si>
  <si>
    <t>C000020843</t>
  </si>
  <si>
    <t>PT ĐỨC THUẦN</t>
  </si>
  <si>
    <t>GS - 7_x000D_
Pinaco / Đồng Nai - 3_x000D_
Nhãn hiệu khác - 0</t>
  </si>
  <si>
    <t>Ắc quy xe máy - Z5l - GS: 270.000, PINACO: 240.000</t>
  </si>
  <si>
    <t>C000021464</t>
  </si>
  <si>
    <t>AQ NAM BÍCH</t>
  </si>
  <si>
    <t>Ắc quy xe máy - Ptz5l - PINACO: 230.000, GLOBE: 220.000_x000D_
Ắc quy xe máy - Ptz6l - PINACO: 280.000, GLOBE: 275.000</t>
  </si>
  <si>
    <t>Giá cao hơn với globe</t>
  </si>
  <si>
    <t>C000022222</t>
  </si>
  <si>
    <t>Vũ Hiển</t>
  </si>
  <si>
    <t>575.000.000 VNĐ</t>
  </si>
  <si>
    <t>218.000.000 VNĐ</t>
  </si>
  <si>
    <t>Ắc quy xe máy - PTZ5L - PINACO: 225.000, OTHER: 180.000</t>
  </si>
  <si>
    <t>Đề nghị công ty hỗ trợ giá tốt hơn cho đại lý để cạnh tranh với đối thủ GS và Globe</t>
  </si>
  <si>
    <t>C000021082</t>
  </si>
  <si>
    <t>Tâm Nga</t>
  </si>
  <si>
    <t>41.718.000 VNĐ</t>
  </si>
  <si>
    <t>Pinaco / Đồng Nai - 4_x000D_
GS - 3_x000D_
Ắc quy ngoại nhập - 0_x000D_
Nhãn hiệu khác - 3</t>
  </si>
  <si>
    <t>Ắc quy xe máy - Pinaco - PINACO: 215, GS: 222, NGOAI_NHAP: 0, OTHER: 0</t>
  </si>
  <si>
    <t>C000035257</t>
  </si>
  <si>
    <t>THÀNH VIÊN</t>
  </si>
  <si>
    <t>2.751.000 VNĐ</t>
  </si>
  <si>
    <t>Ắc quy xe máy - PTZ6L - PINACO: 285.000, OTHER: 270.000</t>
  </si>
  <si>
    <t>C000029474</t>
  </si>
  <si>
    <t>TUẤN VŨ</t>
  </si>
  <si>
    <t>Ắc quy xe máy - Z5 - PINACO: 280</t>
  </si>
  <si>
    <t>Đồng nai bảo hành nhiều lỗi nhiều</t>
  </si>
  <si>
    <t>C000021485</t>
  </si>
  <si>
    <t>PT SƠN HÀ</t>
  </si>
  <si>
    <t>Pinaco / Đồng Nai - 2_x000D_
GS - 3_x000D_
Globe - 5</t>
  </si>
  <si>
    <t>Bán lẻ: 38%; Bán sỉ: 62%</t>
  </si>
  <si>
    <t>Ắc quy xe máy - Ptz5l - PINACO: 230.000, GS: 235.000, GLOBE: 225.000</t>
  </si>
  <si>
    <t>Giá vẫn còn cao so với Gs và globe</t>
  </si>
  <si>
    <t>C000035256</t>
  </si>
  <si>
    <t>TÙNG CHI MOTO 2</t>
  </si>
  <si>
    <t>971.000 VNĐ</t>
  </si>
  <si>
    <t>Ắc quy xe máy - PTZ6L - PINACO: 285.000, OTHER: 260.000_x000D_
Ắc quy xe máy - PTZ5L - PINACO: 235.000, OTHER: 210.000_x000D_
Ắc quy xe máy - PTZ6HL - PINACO: 245.000, OTHER: 230.000</t>
  </si>
  <si>
    <t>C000021486</t>
  </si>
  <si>
    <t>AQ ĐỨC DƯƠNG</t>
  </si>
  <si>
    <t>Ắc quy xe máy - Ptz5l - PINACO: 230.000_x000D_
Ắc quy xe máy - Ptx6hl - PINACO: 240.000_x000D_
Ắc quy xe máy - Ptz6l - PINACO: 280.000</t>
  </si>
  <si>
    <t xml:space="preserve">Mong công ty cải thiện chất lượng tốt hơn nữa </t>
  </si>
  <si>
    <t>C000013669</t>
  </si>
  <si>
    <t>Duy Điệp</t>
  </si>
  <si>
    <t>2.590.000 VNĐ</t>
  </si>
  <si>
    <t>Ắc quy xe máy - Z5 z6 6l - PINACO: 280</t>
  </si>
  <si>
    <t>Chật lượng cần cải thiện thêm</t>
  </si>
  <si>
    <t>C000021657</t>
  </si>
  <si>
    <t>Ắc quy xe máy - Z5l  - PINACO: 280</t>
  </si>
  <si>
    <t>Chất lượng cần phải cải thiện thêm</t>
  </si>
  <si>
    <t>CNHN-HUNG.xlsx</t>
  </si>
  <si>
    <t>C000021216</t>
  </si>
  <si>
    <t>Hòa Hằng</t>
  </si>
  <si>
    <t>468.000.000 VNĐ</t>
  </si>
  <si>
    <t>Pinaco / Đồng Nai - 3_x000D_
GS - 5_x000D_
Ắc quy ngoại nhập - 2</t>
  </si>
  <si>
    <t>Ắc quy oto - N100 - PINACO: 1.900.000, GS: 1.900.000, NGOAI_NHAP: 0</t>
  </si>
  <si>
    <t>Nên bỏ chương trình di lịch mà tính vào giá bán</t>
  </si>
  <si>
    <t>Trần Đăng Khánh</t>
  </si>
  <si>
    <t>CÔNG TY TNHH GICHI HOUSE</t>
  </si>
  <si>
    <t>CNHN - QLKV HƯNG</t>
  </si>
  <si>
    <t>SƠN LA</t>
  </si>
  <si>
    <t>C000021016</t>
  </si>
  <si>
    <t>Tháp Rùa</t>
  </si>
  <si>
    <t>Ắc quy xe máy - PTX5L - PINACO: 300.000, GS: 350.000</t>
  </si>
  <si>
    <t>Hà Đình Khởi</t>
  </si>
  <si>
    <t>C000021809</t>
  </si>
  <si>
    <t>Khả Hòa</t>
  </si>
  <si>
    <t>21.000.000 VNĐ</t>
  </si>
  <si>
    <t>Pinaco / Đồng Nai - 6_x000D_
GS - 1_x000D_
Nhãn hiệu khác - 3</t>
  </si>
  <si>
    <t>Ắc quy xe máy - Ptx5L - PINACO: 280.000, GS: 310.000, OTHER: 250.000</t>
  </si>
  <si>
    <t>C000029223</t>
  </si>
  <si>
    <t>Trần Quyến</t>
  </si>
  <si>
    <t>Pinaco / Đồng Nai - 8_x000D_
Enimac - 1_x000D_
GS - 1</t>
  </si>
  <si>
    <t>Ắc quy oto - N100 - PINACO: 1.900.000, ENIMAC: 1.850.000, GS: 1.900.000</t>
  </si>
  <si>
    <t>Phùng Thị Minh</t>
  </si>
  <si>
    <t>CÔNG TY CP TMDV KỸ THUẬT 24/7</t>
  </si>
  <si>
    <t>C000017633</t>
  </si>
  <si>
    <t>Anh Quang</t>
  </si>
  <si>
    <t>440.000.000 VNĐ</t>
  </si>
  <si>
    <t>260.000.000 VNĐ</t>
  </si>
  <si>
    <t>GS - 2_x000D_
Pinaco / Đồng Nai - 8</t>
  </si>
  <si>
    <t>5 ảnh</t>
  </si>
  <si>
    <t>Ắc quy oto - CMF80 - GS: 1.650.000, PINACO: 1.650.000</t>
  </si>
  <si>
    <t>Mai Thị Bình</t>
  </si>
  <si>
    <t>CÔNG TY TNHH THƯƠNG MẠI VẬN TẢI GIANG NAM</t>
  </si>
  <si>
    <t>PHÚ THỌ</t>
  </si>
  <si>
    <t>GSBH TRẦN ÁNH DƯƠNG</t>
  </si>
  <si>
    <t>RSM VƯƠNG</t>
  </si>
  <si>
    <t>C000017637</t>
  </si>
  <si>
    <t>Anh Minh</t>
  </si>
  <si>
    <t>370.000.000 VNĐ</t>
  </si>
  <si>
    <t>Ắc quy oto - CMF90 - PINACO: 2.200.000, GS: 2.200.000</t>
  </si>
  <si>
    <t>C000014229</t>
  </si>
  <si>
    <t>Quang Đạt</t>
  </si>
  <si>
    <t>555.000.000 VNĐ</t>
  </si>
  <si>
    <t>GS - 3_x000D_
Pinaco / Đồng Nai - 3_x000D_
Nhãn hiệu khác - 4</t>
  </si>
  <si>
    <t>Bán lẻ: 36%; Bán sỉ: 64%</t>
  </si>
  <si>
    <t>Ắc quy oto - n100 - OTHER: 1.850.000, PINACO: 1.950.000, GS: 1.900.000</t>
  </si>
  <si>
    <t>Diêm Trọng Vũ</t>
  </si>
  <si>
    <t>DOANH NGHIỆP TƯ NHÂN THÀNH PHÁT</t>
  </si>
  <si>
    <t>ASM NGHĨA</t>
  </si>
  <si>
    <t>C000029088</t>
  </si>
  <si>
    <t>Thành Nam (YB)</t>
  </si>
  <si>
    <t>145.000.000 VNĐ</t>
  </si>
  <si>
    <t>Pinaco / Đồng Nai - 3_x000D_
Enimac - 7</t>
  </si>
  <si>
    <t>Bán lẻ: 45%; Bán sỉ: 55%</t>
  </si>
  <si>
    <t>Ắc quy oto - CMF 31800 - PINACO: 2.100.000, ENIMAC: 2.020.000_x000D_
Ắc quy oto - N150 - PINACO: 2.800.000, ENIMAC: 2.720.000_x000D_
Ắc quy oto - N200 - PINACO: 3.800.000, ENIMAC: 3.700.000_x000D_
Ắc quy oto - N100 - PINACO: 1.900.000, ENIMAC: 1.820.000</t>
  </si>
  <si>
    <t>Bảo hành chậm</t>
  </si>
  <si>
    <t>Dương Thanh Trà</t>
  </si>
  <si>
    <t>CÔNG TY TNHH THƯƠNG MẠI TỔNG HỢP HIẾU THIÊM</t>
  </si>
  <si>
    <t>LÀO CAI</t>
  </si>
  <si>
    <t>GSBH CHINH</t>
  </si>
  <si>
    <t>C000029089</t>
  </si>
  <si>
    <t>YAA</t>
  </si>
  <si>
    <t>360.000.000 VNĐ</t>
  </si>
  <si>
    <t>Bán lẻ: 34%; Bán sỉ: 66%</t>
  </si>
  <si>
    <t>Ắc quy oto - N1000 - PINACO: 2.300.000, GS: 2.240.000_x000D_
Ắc quy oto - N150 - PINACO: 2.650.000, GS: 2.600.000_x000D_
Ắc quy oto - N200 - PINACO: 4.000.000, GS: 3.900.000_x000D_
Ắc quy oto - N85 - PINACO: 1.900.000, GS: 1.800.000_x000D_
Ắc quy oto - CMF 31800 - PINACO: 2.300.000, GS: 2.250.000_x000D_
Ắc quy oto - CMF 5024LS - PINACO: 1.300.000, GS: 1.250.000</t>
  </si>
  <si>
    <t xml:space="preserve">Bảo Hành quá chậm, giá sản phẩm cao, gia hàng chậm, sản phẩm ko cải tiến </t>
  </si>
  <si>
    <t>C000029098</t>
  </si>
  <si>
    <t>Xuân Hoa</t>
  </si>
  <si>
    <t>250.000.000 VNĐ</t>
  </si>
  <si>
    <t>170.000.000 VNĐ</t>
  </si>
  <si>
    <t>Pinaco / Đồng Nai - 2_x000D_
GS - 5_x000D_
Enimac - 3</t>
  </si>
  <si>
    <t>Ắc quy xe máy - 31800 - PINACO: 2.200.000, GS: 2.300.000, ENIMAC: 2.250.000</t>
  </si>
  <si>
    <t>C000014166</t>
  </si>
  <si>
    <t>Hạnh Hưng</t>
  </si>
  <si>
    <t>2.500.000.000 VNĐ</t>
  </si>
  <si>
    <t>GS - 4_x000D_
Pinaco / Đồng Nai - 3_x000D_
Ắc quy ngoại nhập - 3</t>
  </si>
  <si>
    <t>Ắc quy oto - 31800 - PINACO: 2.250.000, GS: 2.200.000, NGOAI_NHAP: 2.200.000</t>
  </si>
  <si>
    <t>RSM - Vương</t>
  </si>
  <si>
    <t>C000030821</t>
  </si>
  <si>
    <t>Hùng Lan</t>
  </si>
  <si>
    <t>157.000.000 VNĐ</t>
  </si>
  <si>
    <t>Pinaco / Đồng Nai - 7_x000D_
GS - 2_x000D_
Enimac - 1</t>
  </si>
  <si>
    <t>Ắc quy oto - CMF90 - PINACO: 2.000.000, GS: 2.000.000, ENIMAC: 2.000.000</t>
  </si>
  <si>
    <t>C000029055</t>
  </si>
  <si>
    <t>Thủy Tộ</t>
  </si>
  <si>
    <t>67.000.000 VNĐ</t>
  </si>
  <si>
    <t>Ắc quy oto - CMF 45 - PINACO: 1.300.000, GS: 1.300.000</t>
  </si>
  <si>
    <t>C000029056</t>
  </si>
  <si>
    <t>Được Hằng</t>
  </si>
  <si>
    <t>530.000.000 VNĐ</t>
  </si>
  <si>
    <t>Ắc quy oto - MF65 - GS: 1.600.000, PINACO: 1.600.000</t>
  </si>
  <si>
    <t>C000035005</t>
  </si>
  <si>
    <t>Điệp Hường</t>
  </si>
  <si>
    <t>Ắc quy xe máy - PTX5L - PINACO: 270.000, GS: 280.000</t>
  </si>
  <si>
    <t>C000023237</t>
  </si>
  <si>
    <t>Vũ Chanh</t>
  </si>
  <si>
    <t>Pinaco / Đồng Nai - 8_x000D_
GS - 1_x000D_
Nhãn hiệu khác - 1</t>
  </si>
  <si>
    <t>Ắc quy oto - N150 - PINACO: 3.100.000, GS: 3.100.000</t>
  </si>
  <si>
    <t>C000025892</t>
  </si>
  <si>
    <t>Dương Quyết</t>
  </si>
  <si>
    <t>90.000.000 VNĐ</t>
  </si>
  <si>
    <t>Ắc quy oto - 105d31 - PINACO: 1.800.000, ENIMAC: 1.800.000</t>
  </si>
  <si>
    <t>C000027537</t>
  </si>
  <si>
    <t>Xuân Chiến</t>
  </si>
  <si>
    <t>43.000.000 VNĐ</t>
  </si>
  <si>
    <t>Ắc quy oto - N100E - PINACO: 1.900.000</t>
  </si>
  <si>
    <t>C000029219</t>
  </si>
  <si>
    <t>Trần Bá</t>
  </si>
  <si>
    <t>Ắc quy oto - N100 - PINACO: 1.900.000</t>
  </si>
  <si>
    <t>C000028096</t>
  </si>
  <si>
    <t>ANH VĨNH</t>
  </si>
  <si>
    <t>Bán lẻ: 63%; Bán sỉ: 37%</t>
  </si>
  <si>
    <t>Ắc quy xe máy - PTZ5L - PINACO: 250.000_x000D_
Ắc quy xe máy - PTZ6HL - PINACO: 280.000_x000D_
Ắc quy xe máy - PTZ6L - PINACO: 300.000</t>
  </si>
  <si>
    <t>Khách hàng hiện ko còn sửa chữa xe máy chuyển sang sửa chữa điện tử</t>
  </si>
  <si>
    <t>Nguyễn Ngọc Cường</t>
  </si>
  <si>
    <t>Hộ Kinh Doanh Đào Ngọc Chiến</t>
  </si>
  <si>
    <t>YÊN BÁI</t>
  </si>
  <si>
    <t>C000019727</t>
  </si>
  <si>
    <t>Trần Linh</t>
  </si>
  <si>
    <t>280.000.000 VNĐ</t>
  </si>
  <si>
    <t>Bán lẻ: 67%; Bán sỉ: 33%</t>
  </si>
  <si>
    <t>Ắc quy oto - N100 - PINACO: 1.950.000, GS: 1.800.000</t>
  </si>
  <si>
    <t>Nguyễn Hoành Sơn</t>
  </si>
  <si>
    <t>CÔNG TY TNHH TMDV HUY HOÀNG</t>
  </si>
  <si>
    <t>THÁI NGUYÊN</t>
  </si>
  <si>
    <t>GSBH Quỳnh</t>
  </si>
  <si>
    <t xml:space="preserve"> ASM Thế Anh</t>
  </si>
  <si>
    <t>C000033392</t>
  </si>
  <si>
    <t>CƯỜNG LINH</t>
  </si>
  <si>
    <t>100.000 VNĐ</t>
  </si>
  <si>
    <t>Trịnh Thế Đạt</t>
  </si>
  <si>
    <t>CÔNG TY TNHH THƯƠNG MẠI HỮU ĐANG</t>
  </si>
  <si>
    <t>C000032496</t>
  </si>
  <si>
    <t>Ắc quy xe máy - PTZ5l - PINACO: 216.000</t>
  </si>
  <si>
    <t>C000014974</t>
  </si>
  <si>
    <t>Soan Ngà</t>
  </si>
  <si>
    <t>Bán lẻ: 72%; Bán sỉ: 28%</t>
  </si>
  <si>
    <t>Ắc quy oto - N100 - PINACO: 2.000.000, GS: 1.900.000</t>
  </si>
  <si>
    <t>C000029362</t>
  </si>
  <si>
    <t>CH Quyết Hà ( TT.Mậu A)</t>
  </si>
  <si>
    <t>105.000.000 VNĐ</t>
  </si>
  <si>
    <t>Bán lẻ: 42%; Bán sỉ: 58%</t>
  </si>
  <si>
    <t>Ắc quy xe máy - PTZ5L - PINACO: 230.000, GS: 225.000_x000D_
Ắc quy xe máy - PTZ6HL - PINACO: 245.000, GS: 240.000_x000D_
Ắc quy xe máy - PTZ6L - PINACO: 280.000, GS: 285.000</t>
  </si>
  <si>
    <t>Chất lượng hơi kém, giá cao so với ác quy khác</t>
  </si>
  <si>
    <t>C000023231</t>
  </si>
  <si>
    <t>Tiến Nam</t>
  </si>
  <si>
    <t>Ắc quy xe máy - Ptx5l - PINACO: 280.000</t>
  </si>
  <si>
    <t>Khách nhỏ lẻ không có kho hàng chỗ trưng bày là chỗ để tồn luôn</t>
  </si>
  <si>
    <t>C000019729</t>
  </si>
  <si>
    <t>Chú Trường</t>
  </si>
  <si>
    <t>271.000.000 VNĐ</t>
  </si>
  <si>
    <t>Bán lẻ: 86%; Bán sỉ: 14%</t>
  </si>
  <si>
    <t>Ắc quy oto - N100 - PINACO: 1.850, GS: 1.700</t>
  </si>
  <si>
    <t>C000019728</t>
  </si>
  <si>
    <t>Hoàng Sơn</t>
  </si>
  <si>
    <t>Bán lẻ: 74%; Bán sỉ: 26%</t>
  </si>
  <si>
    <t>Ắc quy oto - Q85 - PINACO: 2.250, GS: 2.150</t>
  </si>
  <si>
    <t>C000040578</t>
  </si>
  <si>
    <t>Đại Lý Tùng Dương</t>
  </si>
  <si>
    <t>Pinaco / Đồng Nai - 4_x000D_
Thiên Năng - 6</t>
  </si>
  <si>
    <t>Ắc quy xe điện - Pa12-23 - PINACO: 700.000, THIEN_NANG: 600.000</t>
  </si>
  <si>
    <t>C000029343</t>
  </si>
  <si>
    <t>Hùng TD</t>
  </si>
  <si>
    <t>Ắc quy oto - N100 - PINACO: 1.850.000</t>
  </si>
  <si>
    <t>C000030737</t>
  </si>
  <si>
    <t>Kiên BH</t>
  </si>
  <si>
    <t>380.000.000 VNĐ</t>
  </si>
  <si>
    <t>Ắc quy oto - 50b24 - PINACO: 1.250.000, GS: 1.300.000</t>
  </si>
  <si>
    <t>C000024039</t>
  </si>
  <si>
    <t>lốp phi điệp</t>
  </si>
  <si>
    <t>139.000.000 VNĐ</t>
  </si>
  <si>
    <t>Ắc quy oto - CMF95D31 - GS: 1.600.000, PINACO: 1.650.000</t>
  </si>
  <si>
    <t>Phạm Văn Ngân</t>
  </si>
  <si>
    <t>C000016193</t>
  </si>
  <si>
    <t>nguyên lê</t>
  </si>
  <si>
    <t>198.000.000 VNĐ</t>
  </si>
  <si>
    <t>Ắc quy oto - CMF50B25 - PINACO: 1.200.000, GS: 1.250.000</t>
  </si>
  <si>
    <t>C000029164</t>
  </si>
  <si>
    <t>HOÀNG HÙNG</t>
  </si>
  <si>
    <t>580.000.000 VNĐ</t>
  </si>
  <si>
    <t>175.000.000 VNĐ</t>
  </si>
  <si>
    <t>Pinaco / Đồng Nai - 3_x000D_
Ắc quy ngoại nhập - 7</t>
  </si>
  <si>
    <t>Ắc quy oto - N100 - PINACO: 1.900.000, NGOAI_NHAP: 1.900.000</t>
  </si>
  <si>
    <t xml:space="preserve">Cải thiện giá thành </t>
  </si>
  <si>
    <t>C000029244</t>
  </si>
  <si>
    <t>Nhật Ánh</t>
  </si>
  <si>
    <t>962.000.000 VNĐ</t>
  </si>
  <si>
    <t>Pinaco / Đồng Nai - 2_x000D_
GS - 6_x000D_
Enimac - 1_x000D_
Ắc quy ngoại nhập - 1_x000D_
Thiên Năng - 0</t>
  </si>
  <si>
    <t>Ắc quy oto - N150 - PINACO: 2.950.000, GS: 2.850.000, ENIMAC: 2.900.000</t>
  </si>
  <si>
    <t>Giá cả lên cao</t>
  </si>
  <si>
    <t>C000029085</t>
  </si>
  <si>
    <t>Chú Bình ăc qui 081</t>
  </si>
  <si>
    <t>Pinaco / Đồng Nai - 3_x000D_
GS - 4_x000D_
Ắc quy ngoại nhập - 3</t>
  </si>
  <si>
    <t>Bán lẻ: 69%; Bán sỉ: 31%</t>
  </si>
  <si>
    <t>Ắc quy oto - 50b24ls - PINACO: 1.250.000, GS: 1.200.000, NGOAI_NHAP: 1.200.000</t>
  </si>
  <si>
    <t>C000029097</t>
  </si>
  <si>
    <t>Trung Kiên</t>
  </si>
  <si>
    <t>300.000.000 VNĐ</t>
  </si>
  <si>
    <t>Ắc quy oto - N100 - PINACO: 1.850.000, GS: 1.900.000</t>
  </si>
  <si>
    <t>Cải thiện chương trình lm tốt hơn</t>
  </si>
  <si>
    <t>C000029096</t>
  </si>
  <si>
    <t>Toàn Tâm</t>
  </si>
  <si>
    <t>348.000.000 VNĐ</t>
  </si>
  <si>
    <t>Pinaco / Đồng Nai - 3_x000D_
Enimac - 2_x000D_
Ắc quy ngoại nhập - 5</t>
  </si>
  <si>
    <t>Ắc quy oto - 44b20 - PINACO: 1.150.000, ENIMAC: 1.100.000, NGOAI_NHAP: 1.200.000</t>
  </si>
  <si>
    <t>C000029084</t>
  </si>
  <si>
    <t>Trung Tuyến</t>
  </si>
  <si>
    <t>154.000.000 VNĐ</t>
  </si>
  <si>
    <t>164.000.000 VNĐ</t>
  </si>
  <si>
    <t>Pinaco / Đồng Nai - 4_x000D_
GS - 4_x000D_
Ắc quy ngoại nhập - 2</t>
  </si>
  <si>
    <t>Ắc quy xe tải - N100 - PINACO: 2.000.000, GS: 1.900.000, NGOAI_NHAP: 1.900.000</t>
  </si>
  <si>
    <t>C000030026</t>
  </si>
  <si>
    <t>quốc tuấn</t>
  </si>
  <si>
    <t>263.000.000 VNĐ</t>
  </si>
  <si>
    <t>Ắc quy oto - N150 - PINACO: 2.900.000, GS: 2.800.000</t>
  </si>
  <si>
    <t>C000029358</t>
  </si>
  <si>
    <t>Phạm Cự</t>
  </si>
  <si>
    <t>180.000.000 VNĐ</t>
  </si>
  <si>
    <t>309.000.000 VNĐ</t>
  </si>
  <si>
    <t>Pinaco / Đồng Nai - 2_x000D_
GS - 3_x000D_
Enimac - 2_x000D_
Ắc quy ngoại nhập - 3</t>
  </si>
  <si>
    <t>Ắc quy oto - 50b24 - PINACO: 1.200.000, GS: 1.200.000, ENIMAC: 1.150.000, NGOAI_NHAP: 1.300.000</t>
  </si>
  <si>
    <t>Cải thiện chương trình khuyến mại giá tốt hơn</t>
  </si>
  <si>
    <t>C000019725</t>
  </si>
  <si>
    <t>Thế Minh</t>
  </si>
  <si>
    <t>148.000.000 VNĐ</t>
  </si>
  <si>
    <t>Ắc quy oto - 50b24 - PINACO: 1.300.000, GS: 1.200.000</t>
  </si>
  <si>
    <t>C000019726</t>
  </si>
  <si>
    <t>Quang Phúc</t>
  </si>
  <si>
    <t>190.000.000 VNĐ</t>
  </si>
  <si>
    <t>Ắc quy oto - N100 - PINACO: 1.750.000, GS: 1.700.000</t>
  </si>
  <si>
    <t>C000029094</t>
  </si>
  <si>
    <t>LAN BÔN</t>
  </si>
  <si>
    <t>Pinaco / Đồng Nai - 4_x000D_
Ắc quy ngoại nhập - 6</t>
  </si>
  <si>
    <t>Ắc quy oto - 31800 - PINACO: 2.300.000, NGOAI_NHAP: 2.400.000</t>
  </si>
  <si>
    <t>Cty cần cải thiện chương trình khuyến mại và chất lượng SP hàng xe điện .</t>
  </si>
  <si>
    <t>C000014186</t>
  </si>
  <si>
    <t>Quang Kiên</t>
  </si>
  <si>
    <t>101.000.000 VNĐ</t>
  </si>
  <si>
    <t>Pinaco / Đồng Nai - 3_x000D_
GS - 5_x000D_
Enimac - 2</t>
  </si>
  <si>
    <t>Ắc quy oto - n100 - PINACO: 1.900.000, GS: 1.800.000</t>
  </si>
  <si>
    <t>C000015095</t>
  </si>
  <si>
    <t>Giang Nga</t>
  </si>
  <si>
    <t>150.000.000 VNĐ</t>
  </si>
  <si>
    <t>Ắc quy dân dụng - N30 - PINACO: 750.000</t>
  </si>
  <si>
    <t>C000015094</t>
  </si>
  <si>
    <t>Long Mười</t>
  </si>
  <si>
    <t>Ắc quy oto - N200 - PINACO: 3.600.000, GS: 3.600.000</t>
  </si>
  <si>
    <t>GSBH DƯƠNG</t>
  </si>
  <si>
    <t>C000015075</t>
  </si>
  <si>
    <t>phúc chủ</t>
  </si>
  <si>
    <t>Ắc quy oto - N100 - PINACO: 2.000.000, GS: 2.000.000, ENIMAC: 2.000.000</t>
  </si>
  <si>
    <t>C000015074</t>
  </si>
  <si>
    <t>tiến hường</t>
  </si>
  <si>
    <t>195.000.000 VNĐ</t>
  </si>
  <si>
    <t>Ắc quy oto - N150 - PINACO: 2.900.000</t>
  </si>
  <si>
    <t>C000029092</t>
  </si>
  <si>
    <t>QUANG LỰC</t>
  </si>
  <si>
    <t>194.000.000 VNĐ</t>
  </si>
  <si>
    <t>Ắc quy oto - N100 - PINACO: 1.900.000, GS: 1.850.000, ENIMAC: 1.800.000</t>
  </si>
  <si>
    <t>Cải thiện giá thành hợp lý hơn</t>
  </si>
  <si>
    <t>C000029091</t>
  </si>
  <si>
    <t>VIỆT MẬN</t>
  </si>
  <si>
    <t>Ắc quy oto - 31800 - PINACO: 2.000.000</t>
  </si>
  <si>
    <t>C000019730</t>
  </si>
  <si>
    <t>Tuấn Vi</t>
  </si>
  <si>
    <t>107.000.000 VNĐ</t>
  </si>
  <si>
    <t>Pinaco / Đồng Nai - 3_x000D_
GS - 4_x000D_
Enimac - 3</t>
  </si>
  <si>
    <t>Ắc quy oto - N100 - PINACO: 1.850.000, GS: 1.700.000, ENIMAC: 1.500.000</t>
  </si>
  <si>
    <t>C000015071</t>
  </si>
  <si>
    <t>hồng hoàn</t>
  </si>
  <si>
    <t>390.000.000 VNĐ</t>
  </si>
  <si>
    <t>125.000.000 VNĐ</t>
  </si>
  <si>
    <t>Ắc quy oto - 105D31L - PINACO: 2.000.000, GS: 2.000.000</t>
  </si>
  <si>
    <t>C000015078</t>
  </si>
  <si>
    <t>dũng yến</t>
  </si>
  <si>
    <t>37.000.000 VNĐ</t>
  </si>
  <si>
    <t>Pinaco / Đồng Nai - 10_x000D_
GS - 0</t>
  </si>
  <si>
    <t>C000015070</t>
  </si>
  <si>
    <t>quang hạnh</t>
  </si>
  <si>
    <t>Ắc quy oto - CMF90D26 - PINACO: 17.000.000</t>
  </si>
  <si>
    <t>C000029057</t>
  </si>
  <si>
    <t>NGA THÁI</t>
  </si>
  <si>
    <t>Bán lẻ: 51%; Bán sỉ: 49%</t>
  </si>
  <si>
    <t>Ắc quy oto - N100 - PINACO: 1.900.000, GS: 1.900.000</t>
  </si>
  <si>
    <t>C000027692</t>
  </si>
  <si>
    <t>thanh hưng</t>
  </si>
  <si>
    <t>160.000.000 VNĐ</t>
  </si>
  <si>
    <t>Pinaco / Đồng Nai - 9_x000D_
Enimac - 1</t>
  </si>
  <si>
    <t>Ắc quy oto - CMF 100 - PINACO: 2.200.000, ENIMAC: 2.100.000</t>
  </si>
  <si>
    <t>C000032683</t>
  </si>
  <si>
    <t>Tiến Huy</t>
  </si>
  <si>
    <t>240.000.000 VNĐ</t>
  </si>
  <si>
    <t>Pinaco / Đồng Nai - 5_x000D_
Ắc quy ngoại nhập - 5</t>
  </si>
  <si>
    <t>Ắc quy oto - 50b24 - PINACO: 1.100.000, NGOAI_NHAP: 1.000.000</t>
  </si>
  <si>
    <t xml:space="preserve">giá khá cao tại thời điểm hiện tại </t>
  </si>
  <si>
    <t>C000029501</t>
  </si>
  <si>
    <t>Minh Vân</t>
  </si>
  <si>
    <t>44.500.000 VNĐ</t>
  </si>
  <si>
    <t>Luôn quan tâm về giá tốt.</t>
  </si>
  <si>
    <t>Hà Như Long</t>
  </si>
  <si>
    <t>CÔNG TY TNHH MTV LỐP THÀNH ĐẠT</t>
  </si>
  <si>
    <t>LẠNG SƠN</t>
  </si>
  <si>
    <t>C000015081</t>
  </si>
  <si>
    <t>Sơn Bình</t>
  </si>
  <si>
    <t>Ắc quy oto - N100 - PINACO: 2.000.000, GS: 1.950.000</t>
  </si>
  <si>
    <t>C000012638</t>
  </si>
  <si>
    <t>Hòa Quyên</t>
  </si>
  <si>
    <t>184.000.018 VNĐ</t>
  </si>
  <si>
    <t>Pinaco / Đồng Nai - 5_x000D_
GS - 4_x000D_
Enimac - 1</t>
  </si>
  <si>
    <t>Bán lẻ: 58%; Bán sỉ: 42%</t>
  </si>
  <si>
    <t>Ắc quy oto - N100 - PINACO: 1.900.000, GS: 1.900.000, ENIMAC: 1.900.000</t>
  </si>
  <si>
    <t>C000015082</t>
  </si>
  <si>
    <t>Anh Hà</t>
  </si>
  <si>
    <t>320.000.000 VNĐ</t>
  </si>
  <si>
    <t>Ắc quy oto - CMF100 - PINACO: 2.100.000, GS: 2.050.000</t>
  </si>
  <si>
    <t>C000029093</t>
  </si>
  <si>
    <t>TUẤN VÂN</t>
  </si>
  <si>
    <t>340.000.000 VNĐ</t>
  </si>
  <si>
    <t>192.000.000 VNĐ</t>
  </si>
  <si>
    <t>Pinaco / Đồng Nai - 6_x000D_
GS - 2_x000D_
Enimac - 2</t>
  </si>
  <si>
    <t>Ắc quy oto - N100 - PINACO: 1.900.000, GS: 1.900.000, ENIMAC: 1.850.000</t>
  </si>
  <si>
    <t>Cải thiện chương trình KM tốt hơn,giá thành hợp lý hơn</t>
  </si>
  <si>
    <t>C000029090</t>
  </si>
  <si>
    <t>PHÚC ĐƯỜNG</t>
  </si>
  <si>
    <t>272.000.000 VNĐ</t>
  </si>
  <si>
    <t>Pinaco / Đồng Nai - 8_x000D_
GS - 1_x000D_
Enimac - 1_x000D_
Nhãn hiệu khác - 0</t>
  </si>
  <si>
    <t>Ắc quy oto - N100 - PINACO: 1.800.000, GS: 1.700.000, ENIMAC: 1.700.000</t>
  </si>
  <si>
    <t>C000014237</t>
  </si>
  <si>
    <t>Đức Đồng</t>
  </si>
  <si>
    <t>Bán lẻ: 26%; Bán sỉ: 74%</t>
  </si>
  <si>
    <t>Ắc quy oto - n100 - PINACO: 1.850.000, GS: 1.750.000</t>
  </si>
  <si>
    <t>C000014240</t>
  </si>
  <si>
    <t>Sen Hựu</t>
  </si>
  <si>
    <t>720.000.000 VNĐ</t>
  </si>
  <si>
    <t>Bán lẻ: 16%; Bán sỉ: 84%</t>
  </si>
  <si>
    <t>Ắc quy oto - 105d31 - PINACO: 1.700.000, GS: 1.650.000</t>
  </si>
  <si>
    <t>C000014241</t>
  </si>
  <si>
    <t>Xuân Hoà</t>
  </si>
  <si>
    <t>500.000.000 VNĐ</t>
  </si>
  <si>
    <t>C000014246</t>
  </si>
  <si>
    <t>Ắc quy oto - n100 - GS: 1.800.000, PINACO: 1.900.000</t>
  </si>
  <si>
    <t>C000037589</t>
  </si>
  <si>
    <t>Phương Thảo</t>
  </si>
  <si>
    <t xml:space="preserve">Luôn ủng hộ sản phẩm đồng nai </t>
  </si>
  <si>
    <t>C000014191</t>
  </si>
  <si>
    <t>Lê Luyện</t>
  </si>
  <si>
    <t>121.000.000 VNĐ</t>
  </si>
  <si>
    <t>Bán lẻ: 57%; Bán sỉ: 43%</t>
  </si>
  <si>
    <t>Ắc quy oto - n100 - PINACO: 1.900.000, GS: 1.870.000</t>
  </si>
  <si>
    <t>C000014185</t>
  </si>
  <si>
    <t>Quyết Hảo</t>
  </si>
  <si>
    <t>182.000.000 VNĐ</t>
  </si>
  <si>
    <t>C000023490</t>
  </si>
  <si>
    <t>Viễn Dương</t>
  </si>
  <si>
    <t>C000031327</t>
  </si>
  <si>
    <t>Dũng Dung</t>
  </si>
  <si>
    <t>Ắc quy oto - n100 - PINACO: 1.900.000</t>
  </si>
  <si>
    <t>C000035003</t>
  </si>
  <si>
    <t>Ngọc Thiêm</t>
  </si>
  <si>
    <t>Ắc quy xe máy - Ptx5l - PINACO: 230.000, GS: 245.000</t>
  </si>
  <si>
    <t>Khách k cho chụp kho hàng</t>
  </si>
  <si>
    <t>C000033099</t>
  </si>
  <si>
    <t>ÁNH TRẠI</t>
  </si>
  <si>
    <t>Nguyễn Xuân Điệp</t>
  </si>
  <si>
    <t>CÔNG TY TNHH THƯƠNG MẠI VÀ DỊCH VỤ BÁCH KHOA ĐIỆN BIÊN</t>
  </si>
  <si>
    <t>ĐIỆN BIÊN</t>
  </si>
  <si>
    <t>GSBH DĐOÀN TÙNG</t>
  </si>
  <si>
    <t>C000038831</t>
  </si>
  <si>
    <t>Vân Hiền</t>
  </si>
  <si>
    <t>34.000.000 VNĐ</t>
  </si>
  <si>
    <t xml:space="preserve">Luôn quan tâm về giá </t>
  </si>
  <si>
    <t>C000036134</t>
  </si>
  <si>
    <t>Sơn Đào</t>
  </si>
  <si>
    <t>Ắc quy dân dụng - N30 - PINACO: 850.000</t>
  </si>
  <si>
    <t>C000014212</t>
  </si>
  <si>
    <t>210.000.000 VNĐ</t>
  </si>
  <si>
    <t>Bán lẻ: 59%; Bán sỉ: 41%</t>
  </si>
  <si>
    <t>Ắc quy oto - 31800 - PINACO: 2.200.000, GS: 2.300.000</t>
  </si>
  <si>
    <t>C000033096</t>
  </si>
  <si>
    <t>VÂN OANH</t>
  </si>
  <si>
    <t>600.500.000 VNĐ</t>
  </si>
  <si>
    <t>Pinaco / Đồng Nai - 1_x000D_
GS - 8_x000D_
Enimac - 1</t>
  </si>
  <si>
    <t>Ắc quy oto - N100 - PINACO: 1.950.000, GS: 2.000.000, ENIMAC: 1.900.000</t>
  </si>
  <si>
    <t>KH không cho chụp ảnh kho hàng</t>
  </si>
  <si>
    <t>C000014213</t>
  </si>
  <si>
    <t>Lẫm Thương</t>
  </si>
  <si>
    <t>Pinaco / Đồng Nai - 8_x000D_
Enimac - 2</t>
  </si>
  <si>
    <t>Bán lẻ: 62%; Bán sỉ: 38%</t>
  </si>
  <si>
    <t>Ắc quy oto - 55d23 - PINACO: 1.400.000, ENIMAC: 1.470.000</t>
  </si>
  <si>
    <t>C000035447</t>
  </si>
  <si>
    <t>1 VNĐ</t>
  </si>
  <si>
    <t>Ắc quy xe máy - Ptz5L - PINACO: 280.000</t>
  </si>
  <si>
    <t>Đã nghỉ kinh doanh, chuyển địa điểm vào huyện mường nhé, điện biên, khoảng cách 250km</t>
  </si>
  <si>
    <t>C000034079</t>
  </si>
  <si>
    <t>Tiến Hường</t>
  </si>
  <si>
    <t>Ắc quy xe máy - PTZ5L - PINACO: 300.000</t>
  </si>
  <si>
    <t>C000032757</t>
  </si>
  <si>
    <t>Anh Tuấn</t>
  </si>
  <si>
    <t>56.000.000 VNĐ</t>
  </si>
  <si>
    <t>Pinaco / Đồng Nai - 4_x000D_
GS - 3_x000D_
Enimac - 3</t>
  </si>
  <si>
    <t>Luôn quan tâm về giá cuối tốt sẽ nhập hàng yêu tiên hơn nhãn hàng khác</t>
  </si>
  <si>
    <t>C000014206</t>
  </si>
  <si>
    <t>Kỹ Thuật</t>
  </si>
  <si>
    <t>Ắc quy dân dụng - n30 - PINACO: 780.000</t>
  </si>
  <si>
    <t>nên giảm giá 1 chút</t>
  </si>
  <si>
    <t>C000033129</t>
  </si>
  <si>
    <t>Hùng Cường</t>
  </si>
  <si>
    <t>tốt</t>
  </si>
  <si>
    <t>C000028141</t>
  </si>
  <si>
    <t>HOÀNG MINH</t>
  </si>
  <si>
    <t>Ắc quy xe máy - PTZ5L - PINACO: 250.000_x000D_
Ắc quy xe máy - PTZ6HL - PINACO: 270.000_x000D_
Ắc quy xe máy - PTZ6L - PINACO: 330.000</t>
  </si>
  <si>
    <t>C000028138</t>
  </si>
  <si>
    <t>PHONG HẢI</t>
  </si>
  <si>
    <t>Ắc quy xe máy - PTZ5L - PINACO: 250.000_x000D_
Ắc quy xe máy - PTZ6HL - PINACO: 260.000_x000D_
Ắc quy xe máy - PTZ6L - PINACO: 300.000_x000D_
Ắc quy xe điện - PA12-14 - PINACO: 1.800.000_x000D_
Ắc quy xe điện - PA 12-23 - PINACO: 2.884.000</t>
  </si>
  <si>
    <t>C000014174</t>
  </si>
  <si>
    <t>Văn Chữ</t>
  </si>
  <si>
    <t>117.000.000 VNĐ</t>
  </si>
  <si>
    <t>Ắc quy oto - n100 - PINACO: 2.000.000, GS: 2.000.000</t>
  </si>
  <si>
    <t>giá khá cao so với thị trường</t>
  </si>
  <si>
    <t>C000029484</t>
  </si>
  <si>
    <t>Dũng Hằng</t>
  </si>
  <si>
    <t>144.000.000 VNĐ</t>
  </si>
  <si>
    <t xml:space="preserve">Giá tốt thì ủng hộ sản phẩm pinaco nhiều hơn </t>
  </si>
  <si>
    <t>C000021854</t>
  </si>
  <si>
    <t>Hưng Hà</t>
  </si>
  <si>
    <t>93.000.000 VNĐ</t>
  </si>
  <si>
    <t>53.500.000 VNĐ</t>
  </si>
  <si>
    <t>Pinaco / Đồng Nai - 4_x000D_
GS - 1_x000D_
Enimac - 5</t>
  </si>
  <si>
    <t>Ắc quy xe tải - N100 - PINACO: 2.000.000, GS: 2.000.000, ENIMAC: 2.000.000</t>
  </si>
  <si>
    <t>Khach hàng chuyển địa điểm so với DMS</t>
  </si>
  <si>
    <t>C000014178</t>
  </si>
  <si>
    <t>Hà Minh</t>
  </si>
  <si>
    <t>188.000.000 VNĐ</t>
  </si>
  <si>
    <t>Ắc quy oto - n100 - PINACO: 1.900.000, GS: 1.900.000</t>
  </si>
  <si>
    <t>giá cao hơn gs</t>
  </si>
  <si>
    <t>C000034505</t>
  </si>
  <si>
    <t>Trung Huấn</t>
  </si>
  <si>
    <t>Ắc quy xe máy - PTX5L - PINACO: 300.000, GLOBE: 350.000</t>
  </si>
  <si>
    <t>C000018438</t>
  </si>
  <si>
    <t>Nguyên Đức</t>
  </si>
  <si>
    <t>176.000.000 VNĐ</t>
  </si>
  <si>
    <t>Ắc quy xe tải - n150 - PINACO: 2.800.000, ENIMAC: 2.750.000</t>
  </si>
  <si>
    <t>giá cao hơn nhiều so với các hãng khác</t>
  </si>
  <si>
    <t>C000021913</t>
  </si>
  <si>
    <t>Quang Hiển</t>
  </si>
  <si>
    <t>54.000.000 VNĐ</t>
  </si>
  <si>
    <t>Ắc quy oto - 105D31L - PINACO: 2.000.000_x000D_
Ắc quy oto - N100E - PINACO: 1.900.000</t>
  </si>
  <si>
    <t>C000028082</t>
  </si>
  <si>
    <t>ANH TUÂN</t>
  </si>
  <si>
    <t>Bán lẻ: 44%; Bán sỉ: 56%</t>
  </si>
  <si>
    <t>Ắc quy xe máy - PTZ5L - PINACO: 229.000_x000D_
Ắc quy xe máy - PTZ6HL - PINACO: 241.000</t>
  </si>
  <si>
    <t>CNHN-NGHIA.xlsx</t>
  </si>
  <si>
    <t>C000030510</t>
  </si>
  <si>
    <t>Lê Thanh</t>
  </si>
  <si>
    <t>Ắc quy xe máy - Ptz5l - PINACO: 250.000</t>
  </si>
  <si>
    <t>Lê Quang Tú</t>
  </si>
  <si>
    <t>CÔNG TY TNHH DỊCH VỤ THƯƠNG MẠI TUẤN KIỆT PHÁT</t>
  </si>
  <si>
    <t>CNHN - QLKV NGHĨA</t>
  </si>
  <si>
    <t>THANH HÓA</t>
  </si>
  <si>
    <t>C000030354</t>
  </si>
  <si>
    <t>Ngọc Dũng</t>
  </si>
  <si>
    <t>C000036180</t>
  </si>
  <si>
    <t>Việt Còi</t>
  </si>
  <si>
    <t>C000014573</t>
  </si>
  <si>
    <t>Đông Giang</t>
  </si>
  <si>
    <t>68.500.000 VNĐ</t>
  </si>
  <si>
    <t>Ắc quy dân dụng - N30 - PINACO: 800.000</t>
  </si>
  <si>
    <t>Nguyễn Thế Hà</t>
  </si>
  <si>
    <t>CTY TNHH CHÂN CHÍNH</t>
  </si>
  <si>
    <t>C000017421</t>
  </si>
  <si>
    <t>Bà Lý</t>
  </si>
  <si>
    <t>353.000.000 VNĐ</t>
  </si>
  <si>
    <t>Ắc quy oto - N150 - PINACO: 3.150.000</t>
  </si>
  <si>
    <t>C000014556</t>
  </si>
  <si>
    <t>Lương Đoàn</t>
  </si>
  <si>
    <t>358.000.000 VNĐ</t>
  </si>
  <si>
    <t>GS - 2_x000D_
Enimac - 2_x000D_
Pinaco / Đồng Nai - 6</t>
  </si>
  <si>
    <t>Ắc quy oto - 31800 - GS: 2.400.000, ENIMAC: 2.400.000, PINACO: 2.400.000</t>
  </si>
  <si>
    <t>C000033152</t>
  </si>
  <si>
    <t>Tú Thương</t>
  </si>
  <si>
    <t>Ắc quy xe máy - PTZ5L - PINACO: 230.000, GS: 250.000</t>
  </si>
  <si>
    <t>Lê Viết Dụng</t>
  </si>
  <si>
    <t>CÔNG TY TNHH PHỤ TÙNG NGỌC CHÂN</t>
  </si>
  <si>
    <t>C000038603</t>
  </si>
  <si>
    <t>Quyết Thu - RK</t>
  </si>
  <si>
    <t>283.000.000 VNĐ</t>
  </si>
  <si>
    <t>Ắc quy xe máy - Ptz5l - PINACO: 225.000, OTHER: 190.000</t>
  </si>
  <si>
    <t>C000033147</t>
  </si>
  <si>
    <t>Yêu Tâm</t>
  </si>
  <si>
    <t>C000033148</t>
  </si>
  <si>
    <t>Thành HoDa</t>
  </si>
  <si>
    <t>Ắc quy xe máy - PTZ5L - PINACO: 230.000, GS: 260.000</t>
  </si>
  <si>
    <t>C000033137</t>
  </si>
  <si>
    <t>Sơn Tuyết</t>
  </si>
  <si>
    <t>Pinaco / Đồng Nai - 6_x000D_
GS - 3_x000D_
Nhãn hiệu khác - 1</t>
  </si>
  <si>
    <t>Ắc quy xe máy - PTZ5L - PINACO: 230.000, GS: 250.000, OTHER: 200.000</t>
  </si>
  <si>
    <t>Khách không cho chụp kho.</t>
  </si>
  <si>
    <t>C000014825</t>
  </si>
  <si>
    <t>Long Nhật</t>
  </si>
  <si>
    <t>Ắc quy oto - 105d31 - PINACO: 2.150.000</t>
  </si>
  <si>
    <t xml:space="preserve">Chương trình km cần cao hơn đối thủ ,chất lượng sản phẩm phải tốt hơn, một năm phải tổ chức gặp mặt khách hàng một lần. </t>
  </si>
  <si>
    <t>Phí Văn Đông</t>
  </si>
  <si>
    <t>CÔNG TY TNHH PIN - ẮC QUY MẠNH CƯỜNG</t>
  </si>
  <si>
    <t>C000017263</t>
  </si>
  <si>
    <t>Duy Hoàn</t>
  </si>
  <si>
    <t>Pinaco / Đồng Nai - 4_x000D_
Enimac - 3_x000D_
Ắc quy ngoại nhập - 3</t>
  </si>
  <si>
    <t>Ắc quy oto - 31800 - PINACO: 2.400.000, ENIMAC: 2.400.000, NGOAI_NHAP: 2.500.000</t>
  </si>
  <si>
    <t>Bùi Văn Thắng</t>
  </si>
  <si>
    <t>C000033027</t>
  </si>
  <si>
    <t>Giang Huyền</t>
  </si>
  <si>
    <t>181.000.000 VNĐ</t>
  </si>
  <si>
    <t>Pinaco / Đồng Nai - 6_x000D_
GS - 2_x000D_
Xupai - 1_x000D_
Nhãn hiệu khác - 1</t>
  </si>
  <si>
    <t>Ắc quy xe máy - PTZ5L - PINACO: 230.000, GS: 250.000, XUPAI: 200.000, OTHER: 210.000</t>
  </si>
  <si>
    <t>C000030919</t>
  </si>
  <si>
    <t>Hiệp Hải Thượng</t>
  </si>
  <si>
    <t>Ắc quy oto - N150  - PINACO: 3.100.000</t>
  </si>
  <si>
    <t xml:space="preserve">Chương trình km tốt hơn nữa và chất lượng sản phẩm cần đảm bảo  tốt hơn. </t>
  </si>
  <si>
    <t>C000030505</t>
  </si>
  <si>
    <t>Quang Mai</t>
  </si>
  <si>
    <t>Nguyễn Như Thắng</t>
  </si>
  <si>
    <t>CÔNG TY TNHH DVTM AN THỊNH PHÁT</t>
  </si>
  <si>
    <t>Lương Quốc Dũng</t>
  </si>
  <si>
    <t>C000033093</t>
  </si>
  <si>
    <t>Đức Linh</t>
  </si>
  <si>
    <t>82.000.000 VNĐ</t>
  </si>
  <si>
    <t>C000030501</t>
  </si>
  <si>
    <t>Huân Thúy</t>
  </si>
  <si>
    <t>C000034016</t>
  </si>
  <si>
    <t>Dung Bảy</t>
  </si>
  <si>
    <t>Khách hàng không cho chụp kho.</t>
  </si>
  <si>
    <t>C000035212</t>
  </si>
  <si>
    <t>Ngoc Long</t>
  </si>
  <si>
    <t>Khách không cho chụp kho hàng.</t>
  </si>
  <si>
    <t>C000033671</t>
  </si>
  <si>
    <t>Thắng Thủy</t>
  </si>
  <si>
    <t>C000030517</t>
  </si>
  <si>
    <t>Tuấn Phan</t>
  </si>
  <si>
    <t>C000030427</t>
  </si>
  <si>
    <t>Phương Trụ</t>
  </si>
  <si>
    <t>1.200.990 VNĐ</t>
  </si>
  <si>
    <t>C000030360</t>
  </si>
  <si>
    <t>Triệu Thủy</t>
  </si>
  <si>
    <t>C000036868</t>
  </si>
  <si>
    <t>Tùng Liên</t>
  </si>
  <si>
    <t>15.600.000 VNĐ</t>
  </si>
  <si>
    <t>37.800.000 VNĐ</t>
  </si>
  <si>
    <t>Ắc quy oto - 90d26L - PINACO: 1.700.000</t>
  </si>
  <si>
    <t>C000030465</t>
  </si>
  <si>
    <t>Mạnh Cường</t>
  </si>
  <si>
    <t>C000030464</t>
  </si>
  <si>
    <t>Bình Năm</t>
  </si>
  <si>
    <t>C000033084</t>
  </si>
  <si>
    <t>Châu Phương</t>
  </si>
  <si>
    <t>42.000.000 VNĐ</t>
  </si>
  <si>
    <t>Pinaco / Đồng Nai - 6_x000D_
GS - 3_x000D_
Thiên Năng - 1</t>
  </si>
  <si>
    <t>Ắc quy xe máy - PTZ5L - PINACO: 230.000, GS: 260.000, THIEN_NANG: 200.000</t>
  </si>
  <si>
    <t>C000030500</t>
  </si>
  <si>
    <t>Huyền Sinh</t>
  </si>
  <si>
    <t>60.000.099 VNĐ</t>
  </si>
  <si>
    <t>C000033439</t>
  </si>
  <si>
    <t>Trường Sơn</t>
  </si>
  <si>
    <t>C000034966</t>
  </si>
  <si>
    <t>Hiền Ý</t>
  </si>
  <si>
    <t>C000014600</t>
  </si>
  <si>
    <t>Ngọc Diện</t>
  </si>
  <si>
    <t>Ắc quy oto - N100 - PINACO: 2.100.000, GS: 2.050.000</t>
  </si>
  <si>
    <t>C000029975</t>
  </si>
  <si>
    <t>Văn Mạnh</t>
  </si>
  <si>
    <t>Ắc quy xe máy - Ptz6hL - PINACO: 350.000, GS: 360.000</t>
  </si>
  <si>
    <t>Không có ý kiến gì.</t>
  </si>
  <si>
    <t>Vũ Văn Hiếu</t>
  </si>
  <si>
    <t>CÔNG TY TNHH 1TV HƯNG LUYẾN</t>
  </si>
  <si>
    <t>QUẢNG NINH</t>
  </si>
  <si>
    <t>C000033181</t>
  </si>
  <si>
    <t>Quang Dụ</t>
  </si>
  <si>
    <t>Bán lẻ: 87%; Bán sỉ: 13%</t>
  </si>
  <si>
    <t>C000030499</t>
  </si>
  <si>
    <t>Long Huệ</t>
  </si>
  <si>
    <t>130.000.090 VNĐ</t>
  </si>
  <si>
    <t>C000033044</t>
  </si>
  <si>
    <t>Xuân Phương</t>
  </si>
  <si>
    <t>C000033046</t>
  </si>
  <si>
    <t>Tùng Vân</t>
  </si>
  <si>
    <t>Pinaco / Đồng Nai - 6_x000D_
GS - 3_x000D_
Xupai - 1</t>
  </si>
  <si>
    <t>Ắc quy xe máy - PTZ5L - PINACO: 230.000, GS: 250.000, XUPAI: 200.000</t>
  </si>
  <si>
    <t>C000030463</t>
  </si>
  <si>
    <t>Huynh Tâm</t>
  </si>
  <si>
    <t>97.000.000 VNĐ</t>
  </si>
  <si>
    <t>C000019242</t>
  </si>
  <si>
    <t>HẢI BÍCH</t>
  </si>
  <si>
    <t>660.144.000 VNĐ</t>
  </si>
  <si>
    <t>Pinaco / Đồng Nai - 2_x000D_
GS - 1_x000D_
Ắc quy ngoại nhập - 1_x000D_
Nhãn hiệu khác - 6</t>
  </si>
  <si>
    <t>7 ảnh</t>
  </si>
  <si>
    <t>Ắc quy oto - 44b20l - PINACO: 1.200.000, GS: 1.200.000, NGOAI_NHAP: 1.100.000_x000D_
Ắc quy oto - 50b24 - PINACO: 1.400.000, GS: 1.400.000, NGOAI_NHAP: 1.350.000</t>
  </si>
  <si>
    <t>CỬA HÀNG KHÔNG CÓ KHO, NÊN TẤT CẢ HÀNG ĐỂ TẠI CỬA HÀNG 
Ý KIẾN CỦA CHỦ ĐIỂM BÁN
chương trình khuyến mại của pinaco đang thấp hơn các hãng khác . Giá cao hơn. Bình PL không có chương trình khuyến mại tốt ưu tiên riêng</t>
  </si>
  <si>
    <t>Nguyễn Văn Quý</t>
  </si>
  <si>
    <t>CÔNG TY TNHH THƯƠNG MẠI VÀ DỊCH VỤ MINH QUÂN</t>
  </si>
  <si>
    <t>C000030459</t>
  </si>
  <si>
    <t>Hà Tấn</t>
  </si>
  <si>
    <t>C000038048</t>
  </si>
  <si>
    <t>Đức Thảo</t>
  </si>
  <si>
    <t>Pinaco / Đồng Nai - 3_x000D_
GS - 4_x000D_
Globe - 3</t>
  </si>
  <si>
    <t>Bán lẻ: 31%; Bán sỉ: 69%</t>
  </si>
  <si>
    <t>Ắc quy xe máy - Ptz6hl - PINACO: 270.000, GS: 280.000, GLOBE: 285.000</t>
  </si>
  <si>
    <t>Không.</t>
  </si>
  <si>
    <t>C000030458</t>
  </si>
  <si>
    <t>Hậu Thủy</t>
  </si>
  <si>
    <t>C000030457</t>
  </si>
  <si>
    <t>Thanh Dịu</t>
  </si>
  <si>
    <t>Pinaco / Đồng Nai - 5_x000D_
Thiên Năng - 5</t>
  </si>
  <si>
    <t>C000035310</t>
  </si>
  <si>
    <t>Linh Tâm</t>
  </si>
  <si>
    <t>C000033482</t>
  </si>
  <si>
    <t>Huy Ngoan</t>
  </si>
  <si>
    <t>C000030933</t>
  </si>
  <si>
    <t>Trường Sinh</t>
  </si>
  <si>
    <t>14.019.989 VNĐ</t>
  </si>
  <si>
    <t>C000033483</t>
  </si>
  <si>
    <t>Bằng Hương</t>
  </si>
  <si>
    <t>C000014583</t>
  </si>
  <si>
    <t>Tuyết Hoằng</t>
  </si>
  <si>
    <t>734.000.000 VNĐ</t>
  </si>
  <si>
    <t>9 ảnh</t>
  </si>
  <si>
    <t>Ắc quy oto - N100 - PINACO: 2.000.000, ENIMAC: 1.950.000</t>
  </si>
  <si>
    <t xml:space="preserve"> - CTKM cần đưa về giá cuối cùng và ck luôn trên đơn hàng như Gs. Enimac.
- Thời gian chạy chương trình tháng nào xong tháng đó, không kéo dài</t>
  </si>
  <si>
    <t>C000033043</t>
  </si>
  <si>
    <t>Vinh Nguyệt</t>
  </si>
  <si>
    <t>111.000.000 VNĐ</t>
  </si>
  <si>
    <t>Ắc quy xe máy - PTZ5L  - PINACO: 230.000, GS: 250.000, OTHER: 200.000</t>
  </si>
  <si>
    <t>C000033040</t>
  </si>
  <si>
    <t>Sang Dung</t>
  </si>
  <si>
    <t>Ắc quy xe máy - PTZ5L - PINACO: 230.000, GS: 255.000</t>
  </si>
  <si>
    <t>C000033028</t>
  </si>
  <si>
    <t>Quyết Tâm</t>
  </si>
  <si>
    <t>29.000.000 VNĐ</t>
  </si>
  <si>
    <t>43.500.000 VNĐ</t>
  </si>
  <si>
    <t>Ắc quy xe máy - PTZ5L - PINACO: 230.000, GS: 260.000, THIEN_NANG: 190.000</t>
  </si>
  <si>
    <t>C000030429</t>
  </si>
  <si>
    <t>Vịnh Liên</t>
  </si>
  <si>
    <t>C000035278</t>
  </si>
  <si>
    <t>Đức linh</t>
  </si>
  <si>
    <t>C000030563</t>
  </si>
  <si>
    <t>Cao Thế</t>
  </si>
  <si>
    <t>C000030444</t>
  </si>
  <si>
    <t>Trung Thạch</t>
  </si>
  <si>
    <t>C000030446</t>
  </si>
  <si>
    <t>Tuấn Hà</t>
  </si>
  <si>
    <t>1.000.999 VNĐ</t>
  </si>
  <si>
    <t>C000033035</t>
  </si>
  <si>
    <t>Tuấn Hưng</t>
  </si>
  <si>
    <t>Ắc quy xe máy - PTZ5L - PINACO: 225.000, GS: 255.000</t>
  </si>
  <si>
    <t>C000030455</t>
  </si>
  <si>
    <t>Hữu Linh</t>
  </si>
  <si>
    <t>C000024517</t>
  </si>
  <si>
    <t>Hà Khánh</t>
  </si>
  <si>
    <t>535.000.000 VNĐ</t>
  </si>
  <si>
    <t>Bán lẻ: 33%; Bán sỉ: 67%</t>
  </si>
  <si>
    <t xml:space="preserve">Chương trình km cần tốt hơn, sản phẩm đảm bảo chất lượng. </t>
  </si>
  <si>
    <t>C000031427</t>
  </si>
  <si>
    <t>Hoàng Mai</t>
  </si>
  <si>
    <t>772.000.000 VNĐ</t>
  </si>
  <si>
    <t>Bán lẻ: 41%; Bán sỉ: 59%</t>
  </si>
  <si>
    <t>Ắc quy oto - N100  - PINACO: 2.050.000, GS: 2.100.000</t>
  </si>
  <si>
    <t xml:space="preserve">Cần có chương trình khuyến mãi hợp lý và chất lượng sản phẩm tốt hơn. </t>
  </si>
  <si>
    <t>C000030456</t>
  </si>
  <si>
    <t>Quỳnh Mai</t>
  </si>
  <si>
    <t>C000030562</t>
  </si>
  <si>
    <t>Chương Nga</t>
  </si>
  <si>
    <t>C000030561</t>
  </si>
  <si>
    <t>Sơn Tùng</t>
  </si>
  <si>
    <t>Pinaco / Đồng Nai - 3_x000D_
Globe - 5_x000D_
GS - 2</t>
  </si>
  <si>
    <t>C000030558</t>
  </si>
  <si>
    <t>Lâm Toàn</t>
  </si>
  <si>
    <t>C000030908</t>
  </si>
  <si>
    <t>Lý Hùng</t>
  </si>
  <si>
    <t>C000030559</t>
  </si>
  <si>
    <t>Cảnh Hảo</t>
  </si>
  <si>
    <t>C000013119</t>
  </si>
  <si>
    <t>Hảo Hoa</t>
  </si>
  <si>
    <t>Ắc quy oto - N100 - PINACO: 2.100.000</t>
  </si>
  <si>
    <t>Đặng Quốc Huy</t>
  </si>
  <si>
    <t>CÔNG TY TNHH BATTERY VIỆT HƯNG</t>
  </si>
  <si>
    <t>C000026096</t>
  </si>
  <si>
    <t>Gia Nhân</t>
  </si>
  <si>
    <t xml:space="preserve">Chương trình km cần tốt hơn, chất lượng sản phẩm tốt hơn nữa </t>
  </si>
  <si>
    <t>C000019201</t>
  </si>
  <si>
    <t>Cảnh Nghĩa</t>
  </si>
  <si>
    <t>109.000.000 VNĐ</t>
  </si>
  <si>
    <t>Ắc quy oto - N100  - PINACO: 2.050.000</t>
  </si>
  <si>
    <t xml:space="preserve">Cần có chương trình khuyến mãi hợp lý hơn và chất lượng sản phẩm tốt hơn. </t>
  </si>
  <si>
    <t>C000018607</t>
  </si>
  <si>
    <t>Công Vương</t>
  </si>
  <si>
    <t>350.000.000 VNĐ</t>
  </si>
  <si>
    <t>Pinaco / Đồng Nai - 2_x000D_
GS - 6_x000D_
Enimac - 2</t>
  </si>
  <si>
    <t>Ắc quy oto - N150 - PINACO: 2.950.000, GS: 2.950.000</t>
  </si>
  <si>
    <t>Giá bán Đồng Nai cao hơn đối thủ</t>
  </si>
  <si>
    <t>C000013082</t>
  </si>
  <si>
    <t>DNTN Hà Nam</t>
  </si>
  <si>
    <t>Pinaco / Đồng Nai - 5_x000D_
GS - 2_x000D_
Ắc quy ngoại nhập - 3</t>
  </si>
  <si>
    <t>Bán lẻ: 94%; Bán sỉ: 6%</t>
  </si>
  <si>
    <t>Ắc quy oto - N150 - PINACO: 2.800.000, GS: 2.800.000</t>
  </si>
  <si>
    <t>Giá Đồng Nai cao hơn đối thủ</t>
  </si>
  <si>
    <t>C000013116</t>
  </si>
  <si>
    <t>Minh Chanh</t>
  </si>
  <si>
    <t>166.000.000 VNĐ</t>
  </si>
  <si>
    <t>131.000.000 VNĐ</t>
  </si>
  <si>
    <t>Pinaco / Đồng Nai - 4_x000D_
GS - 4_x000D_
Ắc quy ngoại nhập - 1_x000D_
Globe - 1</t>
  </si>
  <si>
    <t>Ắc quy oto - N150 - PINACO: 3.000.000, GS: 3.000.000, GLOBE: 3.000.000</t>
  </si>
  <si>
    <t>Giá sản phẩm cao hơn đối thủ</t>
  </si>
  <si>
    <t>C000036181</t>
  </si>
  <si>
    <t>Ái Thiên</t>
  </si>
  <si>
    <t>C000014795</t>
  </si>
  <si>
    <t>Trần Hùng</t>
  </si>
  <si>
    <t>67.500.000 VNĐ</t>
  </si>
  <si>
    <t xml:space="preserve">Chất lượng sản phẩm cần đảm bảo và tốt hơn, giá thành hợp lý hơn. </t>
  </si>
  <si>
    <t>C000019053</t>
  </si>
  <si>
    <t>Tín Thành</t>
  </si>
  <si>
    <t>935.000.000 VNĐ</t>
  </si>
  <si>
    <t>Ắc quy oto - N200 - PINACO: 4.100.000, GS: 4.000.000, ENIMAC: 4.000.000</t>
  </si>
  <si>
    <t xml:space="preserve">Cải tiến chất lượng sản phẩm và hạ giá thành. </t>
  </si>
  <si>
    <t>C000022762</t>
  </si>
  <si>
    <t>Bình Lan</t>
  </si>
  <si>
    <t>26.900.000 VNĐ</t>
  </si>
  <si>
    <t>Ắc quy oto - 50b24LS  - PINACO: 1.300.000</t>
  </si>
  <si>
    <t xml:space="preserve">Chất lượng sản phẩm ắc quy cần đảm bảo và tốt hơn nữa. </t>
  </si>
  <si>
    <t>C000040649</t>
  </si>
  <si>
    <t>Quang Linh</t>
  </si>
  <si>
    <t>Ắc quy xe điện - 12/14 - PINACO: 1.700.000, OTHER: 1.600.000</t>
  </si>
  <si>
    <t xml:space="preserve">Chất lượng sản phẩm cần được nâng cao hơn nữa. </t>
  </si>
  <si>
    <t>C000013088</t>
  </si>
  <si>
    <t>Anh Phát</t>
  </si>
  <si>
    <t>585.000.000 VNĐ</t>
  </si>
  <si>
    <t>Tối giản chương trình km của Đồng Nai,giá cao hơn so với các hãng khác.</t>
  </si>
  <si>
    <t>C000032473</t>
  </si>
  <si>
    <t>ANH THẾ</t>
  </si>
  <si>
    <t>87.760.000 VNĐ</t>
  </si>
  <si>
    <t>Ắc quy oto - 105d31 - PINACO: 2.100.000_x000D_
Ắc quy oto - n100 - PINACO: 2.200.000</t>
  </si>
  <si>
    <t>Giá lên ,chậm hơn so với trước,chương trình cần tốt hơn</t>
  </si>
  <si>
    <t>Nguyễn Công Chuẩn</t>
  </si>
  <si>
    <t>CÔNG TY TNHH ẮC QUY ANH PHÁT</t>
  </si>
  <si>
    <t>C000019701</t>
  </si>
  <si>
    <t>ĐẠT DUỆ</t>
  </si>
  <si>
    <t>84.000.000 VNĐ</t>
  </si>
  <si>
    <t>68.474.000 VNĐ</t>
  </si>
  <si>
    <t>Ắc quy dân dụng - n30 - PINACO: 850.000_x000D_
Ắc quy oto - 50b24 - PINACO: 1.250.000</t>
  </si>
  <si>
    <t>Giá lên,bán hàng chậm hẳn,lợi nhuận sụt đi nhiều</t>
  </si>
  <si>
    <t>C000013070</t>
  </si>
  <si>
    <t>LÂM HÙNG</t>
  </si>
  <si>
    <t>Pinaco / Đồng Nai - 3_x000D_
GS - 4_x000D_
Enimac - 2_x000D_
Ắc quy ngoại nhập - 1</t>
  </si>
  <si>
    <t>Ắc quy oto - N150 - PINACO: 3.100.000, GS: 3.100.000, ENIMAC: 3.000.000</t>
  </si>
  <si>
    <t>Giá Đông Nai cao hơn đối thủ</t>
  </si>
  <si>
    <t>C000013075</t>
  </si>
  <si>
    <t>Ấn Hiền</t>
  </si>
  <si>
    <t>1.235.000.000 VNĐ</t>
  </si>
  <si>
    <t>Pinaco / Đồng Nai - 1_x000D_
GS - 6_x000D_
Enimac - 3</t>
  </si>
  <si>
    <t>Ắc quy oto - N100 - PINACO: 2.100.000, GS: 2.100.000, ENIMAC: 2.100.000</t>
  </si>
  <si>
    <t>Giá của Đồng Nai cao hơn đối thủ nhiều</t>
  </si>
  <si>
    <t>C000026642</t>
  </si>
  <si>
    <t>Xuân Nghị</t>
  </si>
  <si>
    <t>Ắc quy oto - Cmf31800 - PINACO: 2.400.000_x000D_
Ắc quy dân dụng - N30 - PINACO: 830.000_x000D_
Ắc quy oto - N100 - PINACO: 2.000.000_x000D_
Ắc quy oto - N85 - PINACO: 1.700.000</t>
  </si>
  <si>
    <t>Bình cmf 31800,n100,1 số mã din cmf giá thành sau chiết khấu còn khá cao.</t>
  </si>
  <si>
    <t>Đào Văn Tình</t>
  </si>
  <si>
    <t>CÔNG TY TNHH HOÀNG PHÚC</t>
  </si>
  <si>
    <t>C000029727</t>
  </si>
  <si>
    <t>Khánh Hoa</t>
  </si>
  <si>
    <t>Pinaco / Đồng Nai - 4_x000D_
GS - 2_x000D_
Nhãn hiệu khác - 4</t>
  </si>
  <si>
    <t>Ắc quy xe máy - PTZ6HL - PINACO: 260.000, GS: 275.000, OTHER: 240.000</t>
  </si>
  <si>
    <t>Giá Đồng Nai đang cao hơn so với các hãng khác.</t>
  </si>
  <si>
    <t>C000013090</t>
  </si>
  <si>
    <t>Vinh Hạnh</t>
  </si>
  <si>
    <t>Pinaco / Đồng Nai - 9_x000D_
GS - 1</t>
  </si>
  <si>
    <t>C000013093</t>
  </si>
  <si>
    <t>Hướng Điêm</t>
  </si>
  <si>
    <t>Pinaco / Đồng Nai - 5_x000D_
Enimac - 5</t>
  </si>
  <si>
    <t>Ắc quy oto - N200 - PINACO: 4.000.000, ENIMAC: 4.000.000</t>
  </si>
  <si>
    <t>C000013207</t>
  </si>
  <si>
    <t>Mạnh Tùng</t>
  </si>
  <si>
    <t>136.000.000 VNĐ</t>
  </si>
  <si>
    <t>235.000.000 VNĐ</t>
  </si>
  <si>
    <t>Ắc quy oto - N100 - PINACO: 1.950.000, GS: 1.900.000_x000D_
Ắc quy oto - 31800 - PINACO: 2.250.000, GS: 2.200.000, NGOAI_NHAP: 2.200.000</t>
  </si>
  <si>
    <t>Phan Anh Tài</t>
  </si>
  <si>
    <t>CTY TNHH HOÀNG TÍN THÀNH</t>
  </si>
  <si>
    <t>C000039769</t>
  </si>
  <si>
    <t>Nga Hùng</t>
  </si>
  <si>
    <t>11.500.000 VNĐ</t>
  </si>
  <si>
    <t>Ắc quy xe điện - Pa12-23 - PINACO: 650.000, OTHER: 620.000_x000D_
Ắc quy oto - N100 - PINACO: 2.000.000, GS: 1.900.000_x000D_
Ắc quy oto - 90d26 - PINACO: 1.700.000, OTHER: 1.750.000</t>
  </si>
  <si>
    <t>Bình cmf 31800 bà n100 giá thành sau chiết khấu còn khá cao</t>
  </si>
  <si>
    <t>C000014828</t>
  </si>
  <si>
    <t>Gia Tá</t>
  </si>
  <si>
    <t>151.000.000 VNĐ</t>
  </si>
  <si>
    <t>Ắc quy oto - N220  - PINACO: 4.100.000, GS: 4.150.000</t>
  </si>
  <si>
    <t xml:space="preserve">Chương trình km cần đơn giản ,dễ nắm bắt, chất lượng sản phẩm cần tốt hơn nữa. </t>
  </si>
  <si>
    <t>C000026221</t>
  </si>
  <si>
    <t>Tân Thành Thái</t>
  </si>
  <si>
    <t>64.000.000 VNĐ</t>
  </si>
  <si>
    <t>62.000.000 VNĐ</t>
  </si>
  <si>
    <t>Pinaco / Đồng Nai - 7_x000D_
GS - 1_x000D_
Ắc quy ngoại nhập - 2</t>
  </si>
  <si>
    <t>Ắc quy oto - N85 - PINACO: 1.650.000, GS: 1.600.000_x000D_
Ắc quy oto - Cmf 31800 - PINACO: 2.450.000, GS: 2.500.000, NGOAI_NHAP: 2.650.000</t>
  </si>
  <si>
    <t>C000013100</t>
  </si>
  <si>
    <t>Thịnh Lâm</t>
  </si>
  <si>
    <t>143.000.000 VNĐ</t>
  </si>
  <si>
    <t>GS - 4_x000D_
Ắc quy ngoại nhập - 3_x000D_
Pinaco / Đồng Nai - 3</t>
  </si>
  <si>
    <t>Ắc quy oto - N100 - GS: 2.100.000, PINACO: 2.100.000</t>
  </si>
  <si>
    <t>Giá bị cao hơn các hãng khác</t>
  </si>
  <si>
    <t>C000013841</t>
  </si>
  <si>
    <t>Đức Anh</t>
  </si>
  <si>
    <t>Pinaco / Đồng Nai - 5_x000D_
Globe - 2_x000D_
Ắc quy ngoại nhập - 3</t>
  </si>
  <si>
    <t>Ắc quy oto - N100 - PINACO: 2.000.000, GLOBE: 2.000.000_x000D_
Ắc quy oto - Cmf 105D31 - PINACO: 1.950.000, NGOAI_NHAP: 1.950.000_x000D_
Ắc quy dân dụng - N30 - PINACO: 730.000, GLOBE: 700.000_x000D_
Ắc quy oto - Cmf 31800 - PINACO: 2.400.000, NGOAI_NHAP: 2.350.000</t>
  </si>
  <si>
    <t>C000019028</t>
  </si>
  <si>
    <t>Hưng Vân</t>
  </si>
  <si>
    <t>GS - 1_x000D_
Pinaco / Đồng Nai - 9</t>
  </si>
  <si>
    <t>Ắc quy oto - N220 - GS: 3.900.000, PINACO: 3.950.000</t>
  </si>
  <si>
    <t>C000014797</t>
  </si>
  <si>
    <t>Hùng Thúy</t>
  </si>
  <si>
    <t xml:space="preserve">Chương trình khuyến mãi hợp lý hơn ,chất lượng bình tốt hơn </t>
  </si>
  <si>
    <t>C000037165</t>
  </si>
  <si>
    <t>Thu Thủy</t>
  </si>
  <si>
    <t>Ắc quy xe máy - Ptz6L - PINACO: 295.000</t>
  </si>
  <si>
    <t>Khách hàng muốn được công ty tặng bàn ghế. Để tặng cho khách sửa chữa.</t>
  </si>
  <si>
    <t>C000033194</t>
  </si>
  <si>
    <t>Anh Mùi</t>
  </si>
  <si>
    <t>Ắc quy oto - N100 - PINACO: 1.950.000_x000D_
Ắc quy oto - CMF 105D31 - PINACO: 1.850.000_x000D_
Ắc quy oto - CMF 50B24 - PINACO: 1.150.000</t>
  </si>
  <si>
    <t>- CTKM chiết khấu cho điểm nhỏ tốt lên mới cạnh tranh được hàng nhập ngoại.
- Giá bán linh hoạt, dễ hiểu hơn.
- Bảo hành linh động, do nhập hàng từ Npp về Date đã 4 tháng trở lên.</t>
  </si>
  <si>
    <t>C000029732</t>
  </si>
  <si>
    <t>Ngọc Bích</t>
  </si>
  <si>
    <t>5.800.000 VNĐ</t>
  </si>
  <si>
    <t>Ắc quy xe máy - Ptz6hl - PINACO: 290.000, OTHER: 280.000</t>
  </si>
  <si>
    <t>C000026921</t>
  </si>
  <si>
    <t>ĐỒNG KHÁNH 2</t>
  </si>
  <si>
    <t>148.508.000 VNĐ</t>
  </si>
  <si>
    <t>Pinaco / Đồng Nai - 5_x000D_
GS - 3_x000D_
Ắc quy ngoại nhập - 2</t>
  </si>
  <si>
    <t>Bán lẻ: 61%; Bán sỉ: 39%</t>
  </si>
  <si>
    <t>Ắc quy oto - 44b20 - PINACO: 1.200.000, GS: 1.200.000, NGOAI_NHAP: 1.200.000_x000D_
Ắc quy oto - 80d26 - PINACO: 1.650.000, GS: 1.600.000, NGOAI_NHAP: 1.600.000</t>
  </si>
  <si>
    <t>Cửa hàng đặt kho tại nơi khác , cách xa điểm bán . 
Ý kiến của cửa hàng :
Chương trình khuyến mại không ổn định, giá cao hơn nhiều so với các hãng. Cửa hàng khó tập chung để bán hàng cho pinaco. Công ty nên điều chỉnh lại chương trình khuyến mại, cho giá cả bình ổn hơn</t>
  </si>
  <si>
    <t>C000013121</t>
  </si>
  <si>
    <t>Diềm yến</t>
  </si>
  <si>
    <t>540.000.000 VNĐ</t>
  </si>
  <si>
    <t>Pinaco / Đồng Nai - 8_x000D_
Globe - 2</t>
  </si>
  <si>
    <t>Ắc quy oto - N100 - PINACO: 1.900.000, GLOBE: 1.900.000</t>
  </si>
  <si>
    <t>C000014778</t>
  </si>
  <si>
    <t>Nguyệt Khanh</t>
  </si>
  <si>
    <t>64.200.000 VNĐ</t>
  </si>
  <si>
    <t xml:space="preserve">Cần có chương trình khuyến mãi tốt hơn và chất lượng sản phẩm luôn đảm bảo tốt hơn. </t>
  </si>
  <si>
    <t>C000034837</t>
  </si>
  <si>
    <t>Bằng Phú Nhuận</t>
  </si>
  <si>
    <t>C000037755</t>
  </si>
  <si>
    <t>kiên nga</t>
  </si>
  <si>
    <t>C000033154</t>
  </si>
  <si>
    <t>TOP ẮC QUY</t>
  </si>
  <si>
    <t>255.865.000 VNĐ</t>
  </si>
  <si>
    <t>Pinaco / Đồng Nai - 4_x000D_
GS - 2_x000D_
Globe - 1_x000D_
Ắc quy ngoại nhập - 2_x000D_
Yamato - 1</t>
  </si>
  <si>
    <t>Ắc quy oto - 44b20 - PINACO: 1.200.000, GS: 1.250.000, NGOAI_NHAP: 1.200.000_x000D_
Ắc quy oto - 50b24 - PINACO: 1.400.000, GS: 1.450.000, NGOAI_NHAP: 1.350.000</t>
  </si>
  <si>
    <t>Kho của cửa hàng đặt tại vị trí khác , không gần cửa hàng
Ý kiến của cửa hàng : 
Điều chỉnh lại chương trình khuyến mại, giá bình pinaco đang cao hơn các hãng khác , ảnh hưởng đến tỉ lệ bán hàng rất nhiều</t>
  </si>
  <si>
    <t>C000030370</t>
  </si>
  <si>
    <t>Lộc Phát</t>
  </si>
  <si>
    <t>C000015508</t>
  </si>
  <si>
    <t>THANH TÚ</t>
  </si>
  <si>
    <t>1.232.648.000 VNĐ</t>
  </si>
  <si>
    <t>Pinaco / Đồng Nai - 3_x000D_
GS - 5_x000D_
Yamato - 1_x000D_
Ắc quy ngoại nhập - 1</t>
  </si>
  <si>
    <t>Bán lẻ: 43%; Bán sỉ: 57%</t>
  </si>
  <si>
    <t>Ắc quy oto - 44b20 - PINACO: 1.200.000, GS: 1.150.000, NGOAI_NHAP: 1.100.000_x000D_
Ắc quy oto - 50b24 - PINACO: 1.250.000, GS: 1.250.000, NGOAI_NHAP: 1.200.000</t>
  </si>
  <si>
    <t>Xem lại chất lượng bình nước và khô. Đang kém không ổn định
Giá sau khuyến mại còn cao hơn so với gs và bình ngoại nhập, cửa hàng khó bán hàng của pinaco</t>
  </si>
  <si>
    <t>C000014749</t>
  </si>
  <si>
    <t>Tuân Hảo</t>
  </si>
  <si>
    <t>Bán lẻ: 88%; Bán sỉ: 12%</t>
  </si>
  <si>
    <t>Ắc quy oto - N100 - PINACO: 2.050.000, GS: 2.100.000</t>
  </si>
  <si>
    <t>Cần có chương trình khuyến mãi tốt hơn so với đối thủ.</t>
  </si>
  <si>
    <t>C000012804</t>
  </si>
  <si>
    <t>Tú Tươi</t>
  </si>
  <si>
    <t>364.000.000 VNĐ</t>
  </si>
  <si>
    <t>Ắc quy oto - N220 - PINACO: 3.850.000, GS: 3.800.000_x000D_
Ắc quy oto - N200 - PINACO: 3.750.000, GS: 3.700.000</t>
  </si>
  <si>
    <t>C000019288</t>
  </si>
  <si>
    <t>TUẤN ANH</t>
  </si>
  <si>
    <t>588.594.400 VNĐ</t>
  </si>
  <si>
    <t>Pinaco / Đồng Nai - 2_x000D_
GS - 3_x000D_
Enimac - 1_x000D_
Globe - 1_x000D_
Ắc quy ngoại nhập - 2_x000D_
Yamato - 1</t>
  </si>
  <si>
    <t>Ắc quy oto - 44b20 - PINACO: 1.200.000, GS: 1.200.000, ENIMAC: 1.150.000, NGOAI_NHAP: 1.100.000_x000D_
Ắc quy oto - 105D31 - PINACO: 2.000.000, GS: 1.900.000, ENIMAC: 1.900.000, NGOAI_NHAP: 1.900.000</t>
  </si>
  <si>
    <t xml:space="preserve">
Giá đồng nai đang cao hơn GS , các bình ngoại. 
Đề nghị công ty cần thay đổi chương trình khuyến mại để có được mức giá cạnh tranh với các hãng. Cho cửa hàng có mức giá ổn định , yên tâm bán hàng</t>
  </si>
  <si>
    <t>C000014734</t>
  </si>
  <si>
    <t>Tư Vi</t>
  </si>
  <si>
    <t>46.500.000 VNĐ</t>
  </si>
  <si>
    <t>Ắc quy oto - N100 - PINACO: 2.050.000</t>
  </si>
  <si>
    <t>C000014730</t>
  </si>
  <si>
    <t>Quốc Vượng</t>
  </si>
  <si>
    <t>116.000.000 VNĐ</t>
  </si>
  <si>
    <t>C000019690</t>
  </si>
  <si>
    <t>163.178.000 VNĐ</t>
  </si>
  <si>
    <t>Ắc quy oto - n100 - PINACO: 2.100.000_x000D_
Ắc quy oto - 105d31 - PINACO: 2.000.000</t>
  </si>
  <si>
    <t xml:space="preserve">Giá bán cần điều chỉnh tốt hơn
Vẫn cao hơn nhiều hãng
</t>
  </si>
  <si>
    <t>C000016249</t>
  </si>
  <si>
    <t>NGẠN NHUNG</t>
  </si>
  <si>
    <t>53.531.000 VNĐ</t>
  </si>
  <si>
    <t>Ắc quy oto - 50b24 - PINACO: 1.300.000, GS: 1.300.000, NGOAI_NHAP: 1.200.000_x000D_
Ắc quy oto - N200 - PINACO: 4.300.000, GS: 4.200.000</t>
  </si>
  <si>
    <t xml:space="preserve">Cửa hàng tập chung các mặt hàng ở tại chỗ, nên cửa hàng không có kho riêng
Ý kiến của chủ cửa hàng : 
Giá sau chương trình khuyến mại của pinaco đang cao hơn các hãng, cần điều chỉnh chương trình khuyến mại tốt hơn </t>
  </si>
  <si>
    <t>C000033903</t>
  </si>
  <si>
    <t>Minh Hạnh</t>
  </si>
  <si>
    <t>7.400.000 VNĐ</t>
  </si>
  <si>
    <t>Ắc quy xe máy - PTz6Hl - GS: 280.000, PINACO: 260.000</t>
  </si>
  <si>
    <t>Pinaco giờ ít tặng áo mưa để mặc.</t>
  </si>
  <si>
    <t>C000017088</t>
  </si>
  <si>
    <t>chú quyền</t>
  </si>
  <si>
    <t>165.000.000 VNĐ</t>
  </si>
  <si>
    <t>Ắc quy oto - N100 - PINACO: 1.850.000, GS: 1.800.000</t>
  </si>
  <si>
    <t>Chương trình khuyến mại nên đơn giản, dễ hiểu, đưa về giá cuối. Tần suất khuyến mại 2 tháng 1 lần</t>
  </si>
  <si>
    <t>C000035545</t>
  </si>
  <si>
    <t>CƯ LÂM (M)</t>
  </si>
  <si>
    <t>131.523.000 VNĐ</t>
  </si>
  <si>
    <t>Pinaco / Đồng Nai - 3_x000D_
GS - 3_x000D_
Ắc quy ngoại nhập - 3_x000D_
Yamato - 1</t>
  </si>
  <si>
    <t>Ắc quy oto - 90d26 - PINACO: 1.700.000, GS: 1.600.000, NGOAI_NHAP: 1.550.000_x000D_
Ắc quy oto - N100 - PINACO: 2.000.000, GS: 1.900.000, NGOAI_NHAP: 0</t>
  </si>
  <si>
    <t xml:space="preserve">Cửa hàng để hàng tại điểm bán luôn, nên điểm bán cũng đặt làm kho hàng . 
Ý kiến của chú điểm bán: 
Duy trì tốt chương trình khuyến mại, giá pinaco so với các hãng đang cao hơn nhiều, cửa hàng khó bán hàng </t>
  </si>
  <si>
    <t>C000012789</t>
  </si>
  <si>
    <t>Thắm Kiên</t>
  </si>
  <si>
    <t>Pinaco / Đồng Nai - 2_x000D_
GS - 3_x000D_
Enimac - 3_x000D_
Globe - 1_x000D_
Ắc quy ngoại nhập - 1</t>
  </si>
  <si>
    <t>Ắc quy oto - N100 - PINACO: 2.000.000, GS: 1.900.000, ENIMAC: 1.900.000, GLOBE: 1.900.000_x000D_
Ắc quy xe điện - Pa 12_14 - PINACO: 450.000, NGOAI_NHAP: 430.000_x000D_
Ắc quy oto - Pa 12-23 - PINACO: 650.000, NGOAI_NHAP: 600.000</t>
  </si>
  <si>
    <t xml:space="preserve">1/Bình ebike 12-23 ah giá thành sau ck còn cao .2/giá bình n100,cmf 31800 cần chiết khấu thêm </t>
  </si>
  <si>
    <t>C000013086</t>
  </si>
  <si>
    <t>Duy Chinh</t>
  </si>
  <si>
    <t>216.000.000 VNĐ</t>
  </si>
  <si>
    <t>Ắc quy oto - N150 - PINACO: 2.900.000, ENIMAC: 2.900.000</t>
  </si>
  <si>
    <t>Giá bán của Đồng Nai cao hơn đối thủ</t>
  </si>
  <si>
    <t>C000013084</t>
  </si>
  <si>
    <t>Đức Hoan</t>
  </si>
  <si>
    <t>Ắc quy oto - N100 - PINACO: 2.000.000, GS: 2.000.000</t>
  </si>
  <si>
    <t>Giá Ắc Quy Đồng Nai cao hơn đối thủ</t>
  </si>
  <si>
    <t>C000015560</t>
  </si>
  <si>
    <t>TRƯỜNG VINH</t>
  </si>
  <si>
    <t>1.512.227.000 VNĐ</t>
  </si>
  <si>
    <t>Pinaco / Đồng Nai - 1_x000D_
GS - 4_x000D_
Enimac - 2_x000D_
Globe - 1_x000D_
Ắc quy ngoại nhập - 1_x000D_
Yamato - 1</t>
  </si>
  <si>
    <t>8 ảnh</t>
  </si>
  <si>
    <t>Ắc quy oto - 44b20 - PINACO: 1.200.000, GS: 1.250.000, ENIMAC: 1.200.000, GLOBE: 1.200.000, NGOAI_NHAP: 1.200.000_x000D_
Ắc quy oto - N150 - PINACO: 3.000.000, GS: 3.050.000, ENIMAC: 3.000.000, GLOBE: 3.000.000</t>
  </si>
  <si>
    <t>Điều chỉnh lại chương trình khuyến mại, giá còn cao so với các hãng như GS , globe, troy</t>
  </si>
  <si>
    <t>C000015572</t>
  </si>
  <si>
    <t>TẠ ĐÌNH QUANG</t>
  </si>
  <si>
    <t>141.982.000 VNĐ</t>
  </si>
  <si>
    <t>Pinaco / Đồng Nai - 6_x000D_
GS - 2_x000D_
Yamato - 1_x000D_
Ắc quy ngoại nhập - 1</t>
  </si>
  <si>
    <t>Ắc quy oto - 44b20 - PINACO: 1.200.000, GS: 1.200.000, NGOAI_NHAP: 1.150.000_x000D_
Ắc quy oto - 105d31 - PINACO: 1.950.000, GS: 1.900.000, NGOAI_NHAP: 1.900.000</t>
  </si>
  <si>
    <t>Cần điều chỉnh lại chương trình khuyến mại, để mức giá ổn định cạnh tranh so với đối thủ như GS để bán hàng được tốt hơn</t>
  </si>
  <si>
    <t>C000013777</t>
  </si>
  <si>
    <t>Hà Nam</t>
  </si>
  <si>
    <t>Ắc quy oto - N100 - PINACO: 2.000.000_x000D_
Ắc quy oto - 105d31 - PINACO: 1.900.000_x000D_
Ắc quy oto - N85 - PINACO: 1.700.000_x000D_
Ắc quy oto - Cmf 31800 - PINACO: 2.400.000</t>
  </si>
  <si>
    <t>C000029706</t>
  </si>
  <si>
    <t>Tuyến Hải</t>
  </si>
  <si>
    <t>Ắc quy xe máy - Ptz6hl - PINACO: 255.000, GLOBE: 270.000</t>
  </si>
  <si>
    <t>Giá Đồng Nai cao hơn so với GS, Globe.</t>
  </si>
  <si>
    <t>C000029710</t>
  </si>
  <si>
    <t>Thái Tuấn</t>
  </si>
  <si>
    <t>Đề nghị công ty điều chỉnh giá phù hợp hơn so GS.</t>
  </si>
  <si>
    <t>C000029715</t>
  </si>
  <si>
    <t>An Thành</t>
  </si>
  <si>
    <t>Ắc quy xe máy - Ptz6hl - PINACO: 300.000</t>
  </si>
  <si>
    <t>C000018394</t>
  </si>
  <si>
    <t>Phúc Đạt</t>
  </si>
  <si>
    <t>697.500.000 VNĐ</t>
  </si>
  <si>
    <t>Ắc quy oto - 31s800 - PINACO: 2.100.000</t>
  </si>
  <si>
    <t>Chất lượng sản phẩm chưa ổn định,cần cải tiến thêm</t>
  </si>
  <si>
    <t>C000031981</t>
  </si>
  <si>
    <t>Ngọc Đê</t>
  </si>
  <si>
    <t>C000014537</t>
  </si>
  <si>
    <t>Ắc quy oto - 105d31 - PINACO: 1.950.000</t>
  </si>
  <si>
    <t>C000014536</t>
  </si>
  <si>
    <t>Tuấn Phương</t>
  </si>
  <si>
    <t>108.000.000 VNĐ</t>
  </si>
  <si>
    <t>79.000.000 VNĐ</t>
  </si>
  <si>
    <t>Ắc quy oto - N100 - GS: 1.900.000, PINACO: 2.000.000</t>
  </si>
  <si>
    <t>C000031075</t>
  </si>
  <si>
    <t>Ngọc Chinh</t>
  </si>
  <si>
    <t>Ắc quy xe máy - Ptz6hl - PINACO: 290.000, OTHER: 260.000</t>
  </si>
  <si>
    <t>C000013072</t>
  </si>
  <si>
    <t>Quang Anh</t>
  </si>
  <si>
    <t>255.000.000 VNĐ</t>
  </si>
  <si>
    <t>Ắc quy oto - N150 - PINACO: 2.950.000</t>
  </si>
  <si>
    <t>Giá bán đang cao hơn đối thủ GS và Enimac tại thị trường</t>
  </si>
  <si>
    <t>C000031053</t>
  </si>
  <si>
    <t>THÁI AN</t>
  </si>
  <si>
    <t>359.959.000 VNĐ</t>
  </si>
  <si>
    <t>Pinaco / Đồng Nai - 9_x000D_
Ắc quy ngoại nhập - 1</t>
  </si>
  <si>
    <t>Ắc quy oto - 105D31 - PINACO: 1.950.000, NGOAI_NHAP: 1.900.000</t>
  </si>
  <si>
    <t xml:space="preserve">Duy trì chương trình khuyến mại , giá bình ổn so với các hãng để cửa hàng bán sản phẩm tốt hơn. </t>
  </si>
  <si>
    <t>C000018329</t>
  </si>
  <si>
    <t>GIA KHÁNH</t>
  </si>
  <si>
    <t>808.010.000 VNĐ</t>
  </si>
  <si>
    <t>Pinaco / Đồng Nai - 3_x000D_
GS - 2_x000D_
Nhãn hiệu khác - 5</t>
  </si>
  <si>
    <t>Ắc quy oto - N200 - PINACO: 4.000.000, GS: 4.000.000_x000D_
Ắc quy oto - 105D31 - PINACO: 1.950.000, GS: 1.950.000_x000D_
Ắc quy oto - 31800 - PINACO: 2.200.000, GS: 2.200.000</t>
  </si>
  <si>
    <t>Cửa hàng chuyên lắp ráp pin , nên không có kệ trưng bày 
Ý kiến của chủ cửa hàng: 
Cân đối giá hợp lý giá , chương trình khuyến mại so với đối thủ như GS . Để mức giá bình ổn hợp lý cho cửa hàng bán sản phẩm</t>
  </si>
  <si>
    <t>C000033007</t>
  </si>
  <si>
    <t>Hải Nhung</t>
  </si>
  <si>
    <t>33.000.000 VNĐ</t>
  </si>
  <si>
    <t>28.848.000 VNĐ</t>
  </si>
  <si>
    <t>Ắc quy oto - N100 - PINACO: 2.050.000_x000D_
Ắc quy xe điện - Pa12-23 - PINACO: 650.000_x000D_
Ắc quy xe điện - Pa12-14 - PINACO: 450.000</t>
  </si>
  <si>
    <t xml:space="preserve">1/Giá thành bình xe điện ibike ,bình cmf 100 sau chiết khấu còn khá cao.đề xuất cắt thêm chiết khấu.           </t>
  </si>
  <si>
    <t>C000019675</t>
  </si>
  <si>
    <t>Hoàng Hải</t>
  </si>
  <si>
    <t>533.984.000 VNĐ</t>
  </si>
  <si>
    <t>Ắc quy oto - 105d31 - PINACO: 2.050.000</t>
  </si>
  <si>
    <t>Các chương trình nên quy về ck trực tiếp</t>
  </si>
  <si>
    <t>C000015516</t>
  </si>
  <si>
    <t>THUẬN THANH</t>
  </si>
  <si>
    <t>76.587.000 VNĐ</t>
  </si>
  <si>
    <t>Pinaco / Đồng Nai - 7_x000D_
GS - 1_x000D_
Ắc quy ngoại nhập - 1_x000D_
Yamato - 1</t>
  </si>
  <si>
    <t>Bán lẻ: 73%; Bán sỉ: 27%</t>
  </si>
  <si>
    <t>Ắc quy oto - 44b20 - PINACO: 1.200.000, GS: 1.200.000, NGOAI_NHAP: 1.100.000</t>
  </si>
  <si>
    <t xml:space="preserve">So với các hãng, chương trình khuyến mại pinaco không ổn định, giá so với các hãng còn cao. Cửa hàng bán hàng khó cạnh tranh so với các cửa hàng khác , bán hàng ngoại nhập giá rẻ. </t>
  </si>
  <si>
    <t>C000014671</t>
  </si>
  <si>
    <t>Hùng Vân</t>
  </si>
  <si>
    <t>Ắc quy oto - 44b20 - PINACO: 1.100.000</t>
  </si>
  <si>
    <t>C000015521</t>
  </si>
  <si>
    <t>PHÚ TÀI</t>
  </si>
  <si>
    <t>165.342.000 VNĐ</t>
  </si>
  <si>
    <t>Ắc quy oto - N150 - PINACO: 3.100.000, GS: 3.000.000, GLOBE: 3.000.000_x000D_
Ắc quy oto - N200 - GS: 4.000.000, GLOBE: 4.000.000, PINACO: 4.100.000</t>
  </si>
  <si>
    <t xml:space="preserve">
Độ ổn định về thị trường, chương trình khuyến mại của pinaco chưa tốt, so với các hãng giá cao. Cửa hàng bán sản phẩm khó duy trì giá. Bên GS , globe luôn giữ ổn định giá , gần như không thay đổi giá . </t>
  </si>
  <si>
    <t>C000012844</t>
  </si>
  <si>
    <t>Minh Toán</t>
  </si>
  <si>
    <t>212.000.000 VNĐ</t>
  </si>
  <si>
    <t>Ắc quy oto - N100 - PINACO: 1.950.000_x000D_
Ắc quy xe máy - 31800 - PINACO: 2.150.000</t>
  </si>
  <si>
    <t>C000015613</t>
  </si>
  <si>
    <t>ANH TUẤN</t>
  </si>
  <si>
    <t>100.035.000 VNĐ</t>
  </si>
  <si>
    <t>Pinaco / Đồng Nai - 5_x000D_
GS - 2_x000D_
Ắc quy ngoại nhập - 2_x000D_
Yamato - 1</t>
  </si>
  <si>
    <t>Ắc quy oto - 44b20 - PINACO: 1.200.000, GS: 1.200.000, NGOAI_NHAP: 1.150.000_x000D_
Ắc quy oto - 55d23 - PINACO: 1.500.000, GS: 1.450.000</t>
  </si>
  <si>
    <t>Cửa hàng nhỏ nên bình khách để tại kho nơi khác. 
Ý kiến của khách hàng: 
Cần điều chỉnh lại chương trình khuyến mại, để giá ắc quy pinaco ổn định, và tiếp cận được với giá đối thủ như GS, nhiều mã bên GS đang thấp hơn nhiều so với pinaco</t>
  </si>
  <si>
    <t>C000013114</t>
  </si>
  <si>
    <t>Bảo Long ( Cô Mậu)</t>
  </si>
  <si>
    <t>Pinaco / Đồng Nai - 2_x000D_
GS - 5_x000D_
Enimac - 2_x000D_
Nhãn hiệu khác - 1</t>
  </si>
  <si>
    <t>Giá Ắc Quy Đồng Nai đợt này cao hơn đối thủ nhiều</t>
  </si>
  <si>
    <t>C000025881</t>
  </si>
  <si>
    <t>Hùng Hà</t>
  </si>
  <si>
    <t>Ắc quy oto - N220 - PINACO: 4.200.000</t>
  </si>
  <si>
    <t>C000017142</t>
  </si>
  <si>
    <t>AN SỰ</t>
  </si>
  <si>
    <t>466.284.000 VNĐ</t>
  </si>
  <si>
    <t>Pinaco / Đồng Nai - 4_x000D_
Globe - 2_x000D_
Ắc quy ngoại nhập - 2_x000D_
GS - 2</t>
  </si>
  <si>
    <t>Bán lẻ: 54%; Bán sỉ: 46%</t>
  </si>
  <si>
    <t>Ắc quy oto - 44b20 - PINACO: 1.200.000, NGOAI_NHAP: 1.150.000, GS: 1.200.000</t>
  </si>
  <si>
    <t xml:space="preserve">Cửa hàng bán hàng tại chợ , nên chỉ để hàng bán. Kho khách hàng đặt tại điểm khác. 
Ý kiến khách hàng: 
Cần duy trì đều khuyến mại của công ty, bình ổn giá cho khách hàng ổn định bán hàng. Nhiều mã sản phẩm đang chênh giá cao hơn so với đối thủ như GS , globe, bình ngoại
</t>
  </si>
  <si>
    <t>C000026051</t>
  </si>
  <si>
    <t>Trần Điển</t>
  </si>
  <si>
    <t>57.000.000 VNĐ</t>
  </si>
  <si>
    <t>Pinaco / Đồng Nai - 7_x000D_
Enimac - 2_x000D_
Nhãn hiệu khác - 1</t>
  </si>
  <si>
    <t>Ắc quy oto - N100 - PINACO: 2.050.000, ENIMAC: 1.950.000_x000D_
Ắc quy xe điện - Pa12-23 - PINACO: 650.000, OTHER: 620.000</t>
  </si>
  <si>
    <t>Đề nghị chiết khấu thêm cho sản phẩm ắc quy xe điện,.bình n100,cmf 100 và 1 số mã bình din còn cao</t>
  </si>
  <si>
    <t>C000015625</t>
  </si>
  <si>
    <t>HỒNG THẮNG</t>
  </si>
  <si>
    <t>809.728.000 VNĐ</t>
  </si>
  <si>
    <t>Pinaco / Đồng Nai - 2_x000D_
GS - 3_x000D_
Globe - 1_x000D_
Ắc quy ngoại nhập - 3_x000D_
Yamato - 1</t>
  </si>
  <si>
    <t>Ắc quy oto - N200 - PINACO: 3.850.000, GS: 3.800.000, NGOAI_NHAP: 4.100.000_x000D_
Ắc quy oto - N150 - PINACO: 2.850.000, GS: 2.800.000, NGOAI_NHAP: 3.100.000</t>
  </si>
  <si>
    <t xml:space="preserve">Cần ổn định giá cho cửa hàng bán hàng, nhiều mã bên GS giá cạnh tranh tốt hơn so với pinaco. Cần thêm chính sách kích cầu bán hàng cho cửa hàng. </t>
  </si>
  <si>
    <t>C000018373</t>
  </si>
  <si>
    <t>Hải Quang</t>
  </si>
  <si>
    <t>335.000.000 VNĐ</t>
  </si>
  <si>
    <t>Bán lẻ: 39%; Bán sỉ: 61%</t>
  </si>
  <si>
    <t>Không có đề xuất gì</t>
  </si>
  <si>
    <t>C000014653</t>
  </si>
  <si>
    <t>Năm Hà</t>
  </si>
  <si>
    <t>C000015573</t>
  </si>
  <si>
    <t>ĐỨC THẮNG</t>
  </si>
  <si>
    <t>254.930.000 VNĐ</t>
  </si>
  <si>
    <t>Pinaco / Đồng Nai - 3_x000D_
GS - 4_x000D_
Globe - 1_x000D_
Ắc quy ngoại nhập - 2</t>
  </si>
  <si>
    <t>Ắc quy oto - 44b20 - PINACO: 1.100.000, GS: 1.250.000, NGOAI_NHAP: 1.200.000</t>
  </si>
  <si>
    <t>Cửa hàng chỉ có hàng tại điểm bán , không có kho hàng
Ý kiến của chủ cửa hàng
1.lưu ý một số mã bình date tồn sâu
2. Giá đồng nai nhiều mã đang cao hơn so với GS và ắc quy ngoại nhập</t>
  </si>
  <si>
    <t>C000015571</t>
  </si>
  <si>
    <t>TẠ ĐÌNH TÙNG</t>
  </si>
  <si>
    <t>102.300.000 VNĐ</t>
  </si>
  <si>
    <t>Pinaco / Đồng Nai - 8_x000D_
GS - 1_x000D_
Ắc quy ngoại nhập - 1_x000D_
Yamato - 0</t>
  </si>
  <si>
    <t>Ắc quy oto - N150 - PINACO: 2.900.000, GS: 2.900.000_x000D_
Ắc quy oto - 31800 - PINACO: 2.600.000_x000D_
Ắc quy oto - 50b24l - PINACO: 1.500.000, GS: 1.500.000, NGOAI_NHAP: 1.500.000</t>
  </si>
  <si>
    <t xml:space="preserve">Kho hàng của điểm bán chỉ có 1 nên ảnh toàn cảnh cửa hàng là kho hàng. 
Ý kiến khách hàng:
1. Tăng chất lượng sản phẩm. </t>
  </si>
  <si>
    <t>C000032963</t>
  </si>
  <si>
    <t>Ắc quy xe máy - Ptz5l  - PINACO: 225.000</t>
  </si>
  <si>
    <t>C000014810</t>
  </si>
  <si>
    <t>160.500.000 VNĐ</t>
  </si>
  <si>
    <t>Ắc quy oto - N200 - PINACO: 4.000.000, GS: 4.100.000</t>
  </si>
  <si>
    <t xml:space="preserve">Chương trình km cần hấp dẫn hơn để bán hàng được tốt hơn. </t>
  </si>
  <si>
    <t>C000034550</t>
  </si>
  <si>
    <t>Cường Anh</t>
  </si>
  <si>
    <t>861.000.000 VNĐ</t>
  </si>
  <si>
    <t>Ắc quy oto - N100E - PINACO: 2.000.000, GS: 2.000.000</t>
  </si>
  <si>
    <t>Ctkm cần ổn định hơn để đại lý ổn định giá bán</t>
  </si>
  <si>
    <t>C000019648</t>
  </si>
  <si>
    <t>HƯNG THỊNH</t>
  </si>
  <si>
    <t>1.550.546.000 VNĐ</t>
  </si>
  <si>
    <t>Pinaco / Đồng Nai - 5_x000D_
GS - 2_x000D_
Ắc quy ngoại nhập - 2_x000D_
Nhãn hiệu khác - 1</t>
  </si>
  <si>
    <t>Ắc quy oto - 105d31 - PINACO: 1.850.000, GS: 1.950.000</t>
  </si>
  <si>
    <t>Bao bì cần cứng cáp hơn,chương trình ổn định hơn về giá,ít thay đổi,tập trung về giá,không thích quay thưởng</t>
  </si>
  <si>
    <t>C000014644</t>
  </si>
  <si>
    <t>Quang Hằng</t>
  </si>
  <si>
    <t>115.000.000 VNĐ</t>
  </si>
  <si>
    <t>Ắc quy oto - N100 - GS: 2.000.000, PINACO: 2.050.000</t>
  </si>
  <si>
    <t>C000013838</t>
  </si>
  <si>
    <t>Quý Đạt</t>
  </si>
  <si>
    <t>Pinaco / Đồng Nai - 6_x000D_
Ắc quy ngoại nhập - 4</t>
  </si>
  <si>
    <t>Ắc quy oto - N100 - PINACO: 2.000.000_x000D_
Ắc quy oto - Cmf31800 - PINACO: 2.500.000, NGOAI_NHAP: 2.600.000_x000D_
Ắc quy oto - 44b20 - PINACO: 1.050.000, NGOAI_NHAP: 1.000.000</t>
  </si>
  <si>
    <t>C000014637</t>
  </si>
  <si>
    <t>Thúy Hồng</t>
  </si>
  <si>
    <t>Ắc quy oto - 31800 - PINACO: 2.400.000</t>
  </si>
  <si>
    <t>C000012825</t>
  </si>
  <si>
    <t>Minh Thắng</t>
  </si>
  <si>
    <t>Ắc quy oto - N100 - PINACO: 1.900.000, GS: 1.850.000_x000D_
Ắc quy oto - 31800 - PINACO: 2.150.000, GS: 2.100.000</t>
  </si>
  <si>
    <t>C000014630</t>
  </si>
  <si>
    <t>Đại Luyến</t>
  </si>
  <si>
    <t>C000014799</t>
  </si>
  <si>
    <t>Khoa Vụ</t>
  </si>
  <si>
    <t>Ắc quy oto - N220  - PINACO: 4.100.000</t>
  </si>
  <si>
    <t xml:space="preserve">Chương trình km cần duy trì và hấp dẫn hơn. </t>
  </si>
  <si>
    <t>C000012824</t>
  </si>
  <si>
    <t>Văn  Dũng</t>
  </si>
  <si>
    <t>142.000.000 VNĐ</t>
  </si>
  <si>
    <t>Ắc quy oto - N100 - PINACO: 1.900.000_x000D_
Ắc quy oto - 31800 - PINACO: 2.200.000</t>
  </si>
  <si>
    <t>C000030414</t>
  </si>
  <si>
    <t>Chính Huyên</t>
  </si>
  <si>
    <t>2.300.000 VNĐ</t>
  </si>
  <si>
    <t>C000034131</t>
  </si>
  <si>
    <t>Đại Duyên</t>
  </si>
  <si>
    <t>Ắc quy xe máy - Ptz5l - PINACO: 225.000, GS: 230.000</t>
  </si>
  <si>
    <t>C000013839</t>
  </si>
  <si>
    <t>Minh Mai</t>
  </si>
  <si>
    <t>1.490.000.000 VNĐ</t>
  </si>
  <si>
    <t>Pinaco / Đồng Nai - 3_x000D_
GS - 2_x000D_
Enimac - 3_x000D_
Ắc quy ngoại nhập - 1_x000D_
Thiên Năng - 1</t>
  </si>
  <si>
    <t>Ắc quy oto - N150Z - PINACO: 3.000.000, ENIMAC: 3.000.000_x000D_
Ắc quy oto - N100 - PINACO: 2.000.000, GS: 1.950.000, ENIMAC: 1.900.000_x000D_
Ắc quy xe tải - 31800 - PINACO: 2.200.000, GS: 2.100.000, ENIMAC: 2.100.000_x000D_
Ắc quy oto - 105d31 - PINACO: 1.900.000, GS: 1.950.000, ENIMAC: 1.900.000</t>
  </si>
  <si>
    <t>- CTKM dễ hiểu hơn
- Cty tăng chiết khấu, hiện tại giá cao hơn Enimac, GS. Bán hàng lợi nhuận thấp
- Chất lượng chưa ổn định, dẫn đến bảo hành tăng cao</t>
  </si>
  <si>
    <t>C000013099</t>
  </si>
  <si>
    <t>Nam Bích</t>
  </si>
  <si>
    <t>Ắc quy oto - 44b20l - PINACO: 1.200.000, GS: 1.200.000</t>
  </si>
  <si>
    <t>C000013125</t>
  </si>
  <si>
    <t>Thu Vượt</t>
  </si>
  <si>
    <t>C000014597</t>
  </si>
  <si>
    <t>Hải Thơm</t>
  </si>
  <si>
    <t>Ắc quy oto - 50b24 - PINACO: 1.300.000</t>
  </si>
  <si>
    <t>C000030357</t>
  </si>
  <si>
    <t>Duyên Thủy</t>
  </si>
  <si>
    <t>C000013822</t>
  </si>
  <si>
    <t>Thành Trương</t>
  </si>
  <si>
    <t>Ắc quy oto - N100 - PINACO: 2.100.000_x000D_
Ắc quy oto - Cmf 31800 - PINACO: 2.550.000</t>
  </si>
  <si>
    <t>1/Đề nghị thêm ck cho sản phẩm n100 và cmf 31800.do giá sau km còn cao,khó cạnh tranh. 2/tăng các chương trình khuyến mại sao cho nội dung sinh động,hấp dẫn hơn.</t>
  </si>
  <si>
    <t>C000030396</t>
  </si>
  <si>
    <t>Xuân Hạnh</t>
  </si>
  <si>
    <t>Ắc quy xe máy - Ptz5l - PINACO: 250</t>
  </si>
  <si>
    <t>C000029719</t>
  </si>
  <si>
    <t>Xuân Vượng</t>
  </si>
  <si>
    <t>13.550.000 VNĐ</t>
  </si>
  <si>
    <t>Ắc quy xe máy - PTZ6HL - PINACO: 270.000, OTHER: 250.000</t>
  </si>
  <si>
    <t>C000038047</t>
  </si>
  <si>
    <t>Quyết hà</t>
  </si>
  <si>
    <t>Thiên Năng - 8_x000D_
Pinaco / Đồng Nai - 2</t>
  </si>
  <si>
    <t>Bán lẻ: 25%; Bán sỉ: 75%</t>
  </si>
  <si>
    <t>Ắc quy xe điện - PA 12 -14 - THIEN_NANG: 550.000, PINACO: 600.000</t>
  </si>
  <si>
    <t>Giá Pinaco đắt hơn so với hàng khác</t>
  </si>
  <si>
    <t>C000013829</t>
  </si>
  <si>
    <t>Tam Cúc</t>
  </si>
  <si>
    <t>63.500.000 VNĐ</t>
  </si>
  <si>
    <t>Ắc quy oto - N100 - PINACO: 2.000.000, GS: 1.900.000_x000D_
Ắc quy oto - N150 - PINACO: 3.000.000, GS: 2.950.000_x000D_
Ắc quy oto - Cmf 31800 - PINACO: 2.500.000, GS: 2.450.000</t>
  </si>
  <si>
    <t>Đề xuất quý công ty có chương trình chiết khấu thêm cho sản phẩm.đặc biệt sản phẩm n100,cmf 31800 và 1 số mã Din.</t>
  </si>
  <si>
    <t>C000013118</t>
  </si>
  <si>
    <t>Anh Hoàng</t>
  </si>
  <si>
    <t>C000030397</t>
  </si>
  <si>
    <t>Sinh Duyên</t>
  </si>
  <si>
    <t>C000010538</t>
  </si>
  <si>
    <t>VĂN AN</t>
  </si>
  <si>
    <t>571.619.000 VNĐ</t>
  </si>
  <si>
    <t>Pinaco / Đồng Nai - 4_x000D_
GS - 2_x000D_
Ắc quy ngoại nhập - 2_x000D_
Globe - 1_x000D_
Yamato - 1</t>
  </si>
  <si>
    <t>Ắc quy oto - 44b20 - PINACO: 1.100.000, GS: 1.200.000, NGOAI_NHAP: 1.100.000</t>
  </si>
  <si>
    <t>Cửa hàng để tập chung hết hàng tại 1 chỗ
Ý kiến của khách hàng
Pinaco nên duy trì ctkm đều, giá hiện tại đang cao hơn so với đối thủ như GS</t>
  </si>
  <si>
    <t>C000026050</t>
  </si>
  <si>
    <t>Garage Lanh Đông</t>
  </si>
  <si>
    <t>Ắc quy oto - N100 - PINACO: 1.900.000, ENIMAC: 1.900.000_x000D_
Ắc quy oto - 31800 - PINACO: 2.100.000, ENIMAC: 2.100.000</t>
  </si>
  <si>
    <t>C000014773</t>
  </si>
  <si>
    <t>Thành Phát</t>
  </si>
  <si>
    <t xml:space="preserve">Chương trinh khuyến mại cần hấp dẫn hơn và dễ hiểu hơn nữa. </t>
  </si>
  <si>
    <t>C000019704</t>
  </si>
  <si>
    <t>ĐOÀN PHÚC</t>
  </si>
  <si>
    <t>Pinaco / Đồng Nai - 1_x000D_
GS - 2_x000D_
Ắc quy ngoại nhập - 4_x000D_
Globe - 3</t>
  </si>
  <si>
    <t>Ắc quy oto - N150 - PINACO: 3.000.000, GS: 3.000.000, GLOBE: 3.000.000_x000D_
Ắc quy oto - N100 - PINACO: 2.000.000, GS: 2.000.000, GLOBE: 2.000.000_x000D_
Ắc quy oto - Cmf 105D31 - PINACO: 1.900.000, NGOAI_NHAP: 2.050.000_x000D_
Ắc quy oto - Cmf 50B45Ls - PINACO: 1.250.000, NGOAI_NHAP: 1.250.000_x000D_
Ắc quy oto - Cmf 44B20 - PINACO: 1.150.000, NGOAI_NHAP: 1.150.000</t>
  </si>
  <si>
    <t xml:space="preserve">Kho hàng của khách có 1 kho nên ảnh toàn cảnh cửa hàng là kho hàng. 
Ý kiến khách hàng:
1. Giá pinaco quá cao so với đối thủ nên giảm giá. 
2. Giá phải ổn định. </t>
  </si>
  <si>
    <t>C000018990</t>
  </si>
  <si>
    <t>Trung Hòa</t>
  </si>
  <si>
    <t>GS - 4_x000D_
Enimac - 1_x000D_
Pinaco / Đồng Nai - 5</t>
  </si>
  <si>
    <t>Ắc quy oto - N100 - GS: 2.000.000, ENIMAC: 1.950.000, PINACO: 2.100.000</t>
  </si>
  <si>
    <t>C000013828</t>
  </si>
  <si>
    <t>An Anh</t>
  </si>
  <si>
    <t>74.000.000 VNĐ</t>
  </si>
  <si>
    <t>71.848.000 VNĐ</t>
  </si>
  <si>
    <t>Pinaco / Đồng Nai - 10_x000D_
Xupai - 0</t>
  </si>
  <si>
    <t>Ắc quy oto - Cmf 31800 - PINACO: 2.500.000_x000D_
Ắc quy oto - 105D31 - PINACO: 2.050.000</t>
  </si>
  <si>
    <t>C000019632</t>
  </si>
  <si>
    <t>ĐIỆN CHUẨN</t>
  </si>
  <si>
    <t>419.766.000 VNĐ</t>
  </si>
  <si>
    <t>Pinaco / Đồng Nai - 2_x000D_
GS - 4_x000D_
Yamato - 2_x000D_
Ắc quy ngoại nhập - 2</t>
  </si>
  <si>
    <t>Ắc quy oto - 50b24 - PINACO: 1.250.000, GS: 1.280.000_x000D_
Ắc quy xe tải - 31800 - PINACO: 2.550.000, GS: 2.500.000</t>
  </si>
  <si>
    <t xml:space="preserve">Các chương trình bán hàng nên gói gọn hơn,quy chuẩn các mục ttong chương trình tập trung về giá bán và chiết khấu trực tiếp </t>
  </si>
  <si>
    <t>C000019705</t>
  </si>
  <si>
    <t>MẠNH HÀ</t>
  </si>
  <si>
    <t>225.300.000 VNĐ</t>
  </si>
  <si>
    <t>Pinaco / Đồng Nai - 6_x000D_
GS - 2_x000D_
Ắc quy ngoại nhập - 2</t>
  </si>
  <si>
    <t>Ắc quy oto - N100 - PINACO: 2.000.000, GS: 2.000.000_x000D_
Ắc quy oto - Cmf 50b24ls - PINACO: 1.200.000, GS: 1.250.000, NGOAI_NHAP: 1.200.000_x000D_
Ắc quy oto - N150 - PINACO: 2.950.000, GS: 3.000.000</t>
  </si>
  <si>
    <t xml:space="preserve">1. Cty cho đi du lịch thì nên mời, đừng tính vào chương trình khuyến mãi. 
2. Giá cao hơn các hãng khác. Nên bằng rocket, GS. Mong muốn cty điều chỉnh lại giá nhất là bình Cmf. </t>
  </si>
  <si>
    <t>C000019140</t>
  </si>
  <si>
    <t>Nam Út</t>
  </si>
  <si>
    <t>46.000.000 VNĐ</t>
  </si>
  <si>
    <t>58.500.000 VNĐ</t>
  </si>
  <si>
    <t>Chương trình khuyến mại cần hấp dẫn hơn nữa .</t>
  </si>
  <si>
    <t>C000012791</t>
  </si>
  <si>
    <t>Bác Dũng</t>
  </si>
  <si>
    <t>Ắc quy oto - N100 - PINACO: 1.950.000_x000D_
Ắc quy dân dụng - N30 - PINACO: 770.000_x000D_
Ắc quy dân dụng - N25 - PINACO: 700.000</t>
  </si>
  <si>
    <t>C000026606</t>
  </si>
  <si>
    <t>Dũng mến</t>
  </si>
  <si>
    <t>112.000.000 VNĐ</t>
  </si>
  <si>
    <t>Ắc quy oto - N100 - PINACO: 2.000.000, GS: 1.950.000, ENIMAC: 1.900.000</t>
  </si>
  <si>
    <t>C000012794</t>
  </si>
  <si>
    <t>NAM Danh</t>
  </si>
  <si>
    <t>Ắc quy oto - N100 - PINACO: 1.900.000, ENIMAC: 1.850.000_x000D_
Ắc quy oto - 31800 - PINACO: 2.150.000, ENIMAC: 2.050.000</t>
  </si>
  <si>
    <t>C000019665</t>
  </si>
  <si>
    <t>XUÂN TÙNG</t>
  </si>
  <si>
    <t>194.010.000 VNĐ</t>
  </si>
  <si>
    <t>Ắc quy oto - N150 - PINACO: 2.900.000, GS: 3.000.000_x000D_
Ắc quy oto - N100 - PINACO: 1.900.000, GS: 2.000.000</t>
  </si>
  <si>
    <t>Kho hàng của khách hàng chỉ có 1 chỗ. Và hình ảnh kho hàng là hình ảnh toàn bộ kho hàng</t>
  </si>
  <si>
    <t>C000014587</t>
  </si>
  <si>
    <t>Sơn Sim</t>
  </si>
  <si>
    <t>Ắc quy oto - N150 - PINACO: 3.000.000</t>
  </si>
  <si>
    <t>C000012792</t>
  </si>
  <si>
    <t>Xuân Định</t>
  </si>
  <si>
    <t>49.000.000 VNĐ</t>
  </si>
  <si>
    <t>Ắc quy oto - N100 - PINACO: 1.950.000, GS: 1.850.000_x000D_
Ắc quy oto - 31800 - PINACO: 2.100.000, GS: 2.000.000</t>
  </si>
  <si>
    <t>C000013816</t>
  </si>
  <si>
    <t>Phúc Chi</t>
  </si>
  <si>
    <t>104.000.000 VNĐ</t>
  </si>
  <si>
    <t>Pinaco / Đồng Nai - 4_x000D_
GS - 1_x000D_
Thiên Năng - 2_x000D_
Xupai - 3</t>
  </si>
  <si>
    <t>Ắc quy oto - Cmf 31800 - PINACO: 2.400.000, GS: 2.300.000_x000D_
Ắc quy xe điện - Pa 12-23 - PINACO: 620, THIEN_NANG: 580.000, XUPAI: 590.000</t>
  </si>
  <si>
    <t>C000012770</t>
  </si>
  <si>
    <t>Thành Luân</t>
  </si>
  <si>
    <t>199.000.000 VNĐ</t>
  </si>
  <si>
    <t>Ắc quy oto - Cmf31800 - PINACO: 2.450.000, GS: 2.350.000</t>
  </si>
  <si>
    <t>C000029721</t>
  </si>
  <si>
    <t>Vĩ Tư</t>
  </si>
  <si>
    <t>Ắc quy xe máy - Ptz6hl - PINACO: 320.000</t>
  </si>
  <si>
    <t>C000035001</t>
  </si>
  <si>
    <t>197.000.000 VNĐ</t>
  </si>
  <si>
    <t>Ắc quy xe máy - Ptz5l - PINACO: 225.000, GS: 230.000, OTHER: 190.000</t>
  </si>
  <si>
    <t>C000014741</t>
  </si>
  <si>
    <t>Ngọc Sỹ</t>
  </si>
  <si>
    <t>Ắc quy oto - N100  - PINACO: 2.100.000</t>
  </si>
  <si>
    <t>C000036330</t>
  </si>
  <si>
    <t>nguyệt khanh</t>
  </si>
  <si>
    <t>Ắc quy xe máy - Ptz5l - PINACO: 225.000</t>
  </si>
  <si>
    <t>C000012768</t>
  </si>
  <si>
    <t>Thuận Diệp</t>
  </si>
  <si>
    <t>208.000.000 VNĐ</t>
  </si>
  <si>
    <t>Pinaco / Đồng Nai - 3_x000D_
GS - 3_x000D_
Enimac - 2_x000D_
Globe - 2_x000D_
Ắc quy ngoại nhập - 0</t>
  </si>
  <si>
    <t>Ắc quy oto - N100 - PINACO: 2.000.000, GS: 1.950.000, ENIMAC: 1.900.000, GLOBE: 2.000.000</t>
  </si>
  <si>
    <t>C000030579</t>
  </si>
  <si>
    <t>Hà Quân</t>
  </si>
  <si>
    <t>C000030368</t>
  </si>
  <si>
    <t>Thành Phú</t>
  </si>
  <si>
    <t>C000030367</t>
  </si>
  <si>
    <t>Anh Huy</t>
  </si>
  <si>
    <t>C000014586</t>
  </si>
  <si>
    <t>Tuyên Luận</t>
  </si>
  <si>
    <t xml:space="preserve">Ắc quy oto - N2050 - </t>
  </si>
  <si>
    <t>C000030377</t>
  </si>
  <si>
    <t>Bảo Hùng</t>
  </si>
  <si>
    <t>C000013808</t>
  </si>
  <si>
    <t>Lân Cúc</t>
  </si>
  <si>
    <t>Ắc quy oto - Cmf31800 - PINACO: 2.500.000_x000D_
Ắc quy oto - 44b20L - PINACO: 1.100.000_x000D_
Ắc quy oto - N100 - PINACO: 2.000.000_x000D_
Ắc quy oto - N150 - PINACO: 3.100.000_x000D_
Ắc quy oto - 105D31(L,R) - PINACO: 1.950.000</t>
  </si>
  <si>
    <t>C000030837</t>
  </si>
  <si>
    <t>Dũng Hải</t>
  </si>
  <si>
    <t>Ắc quy xe máy - Ptz5l - PINACO: 225.000, OTHER: 195.000</t>
  </si>
  <si>
    <t>C000029974</t>
  </si>
  <si>
    <t>Báu Hương</t>
  </si>
  <si>
    <t>Ắc quy xe máy - PTZ6HL - PINACO: 250.000, GS: 260.000, OTHER: 240.000</t>
  </si>
  <si>
    <t>Pinaco Lên đầu tư biển hiệu và chương trình cho khách lớn tốt hơn.</t>
  </si>
  <si>
    <t>C000038349</t>
  </si>
  <si>
    <t>hùng huân</t>
  </si>
  <si>
    <t>230.000.000 VNĐ</t>
  </si>
  <si>
    <t>C000014558</t>
  </si>
  <si>
    <t>Hà Liêu</t>
  </si>
  <si>
    <t>Ắc quy dân dụng - N30 - PINACO: 700.000</t>
  </si>
  <si>
    <t>C000030385</t>
  </si>
  <si>
    <t>Thuận Hải</t>
  </si>
  <si>
    <t>C000013157</t>
  </si>
  <si>
    <t>Vinh chín</t>
  </si>
  <si>
    <t>Ắc quy dân dụng - N50 - PINACO: 1.050.000_x000D_
Ắc quy oto - N100 - PINACO: 1.900.000</t>
  </si>
  <si>
    <t>C000013795</t>
  </si>
  <si>
    <t>Hoà Cẩm</t>
  </si>
  <si>
    <t>Ắc quy oto - N100 - PINACO: 2.110.000_x000D_
Ắc quy xe tải - N150 - PINACO: 3.280.000_x000D_
Ắc quy oto - CMF 50B24  - PINACO: 1.200.000_x000D_
Ắc quy xe điện - 12-23 - PINACO: 660.000</t>
  </si>
  <si>
    <t>C000014720</t>
  </si>
  <si>
    <t>219.000.000 VNĐ</t>
  </si>
  <si>
    <t>C000012842</t>
  </si>
  <si>
    <t>Tam Tươi</t>
  </si>
  <si>
    <t>Ắc quy oto - N220 - PINACO: 3.850.000, GS: 3.800.000</t>
  </si>
  <si>
    <t>C000014564</t>
  </si>
  <si>
    <t>Hùng Oanh</t>
  </si>
  <si>
    <t>Ắc quy oto - 31800 - PINACO: 2.400.000, NGOAI_NHAP: 2.550.000</t>
  </si>
  <si>
    <t>C000014715</t>
  </si>
  <si>
    <t>Quang Cần</t>
  </si>
  <si>
    <t>C000013791</t>
  </si>
  <si>
    <t>Viết Zin</t>
  </si>
  <si>
    <t>Pinaco / Đồng Nai - 2_x000D_
GS - 2_x000D_
Thiên Năng - 2_x000D_
Globe - 1_x000D_
Enimac - 1_x000D_
Ắc quy ngoại nhập - 2</t>
  </si>
  <si>
    <t>Ắc quy oto - N100 - PINACO: 2.000.000, GS: 1.950.000, GLOBE: 2.000.000, ENIMAC: 1.900.000_x000D_
Ắc quy oto - Cmf31800  - PINACO: 2.500.000, GS: 2.400.000, ENIMAC: 2.300.000, NGOAI_NHAP: 2.500.000</t>
  </si>
  <si>
    <t>C000032598</t>
  </si>
  <si>
    <t>Đoàn Dung</t>
  </si>
  <si>
    <t>C000014553</t>
  </si>
  <si>
    <t>Đông Anh</t>
  </si>
  <si>
    <t>Ắc quy oto - N00 - PINACO: 2.050, GS: 1.950</t>
  </si>
  <si>
    <t>C000025608</t>
  </si>
  <si>
    <t>An Đông</t>
  </si>
  <si>
    <t>80.400.000 VNĐ</t>
  </si>
  <si>
    <t>Ắc quy oto - 31800 - PINACO: 245.000</t>
  </si>
  <si>
    <t>C000030922</t>
  </si>
  <si>
    <t>Sơn Hoa</t>
  </si>
  <si>
    <t>C000030507</t>
  </si>
  <si>
    <t>Bảy Hậu</t>
  </si>
  <si>
    <t>Pinaco / Đồng Nai - 4_x000D_
GS - 3_x000D_
Nhãn hiệu khác - 3</t>
  </si>
  <si>
    <t>C000013779</t>
  </si>
  <si>
    <t>Yến Dũng</t>
  </si>
  <si>
    <t>GS - 2_x000D_
Pinaco / Đồng Nai - 3_x000D_
Enimac - 2_x000D_
Ắc quy ngoại nhập - 3</t>
  </si>
  <si>
    <t>Ắc quy oto - Cmf 31800 - GS: 2.300.000, PINACO: 2.500.000, ENIMAC: 2.200.000, NGOAI_NHAP: 2.500.000</t>
  </si>
  <si>
    <t>C000039610</t>
  </si>
  <si>
    <t>Mạnh Hà</t>
  </si>
  <si>
    <t>C000030497</t>
  </si>
  <si>
    <t>Trung Nương</t>
  </si>
  <si>
    <t>Pinaco / Đồng Nai - 5_x000D_
GS - 4_x000D_
Nhãn hiệu khác - 1</t>
  </si>
  <si>
    <t>Ắc quy xe máy - Ptz5l - PINACO: 225.000, GS: 230.000, OTHER: 185.000</t>
  </si>
  <si>
    <t>C000013783</t>
  </si>
  <si>
    <t>Xuân Lương</t>
  </si>
  <si>
    <t>80.500.000 VNĐ</t>
  </si>
  <si>
    <t>Ắc quy oto - N85 - PINACO: 1.850.000_x000D_
Ắc quy oto - N100 - PINACO: 2.100.000</t>
  </si>
  <si>
    <t>C000030496</t>
  </si>
  <si>
    <t>Toàn Thơm</t>
  </si>
  <si>
    <t>C000014530</t>
  </si>
  <si>
    <t>Cty Phương Dưỡng</t>
  </si>
  <si>
    <t>Ắc quy oto - N100 - PINACO: 2.000.000</t>
  </si>
  <si>
    <t>Chương trình của PINACO khó hiểu. Cứ chia ra giá cuối để khách hàng không phải chia giá ra để bán</t>
  </si>
  <si>
    <t>C000013132</t>
  </si>
  <si>
    <t>Trần  Tặng</t>
  </si>
  <si>
    <t>Ắc quy oto - N100 - PINACO: 1.950.000</t>
  </si>
  <si>
    <t>C000013140</t>
  </si>
  <si>
    <t>Xuân Hưng</t>
  </si>
  <si>
    <t>103.500.000 VNĐ</t>
  </si>
  <si>
    <t>Ắc quy oto - N100 - GS: 1.900.000, PINACO: 1.950.000_x000D_
Ắc quy oto - 31800 - GS: 2.150.000, PINACO: 2.200.000</t>
  </si>
  <si>
    <t>Vũ Văn Khãi</t>
  </si>
  <si>
    <t>C000030441</t>
  </si>
  <si>
    <t>Khiêm Nga</t>
  </si>
  <si>
    <t>C000031350</t>
  </si>
  <si>
    <t>Trung Nga</t>
  </si>
  <si>
    <t>Ắc quy xe máy - Ptx5l - PINACO: 215.000</t>
  </si>
  <si>
    <t>C000030440</t>
  </si>
  <si>
    <t>Tài Lan</t>
  </si>
  <si>
    <t>C000030730</t>
  </si>
  <si>
    <t>Thịnh Xuân</t>
  </si>
  <si>
    <t>Ắc quy xe máy - Ptz5l - PINACO: 225.000, ENIMAC: 195.000</t>
  </si>
  <si>
    <t>C000019162</t>
  </si>
  <si>
    <t>Cửa Hàng Đông Đức</t>
  </si>
  <si>
    <t>127.000.000 VNĐ</t>
  </si>
  <si>
    <t>Ắc quy oto - N100 - PINACO: 1.900.000, OTHER: 1.950.000</t>
  </si>
  <si>
    <t>Khách hàng Không có ý kiến</t>
  </si>
  <si>
    <t>C000014674</t>
  </si>
  <si>
    <t>Trọng Loan</t>
  </si>
  <si>
    <t>C000030433</t>
  </si>
  <si>
    <t>Phiên Vệ</t>
  </si>
  <si>
    <t>C000030430</t>
  </si>
  <si>
    <t>Minh Thành</t>
  </si>
  <si>
    <t>Bán lẻ: 78%; Bán sỉ: 22%</t>
  </si>
  <si>
    <t>Bình xe điện cần làm theo chất lượng tốt hơn</t>
  </si>
  <si>
    <t>C000013209</t>
  </si>
  <si>
    <t>Bảo Hân</t>
  </si>
  <si>
    <t>640.000.000 VNĐ</t>
  </si>
  <si>
    <t>Pinaco / Đồng Nai - 3_x000D_
GS - 2_x000D_
Globe - 3_x000D_
Ắc quy ngoại nhập - 2</t>
  </si>
  <si>
    <t>Ắc quy oto - N1000 - PINACO: 1.950.000, GS: 1.950.000, GLOBE: 2.000.000_x000D_
Ắc quy oto - 31800 - GS: 2.250.000, PINACO: 2.250.000, NGOAI_NHAP: 2.300.000</t>
  </si>
  <si>
    <t>C000030513</t>
  </si>
  <si>
    <t>Đại Hà</t>
  </si>
  <si>
    <t>Ắc quy xe máy - Ptz5l - GS: 220, PINACO: 225</t>
  </si>
  <si>
    <t>C000012823</t>
  </si>
  <si>
    <t>Gia Khánh</t>
  </si>
  <si>
    <t>CNHN-THE ANH.xlsx</t>
  </si>
  <si>
    <t>HCM-GM.xlsx</t>
  </si>
  <si>
    <t>C000001442</t>
  </si>
  <si>
    <t>5.435.000 VNĐ</t>
  </si>
  <si>
    <t>Ắc quy xe máy - PT Z5L - PINACO: 260.000_x000D_
Ắc quy xe máy - PTZ6L  - PINACO: 310.000_x000D_
Ắc quy xe máy - PTZ6HL - PINACO: 280.000</t>
  </si>
  <si>
    <t>Nguyễn Hữu Lộc</t>
  </si>
  <si>
    <t>CÔNG TY TNHH SĂM LỐP PHỤNG NGHI</t>
  </si>
  <si>
    <t>HCM GM</t>
  </si>
  <si>
    <t>HỒ CHÍ MINH</t>
  </si>
  <si>
    <t>C000027233</t>
  </si>
  <si>
    <t>Sửa Xe Minh Quân</t>
  </si>
  <si>
    <t>Ắc quy xe máy - PTZ5L - PINACO: 250.000, GS: 270.000_x000D_
Ắc quy xe máy - PTZ6HL - PINACO: 260.000, GS: 280.000</t>
  </si>
  <si>
    <t>Nguyễn Chí Trường</t>
  </si>
  <si>
    <t>CÔNG TY TNHH ĐẦU TƯ THƯƠNG MẠI NAM DUNG</t>
  </si>
  <si>
    <t>LONG AN</t>
  </si>
  <si>
    <t>C000000487</t>
  </si>
  <si>
    <t>Phụ Tùng Lê Phú</t>
  </si>
  <si>
    <t>Ắc quy xe máy - PTZ6HL - PINACO: 240.000, GLOBE: 240.000_x000D_
Ắc quy xe máy - PTZ5L - PINACO: 230.000, GLOBE: 230.000</t>
  </si>
  <si>
    <t>Hiện tại giá đang ngang với Globe, nếu thấp hơn giá globe thì sẽ ưu tiên bán Đồng Nai nhiều hơn</t>
  </si>
  <si>
    <t>QLKV Hải</t>
  </si>
  <si>
    <t>C000000203</t>
  </si>
  <si>
    <t>Hai Cồ</t>
  </si>
  <si>
    <t>Pinaco / Đồng Nai - 2_x000D_
Globe - 5_x000D_
GS - 3</t>
  </si>
  <si>
    <t>Ắc quy xe máy - PTZ6HL - PINACO: 255.000, GLOBE: 255.000, GS: 270.000_x000D_
Ắc quy xe máy - PTZ5L - PINACO: 240.000, GLOBE: 240.000, GS: 260.000</t>
  </si>
  <si>
    <t>Chương trình quay số không thiết thực, không công bằng. Nên cho trúng 100%, và vật phẩm trúng thưởng đa dạng hơn</t>
  </si>
  <si>
    <t>C000038928</t>
  </si>
  <si>
    <t>Quỳnh Nhân</t>
  </si>
  <si>
    <t>Ắc quy xe điện - Pa 12-14 - PINACO: 1.500.000, OTHER: 1.400.000_x000D_
Ắc quy xe điện - Pa 12-23 - PINACO: 2.400.000, OTHER: 2.100.000</t>
  </si>
  <si>
    <t>Khách không cho chụp kho</t>
  </si>
  <si>
    <t>C000000546</t>
  </si>
  <si>
    <t>Quốc Cường</t>
  </si>
  <si>
    <t>5.083.680 VNĐ</t>
  </si>
  <si>
    <t>Ắc quy xe máy - X5L - PINACO: 230.000_x000D_
Ắc quy xe máy - Z6L - PINACO: 320.000</t>
  </si>
  <si>
    <t>Hồ Trọng Toàn</t>
  </si>
  <si>
    <t>CÔNG TY TNHH PKA TYRE</t>
  </si>
  <si>
    <t>ASM - Thanh</t>
  </si>
  <si>
    <t>C000035678</t>
  </si>
  <si>
    <t>MINH</t>
  </si>
  <si>
    <t>Ắc quy xe máy - Ptz5l - PINACO: 280.000_x000D_
Ắc quy xe máy - Ptz6hl - PINACO: 300.000_x000D_
Ắc quy xe máy - Ptz6l - PINACO: 350.000</t>
  </si>
  <si>
    <t>Khách không cho chụp kho hàng</t>
  </si>
  <si>
    <t>C000028299</t>
  </si>
  <si>
    <t>Thầy Hòa</t>
  </si>
  <si>
    <t>5.392.702 VNĐ</t>
  </si>
  <si>
    <t>Ắc quy xe máy - Z5L - PINACO: 300.000_x000D_
Ắc quy xe máy - Z6L - PINACO: 400.000_x000D_
Ắc quy xe máy - Z6HL - PINACO: 360.000</t>
  </si>
  <si>
    <t>C000000129</t>
  </si>
  <si>
    <t>Trung Trực</t>
  </si>
  <si>
    <t>16.530.000 VNĐ</t>
  </si>
  <si>
    <t>Ắc quy xe máy - Z5L - PINACO: 230.000_x000D_
Ắc quy xe máy - Z6L - PINACO: 281.000</t>
  </si>
  <si>
    <t>RSM - Thanh</t>
  </si>
  <si>
    <t>C000025539</t>
  </si>
  <si>
    <t>Tâm Tiến</t>
  </si>
  <si>
    <t>2.039.000 VNĐ</t>
  </si>
  <si>
    <t>Ắc quy xe máy - Z5L - PINACO: 260.000_x000D_
Ắc quy xe máy - Z6L - PINACO: 320.000</t>
  </si>
  <si>
    <t>C000000826</t>
  </si>
  <si>
    <t>SX THÂN</t>
  </si>
  <si>
    <t>Ắc quy xe máy - PTZ6HL,PTZ6L,PTZ7A,PTZ7LPTZ9 - PINACO: 350.380.420.420.500, GS: 370.390</t>
  </si>
  <si>
    <t>Nguyễn Phạm Phương Thùy</t>
  </si>
  <si>
    <t>CÔNG TY TNHH SẢN XUẤT THƯƠNG MẠI DỊCH VỤ THÀNH PHÚC</t>
  </si>
  <si>
    <t>C000000234</t>
  </si>
  <si>
    <t>Hoài Hận</t>
  </si>
  <si>
    <t>Ắc quy xe máy - PTZ5L,PTZ6HL,PTZ6L ,PTZ7L PTZ9 - PINACO: 330.330.380.420.500</t>
  </si>
  <si>
    <t>C000034522</t>
  </si>
  <si>
    <t>Hưng Thuận</t>
  </si>
  <si>
    <t>Ắc quy xe điện - PA12-14,12-23 - PINACO: 450.650</t>
  </si>
  <si>
    <t>C000035949</t>
  </si>
  <si>
    <t>Sx Út Đô</t>
  </si>
  <si>
    <t>1.579.200 VNĐ</t>
  </si>
  <si>
    <t>Ắc quy xe máy - Z5L - PINACO: 260.000_x000D_
Ắc quy xe máy - Z6HL - PINACO: 300.000_x000D_
Ắc quy xe máy - Z6L - PINACO: 350.000</t>
  </si>
  <si>
    <t>C000038065</t>
  </si>
  <si>
    <t>XE ĐIỆN TRẦN KỲ</t>
  </si>
  <si>
    <t>Ắc quy xe điện - Pa 12-24 - PINACO: 1.750.000, THIEN_NANG: 1.600.000_x000D_
Ắc quy xe điện - Pa 12-24 - PINACO: 2.600.000, THIEN_NANG: 2.250.000</t>
  </si>
  <si>
    <t>Lê Tuấn Vũ</t>
  </si>
  <si>
    <t>GS Phạm Huy Cường</t>
  </si>
  <si>
    <t>C000000830</t>
  </si>
  <si>
    <t>Sửa xe Thành</t>
  </si>
  <si>
    <t>Ắc quy xe máy - Ptz5l - PINACO: 275.000_x000D_
Ắc quy xe máy - Ptz6hl - PINACO: 285.000_x000D_
Ắc quy xe máy - Ptz6l - PINACO: 330.000_x000D_
Ắc quy xe máy - Ptz7l - PINACO: 450.000</t>
  </si>
  <si>
    <t>C000037936</t>
  </si>
  <si>
    <t>Xe Điện Ego</t>
  </si>
  <si>
    <t>Pinaco / Đồng Nai - 1_x000D_
Thiên Năng - 6_x000D_
Nhãn hiệu khác - 3</t>
  </si>
  <si>
    <t>Ắc quy xe điện - PA12-14 - PINACO: 1.900.000, THIEN_NANG: 1.600.000, OTHER: 1.500.000_x000D_
Ắc quy xe điện - PA 12-23 - PINACO: 2.900.000, THIEN_NANG: 2.400.000, OTHER: 2.400.000</t>
  </si>
  <si>
    <t>Tỷ lệ bảo hành quá cao so với đối thủ. Giá cũng cao hơn đối thủ từ 10%-20%</t>
  </si>
  <si>
    <t>Phan Thị Vân</t>
  </si>
  <si>
    <t>CÔNG TY TNHH THƯƠNG MẠI DỊCH VỤ PHỤ TÙNG Ô TÔ XE MÁY PTK</t>
  </si>
  <si>
    <t>C000027515</t>
  </si>
  <si>
    <t>Tuấn Dũng</t>
  </si>
  <si>
    <t>Pinaco / Đồng Nai - 1_x000D_
GS - 9</t>
  </si>
  <si>
    <t>Ắc quy xe máy - PTX5L - PINACO: 220.000, GS: 230.000</t>
  </si>
  <si>
    <t>C000000278</t>
  </si>
  <si>
    <t>Hùng Huế</t>
  </si>
  <si>
    <t>Ắc quy xe máy - Ptz5l - PINACO: 280.000_x000D_
Ắc quy xe máy - Ptz6hl - PINACO: 290.000_x000D_
Ắc quy xe máy - Ptz6l - PINACO: 330.000</t>
  </si>
  <si>
    <t>C000027182</t>
  </si>
  <si>
    <t>Thiên Phúc</t>
  </si>
  <si>
    <t>Ắc quy xe máy - Z5L - PINACO: 280.000, GS: 295.000, GLOBE: 290.000_x000D_
Ắc quy xe máy - Z6HL - PINACO: 290.000, GS: 320.000, GLOBE: 310.000_x000D_
Ắc quy xe máy - Z6L - PINACO: 320.000, GS: 340.000, GLOBE: 325.000</t>
  </si>
  <si>
    <t>Nguyễn Quốc Tân</t>
  </si>
  <si>
    <t>QLKV Vũ</t>
  </si>
  <si>
    <t>C000027013</t>
  </si>
  <si>
    <t>NGÔ HOÀN</t>
  </si>
  <si>
    <t>GS - 10</t>
  </si>
  <si>
    <t>Ắc quy xe máy - 5s - GS: 310.000_x000D_
Ắc quy xe máy - 5A - GS: 320.000_x000D_
Ắc quy xe máy - 6v - GS: 350.000</t>
  </si>
  <si>
    <t>C000000510</t>
  </si>
  <si>
    <t>PT Thành</t>
  </si>
  <si>
    <t>Ắc quy xe máy - PTZ5L,PTZ6HL,PTZ6L - PINACO: 230.230.270, GS: 250.250.280, GLOBE: 230.230.270</t>
  </si>
  <si>
    <t>Cần giá hợp lý để cạnh tranh với GS, globe</t>
  </si>
  <si>
    <t>C000000378</t>
  </si>
  <si>
    <t>Mỹ Nhung</t>
  </si>
  <si>
    <t>Pinaco / Đồng Nai - 2_x000D_
GS - 4_x000D_
Globe - 4</t>
  </si>
  <si>
    <t>Ắc quy xe máy - Z5L - PINACO: 230.000, GLOBE: 250.000, GS: 280.000_x000D_
Ắc quy xe máy - Z6HL - PINACO: 260.000, GS: 320.000, GLOBE: 300.000</t>
  </si>
  <si>
    <t>C000000110</t>
  </si>
  <si>
    <t>Anh Tú</t>
  </si>
  <si>
    <t>3.208.000 VNĐ</t>
  </si>
  <si>
    <t>1.986.000 VNĐ</t>
  </si>
  <si>
    <t>Ắc quy xe máy - Z5L - PINACO: 300.000_x000D_
Ắc quy xe máy - Z6Hl - PINACO: 320.000</t>
  </si>
  <si>
    <t>C000000518</t>
  </si>
  <si>
    <t>PT Thiên Trang</t>
  </si>
  <si>
    <t>Ắc quy xe máy - PTZ5L,PTZ6HL,PTZ6L,PTZ7L - PINACO: 330.330.360.420</t>
  </si>
  <si>
    <t>C000023206</t>
  </si>
  <si>
    <t>Hữu Tài</t>
  </si>
  <si>
    <t>Ắc quy xe máy - PTZ5L,PTZ6HL,PTZ6L,PTZ7A,PTZ7L - PINACO: 350.350.400.450.450</t>
  </si>
  <si>
    <t>C000001046</t>
  </si>
  <si>
    <t>Thế Cường</t>
  </si>
  <si>
    <t>6.600.000 VNĐ</t>
  </si>
  <si>
    <t>3.847.200 VNĐ</t>
  </si>
  <si>
    <t>Ắc quy xe máy - Z5L - PINACO: 230.000_x000D_
Ắc quy xe máy - Z6L - PINACO: 300.000</t>
  </si>
  <si>
    <t>C000035954</t>
  </si>
  <si>
    <t>Văn Điện</t>
  </si>
  <si>
    <t>Ắc quy xe máy - PTZ5L - PINACO: 300.000, GS: 320.000</t>
  </si>
  <si>
    <t>C000036830</t>
  </si>
  <si>
    <t>VƯƠNG</t>
  </si>
  <si>
    <t>Ắc quy xe máy - Ptz5l - PINACO: 280.000_x000D_
Ắc quy xe máy - Ptz6hl - PINACO: 280.000_x000D_
Ắc quy xe máy - Ptz6l - PINACO: 320.000</t>
  </si>
  <si>
    <t>C000038011</t>
  </si>
  <si>
    <t>Minh Tý</t>
  </si>
  <si>
    <t>Thiên Năng - 3_x000D_
Pinaco / Đồng Nai - 7</t>
  </si>
  <si>
    <t>Ắc quy xe điện - PA 12-14,12-23 - PINACO: 450.650, THIEN_NANG: 400.670</t>
  </si>
  <si>
    <t xml:space="preserve">Cần giá hợp lý để cạnh tranh </t>
  </si>
  <si>
    <t>C000030880</t>
  </si>
  <si>
    <t>Trạm Xe Ông Già</t>
  </si>
  <si>
    <t>Ắc quy xe máy - Ptz5l - PINACO: 245.000, GLOBE: 235.000_x000D_
Ắc quy xe máy - Ptz6hl - PINACO: 255.000, GLOBE: 245.000_x000D_
Ắc quy xe máy - Ptz6l - PINACO: 290.000, GLOBE: 270.000_x000D_
Ắc quy xe máy - Ptz7l - PINACO: 400.000, GLOBE: 380.000</t>
  </si>
  <si>
    <t>GS - Toàn</t>
  </si>
  <si>
    <t>C000034988</t>
  </si>
  <si>
    <t>SX Tân</t>
  </si>
  <si>
    <t>Ắc quy xe máy - PTZ5L,PTZ6HL,PTZ6L - PINACO: 320.320.400</t>
  </si>
  <si>
    <t>C000000927</t>
  </si>
  <si>
    <t>Tân</t>
  </si>
  <si>
    <t>1.675.000 VNĐ</t>
  </si>
  <si>
    <t>Ắc quy xe máy - Z5L - PINACO: 300.000_x000D_
Ắc quy xe máy - Z6L - PINACO: 380.000</t>
  </si>
  <si>
    <t>GS - An</t>
  </si>
  <si>
    <t>C000001085</t>
  </si>
  <si>
    <t>Út Kiệt</t>
  </si>
  <si>
    <t>Ắc quy xe máy - Ptz5l - PINACO: 260.000_x000D_
Ắc quy xe máy - Ptz6hl - PINACO: 270.000_x000D_
Ắc quy xe máy - Ptz6l - PINACO: 310.000</t>
  </si>
  <si>
    <t>C000000474</t>
  </si>
  <si>
    <t>PT Hai Thành</t>
  </si>
  <si>
    <t>Pinaco / Đồng Nai - 8_x000D_
GS - 1_x000D_
Globe - 1</t>
  </si>
  <si>
    <t>Ắc quy xe máy - PTZ5L,PTZ6HL - GS: 250.250, PINACO: 220.225, GLOBE: 220.225</t>
  </si>
  <si>
    <t>Cần giá hợp lý để cạnh tranh với globe . GS</t>
  </si>
  <si>
    <t>C000000150</t>
  </si>
  <si>
    <t>Chín Như</t>
  </si>
  <si>
    <t>Ắc quy xe máy - Ptz5l - PINACO: 250.000, GS: 270.000_x000D_
Ắc quy xe máy - Z6hl - PINACO: 260.000, GS: 260.000_x000D_
Ắc quy xe máy - Ptz6l - PINACO: 300.000, GS: 310.000_x000D_
Ắc quy xe máy - Ptz7a - PINACO: 420.000, GS: 440.000</t>
  </si>
  <si>
    <t xml:space="preserve">Bình cao hay bị lỗi nhiều </t>
  </si>
  <si>
    <t>C000031047</t>
  </si>
  <si>
    <t>Quốc Tay Ga</t>
  </si>
  <si>
    <t>Ắc quy xe máy - PTZ5L,PTZ6HL,PTZ6L,PTZ7A ,PTZ7L,PTZ9 - PINACO: 3.500.350.380.430.480</t>
  </si>
  <si>
    <t>C000038174</t>
  </si>
  <si>
    <t>PHỤ TÙNG ĐẠI HIẾU</t>
  </si>
  <si>
    <t>GS - 6_x000D_
Globe - 4</t>
  </si>
  <si>
    <t>Ắc quy xe máy - Z5l - GS: 270.000, GLOBE: 245.000_x000D_
Ắc quy xe máy - Z6hl - GS: 265.000, GLOBE: 260.000_x000D_
Ắc quy xe máy - Z6l - GS: 290.000, GLOBE: 275.000</t>
  </si>
  <si>
    <t>C000017558</t>
  </si>
  <si>
    <t>Thế Hữu</t>
  </si>
  <si>
    <t>14.600.000 VNĐ</t>
  </si>
  <si>
    <t>Ắc quy xe máy - PTZ6L  - PINACO: 300.000_x000D_
Ắc quy xe máy - PTZ5L  - PINACO: 260.000_x000D_
Ắc quy xe máy - PTZ6HL - PINACO: 300.000_x000D_
Ắc quy xe máy - PTZ7L - PINACO: 400.000</t>
  </si>
  <si>
    <t>C000001111</t>
  </si>
  <si>
    <t>Vinh Phát</t>
  </si>
  <si>
    <t>42.645.000 VNĐ</t>
  </si>
  <si>
    <t>Ắc quy xe máy - PTX5L - PINACO: 235.000, GS: 245.000_x000D_
Ắc quy xe máy - PTX6HL - PINACO: 260.000, GS: 275.000_x000D_
Ắc quy xe máy - PTZ6L  - PINACO: 295.000, GS: 310.000</t>
  </si>
  <si>
    <t>C000000453</t>
  </si>
  <si>
    <t>PT 204</t>
  </si>
  <si>
    <t>9.120.000 VNĐ</t>
  </si>
  <si>
    <t>Ắc quy xe máy - X5L  - PINACO: 280.000_x000D_
Ắc quy xe máy - Z6L - PINACO: 350.000_x000D_
Ắc quy xe máy - Z7L - PINACO: 450.000</t>
  </si>
  <si>
    <t>C000000466</t>
  </si>
  <si>
    <t>PT Cường</t>
  </si>
  <si>
    <t>Ắc quy xe điện - PTZ5L,PTZ6HL,PTZ6,PTZ7A ,PTZ7L - PINACO: 250.250.280.370.370</t>
  </si>
  <si>
    <t>Cần giá hợp lý để cạnh tranh với globe , GS</t>
  </si>
  <si>
    <t>C000000494</t>
  </si>
  <si>
    <t>PT MINH DŨNG</t>
  </si>
  <si>
    <t>Ắc quy xe máy - PTZ5L,PTZ6HL,PTZ6L,PTZ7L - PINACO: 230.230.260.360.360, GS: 240.240.270</t>
  </si>
  <si>
    <t>Cần giá hợp lý để cạnh tranh với GS</t>
  </si>
  <si>
    <t>C000023464</t>
  </si>
  <si>
    <t>Thành Sang</t>
  </si>
  <si>
    <t>3.433.000 VNĐ</t>
  </si>
  <si>
    <t>Ắc quy xe máy - PTX5L  - PINACO: 260.000_x000D_
Ắc quy xe máy - PTX6HL - PINACO: 300.000_x000D_
Ắc quy xe máy - PTZ6L  - PINACO: 360.000</t>
  </si>
  <si>
    <t>C000038004</t>
  </si>
  <si>
    <t>Hoàng Bắc</t>
  </si>
  <si>
    <t>12.656.000 VNĐ</t>
  </si>
  <si>
    <t>Pinaco / Đồng Nai - 4_x000D_
Xupai - 6</t>
  </si>
  <si>
    <t>Ắc quy xe điện - PA 12-14 - PINACO: 1.650.000, XUPAI: 1.500.000</t>
  </si>
  <si>
    <t>GS Nguyễn Chánh Hào</t>
  </si>
  <si>
    <t>C000000997</t>
  </si>
  <si>
    <t>Hùng</t>
  </si>
  <si>
    <t>Ắc quy xe máy - PTZ5L,PTZ6HL,PTZ6L,PTZ7L,PTZ7A - PINACO: 360.360.390.420.420, GS: 370.370.450</t>
  </si>
  <si>
    <t>C000000828</t>
  </si>
  <si>
    <t>Sx Thắng</t>
  </si>
  <si>
    <t>20.200.000 VNĐ</t>
  </si>
  <si>
    <t>Pinaco / Đồng Nai - 4_x000D_
Globe - 3_x000D_
Xupai - 3</t>
  </si>
  <si>
    <t>Ắc quy xe máy - PTZ5L,PTZ6HL,PTZ6L,PTZ7A,PTZ7L - PINACO: 350.350.450.500.500, GLOBE: 350.350.420.480.480, XUPAI: 430.580_x000D_
Ắc quy xe điện - PA 12-14,12-23 - PINACO: 450.725, GLOBE: 420.680, XUPAI: 430.580</t>
  </si>
  <si>
    <t>Cần giá hợp lý để cạnh tranh globe , xupai</t>
  </si>
  <si>
    <t>C000000464</t>
  </si>
  <si>
    <t>PT CHIẾN</t>
  </si>
  <si>
    <t>Ắc quy xe máy - PTZ5L ,PTZ6HL,PTZ6L,PTZ7A - PINACO: 330.330.350.420</t>
  </si>
  <si>
    <t>C000038006</t>
  </si>
  <si>
    <t>Phú</t>
  </si>
  <si>
    <t>Ắc quy xe điện - PA 12-14.12-23 - PINACO: 465.680</t>
  </si>
  <si>
    <t>C000019740</t>
  </si>
  <si>
    <t>15.834.000 VNĐ</t>
  </si>
  <si>
    <t>Ắc quy xe máy - PTZ6L  - PINACO: 333.000, GS: 360.000_x000D_
Ắc quy xe máy - PTZ5L  - PINACO: 270.000, GS: 295.000_x000D_
Ắc quy xe máy - PTZ6HL - PINACO: 290.000, GS: 300.000</t>
  </si>
  <si>
    <t>C000000454</t>
  </si>
  <si>
    <t>PT 245</t>
  </si>
  <si>
    <t>2.592.000 VNĐ</t>
  </si>
  <si>
    <t>Ắc quy xe máy - PTH6L - PINACO: 300.000_x000D_
Ắc quy xe máy - PTZ6L  - PINACO: 350.000</t>
  </si>
  <si>
    <t>C000000827</t>
  </si>
  <si>
    <t>SX THẮNG</t>
  </si>
  <si>
    <t>5.890.000 VNĐ</t>
  </si>
  <si>
    <t>Ắc quy xe máy - PTZ6L  - PINACO: 350.000_x000D_
Ắc quy xe máy - PTz6HL - PINACO: 300.000_x000D_
Ắc quy xe máy - PTZ5L - PINACO: 270.000_x000D_
Ắc quy xe điện - PT12-14 - PINACO: 1.650.000</t>
  </si>
  <si>
    <t>C000000621</t>
  </si>
  <si>
    <t>SX 9</t>
  </si>
  <si>
    <t>1.124.000 VNĐ</t>
  </si>
  <si>
    <t>Ắc quy xe máy - Ptz6l  - PINACO: 350.000</t>
  </si>
  <si>
    <t>C000000720</t>
  </si>
  <si>
    <t>Sửa Xe Hồng Điền</t>
  </si>
  <si>
    <t>Ắc quy xe máy - X5L  - PINACO: 300.000_x000D_
Ắc quy xe máy - X6HL  - PINACO: 320.000_x000D_
Ắc quy xe máy - Z6L  - PINACO: 400.000_x000D_
Ắc quy xe máy - Z7L  - PINACO: 480.000_x000D_
Ắc quy xe máy - Z7A  - PINACO: 480.000</t>
  </si>
  <si>
    <t>Nguyễn Trí Dũng</t>
  </si>
  <si>
    <t>C000001031</t>
  </si>
  <si>
    <t>Trang Thành</t>
  </si>
  <si>
    <t>Ắc quy xe máy - PTZ5L,PTZ6HL,PTZ6L - PINACO: 320.325.350</t>
  </si>
  <si>
    <t>C000000012</t>
  </si>
  <si>
    <t>Ắc Quy Tuấn</t>
  </si>
  <si>
    <t>5.729.000 VNĐ</t>
  </si>
  <si>
    <t>Ắc quy xe máy - PtZ5L - PINACO: 250.000_x000D_
Ắc quy xe máy - PTZ6L - PINACO: 320.000_x000D_
Ắc quy xe máy - PTX6HL - PINACO: 290.000</t>
  </si>
  <si>
    <t>C000000561</t>
  </si>
  <si>
    <t>Sao Trung Nam</t>
  </si>
  <si>
    <t>12.700.000 VNĐ</t>
  </si>
  <si>
    <t>Ắc quy xe máy - X5L - PINACO: 230.000, GS: 250.000, GLOBE: 240.000_x000D_
Ắc quy xe máy - X6HL - PINACO: 240.000, GS: 250.000, GLOBE: 240.000_x000D_
Ắc quy xe máy - Z6L - PINACO: 290.000, GS: 310.000, GLOBE: 310.000</t>
  </si>
  <si>
    <t>C000001034</t>
  </si>
  <si>
    <t>Trí Thức 1</t>
  </si>
  <si>
    <t>88.000.000 VNĐ</t>
  </si>
  <si>
    <t>Pinaco / Đồng Nai - 1_x000D_
GS - 8_x000D_
Globe - 1</t>
  </si>
  <si>
    <t>Ắc quy xe máy - PTZ5L,PTZ6HL - PINACO: 230.235, GS: 240.245, GLOBE: 230.235</t>
  </si>
  <si>
    <t>C000031234</t>
  </si>
  <si>
    <t>Hùng Ký</t>
  </si>
  <si>
    <t>3.890.000 VNĐ</t>
  </si>
  <si>
    <t>Ắc quy xe máy - ptx5l  - PINACO: 240.000, GLOBE: 235.000_x000D_
Ắc quy xe máy - PTZ6L  - PINACO: 300.000, GLOBE: 280.000</t>
  </si>
  <si>
    <t>C000038929</t>
  </si>
  <si>
    <t>phú Quý</t>
  </si>
  <si>
    <t>10.150.000 VNĐ</t>
  </si>
  <si>
    <t>Pinaco / Đồng Nai - 3_x000D_
Xupai - 7</t>
  </si>
  <si>
    <t>Ắc quy xe điện - PA 12-14 - PINACO: 1.700.000, XUPAI: 1.500.000</t>
  </si>
  <si>
    <t>C000017469</t>
  </si>
  <si>
    <t>PT Hoàng Kim</t>
  </si>
  <si>
    <t>Ắc quy xe máy - PTX5L,PTX6HL - PINACO: 220.230, GS: 230.230, GLOBE: 230.240</t>
  </si>
  <si>
    <t>Cần giá hợp lý để cạnh tranh GS , globe</t>
  </si>
  <si>
    <t>C000037930</t>
  </si>
  <si>
    <t>Trọng Nghĩa</t>
  </si>
  <si>
    <t>1.420.000 VNĐ</t>
  </si>
  <si>
    <t>Ắc quy xe máy - Z6HL - PINACO: 340.000_x000D_
Ắc quy xe máy - Z6L  - PINACO: 370.000</t>
  </si>
  <si>
    <t>Phan Văn Đán</t>
  </si>
  <si>
    <t>CÔNG TY TNHH THƯƠNG MẠI-DỊCH VỤ -SẢN XUẤT QUÁN QUÂN</t>
  </si>
  <si>
    <t>C000000287</t>
  </si>
  <si>
    <t>Hương Dũ</t>
  </si>
  <si>
    <t>99.900.000 VNĐ</t>
  </si>
  <si>
    <t>Ắc quy xe máy - PTZ6L  - PINACO: 290.000, GS: 310.000, GLOBE: 275.000_x000D_
Ắc quy xe máy - PTX5L  - PINACO: 240.000, GS: 260.000, GLOBE: 230.000_x000D_
Ắc quy xe máy - PTX6HL - PINACO: 260.000, GS: 270.000, GLOBE: 245.000</t>
  </si>
  <si>
    <t>C000034707</t>
  </si>
  <si>
    <t>Thiên Phước</t>
  </si>
  <si>
    <t>Ắc quy xe máy - Z5l  - PINACO: 290.000, OTHER: 330.000_x000D_
Ắc quy xe máy - Z6Hl  - PINACO: 280.000, OTHER: 340.000_x000D_
Ắc quy xe máy - Z6L  - PINACO: 415.000, OTHER: 430.000</t>
  </si>
  <si>
    <t>C000019317</t>
  </si>
  <si>
    <t>Phụ Tùng Tuấn Hưng</t>
  </si>
  <si>
    <t>GS - 7_x000D_
Globe - 3</t>
  </si>
  <si>
    <t>Ắc quy xe máy - GTS5S - GS: 240.000, GLOBE: 230.000_x000D_
Ắc quy xe máy - GT5A - GS: 260.000, GLOBE: 250.000_x000D_
Ắc quy xe máy - GTZ6V  - GS: 300.000, GLOBE: 290.000_x000D_
Ắc quy xe máy - GT7A_H - GLOBE: 400.000, GS: 410.000_x000D_
Ắc quy xe máy - Y TS7A - GS: 410.000, GLOBE: 400.000</t>
  </si>
  <si>
    <t>C000001397</t>
  </si>
  <si>
    <t>HIỆP LỰC</t>
  </si>
  <si>
    <t>Ắc quy xe máy - Z5L - PINACO: 225.000, GLOBE: 240.000_x000D_
Ắc quy xe máy - Z6HL  - PINACO: 245.000, GLOBE: 255.000_x000D_
Ắc quy xe máy - Z6L - PINACO: 275.000, GLOBE: 295.000</t>
  </si>
  <si>
    <t>C000000515</t>
  </si>
  <si>
    <t>PT Thanh Thúy</t>
  </si>
  <si>
    <t>Pinaco / Đồng Nai - 2_x000D_
GS - 6_x000D_
Nhãn hiệu khác - 2</t>
  </si>
  <si>
    <t>Ắc quy xe máy - PTX5L,PTX6HL,PTZ6L,PTZ7A,PTZ7L,PTZ9 - PINACO: 235.235.270.340.340.450, GS: 255.255.290, OTHER: 230.230.265</t>
  </si>
  <si>
    <t xml:space="preserve">Điều chỉnh giá hợp lý để cạnh tranh với thị trường </t>
  </si>
  <si>
    <t>C000024235</t>
  </si>
  <si>
    <t>666 Trung Tâm Chăm Sóc Xe</t>
  </si>
  <si>
    <t>6.250.000 VNĐ</t>
  </si>
  <si>
    <t>Ắc quy xe máy - Z6l - PINACO: 320.000_x000D_
Ắc quy xe máy - Z5l - PINACO: 270.000</t>
  </si>
  <si>
    <t>C000036577</t>
  </si>
  <si>
    <t>Gia Nghi</t>
  </si>
  <si>
    <t>Ắc quy xe máy - Z5l  - PINACO: 280.000, GS: 290.000, GLOBE: 260.000_x000D_
Ắc quy xe máy - Z6Hl  - PINACO: 280.000, GS: 290.000, GLOBE: 260.000_x000D_
Ắc quy xe máy - Z6L  - PINACO: 360.000, GS: 390.000, GLOBE: 390.000</t>
  </si>
  <si>
    <t xml:space="preserve">Bình đồng nai hiện tại giá cao bán chậm ko muốn bán nữa </t>
  </si>
  <si>
    <t>C000000003</t>
  </si>
  <si>
    <t>Anh Vũ</t>
  </si>
  <si>
    <t>15.228.000 VNĐ</t>
  </si>
  <si>
    <t>Pinaco / Đồng Nai - 2_x000D_
GS - 4_x000D_
Globe - 2_x000D_
Nhãn hiệu khác - 2</t>
  </si>
  <si>
    <t>Ắc quy xe máy - PTZ5L,PTZ6HL,PTZ6L, - PINACO: 280.280.330, GS: 300.300.340, GLOBE: 280.280.300, OTHER: 260.270.290</t>
  </si>
  <si>
    <t>Điều chỉnh giá hợp lý để cạnh tranh với GS,globe.</t>
  </si>
  <si>
    <t>C000034994</t>
  </si>
  <si>
    <t>Cửu Hiệp</t>
  </si>
  <si>
    <t>11.540.000 VNĐ</t>
  </si>
  <si>
    <t>Pinaco / Đồng Nai - 3_x000D_
GS - 2_x000D_
Globe - 5</t>
  </si>
  <si>
    <t>Ắc quy xe máy - Z5l - PINACO: 280.000, GS: 320.000, GLOBE: 300.000_x000D_
Ắc quy xe máy - Z6l - PINACO: 350.000, GS: 400.000, GLOBE: 370.000</t>
  </si>
  <si>
    <t>C000019313</t>
  </si>
  <si>
    <t>Sửa Xe Tuấn</t>
  </si>
  <si>
    <t>Ắc quy xe máy - Z5l  - PINACO: 270.000_x000D_
Ắc quy xe máy - Z6Hl  - PINACO: 280.000_x000D_
Ắc quy xe máy - Z6L  - PINACO: 320.000_x000D_
Ắc quy xe máy - Z7A  - PINACO: 415.000_x000D_
Ắc quy xe máy - Z7L  - PINACO: 415.000_x000D_
Ắc quy xe máy - Z9 - PINACO: 440.000</t>
  </si>
  <si>
    <t>C000001038</t>
  </si>
  <si>
    <t>Trọng Hiếu</t>
  </si>
  <si>
    <t>5.408.000 VNĐ</t>
  </si>
  <si>
    <t>Ắc quy xe máy - PTZ6L  - PINACO: 330.000_x000D_
Ắc quy xe máy - PTZ6HL - PINACO: 290.000_x000D_
Ắc quy xe máy - PTX5L - PINACO: 250.000</t>
  </si>
  <si>
    <t>C000019641</t>
  </si>
  <si>
    <t>Ắc quy xe máy - PTZ6L  - PINACO: 350.000_x000D_
Ắc quy xe máy - PTZ5L - PINACO: 260.000_x000D_
Ắc quy xe máy - PTZ6HL - PINACO: 280.000</t>
  </si>
  <si>
    <t>C000034866</t>
  </si>
  <si>
    <t>NGỌC HIẾU</t>
  </si>
  <si>
    <t>Ắc quy xe máy - Ptz5l - PINACO: 300.000, OTHER: 290.000_x000D_
Ắc quy xe máy - Ptz6hl - PINACO: 310.000, OTHER: 300.000_x000D_
Ắc quy xe máy - Ptz6l - PINACO: 350.000, OTHER: 340.000</t>
  </si>
  <si>
    <t>C000035392</t>
  </si>
  <si>
    <t>8.370.000 VNĐ</t>
  </si>
  <si>
    <t>Ắc quy xe máy - PTZ6L  - PINACO: 350.000_x000D_
Ắc quy xe máy - PTZ5L  - PINACO: 270.000_x000D_
Ắc quy xe máy - PTZ6HL - PINACO: 290.000</t>
  </si>
  <si>
    <t>C000000740</t>
  </si>
  <si>
    <t>SX KHÁNH TRÌNH</t>
  </si>
  <si>
    <t>Ắc quy xe máy - X5L - PINACO: 280.000, GS: 300.000_x000D_
Ắc quy xe máy - X6HL - PINACO: 290.000, GS: 300.000_x000D_
Ắc quy xe máy - Z6L  - PINACO: 320.000, GS: 340.000</t>
  </si>
  <si>
    <t>C000000852</t>
  </si>
  <si>
    <t>SX THẾ ANH</t>
  </si>
  <si>
    <t>Ắc quy xe máy - X5 - PINACO: 205.000, GS: 230.000_x000D_
Ắc quy xe máy - X6HL - PINACO: 220.000, GS: 235.000_x000D_
Ắc quy xe máy - Z6L - PINACO: 290.000, GS: 300.000</t>
  </si>
  <si>
    <t>C000000553</t>
  </si>
  <si>
    <t>RX VINH QUANG</t>
  </si>
  <si>
    <t>Ắc quy xe máy - PTZ5L,PTZ6HL,PTZ6L ,PTZ7L,PTZ7A - PINACO: 280.290.340.430.450</t>
  </si>
  <si>
    <t>Cần giá hợp lý để cạnh tranh với  GS</t>
  </si>
  <si>
    <t>C000041135</t>
  </si>
  <si>
    <t>Duyên Thào 1</t>
  </si>
  <si>
    <t>42.760.000 VNĐ</t>
  </si>
  <si>
    <t>Ắc quy xe điện - PA 12-14 - PINACO: 1.800.000, XUPAI: 1.550.000</t>
  </si>
  <si>
    <t>C000031820</t>
  </si>
  <si>
    <t xml:space="preserve">Hoàng Hưởng </t>
  </si>
  <si>
    <t>Ắc quy xe máy - PTZ5L , PTZ6HL , PTZ6L  - PINACO: 310.310.400</t>
  </si>
  <si>
    <t>C000000260</t>
  </si>
  <si>
    <t>Honda Hiếu</t>
  </si>
  <si>
    <t>7.667.000 VNĐ</t>
  </si>
  <si>
    <t>Ắc quy xe máy - PTZ5L  - PINACO: 270.000_x000D_
Ắc quy xe máy - PTZ6HL - PINACO: 300.000_x000D_
Ắc quy xe máy - PTZ6L  - PINACO: 350.000</t>
  </si>
  <si>
    <t>C000000470</t>
  </si>
  <si>
    <t>PT CƯỜNG</t>
  </si>
  <si>
    <t>Ắc quy xe máy - PTX5L ,PTX6HL,PTZ6L - PINACO: 225.225.265, GS: 235.235.285</t>
  </si>
  <si>
    <t>Cần giá hơp lý để cạnh tranh với GS</t>
  </si>
  <si>
    <t>C000000282</t>
  </si>
  <si>
    <t>Hưng Nghiệp</t>
  </si>
  <si>
    <t>4.287.000 VNĐ</t>
  </si>
  <si>
    <t>Ắc quy xe máy - PTZ6L  - PINACO: 330.000, GS: 350.000_x000D_
Ắc quy xe máy - PTZ6HL - PINACO: 270.000, GS: 300.000</t>
  </si>
  <si>
    <t>C000035143</t>
  </si>
  <si>
    <t>Phong Bình Tân</t>
  </si>
  <si>
    <t>Ắc quy xe máy - Z5L  - PINACO: 300.000, GLOBE: 310.000_x000D_
Ắc quy xe máy - Z6HL  - PINACO: 310.000, GLOBE: 310.000_x000D_
Ắc quy xe máy - Z6L  - PINACO: 330.000, GLOBE: 330.000</t>
  </si>
  <si>
    <t>C000000015</t>
  </si>
  <si>
    <t>Nhất Phương</t>
  </si>
  <si>
    <t>1.044.000 VNĐ</t>
  </si>
  <si>
    <t>Ắc quy xe máy - PTZ6L  - PINACO: 340.000_x000D_
Ắc quy xe máy - PTZ6HL - PINACO: 270.000</t>
  </si>
  <si>
    <t>C000037956</t>
  </si>
  <si>
    <t>Pega Long Vũ</t>
  </si>
  <si>
    <t>Xupai - 7_x000D_
Pinaco / Đồng Nai - 3</t>
  </si>
  <si>
    <t>Ắc quy xe điện - PA 12-14.12-23 - XUPAI: 438.637, PINACO: 475</t>
  </si>
  <si>
    <t>Cần giá hợp lý để cạnh tranh với xupai</t>
  </si>
  <si>
    <t>C000000185</t>
  </si>
  <si>
    <t>Đức Thắng</t>
  </si>
  <si>
    <t>Ắc quy xe máy - Z5L  - PINACO: 320.000_x000D_
Ắc quy xe máy - Z6L  - PINACO: 400.000_x000D_
Ắc quy xe máy - Z6HL  - PINACO: 340.000</t>
  </si>
  <si>
    <t>C000000960</t>
  </si>
  <si>
    <t>Thanh Hưng</t>
  </si>
  <si>
    <t>4.210.000 VNĐ</t>
  </si>
  <si>
    <t>Ắc quy xe máy - Z5l - PINACO: 260.000_x000D_
Ắc quy xe máy - Z6l - PINACO: 320.000</t>
  </si>
  <si>
    <t>C000000990</t>
  </si>
  <si>
    <t>Thanh Tuấn</t>
  </si>
  <si>
    <t>11.587.000 VNĐ</t>
  </si>
  <si>
    <t>Ắc quy xe máy - PTZ6L  - PINACO: 360.000, GS: 390.000_x000D_
Ắc quy xe máy - Ptz5l  - PINACO: 270.000, GS: 300.000_x000D_
Ắc quy xe máy - PTX6HL - PINACO: 300.000, GS: 320.000</t>
  </si>
  <si>
    <t>C000001440</t>
  </si>
  <si>
    <t>Trường Giang</t>
  </si>
  <si>
    <t>Ắc quy xe máy - PTz6L - PINACO: 300.000, GS: 330.000_x000D_
Ắc quy xe máy - PtX5L - PINACO: 230.000, GS: 250.000_x000D_
Ắc quy xe máy - PTX6l - PINACO: 240.000, GS: 260.000</t>
  </si>
  <si>
    <t>C000000290</t>
  </si>
  <si>
    <t>Hữu Lý</t>
  </si>
  <si>
    <t>1.380.000 VNĐ</t>
  </si>
  <si>
    <t>Ắc quy xe máy - PTZ6L  - PINACO: 360.000_x000D_
Ắc quy xe máy - Ptz5l  - PINACO: 260.000</t>
  </si>
  <si>
    <t>C000001438</t>
  </si>
  <si>
    <t>Sx Hiệp</t>
  </si>
  <si>
    <t>Ắc quy xe máy - ptz6l  - PINACO: 350.000_x000D_
Ắc quy xe máy - ptz6hl - PINACO: 280.000_x000D_
Ắc quy xe máy - ptz5l  - PINACO: 260.000</t>
  </si>
  <si>
    <t>C000000211</t>
  </si>
  <si>
    <t>Hải Oánh</t>
  </si>
  <si>
    <t>2.236.000 VNĐ</t>
  </si>
  <si>
    <t>Ắc quy xe máy - PTZ5L - PINACO: 270.000_x000D_
Ắc quy xe máy - PTX6HL - PINACO: 280.000_x000D_
Ắc quy xe máy - PTZ6L  - PINACO: 350.000</t>
  </si>
  <si>
    <t>C000034696</t>
  </si>
  <si>
    <t>THANH PHONG</t>
  </si>
  <si>
    <t>Ắc quy xe máy - Ptz5l - PINACO: 280.000_x000D_
Ắc quy xe máy - Ptz6hl - PINACO: 300.000_x000D_
Ắc quy xe máy - Ptz6l - PINACO: 300.000</t>
  </si>
  <si>
    <t>C000001000</t>
  </si>
  <si>
    <t>Ắc quy xe máy - Z5L - PINACO: 260.000, GLOBE: 270.000_x000D_
Ắc quy xe máy - Z6HL - PINACO: 280.000, GLOBE: 280.000_x000D_
Ắc quy xe máy - Z6L - PINACO: 300.000, GLOBE: 300.000</t>
  </si>
  <si>
    <t>C000038381</t>
  </si>
  <si>
    <t>Sửa Xe Hoàng Tân</t>
  </si>
  <si>
    <t>Ắc quy xe máy - Z5l - PINACO: 260.000, GLOBE: 280.000</t>
  </si>
  <si>
    <t>C000001126</t>
  </si>
  <si>
    <t>Xuân Vũ IV</t>
  </si>
  <si>
    <t>14.500.000 VNĐ</t>
  </si>
  <si>
    <t>Ắc quy xe máy - Z5L  - PINACO: 220.000, GS: 250.000, GLOBE: 240.000_x000D_
Ắc quy xe máy - Z6HL - PINACO: 230.000, GS: 260.000, GLOBE: 250.000_x000D_
Ắc quy xe máy - Z6L - PINACO: 280.000, GS: 300.000, GLOBE: 280.000</t>
  </si>
  <si>
    <t>C000025183</t>
  </si>
  <si>
    <t>Chí Thiện</t>
  </si>
  <si>
    <t>3.520.000 VNĐ</t>
  </si>
  <si>
    <t>Ắc quy xe máy - Z5l - PINACO: 270.000_x000D_
Ắc quy xe máy - Z6l - PINACO: 320.000</t>
  </si>
  <si>
    <t>C000038173</t>
  </si>
  <si>
    <t>Sửa Xe Phương</t>
  </si>
  <si>
    <t>4.650.000 VNĐ</t>
  </si>
  <si>
    <t>Ắc quy xe máy - Z5l - PINACO: 270.000, GLOBE: 280.000_x000D_
Ắc quy xe máy - Z6l - PINACO: 320.000, GLOBE: 340.000, GS: 340.000</t>
  </si>
  <si>
    <t>C000037264</t>
  </si>
  <si>
    <t>Sx Tâm Long An</t>
  </si>
  <si>
    <t>4.110.000 VNĐ</t>
  </si>
  <si>
    <t>Ắc quy xe điện - Pa 12-14 - PINACO: 600.000_x000D_
Ắc quy xe máy - Z5L - PINACO: 250.000</t>
  </si>
  <si>
    <t>C000001049</t>
  </si>
  <si>
    <t>Trung Nghĩa (5A12)</t>
  </si>
  <si>
    <t>Ắc quy xe máy - Z5L - PINACO: 240.000, GLOBE: 250.000_x000D_
Ắc quy xe máy - Z6HL  - PINACO: 280.000, GLOBE: 290.000_x000D_
Ắc quy xe máy - Z6L  - PINACO: 310.000, GLOBE: 320.000</t>
  </si>
  <si>
    <t>C000024236</t>
  </si>
  <si>
    <t>Tuấn Hùng</t>
  </si>
  <si>
    <t>4.213.000 VNĐ</t>
  </si>
  <si>
    <t>C000001315</t>
  </si>
  <si>
    <t>Ắc quy xe máy - Z5L - PINACO: 230.000, GS: 250.000, GLOBE: 230.000_x000D_
Ắc quy xe máy - Z6HL - PINACO: 260.000, GS: 290.000, GLOBE: 265.000</t>
  </si>
  <si>
    <t>C000023575</t>
  </si>
  <si>
    <t>Cường 1220</t>
  </si>
  <si>
    <t>5.932.000 VNĐ</t>
  </si>
  <si>
    <t>Ắc quy xe máy - Z5L - PINACO: 240.000_x000D_
Ắc quy xe máy - Z6L - PINACO: 300.000</t>
  </si>
  <si>
    <t>C000036831</t>
  </si>
  <si>
    <t>Sx Đăng Khôi</t>
  </si>
  <si>
    <t>2.945.000 VNĐ</t>
  </si>
  <si>
    <t>Ắc quy xe máy - Z5L - PINACO: 240.000_x000D_
Ắc quy xe máy - Z6L - PINACO: 280.000</t>
  </si>
  <si>
    <t>C000029628</t>
  </si>
  <si>
    <t>Long Phát</t>
  </si>
  <si>
    <t>Ắc quy xe máy - PTZ5L,PTZ6HL,PTZ6L - PINACO: 330.340.400</t>
  </si>
  <si>
    <t>C000038000</t>
  </si>
  <si>
    <t>Gia Huy</t>
  </si>
  <si>
    <t>5.710.000 VNĐ</t>
  </si>
  <si>
    <t>Ắc quy xe máy - Z5l - PINACO: 280.000_x000D_
Ắc quy xe máy - Z6l - PINACO: 320.000</t>
  </si>
  <si>
    <t>C000000794</t>
  </si>
  <si>
    <t>SX Phương</t>
  </si>
  <si>
    <t>6.410.000 VNĐ</t>
  </si>
  <si>
    <t>Ắc quy xe máy - PTZ6L  - PINACO: 340.000, GS: 380.000_x000D_
Ắc quy xe máy - PTZ6HL - PINACO: 280.000, GS: 320.000</t>
  </si>
  <si>
    <t>C000000007</t>
  </si>
  <si>
    <t>Hồng Trân</t>
  </si>
  <si>
    <t>12.402.000 VNĐ</t>
  </si>
  <si>
    <t>Ắc quy xe máy - PTZ6L  - PINACO: 340.000, GS: 380.000_x000D_
Ắc quy xe máy - ptz6hl - PINACO: 290.000, GS: 310.000</t>
  </si>
  <si>
    <t>C000001103</t>
  </si>
  <si>
    <t>Việt Quyến</t>
  </si>
  <si>
    <t>1.707.000 VNĐ</t>
  </si>
  <si>
    <t>Ắc quy xe máy - PTZ5L  - PINACO: 270.000_x000D_
Ắc quy xe máy - PTZ6L  - PINACO: 350.000</t>
  </si>
  <si>
    <t>C000000418</t>
  </si>
  <si>
    <t>Phi Xứ</t>
  </si>
  <si>
    <t>4.980.000 VNĐ</t>
  </si>
  <si>
    <t>Ắc quy xe máy - Z5L - PINACO: 240.000_x000D_
Ắc quy xe máy - Z6HL - PINACO: 280.000_x000D_
Ắc quy xe máy - Z6L - PINACO: 320.000</t>
  </si>
  <si>
    <t>C000001120</t>
  </si>
  <si>
    <t>Xuân Kiên</t>
  </si>
  <si>
    <t>4.921.000 VNĐ</t>
  </si>
  <si>
    <t>Ắc quy xe máy - Z5L - PINACO: 240.000_x000D_
Ắc quy xe máy - Z6L - PINACO: 300.000_x000D_
Ắc quy xe máy - Z6HL - PINACO: 280.000</t>
  </si>
  <si>
    <t>C000037763</t>
  </si>
  <si>
    <t>Hoàng Phúc</t>
  </si>
  <si>
    <t>44.300.000 VNĐ</t>
  </si>
  <si>
    <t>Pinaco / Đồng Nai - 1_x000D_
GS - 6_x000D_
Globe - 3</t>
  </si>
  <si>
    <t>Ắc quy xe máy - X5l  - PINACO: 250.000, GS: 270.000, GLOBE: 0_x000D_
Ắc quy xe máy - Z5l  - PINACO: 270.000, GS: 280.000, GLOBE: 2.700.000_x000D_
Ắc quy xe máy - Z6Hl  - PINACO: 270.000, GS: 290.000, GLOBE: 270.000_x000D_
Ắc quy xe máy - Z6L  - PINACO: 300.000, GS: 320.000, GLOBE: 320.000_x000D_
Ắc quy xe máy - Z7A  - PINACO: 350.000, GS: 360.000, GLOBE: 350.000_x000D_
Ắc quy xe máy - Z7L  - PINACO: 350.000, GS: 360.000, GLOBE: 350.000_x000D_
Ắc quy xe máy - Z9 - PINACO: 400.000, GS: 420.000, GLOBE: 400.000</t>
  </si>
  <si>
    <t xml:space="preserve">Đồng Nai hay bị đứt hàng </t>
  </si>
  <si>
    <t>C000000639</t>
  </si>
  <si>
    <t>SX BẢY CHIẾN</t>
  </si>
  <si>
    <t>Ắc quy xe máy - PTZ5L,PTZ6HL,PTZ6L - PINACO: 300.300.350</t>
  </si>
  <si>
    <t>C000001201</t>
  </si>
  <si>
    <t>Quậy Ký 1 - TT</t>
  </si>
  <si>
    <t>5.360.000 VNĐ</t>
  </si>
  <si>
    <t>Ắc quy xe máy - Z5l - PINACO: 260.000, GLOBE: 280.000_x000D_
Ắc quy xe máy - Z6l - PINACO: 320.000, GLOBE: 350.000</t>
  </si>
  <si>
    <t>C000029769</t>
  </si>
  <si>
    <t>Sửa Xe Hiệp</t>
  </si>
  <si>
    <t>4.200.000 VNĐ</t>
  </si>
  <si>
    <t>1.854.000 VNĐ</t>
  </si>
  <si>
    <t>Ắc quy xe máy - Z5L - PINACO: 280.000_x000D_
Ắc quy xe máy - Z6L - PINACO: 340.000</t>
  </si>
  <si>
    <t>C000019066</t>
  </si>
  <si>
    <t>A HIỀN</t>
  </si>
  <si>
    <t>Ắc quy xe máy - Z5L - PINACO: 300.000, GS: 310.000_x000D_
Ắc quy xe máy - X6HL - PINACO: 310.000, GS: 310.000_x000D_
Ắc quy xe máy - Z6L  - PINACO: 320.000, GS: 330.000</t>
  </si>
  <si>
    <t>C000000729</t>
  </si>
  <si>
    <t>SỬA XE RỬA XE 668</t>
  </si>
  <si>
    <t>Ắc quy xe máy - PTZ5L,PTZ6HL,PTZ6L - PINACO: 350.350.390, GS: 380.380.420</t>
  </si>
  <si>
    <t xml:space="preserve">Cần hổ trợ kệ để trưng bày sản phẩm . Giá hợp lý để cạnh tranh với GS </t>
  </si>
  <si>
    <t>C000000583</t>
  </si>
  <si>
    <t>Sạp 80B - TT</t>
  </si>
  <si>
    <t>1.820.000 VNĐ</t>
  </si>
  <si>
    <t>C000001387</t>
  </si>
  <si>
    <t>SX Anh Bình</t>
  </si>
  <si>
    <t>Ắc quy xe máy - Z5L - PINACO: 300.000, GS: 310.000_x000D_
Ắc quy xe máy - Z6HL - PINACO: 310.000, GS: 320.000_x000D_
Ắc quy xe máy - Z6L - PINACO: 360.000, GS: 380.000</t>
  </si>
  <si>
    <t>C000037933</t>
  </si>
  <si>
    <t>Pega Công Danh</t>
  </si>
  <si>
    <t>Ắc quy xe điện - Pa 12-14 - PINACO: 600.000, XUPAI: 500.000</t>
  </si>
  <si>
    <t>Thời gian bảo hành hiện tại quá lâu so với lúc trước mong cty khắc phục và tìm ra giải pháp.</t>
  </si>
  <si>
    <t>C000027342</t>
  </si>
  <si>
    <t>SX Song Phương</t>
  </si>
  <si>
    <t>Ắc quy xe máy - PTX5L,PTX6HL,PTZ6L,PTZ7L,PTZ7A - PINACO: 320.320.360.420, GS: 340.345.380</t>
  </si>
  <si>
    <t xml:space="preserve">Cần giá hợp lý để cạnh tranh với GS </t>
  </si>
  <si>
    <t>C000000582</t>
  </si>
  <si>
    <t>Sạp 78B - TT</t>
  </si>
  <si>
    <t>6.391.000 VNĐ</t>
  </si>
  <si>
    <t>Ắc quy xe máy - Z5l - PINACO: 240.000, GLOBE: 260.000</t>
  </si>
  <si>
    <t>C000000573</t>
  </si>
  <si>
    <t>Sạp 41B - TT</t>
  </si>
  <si>
    <t>3.920.000 VNĐ</t>
  </si>
  <si>
    <t>Ắc quy xe máy - Z5l - PINACO: 230.000, GS: 260.000</t>
  </si>
  <si>
    <t>C000000581</t>
  </si>
  <si>
    <t>Sạp 76B - TT</t>
  </si>
  <si>
    <t>Ắc quy xe máy - Z6l - PINACO: 300.000, GLOBE: 320.000</t>
  </si>
  <si>
    <t>C000000579</t>
  </si>
  <si>
    <t>Sạp 75B - TT</t>
  </si>
  <si>
    <t>C000000728</t>
  </si>
  <si>
    <t>SX Hùng (197)</t>
  </si>
  <si>
    <t>1.488.000 VNĐ</t>
  </si>
  <si>
    <t>Ắc quy xe máy - PTZ6L  - PINACO: 340.000_x000D_
Ắc quy xe máy - PTZ5L  - PINACO: 260.000_x000D_
Ắc quy xe máy - PTZ6HL - PINACO: 280.000</t>
  </si>
  <si>
    <t>C000001117</t>
  </si>
  <si>
    <t>Vũ Trụ - TT (103)</t>
  </si>
  <si>
    <t>73.650.000 VNĐ</t>
  </si>
  <si>
    <t>Ắc quy xe máy - Z5l - PINACO: 225.000, GS: 235.000, GLOBE: 230.000_x000D_
Ắc quy xe máy - Z6l - PINACO: 275.000, GS: 300.000, GLOBE: 280.000</t>
  </si>
  <si>
    <t>C000030132</t>
  </si>
  <si>
    <t>Phong Du</t>
  </si>
  <si>
    <t>2.130.000 VNĐ</t>
  </si>
  <si>
    <t>C000000212</t>
  </si>
  <si>
    <t>Hải Tâm</t>
  </si>
  <si>
    <t>4.680.000 VNĐ</t>
  </si>
  <si>
    <t>Ắc quy xe máy - Z6l - PINACO: 330.000, GLOBE: 340.000</t>
  </si>
  <si>
    <t>C000023728</t>
  </si>
  <si>
    <t>Phụ Tùng Thành Phát</t>
  </si>
  <si>
    <t>Pinaco / Đồng Nai - 3
GS - 5
Xupai - 1
Nhãn hiệu khác - 1</t>
  </si>
  <si>
    <t>Ắc quy xe máy - Ptz5l - PINACO: 230.000, GS: 255.000, OTHER: 200.000_x000D_
Ắc quy xe máy - Ptz6hl - PINACO: 240.000, GS: 255.000, OTHER: 210.000_x000D_
Ắc quy xe máy - Ptz6l - PINACO: 300.000, GS: 320.000, OTHER: 240.000_x000D_
Ắc quy xe điện - Pa 12-14 - PINACO: 1.600.000, XUPAI: 1.500.000</t>
  </si>
  <si>
    <t>C000000959</t>
  </si>
  <si>
    <t>Thanh Hùng</t>
  </si>
  <si>
    <t>2.810.000 VNĐ</t>
  </si>
  <si>
    <t>Ắc quy xe máy - PTZ6L  - PINACO: 330.000_x000D_
Ắc quy xe máy - X6HL - PINACO: 280.000</t>
  </si>
  <si>
    <t>C000000324</t>
  </si>
  <si>
    <t>Lê Tấn</t>
  </si>
  <si>
    <t>Ắc quy xe máy - PTz6L - PINACO: 300.000, GS: 340.000, GLOBE: 285.000_x000D_
Ắc quy xe máy - PTZ5L  - PINACO: 250.000, GS: 275.000, GLOBE: 240.000</t>
  </si>
  <si>
    <t>C000000624</t>
  </si>
  <si>
    <t>SX A Toàn</t>
  </si>
  <si>
    <t>4.900.000 VNĐ</t>
  </si>
  <si>
    <t>Ắc quy xe máy - PTZ5L,PTZ6HL,PTZ6L,PTZ7A - PINACO: 330.350.380.420</t>
  </si>
  <si>
    <t>C000001378</t>
  </si>
  <si>
    <t>Tấn Dũng</t>
  </si>
  <si>
    <t>Ắc quy xe máy - Z5L - PINACO: 290.000_x000D_
Ắc quy xe máy - Z6HL - PINACO: 310.000_x000D_
Ắc quy xe máy - Z6L  - PINACO: 350.000</t>
  </si>
  <si>
    <t>C000038003</t>
  </si>
  <si>
    <t>Anh Hồ</t>
  </si>
  <si>
    <t>11.828.000 VNĐ</t>
  </si>
  <si>
    <t>Ắc quy xe điện - PA 12-14 - PINACO: 425.000, XUPAI: 375.000</t>
  </si>
  <si>
    <t>C000038089</t>
  </si>
  <si>
    <t>Út martin</t>
  </si>
  <si>
    <t>54.140.000 VNĐ</t>
  </si>
  <si>
    <t>Pinaco / Đồng Nai - 2_x000D_
Yamato - 4_x000D_
Xupai - 4</t>
  </si>
  <si>
    <t>Ắc quy xe điện - PA 12-14 - PINACO: 425.000, YAMATO: 350.000, XUPAI: 370.000</t>
  </si>
  <si>
    <t>C000001212</t>
  </si>
  <si>
    <t>Minh Bảo</t>
  </si>
  <si>
    <t>5.342.000 VNĐ</t>
  </si>
  <si>
    <t>Ắc quy xe máy - Z6l - PINACO: 350.000, GS: 360.000</t>
  </si>
  <si>
    <t>Khách hàng không cho chụp hình</t>
  </si>
  <si>
    <t>C000028938</t>
  </si>
  <si>
    <t>Xuân Phi</t>
  </si>
  <si>
    <t>7.200.000 VNĐ</t>
  </si>
  <si>
    <t>3.640.000 VNĐ</t>
  </si>
  <si>
    <t>Ắc quy xe máy - Z5L - PINACO: 280.000_x000D_
Ắc quy xe máy - Z6L - PINACO: 340.000_x000D_
Ắc quy xe máy - Z6HL - PINACO: 300.000</t>
  </si>
  <si>
    <t>Giảm giá cho nhiều chương trình khuyến mãi hơn</t>
  </si>
  <si>
    <t>C000029937</t>
  </si>
  <si>
    <t>Hoàng Vũ</t>
  </si>
  <si>
    <t>11.300.000 VNĐ</t>
  </si>
  <si>
    <t>Pinaco / Đồng Nai - 4_x000D_
GS - 5_x000D_
Globe - 1</t>
  </si>
  <si>
    <t>Ắc quy xe máy - Z5L - PINACO: 280.000, GLOBE: 290.000, GS: 300.000</t>
  </si>
  <si>
    <t>C000038002</t>
  </si>
  <si>
    <t>Trung Tâm</t>
  </si>
  <si>
    <t>10.912.000 VNĐ</t>
  </si>
  <si>
    <t>Pinaco / Đồng Nai - 8_x000D_
Yamato - 2</t>
  </si>
  <si>
    <t>Ắc quy xe máy - PA 11-14 - PINACO: 1.650.000, YAMATO: 1.500.000</t>
  </si>
  <si>
    <t>C000037761</t>
  </si>
  <si>
    <t>Phước Châu</t>
  </si>
  <si>
    <t>33.657.000 VNĐ</t>
  </si>
  <si>
    <t>Ắc quy xe máy - Z5L - PINACO: 230.000, GS: 235.000_x000D_
Ắc quy xe máy - Z6L - PINACO: 280.000, GS: 290.000</t>
  </si>
  <si>
    <t>C000030270</t>
  </si>
  <si>
    <t>Tâm Thắng</t>
  </si>
  <si>
    <t>Ắc quy xe máy - PTZ5L,PTZ6HL,PTZ6L - PINACO: 280.300.340</t>
  </si>
  <si>
    <t>C000000448</t>
  </si>
  <si>
    <t>Phương Hải</t>
  </si>
  <si>
    <t>5.700.000 VNĐ</t>
  </si>
  <si>
    <t>Ắc quy xe máy - PTZ5L,PTZ6HL,PTZ6L,PTZ7A,PTZ7L - PINACO: 290.300.360.450.450, GS: 320.400</t>
  </si>
  <si>
    <t xml:space="preserve">Cần giá ổn định để cạnh tranh với thị trường </t>
  </si>
  <si>
    <t>C000031043</t>
  </si>
  <si>
    <t>Trung</t>
  </si>
  <si>
    <t>6.515.000 VNĐ</t>
  </si>
  <si>
    <t>Ắc quy xe máy - Z6l - PINACO: 330.000_x000D_
Ắc quy xe máy - Z5l - PINACO: 260.000</t>
  </si>
  <si>
    <t>C000036349</t>
  </si>
  <si>
    <t>Ắc Quy Cửu Hiệp</t>
  </si>
  <si>
    <t>Ắc quy xe máy - Z5l  - PINACO: 240.000, GS: 260.000_x000D_
Ắc quy xe máy - Z6Hl  - PINACO: 250.000, GS: 266.000_x000D_
Ắc quy xe máy - Z6L  - PINACO: 280.000, GS: 280.000_x000D_
Ắc quy xe máy - Z7A  - PINACO: 400.000, GS: 410.000_x000D_
Ắc quy xe máy - Z9 - PINACO: 430.000, GS: 440.000</t>
  </si>
  <si>
    <t>C000000638</t>
  </si>
  <si>
    <t>SX BẢO</t>
  </si>
  <si>
    <t>Ắc quy xe máy - Z5L - PINACO: 300.000_x000D_
Ắc quy xe máy - Z6HL - PINACO: 310.000_x000D_
Ắc quy xe máy - Z6L - PINACO: 340.000</t>
  </si>
  <si>
    <t>C000000787</t>
  </si>
  <si>
    <t>SX PHONG</t>
  </si>
  <si>
    <t>Ắc quy xe máy - PTZ5L,PTZ6HL,PTZ6L,PTZ7A,PTZ7L - PINACO: 350.350.380.450.450, OTHER: 320.320.370.420</t>
  </si>
  <si>
    <t>C000000415</t>
  </si>
  <si>
    <t>Phi Hùng</t>
  </si>
  <si>
    <t>18.600.000 VNĐ</t>
  </si>
  <si>
    <t>Ắc quy xe máy - X5L - PINACO: 285.000, GLOBE: 285_x000D_
Ắc quy xe máy - X6HL - PINACO: 290.000, GS: 285.000, GLOBE: 285.000_x000D_
Ắc quy xe máy - Z6L - PINACO: 330, GS: 350.000, GLOBE: 330.000</t>
  </si>
  <si>
    <t>C000038565</t>
  </si>
  <si>
    <t>Xe đạp Anh Hậu</t>
  </si>
  <si>
    <t>Pinaco / Đồng Nai - 1_x000D_
Thiên Năng - 7_x000D_
Xupai - 2</t>
  </si>
  <si>
    <t>Ắc quy xe điện - PA12-14  - PINACO: 1.700.000, THIEN_NANG: 1.500.000, XUPAI: 1.600.000_x000D_
Ắc quy xe điện - 12_23  - PINACO: 2.800.000, THIEN_NANG: 2.500.000, XUPAI: 2.600.000</t>
  </si>
  <si>
    <t>Đồng Nai giá cao</t>
  </si>
  <si>
    <t>C000038009</t>
  </si>
  <si>
    <t>Hoàng Long</t>
  </si>
  <si>
    <t>Ắc quy xe điện - PA12-14 - PINACO: 1.800.000, XUPAI: 1.600.000</t>
  </si>
  <si>
    <t xml:space="preserve">Cần giá tốt hơn để cạnh tranh với thị trường với xupai </t>
  </si>
  <si>
    <t>C000032036</t>
  </si>
  <si>
    <t>Trường</t>
  </si>
  <si>
    <t>Ắc quy xe máy - X5L - PINACO: 280.000_x000D_
Ắc quy xe máy - X6HL - PINACO: 280.000_x000D_
Ắc quy xe máy - Z6L - PINACO: 340.000</t>
  </si>
  <si>
    <t>C000000425</t>
  </si>
  <si>
    <t>Phụ Tùng Anh Trọng</t>
  </si>
  <si>
    <t>Ắc quy xe máy - Ptz5l - PINACO: 230.000, GS: 260.000, GLOBE: 235.000_x000D_
Ắc quy xe máy - Ptz6hl - PINACO: 240.000, GS: 245.000, GLOBE: 235.000_x000D_
Ắc quy xe máy - Ptz6l - PINACO: 280.000, GS: 310.000, GLOBE: 280.000</t>
  </si>
  <si>
    <t>C000024294</t>
  </si>
  <si>
    <t>Sửa Xe Duy Mạnh</t>
  </si>
  <si>
    <t>Ắc quy xe máy - Ptz5l - PINACO: 270.000_x000D_
Ắc quy xe máy - Ptz6hl - PINACO: 280.000_x000D_
Ắc quy xe máy - Ptz6l - PINACO: 340.000_x000D_
Ắc quy xe điện - Pa12-14 - PINACO: 1.800.000</t>
  </si>
  <si>
    <t>C000029126</t>
  </si>
  <si>
    <t>Sửa Xe Khanh Chiến</t>
  </si>
  <si>
    <t>Ắc quy xe máy - Ptz5l - PINACO: 330.000_x000D_
Ắc quy xe máy - Ptz6l - PINACO: 340.000_x000D_
Ắc quy xe máy - Ptz6l - PINACO: 380.000</t>
  </si>
  <si>
    <t>Khách không cho chụp hình kho hàng</t>
  </si>
  <si>
    <t>C000024298</t>
  </si>
  <si>
    <t>Tam Bô</t>
  </si>
  <si>
    <t>Ắc quy xe máy - Ptz5l - GS: 238.000, GLOBE: 220.000, PINACO: 210.000_x000D_
Ắc quy xe máy - Ptz6hl - PINACO: 220.000, GS: 248.000, GLOBE: 230.000</t>
  </si>
  <si>
    <t>C000000257</t>
  </si>
  <si>
    <t>HONDA BẢO</t>
  </si>
  <si>
    <t>Ắc quy xe máy - Z5L - PINACO: 290.000_x000D_
Ắc quy xe máy - Z6HL - PINACO: 300.000_x000D_
Ắc quy xe máy - Z6L - PINACO: 340.000_x000D_
Ắc quy xe máy - Z7L - PINACO: 460.000</t>
  </si>
  <si>
    <t>C000026631</t>
  </si>
  <si>
    <t>Đoàn Cao</t>
  </si>
  <si>
    <t>Ắc quy xe máy - PTZ6L  - PINACO: 280.000, GS: 290.000</t>
  </si>
  <si>
    <t>C000001047</t>
  </si>
  <si>
    <t>Trung Nam</t>
  </si>
  <si>
    <t>Ắc quy xe máy - X5 - PINACO: 220.000, GS: 240.000_x000D_
Ắc quy xe máy - X6HL - PINACO: 240.000, GS: 240.000_x000D_
Ắc quy xe máy - Z6L - PINACO: 290.000, GS: 310.000</t>
  </si>
  <si>
    <t>C000019473</t>
  </si>
  <si>
    <t>MINH HOÀNG</t>
  </si>
  <si>
    <t>Ắc quy xe máy - Z5L  - PINACO: 290.000_x000D_
Ắc quy xe máy - Z6HL - PINACO: 300.000_x000D_
Ắc quy xe máy - Z6L - PINACO: 340.000</t>
  </si>
  <si>
    <t>C000000766</t>
  </si>
  <si>
    <t>SX Minh Vương</t>
  </si>
  <si>
    <t>Ắc quy xe máy - PTZ5L ,PTZ6HL ,PTZ6L - PINACO: 300.300.350, GS: 320.320.370</t>
  </si>
  <si>
    <t xml:space="preserve">Giá thành đồng nai đang cao quá . Khách chuyển sang GS . Cần điều chỉnh giá để cạnh tranh với GS </t>
  </si>
  <si>
    <t>C000036578</t>
  </si>
  <si>
    <t>Ắc Quy Thạnh Phát</t>
  </si>
  <si>
    <t>Ắc quy xe máy - Z5l  - PINACO: 260.000, GS: 290.000, GLOBE: 270.000_x000D_
Ắc quy xe máy - Z6Hl  - PINACO: 2.700, GS: 300.000, GLOBE: 280.000_x000D_
Ắc quy xe máy - Z6L  - PINACO: 280.000, GLOBE: 280.000, GS: 320.000_x000D_
Ắc quy xe máy - Z9 - PINACO: 420.000, GS: 470.000, GLOBE: 440.000</t>
  </si>
  <si>
    <t>C000035941</t>
  </si>
  <si>
    <t>Ắc Quy Thuận Lợi</t>
  </si>
  <si>
    <t>2.140.000 VNĐ</t>
  </si>
  <si>
    <t>C000000412</t>
  </si>
  <si>
    <t>PHÁT ĐẠT 1</t>
  </si>
  <si>
    <t>3.204.000 VNĐ</t>
  </si>
  <si>
    <t>Ắc quy xe máy - Z6l - PINACO: 320.000, GLOBE: 340.000</t>
  </si>
  <si>
    <t>C000001124</t>
  </si>
  <si>
    <t>Xuân Vũ (14B)</t>
  </si>
  <si>
    <t>9.100.000 VNĐ</t>
  </si>
  <si>
    <t>Ắc quy xe máy - X5 - PINACO: 215.000, GLOBE: 230.000_x000D_
Ắc quy xe máy - X6Hl - PINACO: 230.000, GLOBE: 250.000_x000D_
Ắc quy xe máy - Z6L  - PINACO: 280.000, GLOBE: 290.000</t>
  </si>
  <si>
    <t>C000000209</t>
  </si>
  <si>
    <t>HẢI KÝ</t>
  </si>
  <si>
    <t>1.250.000 VNĐ</t>
  </si>
  <si>
    <t>Ắc quy xe máy - PTZ6L  - PINACO: 330.000_x000D_
Ắc quy xe máy - ptz5l  - PINACO: 250.000_x000D_
Ắc quy xe máy - PT26HL - PINACO: 290.000</t>
  </si>
  <si>
    <t>C000001035</t>
  </si>
  <si>
    <t>Trí Thức III</t>
  </si>
  <si>
    <t>Pinaco / Đồng Nai - 6_x000D_
GS - 3_x000D_
Globe - 1</t>
  </si>
  <si>
    <t>Bán lẻ: 5%; Bán sỉ: 95%</t>
  </si>
  <si>
    <t>Ắc quy xe máy - PTZ5L,PTZ6HL,PTZ6L,PTZ7A , PTZ7LPTZ9 - PINACO: 230.235.280.370.370.400, GS: 235.240.300.410.410, GLOBE: 245.245_x000D_
Ắc quy xe điện - PA12-14,12-23 - PINACO: 411.650</t>
  </si>
  <si>
    <t>Cạnh tranh giá hơn nữa so với GS , muốn tăng , tăng đều hoặc tăng sau GS . Nếu tăng vậy đã mất 1 lượng khách nhất định của đồng nai .</t>
  </si>
  <si>
    <t>C000001414</t>
  </si>
  <si>
    <t>Thanh Tuyền</t>
  </si>
  <si>
    <t>7.100.000 VNĐ</t>
  </si>
  <si>
    <t>Ắc quy xe máy - Z5 - PINACO: 290.000_x000D_
Ắc quy xe máy - Z6HL - PINACO: 310.000_x000D_
Ắc quy xe máy - Z6L - PINACO: 340.000_x000D_
Ắc quy xe máy - Z7L - PINACO: 450.000</t>
  </si>
  <si>
    <t>C000023699</t>
  </si>
  <si>
    <t>Sửa Xe 6 Hòa</t>
  </si>
  <si>
    <t>Ắc quy xe máy - Ptz5l - GS: 250.000, PINACO: 220.000_x000D_
Ắc quy xe máy - Ptz6l - GS: 320.000, PINACO: 300.000</t>
  </si>
  <si>
    <t>C000034605</t>
  </si>
  <si>
    <t>Hoàn cầu</t>
  </si>
  <si>
    <t>9.228.000 VNĐ</t>
  </si>
  <si>
    <t>Ắc quy xe máy - X5L - PINACO: 260.000, GS: 270.000_x000D_
Ắc quy xe máy - X6HL - PINACO: 270.000, GS: 280.000_x000D_
Ắc quy xe máy - Z6L - PINACO: 320.000, GS: 340.000</t>
  </si>
  <si>
    <t>C000037065</t>
  </si>
  <si>
    <t>Ắc quy xe máy - Z5l  - PINACO: 310.000_x000D_
Ắc quy xe máy - Z6Hl  - PINACO: 320.000_x000D_
Ắc quy xe máy - Z6L  - PINACO: 360.000_x000D_
Ắc quy xe máy - Z7A  - PINACO: 420.000</t>
  </si>
  <si>
    <t>Bình đồng nai hiện tại hơi cao</t>
  </si>
  <si>
    <t>C000000678</t>
  </si>
  <si>
    <t>Sửa Xe Duy Cường</t>
  </si>
  <si>
    <t>Ắc quy xe máy - Z5L  - PINACO: 320.000_x000D_
Ắc quy xe máy - Z6L  - PINACO: 400.000_x000D_
Ắc quy xe máy - Z6HL  - PINACO: 330.000</t>
  </si>
  <si>
    <t xml:space="preserve">Khách ko cho chụp kho </t>
  </si>
  <si>
    <t>C000000883</t>
  </si>
  <si>
    <t>SX TRUNG HIẾU</t>
  </si>
  <si>
    <t>8.576.000 VNĐ</t>
  </si>
  <si>
    <t>Ắc quy xe máy - PTX5L - PINACO: 260.000_x000D_
Ắc quy xe máy - PTX6HL - PINACO: 290.000_x000D_
Ắc quy xe máy - PTZ6L  - PINACO: 340.000</t>
  </si>
  <si>
    <t>C000001303</t>
  </si>
  <si>
    <t>Bảy Linh 2</t>
  </si>
  <si>
    <t>Ắc quy xe máy - Ptz5l - PINACO: 300.000_x000D_
Ắc quy xe máy - Ptz6hl - PINACO: 310.000_x000D_
Ắc quy xe máy - Ptz6l - PINACO: 360.000_x000D_
Ắc quy xe máy - Ptz9 - PINACO: 520.000_x000D_
Ắc quy xe máy - Ptz7l - PINACO: 480.000</t>
  </si>
  <si>
    <t>C000035942</t>
  </si>
  <si>
    <t>Sửa Xe Phi</t>
  </si>
  <si>
    <t>2.204.000 VNĐ</t>
  </si>
  <si>
    <t>C000000319</t>
  </si>
  <si>
    <t>Lâm Tới</t>
  </si>
  <si>
    <t>Ắc quy xe máy - X5L  - PINACO: 300.000_x000D_
Ắc quy xe máy - Z6HL  - PINACO: 320.000_x000D_
Ắc quy xe máy - Z6L  - PINACO: 400.000</t>
  </si>
  <si>
    <t>C000000018</t>
  </si>
  <si>
    <t>3.739.000 VNĐ</t>
  </si>
  <si>
    <t>Ắc quy xe máy - PT Z6L - PINACO: 300.000, GLOBE: 290.000_x000D_
Ắc quy xe máy - PTz5L - PINACO: 250.000, GLOBE: 250.000_x000D_
Ắc quy xe máy - PTX6HL - PINACO: 260.000, GLOBE: 250.000</t>
  </si>
  <si>
    <t>C000001292</t>
  </si>
  <si>
    <t>Honda Thành</t>
  </si>
  <si>
    <t>Ắc quy xe máy - Ptz6L - GS: 400.000, PINACO: 350.000</t>
  </si>
  <si>
    <t>C000034703</t>
  </si>
  <si>
    <t>Sửa Xe Phúc Tín</t>
  </si>
  <si>
    <t>Ắc quy xe máy - Z5L  - PINACO: 320.000, GS: 340.000_x000D_
Ắc quy xe máy - Z6HL  - PINACO: 320.000, GS: 330.000_x000D_
Ắc quy xe máy - Z6L  - PINACO: 400.000, GS: 450.000</t>
  </si>
  <si>
    <t xml:space="preserve">Khách hàng không cho chụp kho </t>
  </si>
  <si>
    <t>C000000848</t>
  </si>
  <si>
    <t>SX THÀNH TRUNG</t>
  </si>
  <si>
    <t>Ắc quy xe máy - PTZ5L,PTZ6HL,PTZ6L,PTZ7A - PINACO: 350.380.400.550, GLOBE: 350.380.400.550</t>
  </si>
  <si>
    <t>Điều chỉnh giá để cạnh tranh với globe</t>
  </si>
  <si>
    <t>C000032727</t>
  </si>
  <si>
    <t>Sửa Xe Phương Thứ</t>
  </si>
  <si>
    <t>Ắc quy xe máy - Z5L  - PINACO: 320.000_x000D_
Ắc quy xe máy - Z6HL  - PINACO: 320.000_x000D_
Ắc quy xe máy - Z6L  - PINACO: 400.000</t>
  </si>
  <si>
    <t>C000000016</t>
  </si>
  <si>
    <t>Lộc (202)</t>
  </si>
  <si>
    <t>15.761.000 VNĐ</t>
  </si>
  <si>
    <t>Ắc quy xe máy - PTX5L - PINACO: 250.000, GS: 240.000, GLOBE: 230.000_x000D_
Ắc quy xe máy - PTZ6L  - PINACO: 320.000, GS: 300.000, GLOBE: 290.000_x000D_
Ắc quy xe máy - PTZ6L HL - PINACO: 270.000, GS: 260.000, GLOBE: 240.000</t>
  </si>
  <si>
    <t>C000001016</t>
  </si>
  <si>
    <t>Tích</t>
  </si>
  <si>
    <t>Ắc quy xe tải - PTZ5L,PTZ6HL,PTZ6L,PTZ7A,PTZ7L - PINACO: 330.330.350.420.420</t>
  </si>
  <si>
    <t xml:space="preserve">Cần chương trình khuyến mãi tốt hơn </t>
  </si>
  <si>
    <t>C000000651</t>
  </si>
  <si>
    <t>Sửa Xe Công Chính</t>
  </si>
  <si>
    <t>Ắc quy xe máy - Z5L  - PINACO: 320.000_x000D_
Ắc quy xe máy - Z6HL  - PINACO: 330.000_x000D_
Ắc quy xe máy - Z6L  - PINACO: 420.000</t>
  </si>
  <si>
    <t>C000028386</t>
  </si>
  <si>
    <t>Ắc quy xe máy - X5L  - PINACO: 320.000_x000D_
Ắc quy xe máy - X6HL  - PINACO: 300.000_x000D_
Ắc quy xe máy - Z6L  - PINACO: 410.000</t>
  </si>
  <si>
    <t>C000023548</t>
  </si>
  <si>
    <t>Công Thành</t>
  </si>
  <si>
    <t>1.141.000 VNĐ</t>
  </si>
  <si>
    <t>Ắc quy xe máy - PTZ6HL - PINACO: 290.000_x000D_
Ắc quy xe máy - PTX6HL - PINACO: 280.000_x000D_
Ắc quy xe máy - PTX5L - PINACO: 260.000</t>
  </si>
  <si>
    <t>C000000928</t>
  </si>
  <si>
    <t>Tấn Đạt</t>
  </si>
  <si>
    <t>Ắc quy xe máy - Ptz5l - PINACO: 240.000, GS: 255.000, GLOBE: 240.000_x000D_
Ắc quy xe máy - Ptz6hl - PINACO: 250.000, GS: 265.000, GLOBE: 255.000_x000D_
Ắc quy xe máy - Ptz6l - PINACO: 290.000, GS: 285.000, GLOBE: 275.000_x000D_
Ắc quy xe máy - Ptz7l - PINACO: 400.000, GS: 400.000, GLOBE: 390.000</t>
  </si>
  <si>
    <t>C000038126</t>
  </si>
  <si>
    <t>TUẤN HỢI</t>
  </si>
  <si>
    <t>Pinaco / Đồng Nai - 1_x000D_
Nhãn hiệu khác - 9</t>
  </si>
  <si>
    <t>Ắc quy xe điện - PA 12-14 - PINACO: 2.000.000, OTHER: 1.800.000</t>
  </si>
  <si>
    <t>C000037934</t>
  </si>
  <si>
    <t>PHƯỚC LONG</t>
  </si>
  <si>
    <t>21.828.000 VNĐ</t>
  </si>
  <si>
    <t>Pinaco / Đồng Nai - 2_x000D_
Nhãn hiệu khác - 8</t>
  </si>
  <si>
    <t>Ắc quy xe điện - PA 12-14 - PINACO: 1.900.000, OTHER: 2.300.000</t>
  </si>
  <si>
    <t>C000000916</t>
  </si>
  <si>
    <t>SX XUÂN TRƯỜNG</t>
  </si>
  <si>
    <t>Ắc quy xe máy - PTZ5L,PTZ6HL ,PTX6HL , PTZ6L , PTZ7A,PTZ7L - PINACO: 350.370.350.390.480.500</t>
  </si>
  <si>
    <t>C000000473</t>
  </si>
  <si>
    <t>Hiệp Thành Phát</t>
  </si>
  <si>
    <t>Pinaco / Đồng Nai - 1_x000D_
GS - 7_x000D_
Globe - 2</t>
  </si>
  <si>
    <t>Ắc quy xe máy - Z5L  - PINACO: 220.000, GS: 230.000, GLOBE: 220.000_x000D_
Ắc quy xe máy - Z6HL  - PINACO: 240.000, GS: 250.000, GLOBE: 240.000_x000D_
Ắc quy xe máy - Z6L  - PINACO: 270.000, GS: 280.000, GLOBE: 270.000</t>
  </si>
  <si>
    <t>C000000195</t>
  </si>
  <si>
    <t>Duy Khang</t>
  </si>
  <si>
    <t>25.700.000 VNĐ</t>
  </si>
  <si>
    <t>Ắc quy xe máy - Ptz5l - PINACO: 240.000, GS: 250.000, GLOBE: 240.000_x000D_
Ắc quy xe máy - Ptz6l - PINACO: 290.000, GS: 300.000, GLOBE: 280.000_x000D_
Ắc quy xe máy - Ptz6hl - PINACO: 255.000, GS: 270.000, GLOBE: 255.000_x000D_
Ắc quy xe máy - Ptz7l - PINACO: 390.000, GS: 380.000, GLOBE: 375.000</t>
  </si>
  <si>
    <t>C000001402</t>
  </si>
  <si>
    <t>A Trung</t>
  </si>
  <si>
    <t>Ắc quy xe máy - X5L  - PINACO: 240.000, GS: 260.000, GLOBE: 250.000_x000D_
Ắc quy xe máy - X6HL - PINACO: 260.000, GLOBE: 270.000, GS: 280.000_x000D_
Ắc quy xe máy - Z6L - PINACO: 280.000, GLOBE: 290.000, GS: 320.000</t>
  </si>
  <si>
    <t>C000030216</t>
  </si>
  <si>
    <t>Quang</t>
  </si>
  <si>
    <t>21.600.000 VNĐ</t>
  </si>
  <si>
    <t>Ắc quy xe điện - PA12-14  - PINACO: 1.700.000, OTHER: 1.600.000_x000D_
Ắc quy xe điện - PA12_23  - PINACO: 2.500.000, OTHER: 2.400.000</t>
  </si>
  <si>
    <t>C000001362</t>
  </si>
  <si>
    <t>Cô Rạng</t>
  </si>
  <si>
    <t>Ắc quy xe máy - Ptz5l - PINACO: 290.000_x000D_
Ắc quy xe máy - Ptz6l - PINACO: 360.000_x000D_
Ắc quy xe máy - Ptz6hl - PINACO: 300.000</t>
  </si>
  <si>
    <t>C000000457</t>
  </si>
  <si>
    <t>Phụ Tùng An Tâm</t>
  </si>
  <si>
    <t>Ắc quy xe máy - Z5l - PINACO: 220.000, GS: 230.000, GLOBE: 215.000_x000D_
Ắc quy xe máy - Z6L - PINACO: 280.000, GS: 290.000, GLOBE: 265.000_x000D_
Ắc quy xe máy - Z6HL - PINACO: 225.000, GS: 230.000, GLOBE: 225.000</t>
  </si>
  <si>
    <t>Khách không cho chụp khó hàng</t>
  </si>
  <si>
    <t>C000001363</t>
  </si>
  <si>
    <t>Công Chánh</t>
  </si>
  <si>
    <t>Ắc quy xe máy - Ptz5l - PINACO: 300.000_x000D_
Ắc quy xe máy - Ptz6hl - PINACO: 290.000_x000D_
Ắc quy xe máy - Ptz6l - PINACO: 340.000_x000D_
Ắc quy xe máy - Ptz7a - PINACO: 480.000_x000D_
Ắc quy xe máy - Ptz7l - PINACO: 480.000_x000D_
Ắc quy xe máy - Ptz9 - PINACO: 520.000</t>
  </si>
  <si>
    <t>C000001108</t>
  </si>
  <si>
    <t>Vinh</t>
  </si>
  <si>
    <t>7.600.000 VNĐ</t>
  </si>
  <si>
    <t>Ắc quy xe máy - Z5L  - PINACO: 255.000, GS: 280.000_x000D_
Ắc quy xe máy - Z6HL  - PINACO: 265.000, GS: 280.000_x000D_
Ắc quy xe máy - Z6L  - PINACO: 330.000, GS: 350.000</t>
  </si>
  <si>
    <t>C000000006</t>
  </si>
  <si>
    <t>Minh Thương</t>
  </si>
  <si>
    <t>Ắc quy xe máy - Z5L  - PINACO: 270.000, GS: 300.000_x000D_
Ắc quy xe máy - Z6HL  - PINACO: 300.000</t>
  </si>
  <si>
    <t>C000001283</t>
  </si>
  <si>
    <t>Sửa Xe Hoàng Uy</t>
  </si>
  <si>
    <t>2.432.000 VNĐ</t>
  </si>
  <si>
    <t>Ắc quy xe máy - Z5l  - PINACO: 290.000, GS: 320.000_x000D_
Ắc quy xe máy - Z6Hl  - PINACO: 300.000, GS: 320.000_x000D_
Ắc quy xe máy - Z6L  - PINACO: 370.000, GS: 410.000_x000D_
Ắc quy xe máy - Z7L  - GS: 430.000</t>
  </si>
  <si>
    <t>C000030677</t>
  </si>
  <si>
    <t>Trường Thành</t>
  </si>
  <si>
    <t>Ắc quy xe máy - Ptz5l - PINACO: 350.000, OTHER: 250.000</t>
  </si>
  <si>
    <t>C000000536</t>
  </si>
  <si>
    <t>Quang Quân</t>
  </si>
  <si>
    <t>Ắc quy xe máy - Ptz5l - PINACO: 300.000_x000D_
Ắc quy xe máy - Ptz6l - PINACO: 390.000_x000D_
Ắc quy xe máy - Ptz6hl - PINACO: 320.000_x000D_
Ắc quy xe máy - Ptz7A - PINACO: 520.000_x000D_
Ắc quy xe máy - Ptz7L - PINACO: 520.000</t>
  </si>
  <si>
    <t>C000037537</t>
  </si>
  <si>
    <t>Huy Bình</t>
  </si>
  <si>
    <t>Ắc quy xe máy - Z5l  - PINACO: 290.000, GS: 320.000_x000D_
Ắc quy xe máy - Z6Hl  - PINACO: 290.000, GS: 300.000_x000D_
Ắc quy xe máy - Z6L  - PINACO: 350.000, GS: 380.000_x000D_
Ắc quy xe máy - Z7A  - GS: 450.000</t>
  </si>
  <si>
    <t>C000000558</t>
  </si>
  <si>
    <t>Sanh Chung</t>
  </si>
  <si>
    <t>Ắc quy xe máy - Z5L - PINACO: 230.000, GS: 250.000</t>
  </si>
  <si>
    <t>C000027795</t>
  </si>
  <si>
    <t>Minh Khang</t>
  </si>
  <si>
    <t>Ắc quy xe máy - Ptz5l - PINACO: 270.000_x000D_
Ắc quy xe máy - Ptz6hl - PINACO: 275.000_x000D_
Ắc quy xe máy - Ptz6l - PINACO: 315.000_x000D_
Ắc quy xe máy - Ptz7l - PINACO: 430.000</t>
  </si>
  <si>
    <t>C000000332</t>
  </si>
  <si>
    <t>Lộc</t>
  </si>
  <si>
    <t>Ắc quy xe máy - Z5L - PINACO: 280.000, GS: 320.000, GLOBE: 300.000</t>
  </si>
  <si>
    <t>C000000093</t>
  </si>
  <si>
    <t xml:space="preserve">VĂN MINH </t>
  </si>
  <si>
    <t>Ắc quy xe máy - PTZ5L,PTZ6HL,PTZ6L,PTZ7A,PTZ7L - PINACO: 330.330.400.470</t>
  </si>
  <si>
    <t xml:space="preserve">Cần chương trình khuyến mãi tốt hơn . </t>
  </si>
  <si>
    <t>C000000496</t>
  </si>
  <si>
    <t>Phụ Tùng Như Ý</t>
  </si>
  <si>
    <t>13.178.000 VNĐ</t>
  </si>
  <si>
    <t>Pinaco / Đồng Nai - 2_x000D_
GS - 6_x000D_
Globe - 2</t>
  </si>
  <si>
    <t>Ắc quy xe máy - Z5L  - PINACO: 220.000, GS: 245.000, GLOBE: 220.000_x000D_
Ắc quy xe máy - Z6HL  - PINACO: 225.000, GS: 250.000, GLOBE: 230.000_x000D_
Ắc quy xe máy - Z6L  - PINACO: 280.000, GS: 320.000, GLOBE: 275.000_x000D_
Ắc quy xe điện - PA 12 --14 - PINACO: 1.800.000</t>
  </si>
  <si>
    <t>C000032724</t>
  </si>
  <si>
    <t>Sửa Xe Phạm Thái</t>
  </si>
  <si>
    <t>Ắc quy xe máy - Z5l  - PINACO: 300.000_x000D_
Ắc quy xe máy - Z6Hl  - PINACO: 300.000_x000D_
Ắc quy xe máy - Z6L  - PINACO: 350.000_x000D_
Ắc quy xe máy - Z9 - PINACO: 420.000</t>
  </si>
  <si>
    <t>C000000982</t>
  </si>
  <si>
    <t>Thanh Thể</t>
  </si>
  <si>
    <t>1.230.000 VNĐ</t>
  </si>
  <si>
    <t>Ắc quy xe máy - Z6L - PINACO: 350.000</t>
  </si>
  <si>
    <t>C000001313</t>
  </si>
  <si>
    <t>Đức Hà</t>
  </si>
  <si>
    <t>540.000 VNĐ</t>
  </si>
  <si>
    <t>Ắc quy xe máy - Z5L - PINACO: 260.000</t>
  </si>
  <si>
    <t>C000001114</t>
  </si>
  <si>
    <t>Vinh Quãng</t>
  </si>
  <si>
    <t>16.414.000 VNĐ</t>
  </si>
  <si>
    <t>Pinaco / Đồng Nai - 7_x000D_
GS - 1_x000D_
Globe - 2</t>
  </si>
  <si>
    <t>Ắc quy xe điện - Pa 12-14 - PINACO: 600.000_x000D_
Ắc quy xe máy - Z6L - PINACO: 320.000, GS: 400.000, GLOBE: 350.000</t>
  </si>
  <si>
    <t>C000000502</t>
  </si>
  <si>
    <t>Phụ Tùng Quang Loan</t>
  </si>
  <si>
    <t>8.800.000 VNĐ</t>
  </si>
  <si>
    <t>Ắc quy xe máy - Z5L  - PINACO: 220.000, GS: 245.000, GLOBE: 230.000_x000D_
Ắc quy xe máy - Z6L  - PINACO: 290.000, GS: 300.000, GLOBE: 290.000_x000D_
Ắc quy xe máy - Z6HL  - PINACO: 290.000, GS: 295.000, GLOBE: 290.000_x000D_
Ắc quy xe máy - Z7L  - PINACO: 390.000_x000D_
Ắc quy xe máy - Z7A  - PINACO: 390.000_x000D_
Ắc quy xe máy - Z9 - PINACO: 420.000</t>
  </si>
  <si>
    <t>C000031359</t>
  </si>
  <si>
    <t>Phong (Xóm Mới)</t>
  </si>
  <si>
    <t>Ắc quy xe máy - PTz5l - PINACO: 270.000, GLOBE: 300.000_x000D_
Ắc quy xe máy - Ptz6l - PINACO: 310.000, GLOBE: 350.000</t>
  </si>
  <si>
    <t>C000031711</t>
  </si>
  <si>
    <t>Thanh Tâm</t>
  </si>
  <si>
    <t>7.510.000 VNĐ</t>
  </si>
  <si>
    <t>Ắc quy xe máy - PTZ5L - PINACO: 260.000_x000D_
Ắc quy xe máy - PTZ6L - PINACO: 380.000_x000D_
Ắc quy xe máy - PT Z6HL - PINACO: 300.000</t>
  </si>
  <si>
    <t>C000000547</t>
  </si>
  <si>
    <t>Quốc Hương</t>
  </si>
  <si>
    <t>16.532.000 VNĐ</t>
  </si>
  <si>
    <t>Ắc quy xe máy - Z5L  - PINACO: 220.000, GS: 250.000, GLOBE: 235.000_x000D_
Ắc quy xe máy - Z6HL  - PINACO: 240.000, GS: 270.000, GLOBE: 255.000</t>
  </si>
  <si>
    <t>C000001348</t>
  </si>
  <si>
    <t>Minh</t>
  </si>
  <si>
    <t>Ắc quy xe máy - Ptz5l - PINACO: 245.000, GLOBE: 255.000_x000D_
Ắc quy xe máy - Ptz6hl - PINACO: 260.000, GLOBE: 270.000_x000D_
Ắc quy xe máy - Ptz6l - PINACO: 295.000, GLOBE: 290.000_x000D_
Ắc quy xe máy - Ptz7l - PINACO: 400.000, GLOBE: 410.000</t>
  </si>
  <si>
    <t>C000000667</t>
  </si>
  <si>
    <t>Sửa xe Đức</t>
  </si>
  <si>
    <t>Ắc quy xe máy - Ptx5l - PINACO: 245.000_x000D_
Ắc quy xe máy - Ptz6l - PINACO: 310.000_x000D_
Ắc quy xe máy - Ptz6hl - PINACO: 275.000</t>
  </si>
  <si>
    <t>C000000672</t>
  </si>
  <si>
    <t>Sửa Xe Đức Hộ</t>
  </si>
  <si>
    <t>Ắc quy xe máy - Z5L  - PINACO: 320.000_x000D_
Ắc quy xe máy - Z6L  - PINACO: 400.000_x000D_
Ắc quy xe máy - Z6HL  - PINACO: 340.000_x000D_
Ắc quy xe máy - Z7L  - PINACO: 460.000_x000D_
Ắc quy xe máy - Z9 - PINACO: 500.000_x000D_
Ắc quy xe điện - PA 12-14 - PINACO: 2.000.000</t>
  </si>
  <si>
    <t>C000036576</t>
  </si>
  <si>
    <t>Tiến</t>
  </si>
  <si>
    <t>Ắc quy xe máy - PTZ6L - GS: 400.000, PINACO: 350.000</t>
  </si>
  <si>
    <t>C000000497</t>
  </si>
  <si>
    <t>Phụ tùng NK</t>
  </si>
  <si>
    <t>Ắc quy xe máy - PTZ5L,PTZ6HL - GS: 250.260.290, PINACO: 230.230</t>
  </si>
  <si>
    <t xml:space="preserve">Khách không cho chụp kho hàng . Cần giá hợp lý để cạnh tranh GS </t>
  </si>
  <si>
    <t>C000000851</t>
  </si>
  <si>
    <t>SX THÀNH TIẾN</t>
  </si>
  <si>
    <t>Ắc quy xe máy - Z5 - PINACO: 290.000_x000D_
Ắc quy xe máy - Z6HL - PINACO: 300.000_x000D_
Ắc quy xe máy - Z6L - PINACO: 3.400.000_x000D_
Ắc quy xe máy - Z7A - PINACO: 440.000</t>
  </si>
  <si>
    <t>C000028385</t>
  </si>
  <si>
    <t>Phụ Tùng Duy Tân 2</t>
  </si>
  <si>
    <t>14.828.000 VNĐ</t>
  </si>
  <si>
    <t>Ắc quy xe máy - X5L  - PINACO: 216.000, GS: 226.000, GLOBE: 210.000_x000D_
Ắc quy xe điện - PA 12-14 - PINACO: 1.680.000</t>
  </si>
  <si>
    <t>C000017470</t>
  </si>
  <si>
    <t>Thiên Trường</t>
  </si>
  <si>
    <t>3.112.000 VNĐ</t>
  </si>
  <si>
    <t>Ắc quy xe máy - PtZ5L - PINACO: 320.000_x000D_
Ắc quy xe máy - PTZ6L  - PINACO: 380.000</t>
  </si>
  <si>
    <t>C000001092</t>
  </si>
  <si>
    <t>Vạn Sự</t>
  </si>
  <si>
    <t>5.300.000 VNĐ</t>
  </si>
  <si>
    <t>Ắc quy xe máy - X5 - PINACO: 236.000, GLOBE: 240.000_x000D_
Ắc quy xe máy - X6HL - PINACO: 258.000, GLOBE: 258.000_x000D_
Ắc quy xe máy - Z6L  - PINACO: 300.000, GLOBE: 300.000</t>
  </si>
  <si>
    <t>C000035952</t>
  </si>
  <si>
    <t>Thành trương</t>
  </si>
  <si>
    <t>Ắc quy xe máy - Z5  - PINACO: 290.000_x000D_
Ắc quy xe máy - Z6HL  - PINACO: 310.000_x000D_
Ắc quy xe máy - Z6L  - PINACO: 360.000</t>
  </si>
  <si>
    <t>C000001067</t>
  </si>
  <si>
    <t>Trọng Tuân</t>
  </si>
  <si>
    <t>Ắc quy xe máy - Z5L - PINACO: 285.000</t>
  </si>
  <si>
    <t>C000000734</t>
  </si>
  <si>
    <t>SX Hữu Phước</t>
  </si>
  <si>
    <t>Ắc quy xe máy - PTZ5L,PTZ6HL,PTZ6L,PTZ7A ,PTZ7L,PTZ9 - PINACO: 230.240.280.380.380.450, GS: 240.240.290.390.390</t>
  </si>
  <si>
    <t xml:space="preserve">Khách không đồng ý chụp kho . Giá cả chưa hợp lý . Cần khuyến mãi tốt hơn để cạnh tranh với GS </t>
  </si>
  <si>
    <t>C000032254</t>
  </si>
  <si>
    <t>Sửa Xe Quốc Bảo</t>
  </si>
  <si>
    <t>2.579.000 VNĐ</t>
  </si>
  <si>
    <t>Ắc quy xe máy - Z5L  - PINACO: 320.000_x000D_
Ắc quy xe máy - Z6L  - PINACO: 350.000_x000D_
Ắc quy xe máy - Z6HL  - PINACO: 320.000_x000D_
Ắc quy xe điện - PA 12-14 - PINACO: 2.000.000</t>
  </si>
  <si>
    <t>C000000140</t>
  </si>
  <si>
    <t>Chánh</t>
  </si>
  <si>
    <t>Ắc quy xe máy - Ptz5l - PINACO: 275.000_x000D_
Ắc quy xe máy - Ptz6hl - PINACO: 280.000_x000D_
Ắc quy xe máy - Ptz6l - PINACO: 310.000</t>
  </si>
  <si>
    <t>C000001100</t>
  </si>
  <si>
    <t>Việt Hưng</t>
  </si>
  <si>
    <t>6.200.000 VNĐ</t>
  </si>
  <si>
    <t>Ắc quy xe máy - Z5L - PINACO: 280.000_x000D_
Ắc quy xe máy - Z6HL - PINACO: 330.000_x000D_
Ắc quy xe máy - Z6L - PINACO: 370.000</t>
  </si>
  <si>
    <t>C000031712</t>
  </si>
  <si>
    <t>Trường Thịnh</t>
  </si>
  <si>
    <t>Ắc quy xe máy - Ptz5l - PINACO: 260.000_x000D_
Ắc quy xe máy - Ptz6l - PINACO: 310.000</t>
  </si>
  <si>
    <t>C000000268</t>
  </si>
  <si>
    <t>Hồng Hải</t>
  </si>
  <si>
    <t>18.023.000.000 VNĐ</t>
  </si>
  <si>
    <t>Ắc quy xe máy - Z5l - PINACO: 223.000, GS: 225.000, GLOBE: 230.000_x000D_
Ắc quy xe máy - Z6Hl  - PINACO: 231.000, GS: 230.000, GLOBE: 230.000_x000D_
Ắc quy xe máy - Z6l  - PINACO: 275.000, GS: 300.000, GLOBE: 290.000_x000D_
Ắc quy xe máy - Z7L  - PINACO: 370.000, GLOBE: 400.000</t>
  </si>
  <si>
    <t>C000024564</t>
  </si>
  <si>
    <t>Lâm Long An</t>
  </si>
  <si>
    <t>8.420.000 VNĐ</t>
  </si>
  <si>
    <t>Ắc quy xe điện - Pa 12-14 - PINACO: 600.000_x000D_
Ắc quy xe điện - Pa 12-23 - PINACO: 1.000.000</t>
  </si>
  <si>
    <t>C000040522</t>
  </si>
  <si>
    <t>XĐ Quóc Dũng</t>
  </si>
  <si>
    <t>Ắc quy xe điện - PA 12-14 - OTHER: 1.600.000, PINACO: 1.700.000</t>
  </si>
  <si>
    <t xml:space="preserve">Giá cả hợp lý với thị trường </t>
  </si>
  <si>
    <t>C000037160</t>
  </si>
  <si>
    <t>Quang Sáng</t>
  </si>
  <si>
    <t>9.200.000 VNĐ</t>
  </si>
  <si>
    <t>Ắc quy xe máy -  X5 - GLOBE: 250.000, PINACO: 240.000_x000D_
Ắc quy xe máy - X6HL - GLOBE: 280.000, PINACO: 270.000_x000D_
Ắc quy xe máy - Z6L - GLOBE: 305.000, PINACO: 300.000</t>
  </si>
  <si>
    <t>C000000197</t>
  </si>
  <si>
    <t>Duy Tân</t>
  </si>
  <si>
    <t>Ắc quy xe máy - X5L - PINACO: 226.000, GS: 230.000, GLOBE: 215.000_x000D_
Ắc quy xe máy - Z6L  - PINACO: 290.000, GS: 295.000, GLOBE: 280.000_x000D_
Ắc quy xe máy - Z6HL  - PINACO: 240.000, GS: 245.000, GLOBE: 230.000_x000D_
Ắc quy xe máy - Z7L  - PINACO: 380.000, GS: 395.000, GLOBE: 360.000_x000D_
Ắc quy xe máy - Z9 - PINACO: 395.000, GS: 405.000, GLOBE: 385.000_x000D_
Ắc quy xe điện - PA 12-14 - PINACO: 1.600.000</t>
  </si>
  <si>
    <t>C000000313</t>
  </si>
  <si>
    <t>Kim Sơn</t>
  </si>
  <si>
    <t>6.315.000 VNĐ</t>
  </si>
  <si>
    <t>Ắc quy xe máy - Z5L - PINACO: 240.000, GS: 260.000_x000D_
Ắc quy xe máy - Z6L  - PINACO: 300.000, GS: 330.000</t>
  </si>
  <si>
    <t>C000000737</t>
  </si>
  <si>
    <t>SX KHÁNH</t>
  </si>
  <si>
    <t>16.200.000 VNĐ</t>
  </si>
  <si>
    <t>Pinaco / Đồng Nai - 2_x000D_
GS - 2_x000D_
Nhãn hiệu khác - 6</t>
  </si>
  <si>
    <t>Ắc quy xe máy - PTZ5L ,PTZ6HL,PTZ6L - PINACO: 330.340.380, OTHER: 330.340.380, GS: 360.360.400</t>
  </si>
  <si>
    <t>Khách không đồng ý chụp kệ và kho</t>
  </si>
  <si>
    <t>C000000441</t>
  </si>
  <si>
    <t>Phước Tài</t>
  </si>
  <si>
    <t>Ắc quy xe máy - Z5L - PINACO: 230.000, GS: 240.000, GLOBE: 235.000_x000D_
Ắc quy xe máy - Z6L - PINACO: 275.000, GS: 290.000, GLOBE: 280.000</t>
  </si>
  <si>
    <t>C000001393</t>
  </si>
  <si>
    <t>NA THƠM</t>
  </si>
  <si>
    <t>8.976.000 VNĐ</t>
  </si>
  <si>
    <t>Ắc quy xe máy - X5L  - PINACO: 250.000_x000D_
Ắc quy xe máy - X6HL - PINACO: 260.000_x000D_
Ắc quy xe máy - Z6L  - PINACO: 320.000</t>
  </si>
  <si>
    <t>C000027185</t>
  </si>
  <si>
    <t>Phụng Phát</t>
  </si>
  <si>
    <t>1.774.000 VNĐ</t>
  </si>
  <si>
    <t>Ắc quy xe máy - x5L - PINACO: 300.000_x000D_
Ắc quy xe máy - z6L - PINACO: 380.000</t>
  </si>
  <si>
    <t>C000001391</t>
  </si>
  <si>
    <t>NGỌC THOẠI</t>
  </si>
  <si>
    <t>Ắc quy xe máy - X5L - PINACO: 300.000_x000D_
Ắc quy xe máy - X6HL  - PINACO: 32.000_x000D_
Ắc quy xe máy - Z6L  - PINACO: 330.000</t>
  </si>
  <si>
    <t>C000000603</t>
  </si>
  <si>
    <t>Sửa xe Cường</t>
  </si>
  <si>
    <t>13.316.000 VNĐ</t>
  </si>
  <si>
    <t>Ắc quy xe máy - Z6HL - PINACO: 320.000, GS: 350.000</t>
  </si>
  <si>
    <t>C000000249</t>
  </si>
  <si>
    <t>Hoàng Mỹ</t>
  </si>
  <si>
    <t>22.158.000 VNĐ</t>
  </si>
  <si>
    <t>Ắc quy xe máy - Z5L - PINACO: 280.000, GS: 340.000, GLOBE: 300.000_x000D_
Ắc quy xe máy - Z6L - PINACO: 320.000, GS: 400.000, GLOBE: 360.000</t>
  </si>
  <si>
    <t>C000027138</t>
  </si>
  <si>
    <t>Sửa Xe Nghĩa</t>
  </si>
  <si>
    <t>Ắc quy xe điện - Z5L, Z6L, Z6HL, Z7L  - PINACO: 400.000, GS: 430.000</t>
  </si>
  <si>
    <t>C000027403</t>
  </si>
  <si>
    <t>SX Chiến Quỳnh</t>
  </si>
  <si>
    <t>Ắc quy xe máy - PTZ5L,PTZ6HL,PTZ6L - PINACO: 350.350.400</t>
  </si>
  <si>
    <t>Chất lượng tốt .</t>
  </si>
  <si>
    <t>C000000785</t>
  </si>
  <si>
    <t>SX PHÁT ĐẠT</t>
  </si>
  <si>
    <t xml:space="preserve">Ắc quy xe máy - Z5L - PINACO: 290.000_x000D_
Ắc quy xe máy - Z6HL  - PINACO: 315.000_x000D_
Ắc quy xe máy - Z6L 330000 - </t>
  </si>
  <si>
    <t>C000024086</t>
  </si>
  <si>
    <t>Phụ Tùng Phước</t>
  </si>
  <si>
    <t>Ắc quy xe máy - PTZ6HL  - PINACO: 240.000, GS: 270.000, GLOBE: 255.000</t>
  </si>
  <si>
    <t>C000027237</t>
  </si>
  <si>
    <t>Phụ Tùng Tòng</t>
  </si>
  <si>
    <t>72.000.000 VNĐ</t>
  </si>
  <si>
    <t>Pinaco / Đồng Nai - 3_x000D_
GS - 4_x000D_
Globe - 2_x000D_
Xupai - 1</t>
  </si>
  <si>
    <t>Ắc quy xe máy - PTZ6HL - PINACO: 235.000, GS: 265.000, GLOBE: 250_x000D_
Ắc quy xe điện - Pa 12-14 - PINACO: 1.600.000, XUPAI: 1.430.000</t>
  </si>
  <si>
    <t>C000019565</t>
  </si>
  <si>
    <t>Hữu Phước</t>
  </si>
  <si>
    <t>2.420.000 VNĐ</t>
  </si>
  <si>
    <t>Ắc quy xe máy - PTZ5L  - PINACO: 250.000_x000D_
Ắc quy xe máy - PTZ6HL - PINACO: 270.000_x000D_
Ắc quy xe máy - PTZ6L - PINACO: 340.000_x000D_
Ắc quy xe máy - PTZ7A - PINACO: 430.000_x000D_
Ắc quy xe máy - PTZ9 - PINACO: 460.000</t>
  </si>
  <si>
    <t>C000028943</t>
  </si>
  <si>
    <t>Hoàng Huân 2</t>
  </si>
  <si>
    <t>2.828.000 VNĐ</t>
  </si>
  <si>
    <t>Ắc quy khác - Z5L, Z6L, Z6HL, PA 12-14 - PINACO: 420.000</t>
  </si>
  <si>
    <t>C000001022</t>
  </si>
  <si>
    <t>Tiến Học</t>
  </si>
  <si>
    <t>4.600.000 VNĐ</t>
  </si>
  <si>
    <t>Pinaco / Đồng Nai - 4_x000D_
GS - 2_x000D_
Globe - 4</t>
  </si>
  <si>
    <t>Ắc quy xe máy - PTZ5L ,PTZ6HL,PTZ6L,PTZ7L - PINACO: 320.320.380.420, GS: 340.340.400.440, GLOBE: 320.320.380.420</t>
  </si>
  <si>
    <t xml:space="preserve">Cần chương trình khuyến mãi tốt hơn . Hiện tại giá cao hơn globe </t>
  </si>
  <si>
    <t>C000030221</t>
  </si>
  <si>
    <t>Sửa Xe Xuân Thanh</t>
  </si>
  <si>
    <t>Ắc quy xe máy - PTZ5L - PINACO: 340.000, OTHER: 300.000</t>
  </si>
  <si>
    <t>C000027162</t>
  </si>
  <si>
    <t>Ắc quy xe máy - PTz5L - PINACO: 350.000</t>
  </si>
  <si>
    <t>C000000984</t>
  </si>
  <si>
    <t>Thành Trung</t>
  </si>
  <si>
    <t>Ắc quy xe máy - Ptz6hl - PINACO: 250.000, GS: 240.000_x000D_
Ắc quy xe máy - Ptz5l - PINACO: 235.000, GS: 240.000_x000D_
Ắc quy xe máy - Ptz6l - PINACO: 295.000, GS: 285.000</t>
  </si>
  <si>
    <t>RSM - Toàn</t>
  </si>
  <si>
    <t>C000000513</t>
  </si>
  <si>
    <t>PT Thành Phát</t>
  </si>
  <si>
    <t>Ắc quy xe máy - PTZ5L,PTZ6HL,PTZ6L,PTZ7L,PTZ9 - PINACO: 220.225.270.370.390, GS: 255.238.300.460, GLOBE: 240.265.285.375_x000D_
Ắc quy xe điện - PA 12-14,12-23 - PINACO: 420.680</t>
  </si>
  <si>
    <t>Giá cần thấp hơn nữa để cạnh tranh với GS , globe</t>
  </si>
  <si>
    <t>C000038175</t>
  </si>
  <si>
    <t>Sx A Lùng</t>
  </si>
  <si>
    <t>4.820.000 VNĐ</t>
  </si>
  <si>
    <t>Ắc quy xe máy - Z5L  - PINACO: 290.000_x000D_
Ắc quy xe máy - Z6HL - PINACO: 310.000_x000D_
Ắc quy xe máy - Z6L - PINACO: 360.000</t>
  </si>
  <si>
    <t>C000000204</t>
  </si>
  <si>
    <t>Phúc Khang</t>
  </si>
  <si>
    <t>5.328.000 VNĐ</t>
  </si>
  <si>
    <t>Ắc quy xe máy - Ptz5l - PINACO: 270.000_x000D_
Ắc quy xe máy - Ptz6l - PINACO: 320.000_x000D_
Ắc quy xe máy - Ptz6hl - PINACO: 280.000_x000D_
Ắc quy xe điện - Pa12-14 - PINACO: 1.900.000</t>
  </si>
  <si>
    <t>C000000312</t>
  </si>
  <si>
    <t>Kim Phát</t>
  </si>
  <si>
    <t>Ắc quy xe máy - Z6L - PINACO: 320.000, GS: 360.000_x000D_
Ắc quy xe máy - Z5L - PINACO: 250.000, GS: 300.000</t>
  </si>
  <si>
    <t>C000028942</t>
  </si>
  <si>
    <t>458.000 VNĐ</t>
  </si>
  <si>
    <t>Ắc quy xe điện - Z5L, Z6L, Z6HL  - PINACO: 350.000</t>
  </si>
  <si>
    <t>C000033406</t>
  </si>
  <si>
    <t>Tuấn Huân</t>
  </si>
  <si>
    <t>Ắc quy xe máy - X5L  - PINACO: 280.000_x000D_
Ắc quy xe máy - Z6L  - PINACO: 360.000</t>
  </si>
  <si>
    <t>C000000124</t>
  </si>
  <si>
    <t>Cửa Hàng 135 - TT</t>
  </si>
  <si>
    <t>19.540.000 VNĐ</t>
  </si>
  <si>
    <t>Ắc quy xe máy - Z6l - PINACO: 280.000, GS: 300.000</t>
  </si>
  <si>
    <t>C000000705</t>
  </si>
  <si>
    <t>Sửa Xe Hoàng Huân</t>
  </si>
  <si>
    <t>Ắc quy khác - Z5L, Z6L, Z6HL PA 12 -14, PA 13-23 - PINACO: 450.000</t>
  </si>
  <si>
    <t>C000000318</t>
  </si>
  <si>
    <t>Lâm Em</t>
  </si>
  <si>
    <t>32.312.000 VNĐ</t>
  </si>
  <si>
    <t>Ắc quy xe máy - Z5L - PINACO: 260.000, GS: 290.000_x000D_
Ắc quy xe điện - Pa 12-14 - PINACO: 600.000</t>
  </si>
  <si>
    <t>C000000417</t>
  </si>
  <si>
    <t>Phi Vũ</t>
  </si>
  <si>
    <t>3.098.000 VNĐ</t>
  </si>
  <si>
    <t>Ắc quy xe máy - PTZ5L - PINACO: 260.000_x000D_
Ắc quy xe máy - PTZ6L  - PINACO: 320.000_x000D_
Ắc quy xe máy - PTZ7L - PINACO: 430.000_x000D_
Ắc quy xe máy - PTZ7A - PINACO: 430.000_x000D_
Ắc quy xe máy - PTZ9 - PINACO: 470.000</t>
  </si>
  <si>
    <t>C000000223</t>
  </si>
  <si>
    <t>Hiếu Hạnh</t>
  </si>
  <si>
    <t>Ắc quy xe máy - Ptz5l - PINACO: 240.000_x000D_
Ắc quy xe máy - Ptz6l - PINACO: 295.000_x000D_
Ắc quy xe máy - Ptz6hl - PINACO: 255.000</t>
  </si>
  <si>
    <t>C000000590</t>
  </si>
  <si>
    <t>Sạp 96A - TT</t>
  </si>
  <si>
    <t>8.409.000 VNĐ</t>
  </si>
  <si>
    <t>Ắc quy xe máy - Z6l - PINACO: 300.000, GLOBE: 320.000_x000D_
Ắc quy xe máy - Z5l - PINACO: 240.000, GLOBE: 250.000</t>
  </si>
  <si>
    <t>C000036573</t>
  </si>
  <si>
    <t>SX CHÍ THẮNG</t>
  </si>
  <si>
    <t>Ắc quy xe máy - Ptz5l - PINACO: 280.000_x000D_
Ắc quy xe máy - Ptz6hl - PINACO: 285.000_x000D_
Ắc quy xe máy - Ptz6l - PINACO: 315.000</t>
  </si>
  <si>
    <t>C000000288</t>
  </si>
  <si>
    <t>Hương Khế</t>
  </si>
  <si>
    <t>Ắc quy xe máy - Z5L - PINACO: 240.000, GS: 230.000_x000D_
Ắc quy xe máy - X6HL - GS: 230.000, PINACO: 250.000_x000D_
Ắc quy xe máy - Z6L - GS: 280.000, PINACO: 290.000</t>
  </si>
  <si>
    <t>C000039055</t>
  </si>
  <si>
    <t>Thành Trực</t>
  </si>
  <si>
    <t>Ắc quy xe máy - PTZ5L,PTZ6HL,PTZ6L - PINACO: 300.320.340, OTHER: 280.300.330</t>
  </si>
  <si>
    <t xml:space="preserve">Chất lượng tốt . </t>
  </si>
  <si>
    <t>C000035391</t>
  </si>
  <si>
    <t>Hoàng Tâm</t>
  </si>
  <si>
    <t>2.345.000 VNĐ</t>
  </si>
  <si>
    <t>Ắc quy xe điện - Pa 12-14 - PINACO: 500.000</t>
  </si>
  <si>
    <t>C000000338</t>
  </si>
  <si>
    <t>SX Chánh Luận</t>
  </si>
  <si>
    <t>8.424.000 VNĐ</t>
  </si>
  <si>
    <t>Ắc quy xe điện - Pa12-14 - PINACO: 500.000</t>
  </si>
  <si>
    <t>C000001168</t>
  </si>
  <si>
    <t>Quậy Ký - TT</t>
  </si>
  <si>
    <t>17.240.000 VNĐ</t>
  </si>
  <si>
    <t>Ắc quy xe máy - Z6l - PINACO: 280.000, GS: 310.000, GLOBE: 300.000</t>
  </si>
  <si>
    <t>C000000230</t>
  </si>
  <si>
    <t>Hòa Phát</t>
  </si>
  <si>
    <t>Ắc quy xe máy - Z5l  - PINACO: 270.000, GS: 290.000_x000D_
Ắc quy xe máy - Z6Hl  - PINACO: 270.000, GS: 290.000_x000D_
Ắc quy xe máy - Z6l  - PINACO: 330.000, GS: 360.000_x000D_
Ắc quy xe máy - Z7A  - PINACO: 270.000</t>
  </si>
  <si>
    <t>Đồng nai hiện tại giá cao</t>
  </si>
  <si>
    <t>C000038897</t>
  </si>
  <si>
    <t>AQ Mạnh Hùng</t>
  </si>
  <si>
    <t>10.156.000 VNĐ</t>
  </si>
  <si>
    <t>Ắc quy xe máy - PTZ5L,PTZ6L - PINACO: 270.290, GS: 330.290_x000D_
Ắc quy xe điện - PA12-14,12-23 - PINACO: 415.750</t>
  </si>
  <si>
    <t xml:space="preserve">Giá cao , điều chỉnh hợp lý chếnh lệch với GS để dễ bán . Để cạnh tranh với thị trường </t>
  </si>
  <si>
    <t>C000037999</t>
  </si>
  <si>
    <t>Điện Máy Hồng Phúc</t>
  </si>
  <si>
    <t>Pinaco / Đồng Nai - 1_x000D_
Xupai - 6_x000D_
Nhãn hiệu khác - 3</t>
  </si>
  <si>
    <t>Ắc quy xe điện - PA12-14 - PINACO: 1.900.000, XUPAI: 1.900.000, OTHER: 1.900.000</t>
  </si>
  <si>
    <t>Không cho chụp hình kho hàng</t>
  </si>
  <si>
    <t>C000000575</t>
  </si>
  <si>
    <t>Sạp 68A - TT</t>
  </si>
  <si>
    <t>1.117.200 VNĐ</t>
  </si>
  <si>
    <t>Ắc quy xe máy - Z5l - PINACO: 230.000_x000D_
Ắc quy xe máy - Z7l - PINACO: 400.000</t>
  </si>
  <si>
    <t>C000000891</t>
  </si>
  <si>
    <t>SX TUẤN ANH</t>
  </si>
  <si>
    <t>Ắc quy xe máy - PTZ5L,PTZ6HL,PTZ6L - PINACO: 320.320.400_x000D_
Ắc quy xe điện - PA 12-14 - PINACO: 2.000.000</t>
  </si>
  <si>
    <t xml:space="preserve">Chất lượng ổn định , giá hơi cạnh tranh </t>
  </si>
  <si>
    <t>C000001161</t>
  </si>
  <si>
    <t>Sạp 77B - TT</t>
  </si>
  <si>
    <t>Ắc quy xe máy - Z5l - PINACO: 235.000, GLOBE: 240.000_x000D_
Ắc quy xe máy - Z6l - PINACO: 290.000, GLOBE: 320.000</t>
  </si>
  <si>
    <t>C000000130</t>
  </si>
  <si>
    <t>Lâm Ngọc</t>
  </si>
  <si>
    <t>C000019364</t>
  </si>
  <si>
    <t>Kim Ngân</t>
  </si>
  <si>
    <t>Ắc quy xe máy - GtZ5S/E - GS: 255.000_x000D_
Ắc quy xe máy - GT5A - GS: 260.000_x000D_
Ắc quy xe máy - GTZ6V - GS: 350.000</t>
  </si>
  <si>
    <t xml:space="preserve">Bán chậm ko bán nữa </t>
  </si>
  <si>
    <t>C000028525</t>
  </si>
  <si>
    <t>Sửa Xe Quang</t>
  </si>
  <si>
    <t>622.000 VNĐ</t>
  </si>
  <si>
    <t>Ắc quy xe điện - Z5L, Z6L, Z6HL, Z7L  - PINACO: 420.000</t>
  </si>
  <si>
    <t>C000032730</t>
  </si>
  <si>
    <t>Ắc quy xe máy - PTZ5L,PTZ6HL,PTZ6L,PTZ7A,PTZ7L,PTZ9 - PINACO: 340.358.440.560.560.600</t>
  </si>
  <si>
    <t xml:space="preserve">Chất lượng ổn định . </t>
  </si>
  <si>
    <t>C000038064</t>
  </si>
  <si>
    <t>Xuân Quý</t>
  </si>
  <si>
    <t>2.701.000 VNĐ</t>
  </si>
  <si>
    <t>Ắc quy xe máy - Z6l - PINACO: 281.000, GS: 300.000</t>
  </si>
  <si>
    <t>C000000341</t>
  </si>
  <si>
    <t>Lý Nguyên 1</t>
  </si>
  <si>
    <t>17.656.000 VNĐ</t>
  </si>
  <si>
    <t>Ắc quy xe điện - PA 12-14 - PINACO: 400.000, GLOBE: 400.000</t>
  </si>
  <si>
    <t>C000000101</t>
  </si>
  <si>
    <t>Anh Đảm</t>
  </si>
  <si>
    <t>24.928.000 VNĐ</t>
  </si>
  <si>
    <t>Ắc quy xe máy - PTZ5L - PINACO: 240.000, GS: 280.000, GLOBE: 260.000</t>
  </si>
  <si>
    <t>C000035013</t>
  </si>
  <si>
    <t>Phụ Tùng Minh Chánh</t>
  </si>
  <si>
    <t>Pinaco / Đồng Nai - 1_x000D_
GS - 5_x000D_
Globe - 4</t>
  </si>
  <si>
    <t>Ắc quy xe máy - Z5l - GS: 215.000, GLOBE: 210.000, PINACO: 222.000_x000D_
Ắc quy xe máy - X6HL - GS: 220.000, PINACO: 230.000, GLOBE: 215.000</t>
  </si>
  <si>
    <t>Khách không cho chụp trưng bày</t>
  </si>
  <si>
    <t>C000000219</t>
  </si>
  <si>
    <t>Hiệp Lực (D6/51)</t>
  </si>
  <si>
    <t>27.540.000 VNĐ</t>
  </si>
  <si>
    <t>Ắc quy xe máy - Z5L  - PINACO: 230.000, GS: 235.000_x000D_
Ắc quy xe máy - Z6L - PINACO: 265.000, GS: 280.000</t>
  </si>
  <si>
    <t>C000035557</t>
  </si>
  <si>
    <t>Thanh Tùng</t>
  </si>
  <si>
    <t>Ắc quy xe máy - Z5l - PINACO: 300.000_x000D_
Ắc quy xe máy - Z6HL - PINACO: 320.000_x000D_
Ắc quy xe máy - Z6L - PINACO: 390.000</t>
  </si>
  <si>
    <t>C000023465</t>
  </si>
  <si>
    <t>AQ THANH</t>
  </si>
  <si>
    <t>4.006.000 VNĐ</t>
  </si>
  <si>
    <t>Ắc quy xe máy - Z6HL - PINACO: 330.000_x000D_
Ắc quy xe máy - Z6L  - PINACO: 350.000_x000D_
Ắc quy xe điện - 12-14 - PINACO: 1.800.000</t>
  </si>
  <si>
    <t>C000000950</t>
  </si>
  <si>
    <t>Thanh Châu</t>
  </si>
  <si>
    <t>Ắc quy xe máy - Z5l  - PINACO: 230.000, GS: 250.000_x000D_
Ắc quy xe máy - Z6Hl  - PINACO: 240.000, GS: 260.000_x000D_
Ắc quy xe máy - Z6l  - PINACO: 270.000, GS: 300.000_x000D_
Ắc quy xe máy - Z7A  - PINACO: 370.000, GS: 380.000_x000D_
Ắc quy xe máy - Z9 - PINACO: 415.000, GS: 435.000</t>
  </si>
  <si>
    <t>Bình đồng nai cao</t>
  </si>
  <si>
    <t>C000001057</t>
  </si>
  <si>
    <t>Sx Trưởng</t>
  </si>
  <si>
    <t>Ắc quy xe máy - PTZ5L - PINACO: 270.000_x000D_
Ắc quy xe máy - PTZ6Hl - PINACO: 290.000_x000D_
Ắc quy xe máy - PTZ6L - PINACO: 350.000</t>
  </si>
  <si>
    <t>C000032317</t>
  </si>
  <si>
    <t>Phương</t>
  </si>
  <si>
    <t>Ắc quy xe máy - Ptz5l - GLOBE: 235.000, PINACO: 240.000_x000D_
Ắc quy xe máy - Ptz6l - PINACO: 285.000, GLOBE: 290.000_x000D_
Ắc quy xe máy - Ptz6hl - PINACO: 250.000, GLOBE: 250.000</t>
  </si>
  <si>
    <t>C000040841</t>
  </si>
  <si>
    <t>Pinaco / Đồng Nai - 0_x000D_
Thiên Năng - 5_x000D_
Xupai - 5</t>
  </si>
  <si>
    <t>Ắc quy khác - PA 12-14 - PINACO: 450.000, THIEN_NANG: 400.000, XUPAI: 400.000</t>
  </si>
  <si>
    <t>C000001333</t>
  </si>
  <si>
    <t>Thành Tiến</t>
  </si>
  <si>
    <t>Ắc quy xe máy - Ptz5L - PINACO: 245.000, GLOBE: 260.000_x000D_
Ắc quy xe máy - Ptz6hl - PINACO: 260.000, GLOBE: 275.000_x000D_
Ắc quy xe máy - Ptz6l - PINACO: 300.000, GLOBE: 320.000</t>
  </si>
  <si>
    <t>C000036909</t>
  </si>
  <si>
    <t>Ắc Quy Chín</t>
  </si>
  <si>
    <t>Ắc quy xe máy - Z5l - PINACO: 290.000, GS: 320.000_x000D_
Ắc quy xe máy - Z6hl - PINACO: 290.000, GS: 290.000_x000D_
Ắc quy xe máy - Z6L - PINACO: 340.000, GS: 370.000_x000D_
Ắc quy xe điện - PA 12-14 - PINACO: 1.700.000</t>
  </si>
  <si>
    <t>C000027238</t>
  </si>
  <si>
    <t>Đại Lợi</t>
  </si>
  <si>
    <t>Ắc quy xe máy - X5L - PINACO: 215.000, GS: 230.000_x000D_
Ắc quy xe máy - Z6HL - GS: 230.000, PINACO: 243.000_x000D_
Ắc quy xe máy - Z6L  - GS: 290.000, PINACO: 275.000</t>
  </si>
  <si>
    <t>Bình đồng nai giá cao</t>
  </si>
  <si>
    <t>C000017374</t>
  </si>
  <si>
    <t>Ắc Quy Cây Bàng</t>
  </si>
  <si>
    <t>Pinaco / Đồng Nai - 5_x000D_
GS - 5_x000D_
Enimac - 0_x000D_
Globe - 0_x000D_
Ắc quy ngoại nhập - 0_x000D_
Yamato - 0</t>
  </si>
  <si>
    <t>Ắc quy xe điện - Z5L, Z6L, Z6HL, Z7L, Z7A,Z9 - PINACO: 330.000, GS: 350.000, YAMATO: 400.000</t>
  </si>
  <si>
    <t>C000000188</t>
  </si>
  <si>
    <t>Dũng</t>
  </si>
  <si>
    <t>Ắc quy xe máy - Ptz5l - PINACO: 240.000_x000D_
Ắc quy xe máy - Ptz6l - PINACO: 300.000_x000D_
Ắc quy xe máy - Ptz6hl - PINACO: 300.000</t>
  </si>
  <si>
    <t>C000000142</t>
  </si>
  <si>
    <t>Châu Lộc</t>
  </si>
  <si>
    <t>1.320.000 VNĐ</t>
  </si>
  <si>
    <t>Ắc quy xe máy - PTZ6L - PINACO: 400.000_x000D_
Ắc quy xe máy - PTZ5L - PINACO: 270.000_x000D_
Ắc quy xe máy - Z6HL - PINACO: 300.000_x000D_
Ắc quy xe máy - PTZ7L - PINACO: 450.000</t>
  </si>
  <si>
    <t>C000000542</t>
  </si>
  <si>
    <t>Quang Tuấn</t>
  </si>
  <si>
    <t>6.213.000 VNĐ</t>
  </si>
  <si>
    <t>Ắc quy xe máy - Z6L - PINACO: 290.000, GS: 340.000, GLOBE: 310.000</t>
  </si>
  <si>
    <t>C000024643</t>
  </si>
  <si>
    <t>Anh Văn</t>
  </si>
  <si>
    <t>Bán lẻ: 93%; Bán sỉ: 7%</t>
  </si>
  <si>
    <t>Ắc quy xe máy - X5l  - PINACO: 240.000_x000D_
Ắc quy xe máy - Z6Hl:  - PINACO: 260.000_x000D_
Ắc quy xe máy - Z6l  - PINACO: 320.000</t>
  </si>
  <si>
    <t>Giờ giá đồng nai cao</t>
  </si>
  <si>
    <t>C000040593</t>
  </si>
  <si>
    <t>Phương Hoàng OSAKAR</t>
  </si>
  <si>
    <t>Ắc quy xe điện - Pa 12-14 - PINACO: 1.700.000, OTHER: 1.500.000</t>
  </si>
  <si>
    <t>C000038386</t>
  </si>
  <si>
    <t>Dung Tay Ga</t>
  </si>
  <si>
    <t>Ắc quy xe máy - Z5l  - PINACO: 330.000_x000D_
Ắc quy xe máy - X6hl  - PINACO: 320.000_x000D_
Ắc quy xe máy - Z6l  - PINACO: 410.000_x000D_
Ắc quy xe máy - Z7A  - PINACO: 490.000</t>
  </si>
  <si>
    <t>Giá đồng nai cao</t>
  </si>
  <si>
    <t>C000027212</t>
  </si>
  <si>
    <t>SX Hiếu</t>
  </si>
  <si>
    <t>3.650.000 VNĐ</t>
  </si>
  <si>
    <t>Ắc quy xe máy - Z5L - PINACO: 300.000_x000D_
Ắc quy xe máy - Z6Hl - PINACO: 320.000_x000D_
Ắc quy xe máy - Z6L  - PINACO: 360.000</t>
  </si>
  <si>
    <t>C000029656</t>
  </si>
  <si>
    <t>Hiếu Hậu</t>
  </si>
  <si>
    <t>11.968.000 VNĐ</t>
  </si>
  <si>
    <t>Ắc quy xe máy - Z5L - PINACO: 280.000, GS: 340.000, GLOBE: 320.000</t>
  </si>
  <si>
    <t>C000000612</t>
  </si>
  <si>
    <t>Sửa xe Thuận</t>
  </si>
  <si>
    <t>Ắc quy xe máy - PtZ5l - PINACO: 270.000_x000D_
Ắc quy xe máy - PtZ6l - PINACO: 350.000_x000D_
Ắc quy xe máy - PtZ6hl - PINACO: 290.000_x000D_
Ắc quy xe máy - PTZ7L - PINACO: 450.000_x000D_
Ắc quy xe máy - PTZ7A - PINACO: 450.000</t>
  </si>
  <si>
    <t>C000034705</t>
  </si>
  <si>
    <t>Trung Tay Ga</t>
  </si>
  <si>
    <t>Ắc quy xe máy - Z5l  - PINACO: 320.000_x000D_
Ắc quy xe máy - Z6Hl  - PINACO: 320.000_x000D_
Ắc quy xe máy - Z6l  - PINACO: 400.000_x000D_
Ắc quy xe máy - Z7A  - PINACO: 500.000</t>
  </si>
  <si>
    <t>C000019337</t>
  </si>
  <si>
    <t>CHÍ VĂN</t>
  </si>
  <si>
    <t>2.558.000 VNĐ</t>
  </si>
  <si>
    <t>Ắc quy xe máy - Z5L  - PINACO: 230.000_x000D_
Ắc quy xe máy - Z6L  - PINACO: 280.000</t>
  </si>
  <si>
    <t>C000024644</t>
  </si>
  <si>
    <t>KHẮC ĐIỆP</t>
  </si>
  <si>
    <t>Ắc quy xe máy - PTZ6HL  - PINACO: 335.000_x000D_
Ắc quy xe máy - PTZ5l  - PINACO: 325.000_x000D_
Ắc quy xe tải - PTZ6l iss - PINACO: 400.000</t>
  </si>
  <si>
    <t>C000000681</t>
  </si>
  <si>
    <t>Sửa Xe Duy Trinh</t>
  </si>
  <si>
    <t>Ắc quy xe điện - Z5L, Z6L, Z6HL, Z7L  - PINACO: 430.000</t>
  </si>
  <si>
    <t>C000028526</t>
  </si>
  <si>
    <t>Trường Phát 2</t>
  </si>
  <si>
    <t>1.840.000 VNĐ</t>
  </si>
  <si>
    <t>Ắc quy xe máy - Z5L - PINACO: 260.000_x000D_
Ắc quy xe máy - Z6L - PINACO: 420.000_x000D_
Ắc quy xe máy - z6HL - PINACO: 280.000</t>
  </si>
  <si>
    <t>C000000293</t>
  </si>
  <si>
    <t>Huy</t>
  </si>
  <si>
    <t>Ắc quy xe máy - PtZ5 - PINACO: 330.000_x000D_
Ắc quy xe máy - Ptz6hl - PINACO: 330.000_x000D_
Ắc quy xe máy - Ptz6 iss - PINACO: 390.000_x000D_
Ắc quy xe máy - Ptz7A - PINACO: 430.000</t>
  </si>
  <si>
    <t>Giá nhập đang cao hơn GS.</t>
  </si>
  <si>
    <t>C000000168</t>
  </si>
  <si>
    <t>Đăng Tuyên</t>
  </si>
  <si>
    <t>11.057.000 VNĐ</t>
  </si>
  <si>
    <t>Ắc quy xe máy - Z5L - PINACO: 275.000, GS: 295.000_x000D_
Ắc quy xe máy - Z6L - PINACO: 345.000, GS: 385.000</t>
  </si>
  <si>
    <t>C000034747</t>
  </si>
  <si>
    <t>Sx Thủy</t>
  </si>
  <si>
    <t>2.076.000 VNĐ</t>
  </si>
  <si>
    <t>Ắc quy xe máy - X5L - PINACO: 260.000_x000D_
Ắc quy xe máy - Z6L - PINACO: 350.000</t>
  </si>
  <si>
    <t>C000000205</t>
  </si>
  <si>
    <t>Hải Hoàng</t>
  </si>
  <si>
    <t>11.653.000 VNĐ</t>
  </si>
  <si>
    <t>Ắc quy xe máy - Z5L - PINACO: 260.000, GS: 310.000, GLOBE: 280.000_x000D_
Ắc quy xe máy - Z6L - PINACO: 340.000, GS: 420.000, GLOBE: 360.000</t>
  </si>
  <si>
    <t>C000035944</t>
  </si>
  <si>
    <t>Sx Chương</t>
  </si>
  <si>
    <t>2.351.000 VNĐ</t>
  </si>
  <si>
    <t>Ắc quy xe máy - Z5L - PINACO: 260.000, GS: 295.000_x000D_
Ắc quy xe máy - Z6L - PINACO: 350.000, GS: 420.000_x000D_
Ắc quy xe máy - Z6HL - PINACO: 310.000, GS: 350.000</t>
  </si>
  <si>
    <t>C000000356</t>
  </si>
  <si>
    <t>Minh Hoàng 952</t>
  </si>
  <si>
    <t>3.365.000 VNĐ</t>
  </si>
  <si>
    <t>Ắc quy xe máy - Z5L - PINACO: 275.000</t>
  </si>
  <si>
    <t>C000017427</t>
  </si>
  <si>
    <t>Sửa Xe Trung</t>
  </si>
  <si>
    <t>Ắc quy xe điện - Z5L - PINACO: 280.000_x000D_
Ắc quy xe điện - Z6L  - PINACO: 360.000_x000D_
Ắc quy xe điện - Z6HL  - PINACO: 300.000</t>
  </si>
  <si>
    <t>C000000669</t>
  </si>
  <si>
    <t>Sửa Xe Đức Cường</t>
  </si>
  <si>
    <t>Bán lẻ: 46%; Bán sỉ: 54%</t>
  </si>
  <si>
    <t>Ắc quy xe điện - Z5L, Z6L, Z6HL  - PINACO: 420.000, GS: 430.000</t>
  </si>
  <si>
    <t>C000000940</t>
  </si>
  <si>
    <t>Tân Tiến</t>
  </si>
  <si>
    <t>5.450.000 VNĐ</t>
  </si>
  <si>
    <t>Ắc quy xe máy - Z6L - PINACO: 450.000</t>
  </si>
  <si>
    <t>C000024563</t>
  </si>
  <si>
    <t>Kim Cương</t>
  </si>
  <si>
    <t>4.560.000 VNĐ</t>
  </si>
  <si>
    <t>Ắc quy xe máy - Z5L - PINACO: 260.000, GLOBE: 320.000</t>
  </si>
  <si>
    <t>C000000285</t>
  </si>
  <si>
    <t>3.420.000 VNĐ</t>
  </si>
  <si>
    <t>Ắc quy xe máy - PTZ6L - PINACO: 390.000_x000D_
Ắc quy xe máy - ptX6HL - PINACO: 290.000_x000D_
Ắc quy xe máy - PtX5L - PINACO: 250.000</t>
  </si>
  <si>
    <t>C000001059</t>
  </si>
  <si>
    <t>Trường Phát</t>
  </si>
  <si>
    <t>0</t>
  </si>
  <si>
    <t>Ắc quy xe máy - Z6L  - PINACO: 430.000, GS: 450.000</t>
  </si>
  <si>
    <t>C000035945</t>
  </si>
  <si>
    <t>Sx Năm HTP</t>
  </si>
  <si>
    <t>Ắc quy xe máy - Z6HL - PINACO: 320.000, GLOBE: 350.000</t>
  </si>
  <si>
    <t>C000000272</t>
  </si>
  <si>
    <t>Hồng Phát</t>
  </si>
  <si>
    <t>4.180.000 VNĐ</t>
  </si>
  <si>
    <t>C000028527</t>
  </si>
  <si>
    <t>SX Tuấn</t>
  </si>
  <si>
    <t>Ắc quy xe máy - PtZ5L - PINACO: 280.000_x000D_
Ắc quy xe máy - PTZ6HL - PINACO: 300.000_x000D_
Ắc quy xe máy - PTZ6L - PINACO: 380.000</t>
  </si>
  <si>
    <t>C000034569</t>
  </si>
  <si>
    <t>Thanh Phong</t>
  </si>
  <si>
    <t>Ắc quy xe máy - Z6L - PINACO: 420.000</t>
  </si>
  <si>
    <t>C000024562</t>
  </si>
  <si>
    <t>3.957.000 VNĐ</t>
  </si>
  <si>
    <t>Ắc quy xe máy - Z5L - PINACO: 260.000, GS: 300.000</t>
  </si>
  <si>
    <t>C000000521</t>
  </si>
  <si>
    <t>PT Trọng Nghĩa</t>
  </si>
  <si>
    <t>28.484.000 VNĐ</t>
  </si>
  <si>
    <t>Ắc quy xe máy - PTX5L ,PTX6HL,PTZ5L,PTZ6HL,PTZ6L,PTZ7L - PINACO: 225.225.245.245.280.400, GS: 245.240.300</t>
  </si>
  <si>
    <t xml:space="preserve">Giá thành phù hợp để dễ cạnh tranh với GS </t>
  </si>
  <si>
    <t>C000034292</t>
  </si>
  <si>
    <t>Hồng</t>
  </si>
  <si>
    <t>Ắc quy xe máy - PTZ6L ISS - PINACO: 380.000_x000D_
Ắc quy xe máy - PTZ5L  - PINACO: 300.000_x000D_
Ắc quy xe máy - PTZ6HL - PINACO: 350.000_x000D_
Ắc quy xe máy - PTX6HL - PINACO: 320.000</t>
  </si>
  <si>
    <t>Bình PTZ5L, PTZ6HL, PTX6HL cần cải thiện thêm về chất lượng.</t>
  </si>
  <si>
    <t>ASM - An</t>
  </si>
  <si>
    <t>HCM-TOAN.xlsx</t>
  </si>
  <si>
    <t>C000001150</t>
  </si>
  <si>
    <t>Thái Sơn</t>
  </si>
  <si>
    <t>Ắc quy oto - N100 - PINACO: 1.950.000, GS: 1.900.000</t>
  </si>
  <si>
    <t>Trần Thị Kiều Lan</t>
  </si>
  <si>
    <t>CÔNG TY TNHH ẮC QUY NGÀN LẺ MỘT</t>
  </si>
  <si>
    <t>HCM NLDD</t>
  </si>
  <si>
    <t>C000000041</t>
  </si>
  <si>
    <t>THÀNH PHÁT ĐẠT</t>
  </si>
  <si>
    <t>Ắc quy oto - N120 - PINACO: 2.450.000, GS: 2.500.000_x000D_
Ắc quy oto - 50b24 - PINACO: 1.200.000, ENIMAC: 1.200.000</t>
  </si>
  <si>
    <t>C000024358</t>
  </si>
  <si>
    <t>Ắc quy Nguyên Anh</t>
  </si>
  <si>
    <t>630.000.000 VNĐ</t>
  </si>
  <si>
    <t>Ắc quy oto - 31s800 - PINACO: 2.200.000, ENIMAC: 2.100.000</t>
  </si>
  <si>
    <t>C000000034</t>
  </si>
  <si>
    <t>Duy Phát</t>
  </si>
  <si>
    <t>388.000.000 VNĐ</t>
  </si>
  <si>
    <t>GS - 4_x000D_
Pinaco / Đồng Nai - 4_x000D_
Nhãn hiệu khác - 2</t>
  </si>
  <si>
    <t>Ắc quy oto - N100 - GS: 1.900.000, PINACO: 2.050.000, OTHER: 1.800.000</t>
  </si>
  <si>
    <t>Lê Thanh Phong</t>
  </si>
  <si>
    <t>CTY TNHH TƯ VẤN ĐẦU TƯ TM TÂN PHONG</t>
  </si>
  <si>
    <t>NVBH Phong</t>
  </si>
  <si>
    <t>C000000046</t>
  </si>
  <si>
    <t>Ắc Quy Thành An</t>
  </si>
  <si>
    <t>420.100.000 VNĐ</t>
  </si>
  <si>
    <t>Ắc quy oto - N200 - PINACO: 4.150.000, GS: 3.900.000</t>
  </si>
  <si>
    <t>GSBH Cường</t>
  </si>
  <si>
    <t>C000019815</t>
  </si>
  <si>
    <t>Lượng Anh</t>
  </si>
  <si>
    <t>Ắc quy oto - N100 - PINACO: 2.150.000, GS: 1.950.000</t>
  </si>
  <si>
    <t>C000000074</t>
  </si>
  <si>
    <t>Bảy Ngơi</t>
  </si>
  <si>
    <t>Ắc quy oto - N25 - PINACO: 750.000</t>
  </si>
  <si>
    <t>C000039559</t>
  </si>
  <si>
    <t>Ắc Quy Đạt</t>
  </si>
  <si>
    <t>73.000.000 VNĐ</t>
  </si>
  <si>
    <t>Ắc quy oto - N100 - PINACO: 2.150.000</t>
  </si>
  <si>
    <t>C000028356</t>
  </si>
  <si>
    <t>Chín  Hải</t>
  </si>
  <si>
    <t>Ắc quy oto - N30 - PINACO: 850.000</t>
  </si>
  <si>
    <t>C000027630</t>
  </si>
  <si>
    <t>Hoàng Phi</t>
  </si>
  <si>
    <t>C000019853</t>
  </si>
  <si>
    <t>Bảo Huy</t>
  </si>
  <si>
    <t>C000000042</t>
  </si>
  <si>
    <t>Hưng Bình</t>
  </si>
  <si>
    <t>133.000.000 VNĐ</t>
  </si>
  <si>
    <t>Ắc quy oto - N2000 - PINACO: 4.150.000, GS: 3.900.000</t>
  </si>
  <si>
    <t>C000039199</t>
  </si>
  <si>
    <t>Trung Phát</t>
  </si>
  <si>
    <t>215.000.000 VNĐ</t>
  </si>
  <si>
    <t>Ắc quy oto - N2000 - PINACO: 4.100.000, GS: 3.850.000</t>
  </si>
  <si>
    <t>C000000088</t>
  </si>
  <si>
    <t>Tân Tiến Kiệt</t>
  </si>
  <si>
    <t>Ắc quy oto - N50z - PINACO: 1.450.000</t>
  </si>
  <si>
    <t>C000030874</t>
  </si>
  <si>
    <t>TRẠM XE ÔNG GIÀ</t>
  </si>
  <si>
    <t>Ắc quy xe điện - Pa 12_14 - PINACO: 520.000</t>
  </si>
  <si>
    <t>C000016980</t>
  </si>
  <si>
    <t>Nguyễn My</t>
  </si>
  <si>
    <t>14.350.000 VNĐ</t>
  </si>
  <si>
    <t>Ắc quy oto - N70 - PINACO: 1.560.000</t>
  </si>
  <si>
    <t>C000017381</t>
  </si>
  <si>
    <t>Ắc Quy Ngọc</t>
  </si>
  <si>
    <t>C000000023</t>
  </si>
  <si>
    <t>An Thịnh Phước</t>
  </si>
  <si>
    <t>C000039201</t>
  </si>
  <si>
    <t>Gia phát</t>
  </si>
  <si>
    <t>C000000273</t>
  </si>
  <si>
    <t>Hồng Phát</t>
  </si>
  <si>
    <t>Ắc quy oto - N150 - PINACO: 2.750.000, GS: 2.600.000</t>
  </si>
  <si>
    <t>Lâm Minh Tân</t>
  </si>
  <si>
    <t>C000000024</t>
  </si>
  <si>
    <t>Bách Việt</t>
  </si>
  <si>
    <t>Pinaco / Đồng Nai - 5_x000D_
GS - 2_x000D_
Enimac - 1_x000D_
Ắc quy ngoại nhập - 2</t>
  </si>
  <si>
    <t>Ắc quy oto - 50B24 - GS: 1.300.000, PINACO: 1.250.000, NGOAI_NHAP: 1.500.000</t>
  </si>
  <si>
    <t>C000023574</t>
  </si>
  <si>
    <t>Nhựt Giàu</t>
  </si>
  <si>
    <t>Ắc quy oto - N100 - PINACO: 2.150.000, GS: 2.050.000</t>
  </si>
  <si>
    <t>C000000029</t>
  </si>
  <si>
    <t>Công ty CP xe khách Phương Trang</t>
  </si>
  <si>
    <t>Ắc quy oto - N100 - PINACO: 2.200.000</t>
  </si>
  <si>
    <t>Ngô Quốc Trung</t>
  </si>
  <si>
    <t>C000032565</t>
  </si>
  <si>
    <t>Ắc Quy Hiền Nhi</t>
  </si>
  <si>
    <t>Pinaco / Đồng Nai - 5_x000D_
GS - 1_x000D_
Globe - 3_x000D_
Enimac - 1</t>
  </si>
  <si>
    <t>Ắc quy oto - N150 - PINACO: 2.530.000, GLOBE: 2.350.000_x000D_
Ắc quy oto - 31s800 - PINACO: 2.100.000, ENIMAC: 2.050.000</t>
  </si>
  <si>
    <t>C000016977</t>
  </si>
  <si>
    <t>Dũng Sương</t>
  </si>
  <si>
    <t>C000001130</t>
  </si>
  <si>
    <t>Ắc quy Việt</t>
  </si>
  <si>
    <t>603.000.000 VNĐ</t>
  </si>
  <si>
    <t>Pinaco / Đồng Nai - 5_x000D_
GS - 3_x000D_
Enimac - 1_x000D_
Ắc quy ngoại nhập - 1</t>
  </si>
  <si>
    <t>Ắc quy oto - 90D26R/L - PINACO: 1.800.000, GS: 1.700.000, ENIMAC: 1.700.000, NGOAI_NHAP: 1.700.000_x000D_
Ắc quy oto - 105D31R/L - PINACO: 1.900.000, GS: 1.800.000, ENIMAC: 1.700.000, NGOAI_NHAP: 1.700.000_x000D_
Ắc quy oto - N150 - PINACO: 2.600.000, GS: 2.500.000, ENIMAC: 2.500.000, NGOAI_NHAP: 2.600.000_x000D_
Ắc quy oto - N200 - PINACO: 3.600.000, GS: 3.500.000, ENIMAC: 3.500.000, NGOAI_NHAP: 3.600.000_x000D_
Ắc quy oto - 31800/31S800 - PINACO: 2.200.000, GS: 2.100.000, ENIMAC: 2.100.000, NGOAI_NHAP: 2.100.000_x000D_
Ắc quy oto - 55B24L/R - PINACO: 900.000, GS: 850.000, ENIMAC: 850.000, NGOAI_NHAP: 900.000_x000D_
Ắc quy oto - N30 - PINACO: 800.000, GS: 750.000, ENIMAC: 750.000, NGOAI_NHAP: 750.000</t>
  </si>
  <si>
    <t>Trần Đức Quang</t>
  </si>
  <si>
    <t>C000028189</t>
  </si>
  <si>
    <t>354.000.000 VNĐ</t>
  </si>
  <si>
    <t>Pinaco / Đồng Nai - 3_x000D_
GS - 3_x000D_
Ắc quy ngoại nhập - 4</t>
  </si>
  <si>
    <t>Ắc quy oto - N100 - PINACO: 2.000.000, GS: 2.050.000</t>
  </si>
  <si>
    <t>C000001244</t>
  </si>
  <si>
    <t>Thành Nguyên</t>
  </si>
  <si>
    <t>683.000.000 VNĐ</t>
  </si>
  <si>
    <t>Pinaco / Đồng Nai - 3_x000D_
GS - 1_x000D_
Enimac - 5_x000D_
Ắc quy ngoại nhập - 1</t>
  </si>
  <si>
    <t>Ắc quy oto - 90d26R/L - PINACO: 1.800.000, GS: 1.700.000, ENIMAC: 1.650.000, NGOAI_NHAP: 1.700.000_x000D_
Ắc quy oto - 105D31R/L - PINACO: 1.900.000, GS: 1.800.000, ENIMAC: 1.750.000, NGOAI_NHAP: 1.800.000_x000D_
Ắc quy oto - 31800/31S800 - PINACO: 2.200.000, GS: 2.000.000, ENIMAC: 1.950.000, NGOAI_NHAP: 2.100.000_x000D_
Ắc quy oto - 55B24R/L - PINACO: 1.000.000, GS: 900.000, ENIMAC: 850.000, NGOAI_NHAP: 900.000_x000D_
Ắc quy oto - N100 - PINACO: 2.100.000, GS: 1.900.000, ENIMAC: 1.850.000, NGOAI_NHAP: 1.900.000_x000D_
Ắc quy oto - N120 - PINACO: 2.600.000, GS: 2.500.000, ENIMAC: 2.500.000, NGOAI_NHAP: 2.500.000_x000D_
Ắc quy oto - N150 - PINACO: 2.800.000, GS: 2.600.000, ENIMAC: 2.600.000, NGOAI_NHAP: 2.700.000_x000D_
Ắc quy oto - N30 - PINACO: 800.000, GS: 750.000, ENIMAC: 700.000, NGOAI_NHAP: 750.000</t>
  </si>
  <si>
    <t xml:space="preserve">Khách không cho quay phim chụp ảnh </t>
  </si>
  <si>
    <t>C000027615</t>
  </si>
  <si>
    <t>421.000.000 VNĐ</t>
  </si>
  <si>
    <t>Pinaco / Đồng Nai - 2_x000D_
GS - 7_x000D_
Ắc quy ngoại nhập - 1</t>
  </si>
  <si>
    <t>Ắc quy oto - 90D26R/L - PINACO: 1.700.000, GS: 1.500.000, NGOAI_NHAP: 1.600.000_x000D_
Ắc quy oto - N100 - PINACO: 2.100.000, GS: 1.900.000, NGOAI_NHAP: 2.000.000_x000D_
Ắc quy oto - 15D31R/L - PINACO: 2.200.000, GS: 1.900.000, NGOAI_NHAP: 2.100.000_x000D_
Ắc quy oto - N120 - PINACO: 2.600.000, GS: 2.400.000, NGOAI_NHAP: 2.500.000</t>
  </si>
  <si>
    <t>C000000031</t>
  </si>
  <si>
    <t>Điện Năng</t>
  </si>
  <si>
    <t>Bán lẻ: 56%; Bán sỉ: 44%</t>
  </si>
  <si>
    <t>Ắc quy oto - N200 - PINACO: 4.250.000, GS: 4.100.000</t>
  </si>
  <si>
    <t>C000000057</t>
  </si>
  <si>
    <t>Sáu Giàu</t>
  </si>
  <si>
    <t>127.500.000 VNĐ</t>
  </si>
  <si>
    <t>Ắc quy oto - N200 - GS: 4.000.000, PINACO: 4.200.000</t>
  </si>
  <si>
    <t>C000019362</t>
  </si>
  <si>
    <t>Huy Hoàng</t>
  </si>
  <si>
    <t>Ắc quy oto - N100 - PINACO: 1.900.000, GS: 1.850.000</t>
  </si>
  <si>
    <t>C000000065</t>
  </si>
  <si>
    <t>Thanh Trung</t>
  </si>
  <si>
    <t>Ắc quy oto - N50z - PINACO: 138.000</t>
  </si>
  <si>
    <t>C000001147</t>
  </si>
  <si>
    <t>Phước Thanh</t>
  </si>
  <si>
    <t>Pinaco / Đồng Nai - 4_x000D_
GS - 5_x000D_
Ắc quy ngoại nhập - 1</t>
  </si>
  <si>
    <t>Ắc quy oto - 90D26R/L - PINACO: 1.800.000, GS: 1.700.000, NGOAI_NHAP: 1.750.000_x000D_
Ắc quy oto - 105D31R/L - PINACO: 2.000.000, GS: 1.850.000, NGOAI_NHAP: 1.900.000_x000D_
Ắc quy oto - 31800/31S800 - PINACO: 2.300.000, GS: 2.000.000, NGOAI_NHAP: 2.100.000_x000D_
Ắc quy oto - N100 - PINACO: 2.200.000, GS: 2.000.000, NGOAI_NHAP: 2.100.000_x000D_
Ắc quy oto - 55B24L/R - PINACO: 1.300.000, GS: 1.150.000, NGOAI_NHAP: 1.150.000_x000D_
Ắc quy oto - N120 - PINACO: 2.600.000, GS: 2.500.000, NGOAI_NHAP: 2.500.000</t>
  </si>
  <si>
    <t xml:space="preserve">Khách ko  cho  chụp  kho </t>
  </si>
  <si>
    <t>C000003428</t>
  </si>
  <si>
    <t>CH Thành Phong</t>
  </si>
  <si>
    <t>491.000.000 VNĐ</t>
  </si>
  <si>
    <t>Pinaco / Đồng Nai - 5_x000D_
GS - 2_x000D_
Enimac - 3</t>
  </si>
  <si>
    <t>Ắc quy oto - 31s800 - PINACO: 2.300.000, ENIMAC: 2.200.000_x000D_
Ắc quy oto - 44b20 - PINACO: 1.100.000, GS: 1.250.000</t>
  </si>
  <si>
    <t>C000000139</t>
  </si>
  <si>
    <t>Xuân Trang</t>
  </si>
  <si>
    <t>Ắc quy xe tải - N70 - PINACO: 1.750.000</t>
  </si>
  <si>
    <t>C000027654</t>
  </si>
  <si>
    <t>Lâm Nguyên Phát</t>
  </si>
  <si>
    <t>Ắc quy xe tải - N70 - PINACO: 1.550.000</t>
  </si>
  <si>
    <t>C000001465</t>
  </si>
  <si>
    <t>177.000.000 VNĐ</t>
  </si>
  <si>
    <t>Ắc quy oto - 90D26R/L - PINACO: 1.750.000, GS: 1.650.000, ENIMAC: 1.600.000, NGOAI_NHAP: 1.700.000_x000D_
Ắc quy oto - 105D31R/L - PINACO: 2.100.000, GS: 2.000.000, ENIMAC: 1.950.000, NGOAI_NHAP: 2.000.000_x000D_
Ắc quy oto - 31800/31S800 - PINACO: 2.500.000, GS: 2.300.000, ENIMAC: 2.300.000, NGOAI_NHAP: 2.400.000_x000D_
Ắc quy oto - N150 - PINACO: 2.500.000, GS: 2.400.000, ENIMAC: 2.400.000, NGOAI_NHAP: 2.400.000_x000D_
Ắc quy oto - 55B24L/L - PINACO: 1.400.000, GS: 1.300.000, ENIMAC: 1.300.000, NGOAI_NHAP: 1.300.000</t>
  </si>
  <si>
    <t xml:space="preserve">Kho khách hàng không nằm tại điểm bán </t>
  </si>
  <si>
    <t>C000001054</t>
  </si>
  <si>
    <t>Trung Tiến</t>
  </si>
  <si>
    <t>Ắc quy xe máy - N70 - PINACO: 1.550.000, GLOBE: 1.400.000</t>
  </si>
  <si>
    <t>C000001140</t>
  </si>
  <si>
    <t>Hoàng Thành Phát</t>
  </si>
  <si>
    <t>83.100.000 VNĐ</t>
  </si>
  <si>
    <t>Pinaco / Đồng Nai - 4_x000D_
Enimac - 4_x000D_
Ắc quy ngoại nhập - 2</t>
  </si>
  <si>
    <t>Ắc quy oto - 31800 - PINACO: 2.200.000, ENIMAC: 2.100.000, NGOAI_NHAP: 2.100.000_x000D_
Ắc quy oto - 105D31R/L - PINACO: 2.100.000, ENIMAC: 1.900.000, NGOAI_NHAP: 1.900.000_x000D_
Ắc quy oto - 90D26R/L - PINACO: 1.900.000, ENIMAC: 1.750.000, NGOAI_NHAP: 1.750.000_x000D_
Ắc quy oto - 40B20R/L - PINACO: 900.000, ENIMAC: 850.000, NGOAI_NHAP: 850.000</t>
  </si>
  <si>
    <t>C000034986</t>
  </si>
  <si>
    <t>Gia Hưng</t>
  </si>
  <si>
    <t>132.000.000 VNĐ</t>
  </si>
  <si>
    <t>Ắc quy oto - N200 - PINACO: 4.100.000, GS: 4.000.000, NGOAI_NHAP: 4.250.000</t>
  </si>
  <si>
    <t>C000000127</t>
  </si>
  <si>
    <t>AP616</t>
  </si>
  <si>
    <t>99.000.000 VNĐ</t>
  </si>
  <si>
    <t>24.500.000 VNĐ</t>
  </si>
  <si>
    <t>Ắc quy oto - N100 - PINACO: 2.100.000, GS: 1.900.000</t>
  </si>
  <si>
    <t>C000000033</t>
  </si>
  <si>
    <t>Đức Hưng Trung</t>
  </si>
  <si>
    <t>513.000.000 VNĐ</t>
  </si>
  <si>
    <t>Ắc quy oto - N200 - PINACO: 3.900.000, GS: 3.800.000</t>
  </si>
  <si>
    <t>C000000091</t>
  </si>
  <si>
    <t>Văn Hiệp 1</t>
  </si>
  <si>
    <t>Pinaco / Đồng Nai - 5_x000D_
GS - 2_x000D_
Enimac - 2_x000D_
Ắc quy ngoại nhập - 1</t>
  </si>
  <si>
    <t>Ắc quy oto - 31s800 - ENIMAC: 2.000.000, PINACO: 2.100.000_x000D_
Ắc quy oto - n200 - PINACO: 3.700.000, GS: 3.750.000</t>
  </si>
  <si>
    <t>C000034859</t>
  </si>
  <si>
    <t>Thuận Phát</t>
  </si>
  <si>
    <t>225.000.000 VNĐ</t>
  </si>
  <si>
    <t>Pinaco / Đồng Nai - 4_x000D_
GS - 3_x000D_
Ắc quy ngoại nhập - 3</t>
  </si>
  <si>
    <t>C000001129</t>
  </si>
  <si>
    <t>Ắc Quy Tân Toàn</t>
  </si>
  <si>
    <t>1.155.000.000 VNĐ</t>
  </si>
  <si>
    <t>Ắc quy oto - N120 - PINACO: 2.650.000, GS: 2.750.000, GLOBE: 2.650.000</t>
  </si>
  <si>
    <t>C000001101</t>
  </si>
  <si>
    <t>Việt Luân III</t>
  </si>
  <si>
    <t>Ắc quy oto - 90D26 - PINACO: 1.650.000, GS: 1.700.000</t>
  </si>
  <si>
    <t>C000001246</t>
  </si>
  <si>
    <t>Phước Thịnh</t>
  </si>
  <si>
    <t>187.000.000 VNĐ</t>
  </si>
  <si>
    <t>Pinaco / Đồng Nai - 4_x000D_
GS - 4_x000D_
Enimac - 1_x000D_
Ắc quy ngoại nhập - 1</t>
  </si>
  <si>
    <t>Ắc quy oto - 90d26R/L - PINACO: 1.800.000, GS: 1.700.000, ENIMAC: 1.700.000, NGOAI_NHAP: 1.750.000_x000D_
Ắc quy oto - 55B24R/L - PINACO: 1.300.000, GS: 1.200.000, ENIMAC: 1.200.000, NGOAI_NHAP: 1.250.000_x000D_
Ắc quy oto - N100 - PINACO: 2.100.000, GS: 1.900.000, ENIMAC: 1.850.000, NGOAI_NHAP: 1.900.000_x000D_
Ắc quy oto - N120 - PINACO: 2.600.000, GS: 2.500.000, ENIMAC: 2.550.000, NGOAI_NHAP: 2.500.000_x000D_
Ắc quy oto - N150 - PINACO: 3.200.000, GS: 2.950.000, ENIMAC: 2.900.000, NGOAI_NHAP: 3.050.000_x000D_
Ắc quy oto - 105D31R/L - PINACO: 2.200.000, GS: 2.000.000, ENIMAC: 1.900.000, NGOAI_NHAP: 1.950.000</t>
  </si>
  <si>
    <t>C000016995</t>
  </si>
  <si>
    <t>Quyền</t>
  </si>
  <si>
    <t>113.000.000 VNĐ</t>
  </si>
  <si>
    <t>Ắc quy oto - N70 - GS: 1.600.000, PINACO: 1.600.000</t>
  </si>
  <si>
    <t>C000001479</t>
  </si>
  <si>
    <t>Nguyễn Hải</t>
  </si>
  <si>
    <t>Ắc quy oto - Ns40 - PINACO: 900.000, GS: 900.000, ENIMAC: 8.500.000, NGOAI_NHAP: 900.000_x000D_
Ắc quy oto - NS60 - PINACO: 1.050.000, GS: 1.000.000, ENIMAC: 1.000.000, NGOAI_NHAP: 1.050.000_x000D_
Ắc quy oto - 90D26R/L - PINACO: 1.800.000, GS: 1.800.000, ENIMAC: 1.750.000, NGOAI_NHAP: 1.800.000_x000D_
Ắc quy oto - 105D31R/L - PINACO: 2.100.000, GS: 2.000.000, ENIMAC: 1.900.000, NGOAI_NHAP: 2.100.000_x000D_
Ắc quy oto - N150 - PINACO: 3.100.000, GS: 2.950.000, ENIMAC: 2.950.000, NGOAI_NHAP: 3.100.000_x000D_
Ắc quy oto - N120 - PINACO: 2.600.000, GS: 2.500.000, ENIMAC: 2.500.000, NGOAI_NHAP: 2.500.000</t>
  </si>
  <si>
    <t xml:space="preserve">Khách ko cho  chụp </t>
  </si>
  <si>
    <t>C000000073</t>
  </si>
  <si>
    <t>Vĩnh Hậu</t>
  </si>
  <si>
    <t>GS - 2_x000D_
Pinaco / Đồng Nai - 8_x000D_
Ắc quy ngoại nhập - 0</t>
  </si>
  <si>
    <t>Ắc quy oto - 105D31 - GS: 1.800.000, PINACO: 1.750.000</t>
  </si>
  <si>
    <t xml:space="preserve">Chỉ chụp được kệ trưng bày , kho hàng khách không đồng ý cho chụp </t>
  </si>
  <si>
    <t>C000001146</t>
  </si>
  <si>
    <t>Minh Phát</t>
  </si>
  <si>
    <t>C000018003</t>
  </si>
  <si>
    <t>Tấn Phát 2</t>
  </si>
  <si>
    <t>27.800.000 VNĐ</t>
  </si>
  <si>
    <t>Ắc quy oto - 90D26 - PINACO: 1.700.000, GS: 1.620.000</t>
  </si>
  <si>
    <t>NVBH Tân</t>
  </si>
  <si>
    <t>C000000284</t>
  </si>
  <si>
    <t>Hưng Thạnh</t>
  </si>
  <si>
    <t>16.500.000 VNĐ</t>
  </si>
  <si>
    <t>Pinaco / Đồng Nai - 5_x000D_
GS - 3_x000D_
Nhãn hiệu khác - 2</t>
  </si>
  <si>
    <t>Ắc quy oto - N100 - PINACO: 2.200.000, GS: 2.100.000, OTHER: 2.100.000_x000D_
Ắc quy oto - Ns40 - PINACO: 1.000.000, GS: 900.000, OTHER: 900.000</t>
  </si>
  <si>
    <t>C000000070</t>
  </si>
  <si>
    <t>Tuyết Nhung</t>
  </si>
  <si>
    <t>Ắc quy oto - N25 - PINACO: 800.000</t>
  </si>
  <si>
    <t>C000000165</t>
  </si>
  <si>
    <t>Đăng Khoa</t>
  </si>
  <si>
    <t>Ắc quy dân dụng - N30 - PINACO: 950.000</t>
  </si>
  <si>
    <t>C000034623</t>
  </si>
  <si>
    <t>Phúc Duy An</t>
  </si>
  <si>
    <t>386.800.000 VNĐ</t>
  </si>
  <si>
    <t>Pinaco / Đồng Nai - 3_x000D_
GS - 2_x000D_
Enimac - 4_x000D_
Ắc quy ngoại nhập - 1</t>
  </si>
  <si>
    <t>Ắc quy oto - 90D26 - PINACO: 1.650.000, GS: 1.550.000, ENIMAC: 1.550.000, NGOAI_NHAP: 1.650.000</t>
  </si>
  <si>
    <t>C000024088</t>
  </si>
  <si>
    <t>Việt Quốc</t>
  </si>
  <si>
    <t>26.500.000 VNĐ</t>
  </si>
  <si>
    <t>Ắc quy oto - N120 - PINACO: 2.500.000, GS: 2.400.000</t>
  </si>
  <si>
    <t>C000019352</t>
  </si>
  <si>
    <t>Vinh HIển</t>
  </si>
  <si>
    <t>700.000.000 VNĐ</t>
  </si>
  <si>
    <t>C000003432</t>
  </si>
  <si>
    <t>C000001184</t>
  </si>
  <si>
    <t>Sáu Lớn</t>
  </si>
  <si>
    <t>C000024357</t>
  </si>
  <si>
    <t>Nguyễn Hoàng Thành Phát</t>
  </si>
  <si>
    <t>488.000.000 VNĐ</t>
  </si>
  <si>
    <t>Pinaco / Đồng Nai - 5_x000D_
GS - 1_x000D_
Enimac - 3_x000D_
Ắc quy ngoại nhập - 1</t>
  </si>
  <si>
    <t>Ắc quy oto - 31s800 - PINACO: 2.200.000, ENIMAC: 2.100.000_x000D_
Ắc quy oto - 105D31 - PINACO: 1.950.000, GS: 2.000.000, NGOAI_NHAP: 1.950.000</t>
  </si>
  <si>
    <t>C000000419</t>
  </si>
  <si>
    <t>Phong</t>
  </si>
  <si>
    <t>Ắc quy oto - 90D26 - PINACO: 1.700.000</t>
  </si>
  <si>
    <t>C000001478</t>
  </si>
  <si>
    <t>Ắc quy oto - N100 - PINACO: 1.950.000, GS: 1.950.000_x000D_
Ắc quy oto - 90d26R/L - PINACO: 1.800.000, GS: 1.800.000_x000D_
Ắc quy oto - 105D31R/L - PINACO: 2.200.000, GS: 2.200.000</t>
  </si>
  <si>
    <t>C000024639</t>
  </si>
  <si>
    <t>Trung Hưng</t>
  </si>
  <si>
    <t>Ắc quy oto - N100 - PINACO: 1.950.000, GS: 1.950.000</t>
  </si>
  <si>
    <t>C000000213</t>
  </si>
  <si>
    <t>Hai Thành</t>
  </si>
  <si>
    <t>Ắc quy oto - N100 - PINACO: 2.100.000, GS: 2.150.000</t>
  </si>
  <si>
    <t>C000000077</t>
  </si>
  <si>
    <t>Điện Otô Trường</t>
  </si>
  <si>
    <t>GS - 4_x000D_
Pinaco / Đồng Nai - 6</t>
  </si>
  <si>
    <t>Ắc quy oto - 105D31L  - GS: 2.050.000, PINACO: 2.150.000</t>
  </si>
  <si>
    <t>C000001300</t>
  </si>
  <si>
    <t>Quang Hùng</t>
  </si>
  <si>
    <t>Ắc quy oto - N30 - PINACO: 800.000</t>
  </si>
  <si>
    <t>C000018259</t>
  </si>
  <si>
    <t>Thịnh Phát</t>
  </si>
  <si>
    <t>C000000274</t>
  </si>
  <si>
    <t>Ắc quy khác - N30 - PINACO: 780.000, GLOBE: 740.000</t>
  </si>
  <si>
    <t>C000000323</t>
  </si>
  <si>
    <t>Lê Phong</t>
  </si>
  <si>
    <t>51.000.000 VNĐ</t>
  </si>
  <si>
    <t>Ắc quy oto - 90D26R/L - PINACO: 1.800.000, GS: 1.900.000, ENIMAC: 1.700.000, NGOAI_NHAP: 1.850.000_x000D_
Ắc quy oto - 105D31L/R - PINACO: 2.200.000, GS: 2.150.000, ENIMAC: 2.100.000, NGOAI_NHAP: 2.250.000_x000D_
Ắc quy oto - N150 - PINACO: 3.000.000, GS: 2.800.000, ENIMAC: 2.750.000</t>
  </si>
  <si>
    <t>C000000322</t>
  </si>
  <si>
    <t>Lê Khương</t>
  </si>
  <si>
    <t>Ắc quy xe tải - 90D26L - PINACO: 1.900.000, GS: 1.800.000, NGOAI_NHAP: 1.800.000_x000D_
Ắc quy dân dụng - NS60 - PINACO: 1.050.000, GS: 1.050.000, NGOAI_NHAP: 1.050.000</t>
  </si>
  <si>
    <t>C000000072</t>
  </si>
  <si>
    <t>Văn Hùng</t>
  </si>
  <si>
    <t>GS - 1_x000D_
Enimac - 1_x000D_
Pinaco / Đồng Nai - 8</t>
  </si>
  <si>
    <t>Ắc quy oto - 31s800 - ENIMAC: 2.000.000, PINACO: 2.150.000_x000D_
Ắc quy oto - 44B20 - GS: 1.100.000, PINACO: 1.150.000</t>
  </si>
  <si>
    <t>C000001060</t>
  </si>
  <si>
    <t>Trường Phú</t>
  </si>
  <si>
    <t>Ắc quy oto - N100 - PINACO: 2.000.000, GS: 1.800.000, GLOBE: 1.750.000_x000D_
Ắc quy xe máy - 90D26 - PINACO: 1.600.000, GS: 1.400.000</t>
  </si>
  <si>
    <t>C000001133</t>
  </si>
  <si>
    <t>Ý Ngọc</t>
  </si>
  <si>
    <t>Ắc quy oto - N200 - PINACO: 4.050.000, GS: 3.900.000</t>
  </si>
  <si>
    <t>C000000082</t>
  </si>
  <si>
    <t>Lượng</t>
  </si>
  <si>
    <t>149.000.000 VNĐ</t>
  </si>
  <si>
    <t>Ắc quy oto - 31s800 - PINACO: 2.200.000, ENIMAC: 2.000.000</t>
  </si>
  <si>
    <t>C000003431</t>
  </si>
  <si>
    <t>Bảy Kiên</t>
  </si>
  <si>
    <t>C000001142</t>
  </si>
  <si>
    <t>256.000.000 VNĐ</t>
  </si>
  <si>
    <t>Ắc quy oto - N100 - PINACO: 2.000.000, GS: 2.050.000, GLOBE: 1.850.000</t>
  </si>
  <si>
    <t>C000000030</t>
  </si>
  <si>
    <t>Ắc quy oto - N100 - PINACO: 2.000.000, GS: 2.100.000</t>
  </si>
  <si>
    <t>C000000175</t>
  </si>
  <si>
    <t>Diệu Trang</t>
  </si>
  <si>
    <t>100.500.200 VNĐ</t>
  </si>
  <si>
    <t>GS - 2_x000D_
Enimac - 1_x000D_
Globe - 1_x000D_
Pinaco / Đồng Nai - 6</t>
  </si>
  <si>
    <t>Ắc quy oto - N100 - GS: 1.950.000, ENIMAC: 1.950.000, PINACO: 2.150.000</t>
  </si>
  <si>
    <t xml:space="preserve">Khách không cho  chụp </t>
  </si>
  <si>
    <t>C000000051</t>
  </si>
  <si>
    <t>Phú Long</t>
  </si>
  <si>
    <t>527.000.000 VNĐ</t>
  </si>
  <si>
    <t>Pinaco / Đồng Nai - 2_x000D_
GS - 2_x000D_
Globe - 4_x000D_
Nhãn hiệu khác - 2</t>
  </si>
  <si>
    <t>Ắc quy oto - N100 - PINACO: 2.150.000, GS: 1.900.000, GLOBE: 1.900.000, OTHER: 1.950.000_x000D_
Ắc quy oto - 90D26 - PINACO: 1.800.000, GS: 1.700.000, GLOBE: 1.700.000, OTHER: 1.650.000</t>
  </si>
  <si>
    <t>C000000048</t>
  </si>
  <si>
    <t>Mười Chiến</t>
  </si>
  <si>
    <t>Ắc quy oto - N100 - PINACO: 2.000.000, GS: 2.000.000_x000D_
Ắc quy oto - 90D26 - PINACO: 1.650.000, GS: 1.650.000</t>
  </si>
  <si>
    <t>C000024127</t>
  </si>
  <si>
    <t>Cửa Hàng Mười Khánh</t>
  </si>
  <si>
    <t>21.500.000 VNĐ</t>
  </si>
  <si>
    <t>9.400.000 VNĐ</t>
  </si>
  <si>
    <t>Ắc quy dân dụng - N30 - GLOBE: 730.000, PINACO: 742.000</t>
  </si>
  <si>
    <t>C000028752</t>
  </si>
  <si>
    <t>Tuyết Vang</t>
  </si>
  <si>
    <t>Ắc quy dân dụng - N20 - PINACO: 650.000_x000D_
Ắc quy dân dụng - N30 - PINACO: 850.000_x000D_
Ắc quy dân dụng - NS40 - PINACO: 950.000_x000D_
Ắc quy dân dụng - NS60 - PINACO: 1.150.000</t>
  </si>
  <si>
    <t xml:space="preserve">Khách không  cho  chụp ảnh kho </t>
  </si>
  <si>
    <t>C000000067</t>
  </si>
  <si>
    <t>Thảo Nghi</t>
  </si>
  <si>
    <t>49.500.000 VNĐ</t>
  </si>
  <si>
    <t>Pinaco / Đồng Nai - 2_x000D_
GS - 4_x000D_
Ắc quy ngoại nhập - 4</t>
  </si>
  <si>
    <t>Ắc quy dân dụng - N25 - PINACO: 700.000, GS: 750.000, NGOAI_NHAP: 800.000</t>
  </si>
  <si>
    <t>C000001210</t>
  </si>
  <si>
    <t>Ngọc Nhựt</t>
  </si>
  <si>
    <t>152.000.000 VNĐ</t>
  </si>
  <si>
    <t xml:space="preserve">Km tốt hơn </t>
  </si>
  <si>
    <t>C000001137</t>
  </si>
  <si>
    <t>Giáp</t>
  </si>
  <si>
    <t>Ắc quy oto - N100 - PINACO: 2.000.000, GS: 2.100.000, GLOBE: 1.900.000</t>
  </si>
  <si>
    <t xml:space="preserve">Km nhiều hơn </t>
  </si>
  <si>
    <t>C000000049</t>
  </si>
  <si>
    <t>Ngọc Triều</t>
  </si>
  <si>
    <t xml:space="preserve">Ắc quy xe tải - N150 - </t>
  </si>
  <si>
    <t>C000000071</t>
  </si>
  <si>
    <t>Tỷ</t>
  </si>
  <si>
    <t>KHAO SAT - MIEN DONG 2.xlsx</t>
  </si>
  <si>
    <t>C000036990</t>
  </si>
  <si>
    <t>Toàn Nguyên</t>
  </si>
  <si>
    <t>Ắc quy dân dụng - N100 - PINACO: 2.100.000, GS: 22.000.000</t>
  </si>
  <si>
    <t>Lê Công Tiến</t>
  </si>
  <si>
    <t>CÔNG TY TNHH MTV MINH TÍN PHÁT</t>
  </si>
  <si>
    <t>MIỀN ĐÔNG 2</t>
  </si>
  <si>
    <t>LÂM ĐỒNG</t>
  </si>
  <si>
    <t>C000002242</t>
  </si>
  <si>
    <t>Tuân Uyên</t>
  </si>
  <si>
    <t>Ắc quy dân dụng - N100 - PINACO: 2.100.000</t>
  </si>
  <si>
    <t>C000031253</t>
  </si>
  <si>
    <t>Trung Hưng 2</t>
  </si>
  <si>
    <t>Ắc quy oto - N100 - PINACO: 2.100.000, GS: 2.200.000_x000D_
Ắc quy oto - N150 - PINACO: 3.000.000, GS: 3.100.000</t>
  </si>
  <si>
    <t xml:space="preserve">Giá Đồng Nai cao ngang giá GS khó bán ra, </t>
  </si>
  <si>
    <t>Võ Thành Công</t>
  </si>
  <si>
    <t>CTY TNHH MỘT THÀNH VIÊN HỒNG ĐỨC BATTERY</t>
  </si>
  <si>
    <t>TÂY NINH</t>
  </si>
  <si>
    <t>C000033888</t>
  </si>
  <si>
    <t>CH Trung Thành</t>
  </si>
  <si>
    <t>Ắc quy dân dụng - N100 - PINACO: 2.150.000, GS: 2.300.000</t>
  </si>
  <si>
    <t>C000002201</t>
  </si>
  <si>
    <t>Ắc quy xe tải - N100 - PINACO: 2.300.000</t>
  </si>
  <si>
    <t>Khách hàng có việc đóng cửa nên khảo sát qua điện thoại</t>
  </si>
  <si>
    <t>Nguyễn Tấn Phát</t>
  </si>
  <si>
    <t>QLKV</t>
  </si>
  <si>
    <t>C000002361</t>
  </si>
  <si>
    <t>Phương Sang</t>
  </si>
  <si>
    <t>Ắc quy xe máy - Ptz5l - PINACO: 240.000</t>
  </si>
  <si>
    <t>C000002229</t>
  </si>
  <si>
    <t>Ô Tô 3 Chiến</t>
  </si>
  <si>
    <t>Pinaco / Đồng Nai - 6_x000D_
GS - 4_x000D_
Ắc quy ngoại nhập - 0</t>
  </si>
  <si>
    <t>Ắc quy oto - N100 - PINACO: 2.200.000, GS: 2.300.000</t>
  </si>
  <si>
    <t>C000002328</t>
  </si>
  <si>
    <t>Minh Duy</t>
  </si>
  <si>
    <t>Ắc quy xe máy - Ptz5l - PINACO: 230.000, GS: 250.000</t>
  </si>
  <si>
    <t>C000002308</t>
  </si>
  <si>
    <t>Anh Năm</t>
  </si>
  <si>
    <t>Ắc quy xe máy - Ptz6hl  - PINACO: 280.000_x000D_
Ắc quy xe máy - Ptz5l - PINACO: 270.000</t>
  </si>
  <si>
    <t>GSBH</t>
  </si>
  <si>
    <t>C000002302</t>
  </si>
  <si>
    <t>Đức Dịên</t>
  </si>
  <si>
    <t>Ắc quy oto - 90d26  - PINACO: 1.950.000</t>
  </si>
  <si>
    <t>C000002295</t>
  </si>
  <si>
    <t>Minh Hưng</t>
  </si>
  <si>
    <t>C000002259</t>
  </si>
  <si>
    <t>Hùng Trọng</t>
  </si>
  <si>
    <t>Ắc quy xe máy - Ptz5l  - PINACO: 220.000</t>
  </si>
  <si>
    <t>C000024383</t>
  </si>
  <si>
    <t>Tuấn Kiệt 2</t>
  </si>
  <si>
    <t>Ắc quy dân dụng - N20 - PINACO: 620.000</t>
  </si>
  <si>
    <t>Lê Nguyễn Minh Trí</t>
  </si>
  <si>
    <t>CÔNG TY TNHH MỘT THÀNH VIÊN THƯƠNG MẠI BẢO NGỌC</t>
  </si>
  <si>
    <t>BÌNH PHƯỚC</t>
  </si>
  <si>
    <t>C000002142</t>
  </si>
  <si>
    <t>Hiệp Hòa Thạnh</t>
  </si>
  <si>
    <t>Ắc quy xe máy - PTZ6HL  - PINACO: 230.000, GS: 255.000_x000D_
Ắc quy xe máy - PTZ6L  - PINACO: 280.000, GS: 320.000</t>
  </si>
  <si>
    <t>C000002144</t>
  </si>
  <si>
    <t>Việt</t>
  </si>
  <si>
    <t>Ắc quy xe máy - PTZ6HL  - PINACO: 230.000, GS: 255.000</t>
  </si>
  <si>
    <t>C000002245</t>
  </si>
  <si>
    <t>Phương Cảnh</t>
  </si>
  <si>
    <t>Ắc quy dân dụng - N100 - PINACO: 2.100.000, GS: 2.200.000</t>
  </si>
  <si>
    <t>C000002244</t>
  </si>
  <si>
    <t>Sửa xe Thịnh</t>
  </si>
  <si>
    <t>Ắc quy xe máy - Ptz5l  - PINACO: 240.000</t>
  </si>
  <si>
    <t>C000002340</t>
  </si>
  <si>
    <t>Ngọc Tâm</t>
  </si>
  <si>
    <t>Ắc quy xe máy - Ptz5l - PINACO: 1.000.000, GLOBE: 1.000.000</t>
  </si>
  <si>
    <t>C000038468</t>
  </si>
  <si>
    <t>Kim Long</t>
  </si>
  <si>
    <t>Bán lẻ: 14%; Bán sỉ: 86%</t>
  </si>
  <si>
    <t>Ắc quy xe máy - Ptz5l - PINACO: 500.000, GS: 2.000.000</t>
  </si>
  <si>
    <t>C000002359</t>
  </si>
  <si>
    <t>Vân Dương</t>
  </si>
  <si>
    <t xml:space="preserve">Ắc quy xe tải - 95d31 - </t>
  </si>
  <si>
    <t>C000002346</t>
  </si>
  <si>
    <t>Chú Giang</t>
  </si>
  <si>
    <t>Ắc quy xe máy - Ptz5l  - PINACO: 230.000, GS: 250.000</t>
  </si>
  <si>
    <t>C000040618</t>
  </si>
  <si>
    <t>Xe Máy Điện Vũ Phương 2</t>
  </si>
  <si>
    <t>Ắc quy xe điện - 12-14 - PINACO: 2.000.000, XUPAI: 1.900.000</t>
  </si>
  <si>
    <t>C000040616</t>
  </si>
  <si>
    <t>Xe Đạp Điện Đại Lộc</t>
  </si>
  <si>
    <t>Ắc quy xe điện - 12-14 - PINACO: 2.000.000, OTHER: 1.800.000</t>
  </si>
  <si>
    <t>C000040620</t>
  </si>
  <si>
    <t>Xe Điện Hoàng Thiên</t>
  </si>
  <si>
    <t>C000002352</t>
  </si>
  <si>
    <t>Anh Tường</t>
  </si>
  <si>
    <t>Ắc quy xe máy - Ptz5l  - PINACO: 230.000</t>
  </si>
  <si>
    <t>C000035633</t>
  </si>
  <si>
    <t>Hai Lúa</t>
  </si>
  <si>
    <t>Ắc quy oto - N100 - PINACO: 2.300.000</t>
  </si>
  <si>
    <t>C000002329</t>
  </si>
  <si>
    <t>Quang Kiều</t>
  </si>
  <si>
    <t>Ắc quy dân dụng - N30 - PINACO: 900.000</t>
  </si>
  <si>
    <t>C000026313</t>
  </si>
  <si>
    <t>CH Lực</t>
  </si>
  <si>
    <t>Ắc quy dân dụng - N100 - PINACO: 2.150.000</t>
  </si>
  <si>
    <t>C000002319</t>
  </si>
  <si>
    <t>Linh Tuấn</t>
  </si>
  <si>
    <t>C000002318</t>
  </si>
  <si>
    <t>Phụ Tùng Cần</t>
  </si>
  <si>
    <t>C000002205</t>
  </si>
  <si>
    <t>Tiến Lợi</t>
  </si>
  <si>
    <t>Pinaco / Đồng Nai - 6_x000D_
GS - 3_x000D_
Enimac - 1</t>
  </si>
  <si>
    <t>Ắc quy oto - N100 - PINACO: 2.200.000, GS: 2.200.000, ENIMAC: 2.100.000</t>
  </si>
  <si>
    <t>C000002317</t>
  </si>
  <si>
    <t>Duy Cường</t>
  </si>
  <si>
    <t>Ắc quy xe máy - Ptz5l - PINACO: 230.000</t>
  </si>
  <si>
    <t>C000002210</t>
  </si>
  <si>
    <t>Cửa hàng Phúc</t>
  </si>
  <si>
    <t>Hiện tại giá GS đang rẻ hơn đồng nai, bán ra bằng giá lợi nhuận hơn</t>
  </si>
  <si>
    <t>C000002006</t>
  </si>
  <si>
    <t>Hoàng Nam</t>
  </si>
  <si>
    <t>Ắc quy xe máy - PTZ6HL  - PINACO: 250.000</t>
  </si>
  <si>
    <t>Khách ko cho chụp kho</t>
  </si>
  <si>
    <t>Bùi Thanh Lộc</t>
  </si>
  <si>
    <t>CÔNG TY TNHH MTV NGUYỄN THỊ THẮM</t>
  </si>
  <si>
    <t>C000025230</t>
  </si>
  <si>
    <t>Điện Cơ Tiến Đạt</t>
  </si>
  <si>
    <t>Ắc quy oto - N100 - PINACO: 2.350.000</t>
  </si>
  <si>
    <t>C000036811</t>
  </si>
  <si>
    <t>Ngọc Đình</t>
  </si>
  <si>
    <t>C000002282</t>
  </si>
  <si>
    <t>Đại Thanh</t>
  </si>
  <si>
    <t>Ắc quy xe máy - Ptz5l - PINACO: 250.000_x000D_
Ắc quy xe máy - Ptz6hl - PINACO: 260.000</t>
  </si>
  <si>
    <t>C000002292</t>
  </si>
  <si>
    <t>Chú Thành</t>
  </si>
  <si>
    <t>C000002293</t>
  </si>
  <si>
    <t>Khánh Toàn</t>
  </si>
  <si>
    <t>Ắc quy xe máy - Ptz6hl  - PINACO: 320.000_x000D_
Ắc quy xe máy - Ptz5l - PINACO: 300.000_x000D_
Ắc quy xe máy - Ptz6l - PINACO: 360.000</t>
  </si>
  <si>
    <t>C000002172</t>
  </si>
  <si>
    <t>Ô Tô Nam</t>
  </si>
  <si>
    <t>Ắc quy oto - N100 - PINACO: 2.225.000, GS: 2.350.000</t>
  </si>
  <si>
    <t>Giá GS đang rẻ hơn Pinaco dẫn tới bán hàng không có lợi nhuận</t>
  </si>
  <si>
    <t>C000002175</t>
  </si>
  <si>
    <t>Ô tô Tâm</t>
  </si>
  <si>
    <t>Pinaco / Đồng Nai - 7_x000D_
GS - 2_x000D_
Ắc quy ngoại nhập - 1</t>
  </si>
  <si>
    <t>Bán lẻ: 53%; Bán sỉ: 47%</t>
  </si>
  <si>
    <t>Ắc quy oto - 31800 - PINACO: 2.300.000, GS: 2.550.000, NGOAI_NHAP: 2.700.000</t>
  </si>
  <si>
    <t>C000002177</t>
  </si>
  <si>
    <t>Huyền Phú</t>
  </si>
  <si>
    <t>Ắc quy oto - N100 - PINACO: 2.150.000, GS: 2.200.000</t>
  </si>
  <si>
    <t>Hiện tại Gs nhập rẻ hơn đồng nai nhưng bán ra cao hơn. Đề nghị cty xem lại</t>
  </si>
  <si>
    <t>C000003421</t>
  </si>
  <si>
    <t>OTO Quang</t>
  </si>
  <si>
    <t>Ắc quy oto - N100 - PINACO: 2.250.000</t>
  </si>
  <si>
    <t>Khoảng thời gian gần đây khách hàng tìm bình GS càng nhiều, họ phản hồi chất lượng hơn Pinaco, cửa hàng đang tính nhập thêm để bán. Đề nghị Pinaco kiểm tra lại chất lượng</t>
  </si>
  <si>
    <t>C000038471</t>
  </si>
  <si>
    <t>Xe Điện Đức Mạnh</t>
  </si>
  <si>
    <t>Ắc quy xe điện - PA 12-14 - PINACO: 1.800.000, XUPAI: 1.900.000</t>
  </si>
  <si>
    <t>Khách ko cho chụp kho hang</t>
  </si>
  <si>
    <t>C000002188</t>
  </si>
  <si>
    <t>Điện Cơ Hải</t>
  </si>
  <si>
    <t>Pinaco / Đồng Nai - 9_x000D_
Xupai - 1</t>
  </si>
  <si>
    <t>Ắc quy xe điện - 12-14 - PINACO: 480.000, XUPAI: 420.000</t>
  </si>
  <si>
    <t>C000024687</t>
  </si>
  <si>
    <t>Điện Ô Tô Thành</t>
  </si>
  <si>
    <t>Ắc quy oto - N100 - PINACO: 2.100.000, GS: 2.200.000</t>
  </si>
  <si>
    <t xml:space="preserve">Giá GS hiện tại nhập rẻ hơn đồng nai mà bán ra cao hơn GS, khách </t>
  </si>
  <si>
    <t>C000002257</t>
  </si>
  <si>
    <t>Nam Thoa 2</t>
  </si>
  <si>
    <t>Ắc quy oto - 90d26 - PINACO: 1.950.000, GS: 2.200.000</t>
  </si>
  <si>
    <t>C000002254</t>
  </si>
  <si>
    <t>Minh Đạo</t>
  </si>
  <si>
    <t>Ắc quy oto - 55d26 - PINACO: 1.650.000</t>
  </si>
  <si>
    <t>C000002253</t>
  </si>
  <si>
    <t>Việt Thắng</t>
  </si>
  <si>
    <t>Ắc quy oto - 90d26 - PINACO: 1.950.000</t>
  </si>
  <si>
    <t>C000029943</t>
  </si>
  <si>
    <t>ĐỨC LONG</t>
  </si>
  <si>
    <t>Ắc quy xe máy - Ptz6hl - PINACO: 280.000, GS: 300.000</t>
  </si>
  <si>
    <t>C000038974</t>
  </si>
  <si>
    <t>nam at</t>
  </si>
  <si>
    <t>Ắc quy xe máy - PTZ6HL  - PINACO: 300.000</t>
  </si>
  <si>
    <t>C000032716</t>
  </si>
  <si>
    <t>sx Thành Phát</t>
  </si>
  <si>
    <t>Chủ ko cho chụp kho</t>
  </si>
  <si>
    <t>C000002036</t>
  </si>
  <si>
    <t>Sửa xe Mành</t>
  </si>
  <si>
    <t>Ắc quy xe máy - PTZ5L  - PINACO: 240.000</t>
  </si>
  <si>
    <t>C000002039</t>
  </si>
  <si>
    <t>Quang Mừng</t>
  </si>
  <si>
    <t>C000031821</t>
  </si>
  <si>
    <t>Dương Cảnh</t>
  </si>
  <si>
    <t>Ắc quy xe tải - 105D31L - PINACO: 2.100.000, GS: 2.150.000</t>
  </si>
  <si>
    <t>Nguyễn Thị Thuyên</t>
  </si>
  <si>
    <t>CÔNG TY TNHH THƯƠNG MẠI DỊCH VỤ BÌNH HIỆP PHÁT</t>
  </si>
  <si>
    <t>C000040983</t>
  </si>
  <si>
    <t>Ắc Quy Huy Phát</t>
  </si>
  <si>
    <t>Ắc quy xe tải - N100 - PINACO: 2.200.000, GS: 2.100.000</t>
  </si>
  <si>
    <t>C000001909</t>
  </si>
  <si>
    <t>Phú Hùng</t>
  </si>
  <si>
    <t>Ắc quy xe máy - ptz5l - PINACO: 260.000, GS: 260.000_x000D_
Ắc quy xe máy - ptz6hl - PINACO: 320.000, GS: 330.000</t>
  </si>
  <si>
    <t>khách không cho chụp kho.chất lượng.giá cả cần tốt hơn</t>
  </si>
  <si>
    <t>Nguyễn Văn Toàn</t>
  </si>
  <si>
    <t>CÔNG TY TNHH THƯƠNG MẠI DỊCH VỤ TỔNG HỢP HUỲNH GIA BATTERY</t>
  </si>
  <si>
    <t>C000002483</t>
  </si>
  <si>
    <t>Võ Hai</t>
  </si>
  <si>
    <t>Ắc quy xe máy - Ptz5l  - PINACO: 245</t>
  </si>
  <si>
    <t>Không có kho hàng</t>
  </si>
  <si>
    <t>Nguyễn Đức Thuận</t>
  </si>
  <si>
    <t>CÔNG TY TRÁCH NHIỆM HỮU HẠN TUYẾT XUÂN</t>
  </si>
  <si>
    <t>C000017784</t>
  </si>
  <si>
    <t>Việt Khoa</t>
  </si>
  <si>
    <t>Ắc quy xe máy - Ptz6hl  - PINACO: 260</t>
  </si>
  <si>
    <t>C000001810</t>
  </si>
  <si>
    <t>Tuấn II</t>
  </si>
  <si>
    <t>Pinaco / Đồng Nai - 1_x000D_
Thiên Năng - 9</t>
  </si>
  <si>
    <t>Ắc quy xe điện - Pa 12_14 - PINACO: 1.500.000, THIEN_NANG: 1.350.000</t>
  </si>
  <si>
    <t>khách không cho chụp kho hàng</t>
  </si>
  <si>
    <t>C000001808</t>
  </si>
  <si>
    <t>Tấn Thân</t>
  </si>
  <si>
    <t>Ắc quy xe máy - ptz5l - PINACO: 230.000, GS: 240.000_x000D_
Ắc quy xe máy - ptz6l - PINACO: 350.000, GS: 340.000</t>
  </si>
  <si>
    <t>khách không cho chụp kho</t>
  </si>
  <si>
    <t>C000001806</t>
  </si>
  <si>
    <t>Tư Quang</t>
  </si>
  <si>
    <t>Ắc quy xe máy - ptz5l - PINACO: 260.000, GS: 270.000_x000D_
Ắc quy xe máy - ptz6hl - PINACO: 320.000, GS: 310.000</t>
  </si>
  <si>
    <t>Chất lượng cần cải thiện .giá ưu đãi nhìu hơn</t>
  </si>
  <si>
    <t>C000001977</t>
  </si>
  <si>
    <t>Anh Duẩn</t>
  </si>
  <si>
    <t>Ắc quy xe máy - PTZ5L  - PINACO: 235.000</t>
  </si>
  <si>
    <t>Khách ko cho vô kho</t>
  </si>
  <si>
    <t>C000002442</t>
  </si>
  <si>
    <t>Hội Hằng</t>
  </si>
  <si>
    <t>Ắc quy xe máy - Ptz5l  - PINACO: 2.450</t>
  </si>
  <si>
    <t>C000037718</t>
  </si>
  <si>
    <t>Sx Thành</t>
  </si>
  <si>
    <t>C000002433</t>
  </si>
  <si>
    <t>C000017750</t>
  </si>
  <si>
    <t>Anh Bình</t>
  </si>
  <si>
    <t>Ắc quy oto - N100 - PINACO: 2.100.000, GS: 2.100.000</t>
  </si>
  <si>
    <t xml:space="preserve">Không </t>
  </si>
  <si>
    <t>C000003391</t>
  </si>
  <si>
    <t>Pinaco / Đồng Nai - 2_x000D_
Enimac - 4_x000D_
Nhãn hiệu khác - 4</t>
  </si>
  <si>
    <t>Ắc quy xe máy - Ptz5l  - PINACO: 245, ENIMAC: 2.240, OTHER: 240</t>
  </si>
  <si>
    <t>C000017642</t>
  </si>
  <si>
    <t>Anh Trung</t>
  </si>
  <si>
    <t>Gara ô tô - N100 - PINACO: 2.000.000</t>
  </si>
  <si>
    <t>Tăng Phú</t>
  </si>
  <si>
    <t>C000025178</t>
  </si>
  <si>
    <t>C000001966</t>
  </si>
  <si>
    <t>Ắc quy oto - N100 - PINACO: 2.050.000, ENIMAC: 2.000.000</t>
  </si>
  <si>
    <t xml:space="preserve">Khách hàng không đồng ý chụp hình kho hàng </t>
  </si>
  <si>
    <t>C000002155</t>
  </si>
  <si>
    <t>Định Hà</t>
  </si>
  <si>
    <t>Bán lẻ: 66%; Bán sỉ: 34%</t>
  </si>
  <si>
    <t>Ắc quy xe máy - Ptz5l  - PINACO: 240, GS: 250</t>
  </si>
  <si>
    <t>C000001690</t>
  </si>
  <si>
    <t>Ắc quy xe máy - PTZ5L - PINACO: 280.000_x000D_
Ắc quy xe máy - PTZ6HL - PINACO: 320.000_x000D_
Ắc quy xe máy - PTZ6L - PINACO: 360.000_x000D_
Ắc quy xe máy - PTZ7L - PINACO: 450.000_x000D_
Ắc quy xe máy - PTZ9 - PINACO: 495.000</t>
  </si>
  <si>
    <t>Vũ Hữu Chiến</t>
  </si>
  <si>
    <t>CÔNG TY TNHH MTV PHỐ HƯNG THỊNH</t>
  </si>
  <si>
    <t>C000036812</t>
  </si>
  <si>
    <t>Tân Tuấn</t>
  </si>
  <si>
    <t>Pinaco / Đồng Nai - 3_x000D_
GS - 2_x000D_
Ắc quy ngoại nhập - 5</t>
  </si>
  <si>
    <t>Ắc quy oto - N100 - PINACO: 2.100.000, GS: 2.150.000, NGOAI_NHAP: 2.200.000</t>
  </si>
  <si>
    <t>C000001697</t>
  </si>
  <si>
    <t>PT Tri Thức 3</t>
  </si>
  <si>
    <t>Ắc quy xe máy - PTX5L - PINACO: 210.000, GS: 225.000, GLOBE: 210.000_x000D_
Ắc quy xe máy - PTX6HL - PINACO: 230.000, GS: 250.000, GLOBE: 230.000_x000D_
Ắc quy xe máy - PTZ6L - PINACO: 265.000, GS: 280.000, GLOBE: 265.000</t>
  </si>
  <si>
    <t>C000001492</t>
  </si>
  <si>
    <t>Bảo Long Phát (Cảnh)</t>
  </si>
  <si>
    <t>Ắc quy xe tải - 90D26L - PINACO: 1.750.000, GS: 1.750.000</t>
  </si>
  <si>
    <t>C000040468</t>
  </si>
  <si>
    <t>Xe Đ Đ Cô Phương</t>
  </si>
  <si>
    <t>Pinaco / Đồng Nai - 2_x000D_
Thiên Năng - 1_x000D_
Xupai - 2_x000D_
Nhãn hiệu khác - 5</t>
  </si>
  <si>
    <t>Ắc quy xe điện - PA 12 - 14 - PINACO: 410.000, THIEN_NANG: 380.000, XUPAI: 380.000, OTHER: 340.000</t>
  </si>
  <si>
    <t>C000018202</t>
  </si>
  <si>
    <t>Chinh Vân</t>
  </si>
  <si>
    <t>Pinaco / Đồng Nai - 1_x000D_
GS - 7_x000D_
Enimac - 2</t>
  </si>
  <si>
    <t>Ắc quy xe tải - 90D26L - PINACO: 1.750.000, GS: 1.750.000, ENIMAC: 1.650.000</t>
  </si>
  <si>
    <t>C000001507</t>
  </si>
  <si>
    <t>Nguyễn Tâm</t>
  </si>
  <si>
    <t>Ắc quy oto - 50B24L - PINACO: 1.300.000, GS: 1.350.000</t>
  </si>
  <si>
    <t>C000001512</t>
  </si>
  <si>
    <t>Tuấn Phát</t>
  </si>
  <si>
    <t>Ắc quy xe tải - 105D31L - PINACO: 2.100.000, GS: 2.100.000</t>
  </si>
  <si>
    <t>C000001696</t>
  </si>
  <si>
    <t>PT Minh Cảnh</t>
  </si>
  <si>
    <t>Ắc quy xe máy - PTX5L - PINACO: 210.000, GS: 220.000, GLOBE: 210.000_x000D_
Ắc quy xe máy - PTX6HL - PINACO: 230.000, GS: 240.000, GLOBE: 230.000</t>
  </si>
  <si>
    <t xml:space="preserve">Có thêm quà tặng, chương trình khuyến mãi </t>
  </si>
  <si>
    <t>C000018075</t>
  </si>
  <si>
    <t>PT Ngọc Dương</t>
  </si>
  <si>
    <t>Ắc quy xe máy - Ptz6liss - GS: 195.000, GLOBE: 175.000</t>
  </si>
  <si>
    <t>Ko có ý kiến</t>
  </si>
  <si>
    <t>Nguyễn Đức Nhạ</t>
  </si>
  <si>
    <t>C000039093</t>
  </si>
  <si>
    <t>Ắc Quy An Phát</t>
  </si>
  <si>
    <t>Ắc quy oto - 90D26L - PINACO: 1.750.000, GS: 1.750.000, NGOAI_NHAP: 1.800.000</t>
  </si>
  <si>
    <t>C000001883</t>
  </si>
  <si>
    <t>Duy Phương</t>
  </si>
  <si>
    <t>Ắc quy xe điện - pa 12-14 - PINACO: 1.800.000, THIEN_NANG: 1.600.000</t>
  </si>
  <si>
    <t>C000001547</t>
  </si>
  <si>
    <t>Pinaco / Đồng Nai - 2_x000D_
GS - 5_x000D_
Ắc quy ngoại nhập - 3</t>
  </si>
  <si>
    <t>Ắc quy xe tải - 105D31L - PINACO: 2.100.000, GS: 2.100.000, NGOAI_NHAP: 2.200.000</t>
  </si>
  <si>
    <t>C000001546</t>
  </si>
  <si>
    <t>Long Hải</t>
  </si>
  <si>
    <t>Ắc quy xe tải - N100 - PINACO: 2.300.000, GS: 2.300.000</t>
  </si>
  <si>
    <t>C000001575</t>
  </si>
  <si>
    <t>PT Thanh Hưng</t>
  </si>
  <si>
    <t>Pinaco / Đồng Nai - 2_x000D_
GS - 6_x000D_
Globe - 1_x000D_
Nhãn hiệu khác - 1</t>
  </si>
  <si>
    <t>Ắc quy xe máy - PTX5L - PINACO: 210.000, GS: 220.000, GLOBE: 210.000, OTHER: 195.000_x000D_
Ắc quy xe điện - PA 12 - 14 - PINACO: 410.000, OTHER: 350.000</t>
  </si>
  <si>
    <t xml:space="preserve">Có thêm nhiều chương trình khuyến mãi </t>
  </si>
  <si>
    <t>C000025218</t>
  </si>
  <si>
    <t>Thảo Sâm</t>
  </si>
  <si>
    <t>C000001878</t>
  </si>
  <si>
    <t>Ắc quy xe máy - ptz5l - PINACO: 240.000, GS: 250.000</t>
  </si>
  <si>
    <t>C000001527</t>
  </si>
  <si>
    <t>Bá Tòng</t>
  </si>
  <si>
    <t>Ắc quy xe tải - 31800 - PINACO: 2.400.000, GS: 2.300.000</t>
  </si>
  <si>
    <t>C000001526</t>
  </si>
  <si>
    <t>Hiệp chi</t>
  </si>
  <si>
    <t>Ắc quy oto - N70 - PINACO: 1.650.000, GS: 1.550.000</t>
  </si>
  <si>
    <t>C000024375</t>
  </si>
  <si>
    <t>Hai Đảo</t>
  </si>
  <si>
    <t>C000017309</t>
  </si>
  <si>
    <t>Anh Có</t>
  </si>
  <si>
    <t>Ắc quy oto - N100 - PINACO: 2.050.000, GS: 2.100.000, ENIMAC: 2.000.000</t>
  </si>
  <si>
    <t>C000038213</t>
  </si>
  <si>
    <t>Công Minh</t>
  </si>
  <si>
    <t>Ắc quy xe tải - 105D31L - PINACO: 2.000.000, GS: 2.100.000</t>
  </si>
  <si>
    <t>C000001886</t>
  </si>
  <si>
    <t>Hoàng Phát</t>
  </si>
  <si>
    <t>Ắc quy xe máy - ptz5l - PINACO: 230.000, GS: 240.000_x000D_
Ắc quy xe máy - ptz6hl - PINACO: 240.000, GS: 250.000</t>
  </si>
  <si>
    <t>chất lượng cần cải tiến hơn.khách không cho chụp kho hàng</t>
  </si>
  <si>
    <t>C000040158</t>
  </si>
  <si>
    <t>Cửa Hàng: Kim Bình</t>
  </si>
  <si>
    <t>Khách ko cho vô chụp kho</t>
  </si>
  <si>
    <t>C000002033</t>
  </si>
  <si>
    <t>Anh Duy</t>
  </si>
  <si>
    <t>Pinaco / Đồng Nai - 2_x000D_
GS - 2_x000D_
Enimac - 2_x000D_
Ắc quy ngoại nhập - 4</t>
  </si>
  <si>
    <t>Ắc quy oto - N100 - PINACO: 2.000.000, GS: 2.050.000, ENIMAC: 2.000.000</t>
  </si>
  <si>
    <t>C000001865</t>
  </si>
  <si>
    <t>Thảnh Phúc</t>
  </si>
  <si>
    <t>Ắc quy xe máy - ptz5l - PINACO: 240.000, GS: 230.000</t>
  </si>
  <si>
    <t>khách không cho chụp hình</t>
  </si>
  <si>
    <t>C000001718</t>
  </si>
  <si>
    <t>PT Dũng Hạnh</t>
  </si>
  <si>
    <t>Ắc quy xe máy - PTZ5L - PINACO: 220.000, GS: 230.000_x000D_
Ắc quy xe máy - PTZ6HL - PINACO: 240.000, GS: 250.000_x000D_
Ắc quy xe máy - PTZ6L - PINACO: 270.000, GS: 290.000</t>
  </si>
  <si>
    <t>C000038244</t>
  </si>
  <si>
    <t>XE Đạp Điện Lợi</t>
  </si>
  <si>
    <t>Ắc quy xe điện - PA 12_14 - PINACO: 400.000, THIEN_NANG: 350.000_x000D_
Ắc quy xe điện - PA 12_23 - PINACO: 650.000, THIEN_NANG: 570.000</t>
  </si>
  <si>
    <t>Không có ý kiến</t>
  </si>
  <si>
    <t>C000039094</t>
  </si>
  <si>
    <t>Ắc quy Chú Sơn</t>
  </si>
  <si>
    <t>Ắc quy xe máy - Ptz5l - PINACO: 260.000, GS: 290.000_x000D_
Ắc quy xe điện - PA 12_14 - PINACO: 400.000</t>
  </si>
  <si>
    <t>C000001670</t>
  </si>
  <si>
    <t>PT Khải Hoàn</t>
  </si>
  <si>
    <t>Pinaco / Đồng Nai - 3_x000D_
GS - 6_x000D_
Thiên Năng - 1</t>
  </si>
  <si>
    <t>Ắc quy xe máy - PTZ5L - PINACO: 230.000, GS: 250.000_x000D_
Ắc quy xe máy - PTZ6HL - PINACO: 240.000, GS: 260.000_x000D_
Ắc quy xe điện - PA 12 - 14 - PINACO: 410.000, THIEN_NANG: 360.000</t>
  </si>
  <si>
    <t>Cần nâng cao chất lượng sản phẩm bình ăcquy xe đạp điện (bị lỏng cọc )</t>
  </si>
  <si>
    <t>C000018180</t>
  </si>
  <si>
    <t>Ngọc Tùng</t>
  </si>
  <si>
    <t>C000032975</t>
  </si>
  <si>
    <t>Sửa xe quân</t>
  </si>
  <si>
    <t>Ắc quy xe máy - PTZ6L  - PINACO: 300.000</t>
  </si>
  <si>
    <t>C000002048</t>
  </si>
  <si>
    <t>Thanh Bảo</t>
  </si>
  <si>
    <t>Ắc quy xe máy - PTZ6HL  - PINACO: 235.000</t>
  </si>
  <si>
    <t xml:space="preserve">Khách ko cho vô kho chụp ảnh </t>
  </si>
  <si>
    <t>C000002023</t>
  </si>
  <si>
    <t>Văn Lường</t>
  </si>
  <si>
    <t>Ắc quy xe máy - PTX5L - PINACO: 230.000</t>
  </si>
  <si>
    <t>C000002047</t>
  </si>
  <si>
    <t>C000002027</t>
  </si>
  <si>
    <t>Cô Nhiều</t>
  </si>
  <si>
    <t>Ắc quy xe máy - PTZ5L  - GS: 240.000, PINACO: 230.000</t>
  </si>
  <si>
    <t>C000002049</t>
  </si>
  <si>
    <t>Ắc quy oto - N100 - PINACO: 1.900.000, GS: 1.900.000_x000D_
Ắc quy oto - N70 - PINACO: 1.450.000, GS: 1.450.000</t>
  </si>
  <si>
    <t>C000002123</t>
  </si>
  <si>
    <t>Ắc quy xe máy - PTZ6HL  - PINACO: 300.000_x000D_
Ắc quy xe máy - PTZ6L  - PINACO: 340.000_x000D_
Ắc quy xe máy - PTZ7A - PINACO: 430.000</t>
  </si>
  <si>
    <t>C000002117</t>
  </si>
  <si>
    <t>Xuân Thảo</t>
  </si>
  <si>
    <t>Ắc quy xe máy - PTZ6HL  - PINACO: 300.000_x000D_
Ắc quy xe máy - PTZ5L  - PINACO: 270.000_x000D_
Ắc quy xe máy - PTZ6L  - PINACO: 340.000</t>
  </si>
  <si>
    <t>C000037974</t>
  </si>
  <si>
    <t>Quang Đăng Phát</t>
  </si>
  <si>
    <t>Ắc quy oto - 50B24L - PINACO: 1.300.000, GS: 1.300.000, NGOAI_NHAP: 1.350.000</t>
  </si>
  <si>
    <t>C000001520</t>
  </si>
  <si>
    <t>Thành Lư</t>
  </si>
  <si>
    <t>Pinaco / Đồng Nai - 1_x000D_
GS - 5_x000D_
Ắc quy ngoại nhập - 4</t>
  </si>
  <si>
    <t>Ắc quy oto - 50B24LS - PINACO: 1.300.000, GS: 1.350.000, NGOAI_NHAP: 1.400.000</t>
  </si>
  <si>
    <t>C000039100</t>
  </si>
  <si>
    <t>Xe đạp điện Phương Đông</t>
  </si>
  <si>
    <t>Pinaco / Đồng Nai - 1_x000D_
Xupai - 9</t>
  </si>
  <si>
    <t>Ắc quy xe điện - Pa 12_14 - PINACO: 400.000, XUPAI: 380.000</t>
  </si>
  <si>
    <t>C000037924</t>
  </si>
  <si>
    <t>Xe Đạp Điện Phương Đông</t>
  </si>
  <si>
    <t>Pinaco / Đồng Nai - 3_x000D_
Xupai - 2_x000D_
Thiên Năng - 1_x000D_
Nhãn hiệu khác - 4</t>
  </si>
  <si>
    <t>Ắc quy xe điện - PA 12 - 14 - PINACO: 390.000, XUPAI: 350.000, THIEN_NANG: 350.000, OTHER: 330.000</t>
  </si>
  <si>
    <t xml:space="preserve">Cần cải thiện nâng cao chất lượng nhiều hơn </t>
  </si>
  <si>
    <t>C000002470</t>
  </si>
  <si>
    <t>Phước</t>
  </si>
  <si>
    <t>Ắc quy xe máy - Ptz5l  - PINACO: 250</t>
  </si>
  <si>
    <t>C000017786</t>
  </si>
  <si>
    <t>Cường</t>
  </si>
  <si>
    <t>C000002486</t>
  </si>
  <si>
    <t>Vượng</t>
  </si>
  <si>
    <t xml:space="preserve">Tiệm nghỉ sửa xe không còn làm </t>
  </si>
  <si>
    <t>C000002488</t>
  </si>
  <si>
    <t>Tư Đáng</t>
  </si>
  <si>
    <t>Ắc quy xe máy - Ptz5l  - PINACO: 260</t>
  </si>
  <si>
    <t>C000024692</t>
  </si>
  <si>
    <t>Pt nghĩa</t>
  </si>
  <si>
    <t>Ắc quy xe máy - Ptz6hl  - PINACO: 245</t>
  </si>
  <si>
    <t>C000039153</t>
  </si>
  <si>
    <t>Anh Tiến</t>
  </si>
  <si>
    <t>Ắc quy xe máy - PTZ7L - PINACO: 400.000</t>
  </si>
  <si>
    <t>C000002477</t>
  </si>
  <si>
    <t>Nguyễn Huệ</t>
  </si>
  <si>
    <t xml:space="preserve">Không có kho hàng </t>
  </si>
  <si>
    <t>C000002063</t>
  </si>
  <si>
    <t>Sửa xe Tỷ</t>
  </si>
  <si>
    <t>Ắc quy xe máy - PTZ6L - PINACO: 320.000, ENIMAC: 320.000</t>
  </si>
  <si>
    <t>C000002482</t>
  </si>
  <si>
    <t>Ngọc Thuận</t>
  </si>
  <si>
    <t>C000002058</t>
  </si>
  <si>
    <t>Ắc quy oto - N100 - PINACO: 2.000.000, GS: 2.050.000, NGOAI_NHAP: 2.100.000</t>
  </si>
  <si>
    <t>C000040469</t>
  </si>
  <si>
    <t>Xe đạp điện Phương Nam</t>
  </si>
  <si>
    <t>Ắc quy xe điện - Pa12_14 - PINACO: 410.000, THIEN_NANG: 360.000</t>
  </si>
  <si>
    <t>Điều chỉnh giảm giá Thanh toán</t>
  </si>
  <si>
    <t>C000001993</t>
  </si>
  <si>
    <t>Tiệm điện Giàu</t>
  </si>
  <si>
    <t>Ắc quy oto - N120 - PINACO: 2.550.000</t>
  </si>
  <si>
    <t>C000040546</t>
  </si>
  <si>
    <t>Quang Đăng Phát 2</t>
  </si>
  <si>
    <t>Ắc quy oto - 90D26L - PINACO: 1.700.000, GS: 1.750.000, NGOAI_NHAP: 1.750.000</t>
  </si>
  <si>
    <t>C000032930</t>
  </si>
  <si>
    <t>Đạt</t>
  </si>
  <si>
    <t>Ắc quy dân dụng - N30 - PINACO: 800.000_x000D_
Ắc quy dân dụng - N28 - PINACO: 750.000</t>
  </si>
  <si>
    <t>C000017785</t>
  </si>
  <si>
    <t>PT Nam</t>
  </si>
  <si>
    <t>Ắc quy xe máy - Ptz5l  - PINACO: 235, GS: 250</t>
  </si>
  <si>
    <t>C000040156</t>
  </si>
  <si>
    <t>Xe Điện Trung</t>
  </si>
  <si>
    <t>Pinaco / Đồng Nai - 4_x000D_
Ắc quy ngoại nhập - 4_x000D_
Xupai - 2</t>
  </si>
  <si>
    <t>Ắc quy xe điện - 12-14 - PINACO: 450.000, NGOAI_NHAP: 400.000, XUPAI: 420.000</t>
  </si>
  <si>
    <t>C000001481</t>
  </si>
  <si>
    <t>Hoàng Nghĩa</t>
  </si>
  <si>
    <t>Ắc quy xe tải - N100 - PINACO: 2.000.000, GS: 2.000.000</t>
  </si>
  <si>
    <t>C000017783</t>
  </si>
  <si>
    <t>Tuyết Việt</t>
  </si>
  <si>
    <t>Ắc quy xe máy - Ptz5l  - PINACO: 240</t>
  </si>
  <si>
    <t>C000001483</t>
  </si>
  <si>
    <t>CH Trung</t>
  </si>
  <si>
    <t>Ắc quy oto - Din45 - PINACO: 1.500.000, GS: 1.500.000, NGOAI_NHAP: 1.600.000</t>
  </si>
  <si>
    <t>C000002450</t>
  </si>
  <si>
    <t>Đức Phước</t>
  </si>
  <si>
    <t>Ắc quy xe máy - Ptz6hl  - PINACO: 260, ENIMAC: 240</t>
  </si>
  <si>
    <t>C000001828</t>
  </si>
  <si>
    <t>Nhật Thành</t>
  </si>
  <si>
    <t>Ắc quy xe máy - ptx6hl - PINACO: 260.000, GS: 250.000</t>
  </si>
  <si>
    <t>chất lượng cần cải thiện hơn.giá cả cần tốt hơn</t>
  </si>
  <si>
    <t>C000037726</t>
  </si>
  <si>
    <t>ăc quy Anh Thành</t>
  </si>
  <si>
    <t>Pinaco / Đồng Nai - 5_x000D_
GS - 5_x000D_
Enimac - 0</t>
  </si>
  <si>
    <t>Ắc quy xe máy - Ptz5l - PINACO: 260.000, GS: 280.000_x000D_
Ắc quy xe máy - Ptz6hl - PINACO: 290.000, GS: 300.000_x000D_
Ắc quy xe máy - Ptz6liss - PINACO: 320.000, GS: 360.000</t>
  </si>
  <si>
    <t>Giảm chương trình khuyến mãi: giảm chiết khấu để tặng bia. Ko nên có chương trình quay số: chúc may mắn lần sau</t>
  </si>
  <si>
    <t>C000002452</t>
  </si>
  <si>
    <t>Phúc Hoa</t>
  </si>
  <si>
    <t>C000002453</t>
  </si>
  <si>
    <t>Tài Lộc</t>
  </si>
  <si>
    <t>C000017686</t>
  </si>
  <si>
    <t>Hoàn Thiện</t>
  </si>
  <si>
    <t>C000038245</t>
  </si>
  <si>
    <t>Ắc Quy Tiến Hùng</t>
  </si>
  <si>
    <t>Ắc quy xe máy - ptz5l - PINACO: 230.000, GS: 240.000, GLOBE: 240.000_x000D_
Ắc quy xe máy - WTZ6v - PINACO: 250.000, GS: 270.000, GLOBE: 260.000</t>
  </si>
  <si>
    <t>Chương trình khuyến mãi cần tốt hơn.chất lượng cần nâng cao hơn</t>
  </si>
  <si>
    <t>C000002098</t>
  </si>
  <si>
    <t>Huyền Sơn</t>
  </si>
  <si>
    <t>Ắc quy xe máy - Ptx6hl  - PINACO: 2.800.000, GS: 300.000_x000D_
Ắc quy xe máy - Ptx5l  - PINACO: 260.000, GS: 280.000</t>
  </si>
  <si>
    <t>C000001880</t>
  </si>
  <si>
    <t>Thanh Sơn</t>
  </si>
  <si>
    <t>Ắc quy xe máy - ptx5l - PINACO: 220.000, GS: 230.000_x000D_
Ắc quy xe máy - ptz6hl - PINACO: 260.000, GS: 250.000</t>
  </si>
  <si>
    <t>chất lượng cần cải thiện.giá cả  cần ổn định hơn</t>
  </si>
  <si>
    <t>C000001622</t>
  </si>
  <si>
    <t>Quang Huy</t>
  </si>
  <si>
    <t>Ắc quy xe máy - PTX5L - PINACO: 205.000, GS: 215.000, GLOBE: 205.000_x000D_
Ắc quy xe máy - PTX6HL - PINACO: 220.000, GS: 230.000, GLOBE: 220.000</t>
  </si>
  <si>
    <t xml:space="preserve">Có thêm nhiều quà tặng và chương trình khuyến mãi </t>
  </si>
  <si>
    <t>C000001482</t>
  </si>
  <si>
    <t>CH Liêm</t>
  </si>
  <si>
    <t>C000002101</t>
  </si>
  <si>
    <t>Lan Dũng</t>
  </si>
  <si>
    <t>Ắc quy xe máy - PTX6HL  - PINACO: 255.000_x000D_
Ắc quy xe máy - PTX5L  - PINACO: 230.000_x000D_
Ắc quy xe máy - PTZ6L  - PINACO: 275.000</t>
  </si>
  <si>
    <t>C000025460</t>
  </si>
  <si>
    <t>CH Sỹ Hoa</t>
  </si>
  <si>
    <t>Pinaco / Đồng Nai - 2_x000D_
Ắc quy ngoại nhập - 2_x000D_
GS - 5_x000D_
Nhãn hiệu khác - 1</t>
  </si>
  <si>
    <t>Ắc quy oto - 90D26L - PINACO: 1.750.000, NGOAI_NHAP: 1.750.000, GS: 1.750.000, OTHER: 1.650.000</t>
  </si>
  <si>
    <t>C000001698</t>
  </si>
  <si>
    <t>PT Quang Phát</t>
  </si>
  <si>
    <t>Pinaco / Đồng Nai - 7_x000D_
GS - 2_x000D_
Globe - 1</t>
  </si>
  <si>
    <t>Ắc quy xe máy - PTX5L - PINACO: 210.000, GS: 220.000, GLOBE: 210.000</t>
  </si>
  <si>
    <t xml:space="preserve">Có thêm nhiều chương trình quà tặng, khuyến mãi </t>
  </si>
  <si>
    <t>C000037283</t>
  </si>
  <si>
    <t>Ắc Quy Thoa Thanh</t>
  </si>
  <si>
    <t>Ắc quy xe máy - PTZ5L - PINACO: 320.000, GS: 330.000_x000D_
Ắc quy xe máy - PTZ6HL  - PINACO: 330.000, GS: 340.000_x000D_
Ắc quy xe máy - PTZ6L - PINACO: 350.000, GS: 360.000</t>
  </si>
  <si>
    <t xml:space="preserve">Cần Cải thiện chất lượng nhiều hơn </t>
  </si>
  <si>
    <t>C000001824</t>
  </si>
  <si>
    <t>Ba Chương</t>
  </si>
  <si>
    <t>Ắc quy xe máy - ptz5l - PINACO: 260.000, GS: 270.000</t>
  </si>
  <si>
    <t>Giá cả cần ổn định hơn</t>
  </si>
  <si>
    <t>C000039167</t>
  </si>
  <si>
    <t>Cửa Hàng Quang Vân</t>
  </si>
  <si>
    <t>Ắc quy xe máy - ptx5l - PINACO: 230.000_x000D_
Ắc quy xe máy - ptz6hl - PINACO: 240.000</t>
  </si>
  <si>
    <t>C000035607</t>
  </si>
  <si>
    <t>Thiện thành</t>
  </si>
  <si>
    <t>Ắc quy xe máy - PTZ6HL  - PINACO: 235.000, GS: 240.000</t>
  </si>
  <si>
    <t>C000039166</t>
  </si>
  <si>
    <t>Cửa Hàng Minh Hiền</t>
  </si>
  <si>
    <t>Ắc quy xe máy - ptz6hl - PINACO: 280.000, GS: 310.000</t>
  </si>
  <si>
    <t>cần cải thiện chất lượng hơn nữa</t>
  </si>
  <si>
    <t>C000033214</t>
  </si>
  <si>
    <t>Sx Hữu Toàn</t>
  </si>
  <si>
    <t>Ắc quy xe máy - PTZ5L - PINACO: 310.000_x000D_
Ắc quy xe máy - PTZ6HL - PINACO: 330.000_x000D_
Ắc quy xe máy - PTZ6L - PINACO: 360.000</t>
  </si>
  <si>
    <t xml:space="preserve">Thêm nhiều chương trình và quà tặng </t>
  </si>
  <si>
    <t>C000001807</t>
  </si>
  <si>
    <t>Tấn Hồi</t>
  </si>
  <si>
    <t>Ắc quy xe tải - n150 - PINACO: 3.000.000, GS: 2.800.000</t>
  </si>
  <si>
    <t>Chương trình khuyến mã cần rõ ràng hơn.nên chia chiết khấu về 1 quy cách.Giá nhìu sản phẩm chủng loại khác nhau khó nhớ</t>
  </si>
  <si>
    <t>Trần Hữu Cường</t>
  </si>
  <si>
    <t>CÔNG TY TNHH ĐẦU TƯ THƯƠNG MẠI VẬN TẢI MINH TRÍ</t>
  </si>
  <si>
    <t>C000003389</t>
  </si>
  <si>
    <t>Xuân Hoàng</t>
  </si>
  <si>
    <t>Ắc quy xe máy - Ptz5l  - PINACO: 240, OTHER: 220</t>
  </si>
  <si>
    <t>Không cao kho hàng</t>
  </si>
  <si>
    <t>C000003390</t>
  </si>
  <si>
    <t>Nga Tường</t>
  </si>
  <si>
    <t>Ắc quy xe máy - Ptz5l  - PINACO: 235, GS: 255</t>
  </si>
  <si>
    <t>C000018978</t>
  </si>
  <si>
    <t>Nghĩa Thái</t>
  </si>
  <si>
    <t>Ắc quy oto - N100 - PINACO: 2.000.000, GS: 1.850.000</t>
  </si>
  <si>
    <t xml:space="preserve">Cần tập khuyễn mai về 1 giá.để khách dễ nắm ck </t>
  </si>
  <si>
    <t>C000033211</t>
  </si>
  <si>
    <t>Sửa xe Hải</t>
  </si>
  <si>
    <t>C000002399</t>
  </si>
  <si>
    <t>Thắng</t>
  </si>
  <si>
    <t>C000002262</t>
  </si>
  <si>
    <t>Thái Nguyên</t>
  </si>
  <si>
    <t>Ắc quy xe tải - 90D26 - PINACO: 1.850.000, GS: 1.940.000</t>
  </si>
  <si>
    <t>C000001494</t>
  </si>
  <si>
    <t>Hoàng Thông</t>
  </si>
  <si>
    <t>GS - 3_x000D_
Enimac - 2_x000D_
Globe - 1_x000D_
Ắc quy ngoại nhập - 4</t>
  </si>
  <si>
    <t>Ắc quy oto - N100 - GS: 2.100.000, ENIMAC: 2.050.000, GLOBE: 2.050.000, NGOAI_NHAP: 2.100.000</t>
  </si>
  <si>
    <t>C000035604</t>
  </si>
  <si>
    <t>Minh thành</t>
  </si>
  <si>
    <t>Ắc quy xe máy - PTZ6HL  - PINACO: 250.000, GS: 250.000</t>
  </si>
  <si>
    <t>Chủ cửa hàng Không cho chụp kho</t>
  </si>
  <si>
    <t>C000024232</t>
  </si>
  <si>
    <t>Minh Khang Phát</t>
  </si>
  <si>
    <t>Pinaco / Đồng Nai - 2_x000D_
GS - 2_x000D_
Enimac - 5_x000D_
Globe - 1</t>
  </si>
  <si>
    <t>Ắc quy xe tải - 31S800 - PINACO: 2.250.000, GS: 2.250.000, ENIMAC: 2.200.000</t>
  </si>
  <si>
    <t>C000001491</t>
  </si>
  <si>
    <t>Hoàng Hiệp Phát ( Đáng)</t>
  </si>
  <si>
    <t>Ắc quy xe tải - 105D31L - PINACO: 2.050.000, GS: 2.050.000</t>
  </si>
  <si>
    <t>C000037922</t>
  </si>
  <si>
    <t>Xe Đạp Điện Song Long</t>
  </si>
  <si>
    <t>Pinaco / Đồng Nai - 4_x000D_
Xupai - 2_x000D_
Thiên Năng - 1_x000D_
Nhãn hiệu khác - 3</t>
  </si>
  <si>
    <t>C000001885</t>
  </si>
  <si>
    <t>Minh Hồng</t>
  </si>
  <si>
    <t>Ắc quy xe máy - ptz6hl - PINACO: 270.000, GS: 280.000</t>
  </si>
  <si>
    <t>tập trung vào giá.ít làm nhìu trương trính khó theo dõi</t>
  </si>
  <si>
    <t>C000001968</t>
  </si>
  <si>
    <t>Xuân Vũ</t>
  </si>
  <si>
    <t>C000037727</t>
  </si>
  <si>
    <t>sx Đăng Khoa</t>
  </si>
  <si>
    <t>Ắc quy xe máy - Ptz6liss - PINACO: 350.000, GLOBE: 0_x000D_
Ắc quy xe máy - Ptx5l - PINACO: 280.000, GLOBE: 0_x000D_
Ắc quy xe máy - Ptz9 - GLOBE: 450.000, PINACO: 0</t>
  </si>
  <si>
    <t>C000025219</t>
  </si>
  <si>
    <t>Hằng Hồng</t>
  </si>
  <si>
    <t>C000002126</t>
  </si>
  <si>
    <t>Thành 155</t>
  </si>
  <si>
    <t>Ắc quy oto - N100 - PINACO: 1.950.000, GS: 1.950.000_x000D_
Ắc quy oto - N150 - PINACO: 3.000.000, GS: 3.000.000_x000D_
Ắc quy oto - 31800 - PINACO: 2.250.000, GS: 2.250.000_x000D_
Ắc quy oto - DIN45 - PINACO: 1.400.000, GS: 1.500.000_x000D_
Ắc quy dân dụng - N20 - PINACO: 630.000_x000D_
Ắc quy dân dụng - N25 - PINACO: 730.000_x000D_
Ắc quy dân dụng - N28 - PINACO: 780.000_x000D_
Ắc quy dân dụng - N30 - PINACO: 830.000</t>
  </si>
  <si>
    <t>C000037841</t>
  </si>
  <si>
    <t>Hòa Phát 2</t>
  </si>
  <si>
    <t>Pinaco / Đồng Nai - 4_x000D_
GS - 5_x000D_
Enimac - 1</t>
  </si>
  <si>
    <t>Ắc quy xe tải - 31S800 - PINACO: 2.300.000, GS: 2.300.000, ENIMAC: 2.200.000</t>
  </si>
  <si>
    <t>C000002156</t>
  </si>
  <si>
    <t>Ánh Thúy</t>
  </si>
  <si>
    <t>Ắc quy xe máy - Ptz5l  - PINACO: 240, GS: 260</t>
  </si>
  <si>
    <t>C000033640</t>
  </si>
  <si>
    <t>PT Yến Nhi</t>
  </si>
  <si>
    <t>Bán lẻ: 13%; Bán sỉ: 87%</t>
  </si>
  <si>
    <t>Ắc quy xe máy - Ptx5l - PINACO: 210.000, GS: 215.000, GLOBE: 208.000_x000D_
Ắc quy xe máy - Ptz6liss - PINACO: 275.000, GS: 295.000, GLOBE: 270.000</t>
  </si>
  <si>
    <t>C000002413</t>
  </si>
  <si>
    <t>Xuân Dần</t>
  </si>
  <si>
    <t>Ắc quy xe máy - Ptz5l  - PINACO: 260, ENIMAC: 250</t>
  </si>
  <si>
    <t>C000037788</t>
  </si>
  <si>
    <t>PT Vũ Thức 2</t>
  </si>
  <si>
    <t>Pinaco / Đồng Nai - 1_x000D_
GS - 7_x000D_
Ắc quy ngoại nhập - 2</t>
  </si>
  <si>
    <t>Ắc quy xe máy - Ptx5l - PINACO: 210.000, GS: 220.000, NGOAI_NHAP: 180.000_x000D_
Ắc quy xe máy - Ptz6 liss - PINACO: 275.000, GS: 295.000, NGOAI_NHAP: 210.000</t>
  </si>
  <si>
    <t>C000025221</t>
  </si>
  <si>
    <t>Quang Vinh</t>
  </si>
  <si>
    <t>Pinaco / Đồng Nai - 3_x000D_
GS - 3_x000D_
Nhãn hiệu khác - 4</t>
  </si>
  <si>
    <t>Ắc quy xe máy - Ptz5l  - PINACO: 240, GS: 250, OTHER: 220</t>
  </si>
  <si>
    <t>C000026521</t>
  </si>
  <si>
    <t>Duy Tân Sơn Hà</t>
  </si>
  <si>
    <t>C000003387</t>
  </si>
  <si>
    <t>Ắc quy xe máy - Ptz5l  - PINACO: 235, GS: 245</t>
  </si>
  <si>
    <t>C000024371</t>
  </si>
  <si>
    <t>Phụng</t>
  </si>
  <si>
    <t>C000040875</t>
  </si>
  <si>
    <t>Xe Điện Anh Ba</t>
  </si>
  <si>
    <t>Ắc quy xe điện - TNEL 12-25 - PINACO: 2.400.000, THIEN_NANG: 2.600.000_x000D_
Ắc quy xe điện - 12.15 - PINACO: 1.600.000, THIEN_NANG: 1.500.000</t>
  </si>
  <si>
    <t>Giá chưa hợp lí so với các đối thủ</t>
  </si>
  <si>
    <t>C000002339</t>
  </si>
  <si>
    <t>Quang Trường</t>
  </si>
  <si>
    <t>Ắc quy xe máy - Ptz5l - PINACO: 230.000, GS: 260.000, NGOAI_NHAP: 220.000</t>
  </si>
  <si>
    <t>C000039161</t>
  </si>
  <si>
    <t>Ắc quy xe máy - PTZ6HL  - PINACO: 245.000, GS: 250.000</t>
  </si>
  <si>
    <t>C000002335</t>
  </si>
  <si>
    <t>Ba Thiện</t>
  </si>
  <si>
    <t>C000001522</t>
  </si>
  <si>
    <t>Phúc Nam</t>
  </si>
  <si>
    <t>Ắc quy oto - N100 - PINACO: 2.050.000, GS: 2.000.000</t>
  </si>
  <si>
    <t>C000001567</t>
  </si>
  <si>
    <t>Minh Trí Phát</t>
  </si>
  <si>
    <t>C000002575</t>
  </si>
  <si>
    <t>Vịnh Yến</t>
  </si>
  <si>
    <t>Pinaco / Đồng Nai - 3_x000D_
Enimac - 5_x000D_
GS - 2</t>
  </si>
  <si>
    <t>Ắc quy xe máy - Ptz5l  - PINACO: 240, ENIMAC: 210, GS: 250</t>
  </si>
  <si>
    <t>Không cho chụp kho</t>
  </si>
  <si>
    <t>C000001564</t>
  </si>
  <si>
    <t>Hào Hiệp</t>
  </si>
  <si>
    <t>Ắc quy xe tải - 90D26L - PINACO: 1.750.000, GS: 1.750.000, ENIMAC: 1.700.000</t>
  </si>
  <si>
    <t>C000003415</t>
  </si>
  <si>
    <t>PT Bé</t>
  </si>
  <si>
    <t>Ắc quy xe máy - Ptz6hl  - PINACO: 250, ENIMAC: 220</t>
  </si>
  <si>
    <t>Không cho chụp kho hàng</t>
  </si>
  <si>
    <t>C000003420</t>
  </si>
  <si>
    <t>Cao Cường</t>
  </si>
  <si>
    <t>Ắc quy xe máy - Ptz6hl - PINACO: 250</t>
  </si>
  <si>
    <t>C000017787</t>
  </si>
  <si>
    <t>Chị Hợi</t>
  </si>
  <si>
    <t>Ắc quy xe máy - Ptz5l - PINACO: 230, OTHER: 210</t>
  </si>
  <si>
    <t>Khách không cho chụp kho hàng và cửa hàng</t>
  </si>
  <si>
    <t>C000001610</t>
  </si>
  <si>
    <t>Hon Đa Bé</t>
  </si>
  <si>
    <t>Ắc quy xe máy - PTZ5L - PINACO: 320.000, GS: 330.000, GLOBE: 320.000_x000D_
Ắc quy xe máy - PTZ6HL - PINACO: 340.000, GS: 350.000, GLOBE: 340.000_x000D_
Ắc quy xe máy - PTZ6L - PINACO: 360.000, GS: 380.000, GLOBE: 350.000</t>
  </si>
  <si>
    <t>C000040467</t>
  </si>
  <si>
    <t>AQ Hương Chung</t>
  </si>
  <si>
    <t>Pinaco / Đồng Nai - 3_x000D_
GS - 5_x000D_
Yamato - 2</t>
  </si>
  <si>
    <t>Ắc quy xe máy - Ptz6liss - PINACO: 310.000, GS: 350.000_x000D_
Ắc quy xe điện - PA 12_14 - PINACO: 400.000, YAMATO: 350.000</t>
  </si>
  <si>
    <t>Nhiều mã của Pinaco giá cao hơn các hãng khác</t>
  </si>
  <si>
    <t>C000001523</t>
  </si>
  <si>
    <t>Nguyên Bình</t>
  </si>
  <si>
    <t>Ắc quy xe tải - 31800 - PINACO: 2.200.000, GS: 2.150.000, ENIMAC: 2.100.000</t>
  </si>
  <si>
    <t>C000025519</t>
  </si>
  <si>
    <t>Minh Phú Phát</t>
  </si>
  <si>
    <t>Ắc quy xe tải - 105D31R - PINACO: 1.950.000, GS: 1.950.000</t>
  </si>
  <si>
    <t>C000001537</t>
  </si>
  <si>
    <t>CH Tùng (Bến Cát)</t>
  </si>
  <si>
    <t>Ắc quy oto - 90D26L - PINACO: 1.750.000, GS: 1.750.000, NGOAI_NHAP: 1.900.000</t>
  </si>
  <si>
    <t>C000002517</t>
  </si>
  <si>
    <t>Hạnh Hiệp</t>
  </si>
  <si>
    <t>Ắc quy xe máy - Ptz6l - PINACO: 390, OTHER: 340</t>
  </si>
  <si>
    <t>C000002514</t>
  </si>
  <si>
    <t>Thái</t>
  </si>
  <si>
    <t>Ắc quy xe máy - Ptz5l  - PINACO: 260, OTHER: 240</t>
  </si>
  <si>
    <t>C000002121</t>
  </si>
  <si>
    <t>Huy Hùng</t>
  </si>
  <si>
    <t>Ắc quy oto - N100 - PINACO: 2.150.000_x000D_
Ắc quy xe tải - 105D31 - PINACO: 2.030.000, GS: 2.150.000_x000D_
Ắc quy xe tải - 31800 - PINACO: 2.380.000, GS: 2.550.000_x000D_
Ắc quy dân dụng - N30 - PINACO: 840.000_x000D_
Ắc quy dân dụng - N25 - PINACO: 770.000</t>
  </si>
  <si>
    <t>C000036989</t>
  </si>
  <si>
    <t>PT vy</t>
  </si>
  <si>
    <t>Bán lẻ: 3%; Bán sỉ: 97%</t>
  </si>
  <si>
    <t>Ắc quy xe máy - Ptz5l - PINACO: 230</t>
  </si>
  <si>
    <t>C000002134</t>
  </si>
  <si>
    <t>Đình Thi 3</t>
  </si>
  <si>
    <t>Ắc quy xe máy - PTZ6HL  - PINACO: 235.000, GS: 270.000_x000D_
Ắc quy xe máy - PTZ6L  - PINACO: 280.000, GS: 305.000_x000D_
Ắc quy xe máy - PTZ5L  - PINACO: 225.000, GS: 255.000</t>
  </si>
  <si>
    <t>C000002131</t>
  </si>
  <si>
    <t>Đức Lộc</t>
  </si>
  <si>
    <t>Ắc quy xe điện - PA12-14  - PINACO: 450.000</t>
  </si>
  <si>
    <t>C000001536</t>
  </si>
  <si>
    <t>Thanh Tùng (BC)</t>
  </si>
  <si>
    <t>C000023595</t>
  </si>
  <si>
    <t>Kim Hoàng Hợp</t>
  </si>
  <si>
    <t>Ắc quy oto - N100E - PINACO: 2.050.000_x000D_
Ắc quy oto - N100 - PINACO: 2.100.000</t>
  </si>
  <si>
    <t>C000001669</t>
  </si>
  <si>
    <t>PT Vũ Thức</t>
  </si>
  <si>
    <t>Ắc quy xe máy - PTX5L - PINACO: 210.000, GS: 220.000, OTHER: 195.000_x000D_
Ắc quy xe máy - PTX6HL - PINACO: 225.000, GS: 235.000, OTHER: 215.000</t>
  </si>
  <si>
    <t xml:space="preserve">Có thêm quà tặng và chương trình khuyến mãi </t>
  </si>
  <si>
    <t>C000017611</t>
  </si>
  <si>
    <t>PT Minh Duy</t>
  </si>
  <si>
    <t>C000001688</t>
  </si>
  <si>
    <t>Vinh Hiển 2</t>
  </si>
  <si>
    <t>Pinaco / Đồng Nai - 5_x000D_
GS - 2_x000D_
Nhãn hiệu khác - 3</t>
  </si>
  <si>
    <t>Ắc quy xe máy - PTZ5L - PINACO: 260.000, GS: 280.000, OTHER: 260.000</t>
  </si>
  <si>
    <t>C000037786</t>
  </si>
  <si>
    <t>PT Huy Đằng</t>
  </si>
  <si>
    <t>Ắc quy dân dụng - Ptx5l - PINACO: 208.000, GS: 220.000_x000D_
Ắc quy xe máy - Ptx6hl - PINACO: 225.000, GS: 235.000</t>
  </si>
  <si>
    <t>C000002044</t>
  </si>
  <si>
    <t>Tiến Dũng</t>
  </si>
  <si>
    <t>C000002109</t>
  </si>
  <si>
    <t>Honda Cường Tân Khai</t>
  </si>
  <si>
    <t>Ắc quy xe máy - PTZ6HL  - PINACO: 280.000_x000D_
Ắc quy xe máy - PTZ5L  - PINACO: 260.000</t>
  </si>
  <si>
    <t>C000003397</t>
  </si>
  <si>
    <t>Thanh Long</t>
  </si>
  <si>
    <t>Ắc quy xe máy - Pptz6hl - PINACO: 245, GS: 270</t>
  </si>
  <si>
    <t>C000002110</t>
  </si>
  <si>
    <t>Mười Nguyên</t>
  </si>
  <si>
    <t>Ắc quy xe máy - PTZ6HL  - PINACO: 280.000_x000D_
Ắc quy xe máy - PTZ6L  - PINACO: 350.000_x000D_
Ắc quy xe máy - PTZ5L  - PINACO: 260.000</t>
  </si>
  <si>
    <t>C000001671</t>
  </si>
  <si>
    <t>PT Phương Khanh</t>
  </si>
  <si>
    <t>Ắc quy xe máy - PTZ5L - PINACO: 220.000, GS: 230.000, GLOBE: 215.000_x000D_
Ắc quy xe máy - PTZ6HL - PINACO: 230.000, GS: 240.000, GLOBE: 225.000_x000D_
Ắc quy xe máy - PTZ6L - PINACO: 270.000, GS: 290.000, GLOBE: 260.000</t>
  </si>
  <si>
    <t xml:space="preserve">Có thêm nhiều quà tặng và chương trình khuyến mãi, cải thiện chất lượng bình xe đạp điện và xe máy điện </t>
  </si>
  <si>
    <t>C000003400</t>
  </si>
  <si>
    <t>Mô Tô Sang</t>
  </si>
  <si>
    <t>Ắc quy xe máy - Ptz6hl - PINACO: 280</t>
  </si>
  <si>
    <t>C000039744</t>
  </si>
  <si>
    <t>Ắc quy Nguyễn Phước</t>
  </si>
  <si>
    <t>Ắc quy xe máy - Ptz6hl - PINACO: 260.000, GS: 280.000_x000D_
Ắc quy xe máy - Ptz6Liss - PINACO: 310.000, GS: 350.000</t>
  </si>
  <si>
    <t>Chú ý đáy bình tuy mới nhưng dính dầu mỡ và trầy xước</t>
  </si>
  <si>
    <t>C000018474</t>
  </si>
  <si>
    <t>Bình Trọng 2</t>
  </si>
  <si>
    <t>Ắc quy xe tải - 105D31L - PINACO: 2.000.000, GS: 2.000.000</t>
  </si>
  <si>
    <t>C000037728</t>
  </si>
  <si>
    <t>PT Huyền Diệu</t>
  </si>
  <si>
    <t>Pinaco / Đồng Nai - 4_x000D_
GS - 6_x000D_
Xupai - 0_x000D_
Thiên Năng - 0</t>
  </si>
  <si>
    <t>Ắc quy xe máy - PTX5 - PINACO: 240.000, GS: 250.000_x000D_
Ắc quy xe máy - PTZ5 - PINACO: 250.000, GS: 260.000_x000D_
Ắc quy xe máy - PTZ6L - PINACO: 300.000, GS: 300.000_x000D_
Ắc quy xe điện - PA 12 - 14 - PINACO: 1.550.000, XUPAI: 1.400.000, THIEN_NANG: 1.450.000</t>
  </si>
  <si>
    <t>Có thêm nhiều quà tặng ,cần cải thiện chất lượng bình xe đạp điện, xe máy điện</t>
  </si>
  <si>
    <t>C000027440</t>
  </si>
  <si>
    <t>Ắc Quy Đức Hạnh</t>
  </si>
  <si>
    <t>Pinaco / Đồng Nai - 2_x000D_
GS - 5_x000D_
Nhãn hiệu khác - 3</t>
  </si>
  <si>
    <t>Ắc quy xe tải - 105D31L - PINACO: 2.000.000, GS: 2.000.000, OTHER: 2.200.000</t>
  </si>
  <si>
    <t>C000039157</t>
  </si>
  <si>
    <t>Tấn Phát</t>
  </si>
  <si>
    <t>Pinaco / Đồng Nai - 8_x000D_
GS - 1_x000D_
Enimac - 1</t>
  </si>
  <si>
    <t>Ắc quy oto - N100 - PINACO: 2.100.000, GS: 2.150.000, ENIMAC: 2.100.000</t>
  </si>
  <si>
    <t>C000019354</t>
  </si>
  <si>
    <t>CH Chinh Vân</t>
  </si>
  <si>
    <t>Pinaco / Đồng Nai - 3_x000D_
Enimac - 2_x000D_
GS - 3_x000D_
Nhãn hiệu khác - 2</t>
  </si>
  <si>
    <t>Ắc quy xe máy - PTZ5 - PINACO: 320.000, GS: 3.400.000, OTHER: 2.900.000</t>
  </si>
  <si>
    <t xml:space="preserve">Có thêm nhiều quà tặng </t>
  </si>
  <si>
    <t>C000037926</t>
  </si>
  <si>
    <t>Hòa Phát 3</t>
  </si>
  <si>
    <t>Ắc quy xe tải - 31800 - PINACO: 2.400.000, GS: 2.350.000, ENIMAC: 2.200.000</t>
  </si>
  <si>
    <t>C000002013</t>
  </si>
  <si>
    <t>Phú Thạnh</t>
  </si>
  <si>
    <t>Ắc quy xe máy - PTZ6HL  - PINACO: 240.000, ENIMAC: 240.000</t>
  </si>
  <si>
    <t>C000001717</t>
  </si>
  <si>
    <t>CH Phúc Thịnh</t>
  </si>
  <si>
    <t>Ắc quy xe máy - PTZ6L  - PINACO: 320.000, GS: 340.000_x000D_
Ắc quy xe máy - PtZ6L - PINACO: 370.000, GS: 390.000</t>
  </si>
  <si>
    <t xml:space="preserve">Có thêm nhiều quà tặng hấp dẫn </t>
  </si>
  <si>
    <t>C000039098</t>
  </si>
  <si>
    <t>Ắc quy An Phát</t>
  </si>
  <si>
    <t>Ắc quy xe máy - Ptx5l - PINACO: 240.000, GS: 265.000_x000D_
Ắc quy xe máy - Ptz6liss - PINACO: 320.000, GS: 360.000</t>
  </si>
  <si>
    <t>Chính sách khuyến mãi ko nên tăng giá để bốc thăm trúng thưởng, tặng quà làm lầm tưởng đó là tiền của cửa hàng nhờ công ty đứng ra mua quà thay</t>
  </si>
  <si>
    <t>C000032300</t>
  </si>
  <si>
    <t>Hiệp Hoàng</t>
  </si>
  <si>
    <t>Ắc quy oto - N70 - PINACO: 1.650.000_x000D_
Ắc quy dân dụng - N30 - PINACO: 820.000</t>
  </si>
  <si>
    <t>C000032299</t>
  </si>
  <si>
    <t>Thành Dũ</t>
  </si>
  <si>
    <t>Ắc quy oto - Ns40 - PINACO: 900.000_x000D_
Ắc quy oto - 31800 - PINACO: 2.500.000_x000D_
Ắc quy dân dụng - N300 - PINACO: 800.000_x000D_
Ắc quy xe máy - PA12-7.2 - PINACO: 300.000</t>
  </si>
  <si>
    <t>C000032298</t>
  </si>
  <si>
    <t>Ắc quy xe máy - PTZ6HL  - PINACO: 300.000_x000D_
Ắc quy xe máy - PTZ6L  - PINACO: 330.000_x000D_
Ắc quy xe máy - PTX6HL  - PINACO: 280.000_x000D_
Ắc quy oto - N100 - PINACO: 2.130.000_x000D_
Ắc quy oto - 90D26 - PINACO: 1.700.000</t>
  </si>
  <si>
    <t>C000034937</t>
  </si>
  <si>
    <t>Quý Hạnh</t>
  </si>
  <si>
    <t>Ắc quy dân dụng - N30 - PINACO: 750.000_x000D_
Ắc quy dân dụng - N25 - PINACO: 680.000</t>
  </si>
  <si>
    <t>C000002105</t>
  </si>
  <si>
    <t>Nhật Linh</t>
  </si>
  <si>
    <t>Ắc quy oto - N100 - PINACO: 2.000.000, GS: 2.100.000_x000D_
Ắc quy oto - N150 - PINACO: 3.000.000, GS: 3.100.000_x000D_
Ắc quy oto - 95D31 - PINACO: 1.800.000, GS: 1.950.000_x000D_
Ắc quy oto - 105D31 - PINACO: 2.000.000, GS: 2.100.000_x000D_
Ắc quy xe điện - PA12-14 - PINACO: 425.000_x000D_
Ắc quy dân dụng - N30 - PINACO: 740.000_x000D_
Ắc quy dân dụng - N20 - PINACO: 570.000_x000D_
Ắc quy xe máy - PTZ6HL  - PINACO: 240.000, GS: 260.000_x000D_
Ắc quy xe máy - PTZ6L  - PINACO: 280.000, GS: 300.000_x000D_
Ắc quy xe máy - PTZ5L - PINACO: 230.000, GS: 250.000</t>
  </si>
  <si>
    <t>C000002059</t>
  </si>
  <si>
    <t>Tấn Thành</t>
  </si>
  <si>
    <t>C000002012</t>
  </si>
  <si>
    <t>Ắc quy xe máy - PTX5L  - PINACO: 220.000, GS: 235.000</t>
  </si>
  <si>
    <t xml:space="preserve">Khách ko cho vô kho chụp </t>
  </si>
  <si>
    <t>C000002103</t>
  </si>
  <si>
    <t>Kiều Hoa</t>
  </si>
  <si>
    <t>Ắc quy oto - N100 - PINACO: 1.970.000_x000D_
Ắc quy xe máy - PTZ6HL  - PINACO: 260.000, GS: 280.000_x000D_
Ắc quy xe máy - PTZ6L  - PINACO: 2.800.000, GS: 300.000_x000D_
Ắc quy xe điện - PA12-14 - PINACO: 430.000</t>
  </si>
  <si>
    <t>C000027660</t>
  </si>
  <si>
    <t>SX Minh Tuấn</t>
  </si>
  <si>
    <t>C000027706</t>
  </si>
  <si>
    <t>Duong</t>
  </si>
  <si>
    <t>C000001873</t>
  </si>
  <si>
    <t>Tấn Lộc</t>
  </si>
  <si>
    <t>Ắc quy xe máy - PTZ6L - PINACO: 300.000, GS: 310.000, GLOBE: 305.000</t>
  </si>
  <si>
    <t>C000002286</t>
  </si>
  <si>
    <t>Ắc quy dân dụng - N100 - PINACO: 2.000.000, GS: 2.100.000</t>
  </si>
  <si>
    <t>C000002285</t>
  </si>
  <si>
    <t>Minh Hiền</t>
  </si>
  <si>
    <t>C000001487</t>
  </si>
  <si>
    <t>Bình Huy</t>
  </si>
  <si>
    <t>Ắc quy xe tải - 31800 - PINACO: 2.150.000, GS: 2.150.000, ENIMAC: 2.100.000</t>
  </si>
  <si>
    <t>C000002091</t>
  </si>
  <si>
    <t>Đại Đồng</t>
  </si>
  <si>
    <t>Ắc quy oto - N100 - PINACO: 2.150.000, GS: 2.150.000_x000D_
Ắc quy oto - N70 - PINACO: 1.550.000, GS: 1.550.000</t>
  </si>
  <si>
    <t>C000019029</t>
  </si>
  <si>
    <t>Trần Lê</t>
  </si>
  <si>
    <t>Ắc quy oto - n100 - PINACO: 2.300.000</t>
  </si>
  <si>
    <t xml:space="preserve">Chiết khấu cần quy chuẩn về 1 chiết khấu cho dễ nhớ
</t>
  </si>
  <si>
    <t>C000001665</t>
  </si>
  <si>
    <t>Tri Thức 2</t>
  </si>
  <si>
    <t>Ắc quy xe máy - PTZ6L - PINACO: 280.000, GS: 310.000, GLOBE: 275.000</t>
  </si>
  <si>
    <t xml:space="preserve">Thêm quà tặng và chương trình khuyến mãi </t>
  </si>
  <si>
    <t>C000038358</t>
  </si>
  <si>
    <t>Phụ Tùng Lâm Hải</t>
  </si>
  <si>
    <t>Ắc quy xe máy - PTZ6L - PINACO: 300.000, GS: 310.000_x000D_
Ắc quy xe máy - PTZ6HL - PINACO: 240.000, GS: 245.000</t>
  </si>
  <si>
    <t>Nên cải tiến chất lượng ổn định hơn, có nhiều thời điểm bình bảo hành rất nhiều</t>
  </si>
  <si>
    <t>C000002070</t>
  </si>
  <si>
    <t>Ắc quy xe máy - PTZ6HL  - PINACO: 260.000</t>
  </si>
  <si>
    <t>C000002071</t>
  </si>
  <si>
    <t>Phúc Lợi</t>
  </si>
  <si>
    <t>Ắc quy xe máy - PTZ5L  - PINACO: 230.000, GS: 240.000</t>
  </si>
  <si>
    <t>C000001928</t>
  </si>
  <si>
    <t>Honda Tiên</t>
  </si>
  <si>
    <t>Ắc quy xe máy - PTZ6HL - PINACO: 250.000, GS: 260.000_x000D_
Ắc quy xe máy - PTZ5L - PINACO: 240.000, GS: 255.000</t>
  </si>
  <si>
    <t>C000002273</t>
  </si>
  <si>
    <t>Nguyễn Dung</t>
  </si>
  <si>
    <t>Ắc quy dân dụng - 31800 - PINACO: 2.300.000, GS: 2.350.000</t>
  </si>
  <si>
    <t>C000002271</t>
  </si>
  <si>
    <t>Minh Nhật</t>
  </si>
  <si>
    <t>Ắc quy dân dụng - N50 - PINACO: 1.450.000</t>
  </si>
  <si>
    <t>C000024508</t>
  </si>
  <si>
    <t>Quang Bảy</t>
  </si>
  <si>
    <t>Ắc quy xe máy - PTZ6HL - PINACO: 250.000, GS: 255.000_x000D_
Ắc quy xe máy - PT5L - PINACO: 240.000, GS: 245.000</t>
  </si>
  <si>
    <t>Không ý kiến</t>
  </si>
  <si>
    <t>C000001890</t>
  </si>
  <si>
    <t>Hiển Tuyết</t>
  </si>
  <si>
    <t>Ắc quy oto - 31800 - PINACO: 2.300.000, GS: 2.200.000</t>
  </si>
  <si>
    <t>Ct khuyến mãi cần rõ ràng hơn.chiết khấu nhiều mã bình .khó nhớ.bình nước hay bị lạc axit.</t>
  </si>
  <si>
    <t>C000002265</t>
  </si>
  <si>
    <t>Tài Thùy</t>
  </si>
  <si>
    <t>C000018049</t>
  </si>
  <si>
    <t>Hưng Miến</t>
  </si>
  <si>
    <t>Ắc quy xe tải - 31800 - PINACO: 2.100.000</t>
  </si>
  <si>
    <t>Bình nước hay bị lạc axit
Ct khuyến mãi rắc rối.khó nhớ
Bảo hành cần nhanh hơn
Hỗ trợ phí vận chuyển khi gửi chành</t>
  </si>
  <si>
    <t>C000002264</t>
  </si>
  <si>
    <t>Quang Em</t>
  </si>
  <si>
    <t>Ắc quy dân dụng - NS40 - PINACO: 920.000</t>
  </si>
  <si>
    <t>C000039338</t>
  </si>
  <si>
    <t>Ắc qui Hưng Linh</t>
  </si>
  <si>
    <t>Ắc quy xe máy - Ptz6hl - PINACO: 300.000, GS: 320.000_x000D_
Ắc quy xe máy - Ptz6liss - PINACO: 330.000, GS: 350.000</t>
  </si>
  <si>
    <t>Hạn chế chương trình quay thưởng có lần quay xin may mắn lần sau và chươngvtrinhf khuyến mãi cuối năm giảm chiết khấu để tặng bía</t>
  </si>
  <si>
    <t>C000002261</t>
  </si>
  <si>
    <t>Thanh Thọ</t>
  </si>
  <si>
    <t>Ắc quy xe tải - 90D26 - PINACO: 1.650.000, GS: 1.780.000, ENIMAC: 1.650.000</t>
  </si>
  <si>
    <t>C000018962</t>
  </si>
  <si>
    <t>PT Huy Hòa ( Ái - TU)</t>
  </si>
  <si>
    <t>Pinaco / Đồng Nai - 3_x000D_
GS - 5_x000D_
Globe - 1_x000D_
Nhãn hiệu khác - 1</t>
  </si>
  <si>
    <t>Ắc quy xe máy - PTX5 - PINACO: 203.000, GS: 218.000, GLOBE: 203.000, OTHER: 198.000</t>
  </si>
  <si>
    <t>C000001955</t>
  </si>
  <si>
    <t>Việt Cường</t>
  </si>
  <si>
    <t>C000001888</t>
  </si>
  <si>
    <t>Thanh Hải</t>
  </si>
  <si>
    <t>Ắc quy xe máy - PTZ5L - PINACO: 250.000, GS: 260.000_x000D_
Ắc quy xe máy - PTZ6L  - PINACO: 300.000, GS: 320.000</t>
  </si>
  <si>
    <t>C000033538</t>
  </si>
  <si>
    <t>Ắc Quy Minh Vương 2 (AV)</t>
  </si>
  <si>
    <t>Pinaco / Đồng Nai - 6_x000D_
Enimac - 2_x000D_
Ắc quy ngoại nhập - 2</t>
  </si>
  <si>
    <t>Ắc quy xe tải - 31800 - PINACO: 2.150.000, ENIMAC: 2.100.000, NGOAI_NHAP: 2.200.000</t>
  </si>
  <si>
    <t>C000018551</t>
  </si>
  <si>
    <t>Tuấn Minh</t>
  </si>
  <si>
    <t>Ắc quy xe máy - PTZ6L - PINACO: 290.000, GS: 295.000_x000D_
Ắc quy xe máy - PTZ5L - PINACO: 240.000, GS: 250.000</t>
  </si>
  <si>
    <t>- Duy trì chất lượng
- Giá cả cạnh tranh, ko chênh kệch Gs nhiều quá</t>
  </si>
  <si>
    <t>C000025181</t>
  </si>
  <si>
    <t>Thành Phát Đạt</t>
  </si>
  <si>
    <t>Ắc quy xe tải - 31800 - PINACO: 2.200.000, ENIMAC: 2.100.000, GS: 2.200.000, NGOAI_NHAP: 2.200.000</t>
  </si>
  <si>
    <t>C000038241</t>
  </si>
  <si>
    <t>Xe điện Copbike</t>
  </si>
  <si>
    <t>Ắc quy xe điện - PA 12_14 - OTHER: 400.000</t>
  </si>
  <si>
    <t>Giá cao hơn các mặt hàng cùng loại cho xe điện. Có thể nghiên cứu giảm giá</t>
  </si>
  <si>
    <t>C000018547</t>
  </si>
  <si>
    <t>Ắc quy xe máy - PTZ6L - PINACO: 285.000, GS: 290.000_x000D_
Ắc quy xe máy - PTZ6HL - PINACO: 245.000, GS: 250.000</t>
  </si>
  <si>
    <t>C000037923</t>
  </si>
  <si>
    <t>Xe Đạp Điện Anh Thái</t>
  </si>
  <si>
    <t>Ắc quy xe điện - PA 12_14 - PINACO: 400.000, XUPAI: 355.000</t>
  </si>
  <si>
    <t>Giá bán bình xe đạp điện và xe máy điện có giá cao nhất thị trường. Đề nghị nghiên cứu có thể giảm trọng lượng để giá kéo xuống</t>
  </si>
  <si>
    <t>C000001511</t>
  </si>
  <si>
    <t>Pinaco / Đồng Nai - 2_x000D_
GS - 3_x000D_
Nhãn hiệu khác - 5</t>
  </si>
  <si>
    <t>Ắc quy xe tải - 90D26L - PINACO: 1.700.000, GS: 1.700.000, OTHER: 1.600.000</t>
  </si>
  <si>
    <t>C000040153</t>
  </si>
  <si>
    <t>Ắc quy Sỹ Hoa</t>
  </si>
  <si>
    <t>Ắc quy xe máy - Ptz5l - PINACO: 280.000, GS: 310.000_x000D_
Ắc quy xe máy - Ptz6liss - PINACO: 310.000, GS: 350.000_x000D_
Ắc quy xe điện - Pa 12_14 - PINACO: 395.000</t>
  </si>
  <si>
    <t>Giá tăng trong năm nay 1 lần tăng lên cao</t>
  </si>
  <si>
    <t>C000039997</t>
  </si>
  <si>
    <t>Ắc quy Bình Trọng</t>
  </si>
  <si>
    <t>Ắc quy xe máy - Ptz5l - PINACO: 280.000, GS: 320.000_x000D_
Ắc quy xe điện - PA 12_14 - PINACO: 390.000</t>
  </si>
  <si>
    <t>Bỏ chương trình khuyến mãi quay thưởng : chúc may mắn lần sau</t>
  </si>
  <si>
    <t>C000001497</t>
  </si>
  <si>
    <t>Vinh Hiển (em)</t>
  </si>
  <si>
    <t>Pinaco / Đồng Nai - 3_x000D_
GS - 3_x000D_
Ắc quy ngoại nhập - 2_x000D_
Enimac - 2</t>
  </si>
  <si>
    <t>Ắc quy oto - 31800 - PINACO: 2.150.000, GS: 2.150.000, NGOAI_NHAP: 2.200.000, ENIMAC: 2.050.000</t>
  </si>
  <si>
    <t>C000001502</t>
  </si>
  <si>
    <t>Bình việt Phát</t>
  </si>
  <si>
    <t>Ắc quy xe tải - 105D31L - PINACO: 2.050.000, GS: 2.100.000, NGOAI_NHAP: 2.100.000</t>
  </si>
  <si>
    <t>C000001501</t>
  </si>
  <si>
    <t>Điện Trung</t>
  </si>
  <si>
    <t>Ắc quy xe tải - 31800 - PINACO: 2.150.000, ENIMAC: 2.100.000</t>
  </si>
  <si>
    <t>C000002128</t>
  </si>
  <si>
    <t>My My</t>
  </si>
  <si>
    <t>Ắc quy oto - N100 - PINACO: 2.100.000, GS: 2.100.000_x000D_
Ắc quy xe điện - PA12-14 - PINACO: 457.000_x000D_
Ắc quy xe máy - PTZ6HL - PINACO: 280.000</t>
  </si>
  <si>
    <t>C000001506</t>
  </si>
  <si>
    <t>Tuấn Bình</t>
  </si>
  <si>
    <t>Ắc quy oto - 90D26L  - PINACO: 1.750.000, GS: 1.750.000, NGOAI_NHAP: 1.800.000</t>
  </si>
  <si>
    <t>C000001960</t>
  </si>
  <si>
    <t>Pinaco / Đồng Nai - 3_x000D_
GS - 2_x000D_
Enimac - 5</t>
  </si>
  <si>
    <t>C000001992</t>
  </si>
  <si>
    <t>Ắc quy xe máy - PTX5L - PINACO: 230.000, GS: 240.000</t>
  </si>
  <si>
    <t>C000002130</t>
  </si>
  <si>
    <t>Hữu Tình</t>
  </si>
  <si>
    <t>Ắc quy xe máy - PTZ6HL - PINACO: 300.000_x000D_
Ắc quy xe máy - PTZ6L - PINACO: 350.000</t>
  </si>
  <si>
    <t>C000002129</t>
  </si>
  <si>
    <t>Thành GM</t>
  </si>
  <si>
    <t>Ắc quy xe máy - ptx6hl  - PINACO: 240.000, GS: 260.000_x000D_
Ắc quy xe máy - Ptx5l  - PINACO: 220.000, GS: 240.000_x000D_
Ắc quy oto - N100 - PINACO: 2.150.000, GS: 2.250.000</t>
  </si>
  <si>
    <t>C000001573</t>
  </si>
  <si>
    <t>PT Quang Cường</t>
  </si>
  <si>
    <t>Pinaco / Đồng Nai - 3_x000D_
GS - 6_x000D_
Globe - 1</t>
  </si>
  <si>
    <t>Ắc quy xe máy - PtX5 - PINACO: 202.000, GLOBE: 202.000, GS: 218.000</t>
  </si>
  <si>
    <t>Có thêm chương trình khuyến mãi, quà tặng, kệ ,áo thun ...</t>
  </si>
  <si>
    <t>C000038233</t>
  </si>
  <si>
    <t>honda quoc viet</t>
  </si>
  <si>
    <t>Ắc quy xe máy - Ptx6hl  - PINACO: 270.000_x000D_
Ắc quy xe máy - Ptx5l  - PINACO: 250.000</t>
  </si>
  <si>
    <t>C000001951</t>
  </si>
  <si>
    <t xml:space="preserve">Không ý kiến </t>
  </si>
  <si>
    <t>C000039154</t>
  </si>
  <si>
    <t>Tân Thành</t>
  </si>
  <si>
    <t>Ắc quy xe máy - PTZ6HL  - PINACO: 270.000, GS: 300.000</t>
  </si>
  <si>
    <t>C000018076</t>
  </si>
  <si>
    <t>SX Ngọc Sơn</t>
  </si>
  <si>
    <t>Ắc quy xe máy - PTZ5L - PINACO: 330.000_x000D_
Ắc quy xe máy - PTZ6HL - PINACO: 340.000_x000D_
Ắc quy xe máy - PTZ6L ISS - PINACO: 360.000</t>
  </si>
  <si>
    <t xml:space="preserve">Không có đề xuất hay ý kiến gì </t>
  </si>
  <si>
    <t>C000001743</t>
  </si>
  <si>
    <t>SX Bò</t>
  </si>
  <si>
    <t>Ắc quy xe máy - PTZ5L - PINACO: 280.000, OTHER: 260.000_x000D_
Ắc quy xe máy - PTZ6L ISS  - PINACO: 330.000, OTHER: 310.000_x000D_
Ắc quy xe máy - PTZ6HL - PINACO: 290.000, OTHER: 270.000</t>
  </si>
  <si>
    <t>C000001984</t>
  </si>
  <si>
    <t>Ắc quy xe máy - PTZ6HL  - PINACO: 235.000, GS: 260.000, ENIMAC: 240.000</t>
  </si>
  <si>
    <t>C000002072</t>
  </si>
  <si>
    <t>Thiện Thành</t>
  </si>
  <si>
    <t>Ắc quy oto - N70 - PINACO: 1.600.000, GS: 1.600.000_x000D_
Ắc quy oto - N100 - PINACO: 1.900.000, GS: 1.800.000</t>
  </si>
  <si>
    <t>C000033212</t>
  </si>
  <si>
    <t>sửa xe Tuấn</t>
  </si>
  <si>
    <t>Ắc quy xe máy - PTZ6HL. PTZ6L. PTZ5L - PINACO: 270.000</t>
  </si>
  <si>
    <t>C000018985</t>
  </si>
  <si>
    <t>Ắc Quy Minh Quân</t>
  </si>
  <si>
    <t>Ắc quy oto - n100 - PINACO: 2.100.000, GS: 1.900.000_x000D_
Ắc quy xe tải - n150 - PINACO: 3.100.000, GS: 2.800.000</t>
  </si>
  <si>
    <t>hay thay đổi chương trình khuyến mãi.ct hay ép doanh số khách hàng</t>
  </si>
  <si>
    <t>C000002092</t>
  </si>
  <si>
    <t>Ắc quy oto - N100 - PINACO: 1.870.000, GS: 1.840.000</t>
  </si>
  <si>
    <t>C000002087</t>
  </si>
  <si>
    <t>Quang Thanh</t>
  </si>
  <si>
    <t>Ắc quy xe máy - PTZ6HL  - PINACO: 220.000, GS: 235.000</t>
  </si>
  <si>
    <t>C000038859</t>
  </si>
  <si>
    <t>quoc anh</t>
  </si>
  <si>
    <t>Ắc quy xe điện - PA12-14 - PINACO: 450.000</t>
  </si>
  <si>
    <t>C000002082</t>
  </si>
  <si>
    <t>Thành Long</t>
  </si>
  <si>
    <t>C000039383</t>
  </si>
  <si>
    <t>nguyen anh</t>
  </si>
  <si>
    <t>Ắc quy oto - N1000 - PINACO: 1.930.000, GS: 1.900.000</t>
  </si>
  <si>
    <t>C000002076</t>
  </si>
  <si>
    <t>Minh Đông</t>
  </si>
  <si>
    <t>Ắc quy oto - N100 - PINACO: 1.950.000_x000D_
Ắc quy xe máy - PTX6HL  - PINACO: 250.000</t>
  </si>
  <si>
    <t>C000001829</t>
  </si>
  <si>
    <t>Lĩnh</t>
  </si>
  <si>
    <t>Ắc quy oto - n100 - PINACO: 2.000.000, GS: 2.000.000_x000D_
Ắc quy oto - 90d26 - PINACO: 1.600.000, GS: 1.600.000</t>
  </si>
  <si>
    <t>Ct khuyến mãi rõ ràng hơn.chia giá ra từng sản phẩm khó nhớ giá.nên chia giá đều các sản phẩm cho dễ nhớ</t>
  </si>
  <si>
    <t>C000034606</t>
  </si>
  <si>
    <t>Chú Sơn</t>
  </si>
  <si>
    <t>Pinaco / Đồng Nai - 4_x000D_
GS - 3_x000D_
Enimac - 1_x000D_
Ắc quy ngoại nhập - 2</t>
  </si>
  <si>
    <t>Ắc quy oto - 31800 - PINACO: 2.150.000, GS: 2.150.000, ENIMAC: 2.050.000, NGOAI_NHAP: 2.200.000</t>
  </si>
  <si>
    <t>C000002025</t>
  </si>
  <si>
    <t>Anh Lượng</t>
  </si>
  <si>
    <t>C000002054</t>
  </si>
  <si>
    <t>Kim Hương</t>
  </si>
  <si>
    <t>Ắc quy xe máy - PTZ5L - GS: 235.000, PINACO: 225.000</t>
  </si>
  <si>
    <t>C000001856</t>
  </si>
  <si>
    <t>Minh Thư</t>
  </si>
  <si>
    <t>Ắc quy oto - n100 - PINACO: 2.000.000, GS: 2.050.000</t>
  </si>
  <si>
    <t>Chương trình chia giá thẳng cho khách hàng dễ nhớ</t>
  </si>
  <si>
    <t>C000001811</t>
  </si>
  <si>
    <t>Dũng Kiều</t>
  </si>
  <si>
    <t>Ắc quy xe máy - PTZ5 - PINACO: 230.000</t>
  </si>
  <si>
    <t>Không ạ</t>
  </si>
  <si>
    <t>C000002139</t>
  </si>
  <si>
    <t>Cô Nga</t>
  </si>
  <si>
    <t>C000002145</t>
  </si>
  <si>
    <t>Qúy An Lộc</t>
  </si>
  <si>
    <t>Ắc quy xe máy - PZ6HL - PINACO: 270.000, GS: 300.000</t>
  </si>
  <si>
    <t>C000022629</t>
  </si>
  <si>
    <t>Minh Hồ</t>
  </si>
  <si>
    <t>Ắc quy oto - N100 - PINACO: 1.700.000, GS: 1.640.000_x000D_
Ắc quy xe máy - PTZ6HL  - PINACO: 210.000, GS: 240.000</t>
  </si>
  <si>
    <t>C000019050</t>
  </si>
  <si>
    <t>Hồ Hỷ</t>
  </si>
  <si>
    <t>Ắc quy oto - N100 - PINACO: 1.950.000, GS: 1.950.000_x000D_
Ắc quy xe máy - PTZ6HL - PINACO: 260.000, GS: 270.000</t>
  </si>
  <si>
    <t>C000001533</t>
  </si>
  <si>
    <t>Hoàng Thành</t>
  </si>
  <si>
    <t>Ắc quy oto - Din45 - PINACO: 1.400.000, GS: 1.400.000</t>
  </si>
  <si>
    <t>C000001842</t>
  </si>
  <si>
    <t>Pinaco / Đồng Nai - 5_x000D_
Enimac - 5_x000D_
Nhãn hiệu khác - 0</t>
  </si>
  <si>
    <t>Ắc quy xe máy - Ptz5L - PINACO: 235.000, ENIMAC: 235.000_x000D_
Ắc quy xe máy - Ptz6hl - PINACO: 245.000, ENIMAC: 245.000</t>
  </si>
  <si>
    <t>Kh muốn xuất hoá đơn. Dẫn đến không mua hàng lâu nay.</t>
  </si>
  <si>
    <t>C000001826</t>
  </si>
  <si>
    <t>Quang Vân</t>
  </si>
  <si>
    <t>Ắc quy oto - 50B24L - PINACO: 1.170.000_x000D_
Ắc quy dân dụng - N20 - PINACO: 590.000</t>
  </si>
  <si>
    <t>C000001825</t>
  </si>
  <si>
    <t>- Bảo hành đổi trả chậm nhất trong vòng 1 tuần cho khách.</t>
  </si>
  <si>
    <t>C000038231</t>
  </si>
  <si>
    <t>Phụ Tùng HonDa Lĩnh</t>
  </si>
  <si>
    <t>Ắc quy xe máy - PTX6 - PINACO: 240.000, GS: 250.000, OTHER: 230.000</t>
  </si>
  <si>
    <t>Giá cần cải thiện hơn.
Hỗ trợ về hoá đơn.</t>
  </si>
  <si>
    <t>C000001877</t>
  </si>
  <si>
    <t>CH Duyên</t>
  </si>
  <si>
    <t>Ắc quy xe máy - PTZ5 - PINACO: 230.000, GS: 225.000</t>
  </si>
  <si>
    <t>Tại sao đổi NPP đang tiện lấy.</t>
  </si>
  <si>
    <t>C000001823</t>
  </si>
  <si>
    <t>Miện Loan</t>
  </si>
  <si>
    <t>Ắc quy xe máy - PTZ6HL - PINACO: 240.000, GLOBE: 230.000_x000D_
Ắc quy xe máy - PTZ5L - PINACO: 210.000, GLOBE: 200.000</t>
  </si>
  <si>
    <t>ko y kien</t>
  </si>
  <si>
    <t>C000001982</t>
  </si>
  <si>
    <t>Hoài Tâm</t>
  </si>
  <si>
    <t>Chuyên ắc quy ô tô - N100 - GS: 2.050.000, PINACO: 2.000.000</t>
  </si>
  <si>
    <t>KHẢO SÁT THỊ PHẦN CNDN-NMT.xlsx</t>
  </si>
  <si>
    <t>C000026917</t>
  </si>
  <si>
    <t>Ngọc Uyên</t>
  </si>
  <si>
    <t>Ắc quy xe điện - PA 12 - 14 - PINACO: 1.800.000, OTHER: 1.500.000</t>
  </si>
  <si>
    <t>Trương Minh Hoàng</t>
  </si>
  <si>
    <t>CÔNG TY TNHH VIỆT PHÁT</t>
  </si>
  <si>
    <t>NMT</t>
  </si>
  <si>
    <t>BÌNH ĐỊNH</t>
  </si>
  <si>
    <t>ASM Vỹ</t>
  </si>
  <si>
    <t>C000037858</t>
  </si>
  <si>
    <t>Xe Điện Thành Lượm</t>
  </si>
  <si>
    <t>Pinaco / Đồng Nai - 2_x000D_
Xupai - 3_x000D_
Nhãn hiệu khác - 5</t>
  </si>
  <si>
    <t>Ắc quy xe điện - PA 12 = 14 - PINACO: 1.800.000, XUPAI: 1.600.000, OTHER: 1.500.000</t>
  </si>
  <si>
    <t>C000029573</t>
  </si>
  <si>
    <t>Minh Nghĩa</t>
  </si>
  <si>
    <t>Pinaco / Đồng Nai - 4_x000D_
GS - 1_x000D_
Enimac - 2_x000D_
Globe - 2_x000D_
Ắc quy ngoại nhập - 1</t>
  </si>
  <si>
    <t>C000034334</t>
  </si>
  <si>
    <t>Mai Kiệt</t>
  </si>
  <si>
    <t>Ắc quy dân dụng - N30 - PINACO: 780.000</t>
  </si>
  <si>
    <t>Hà Trung Hiếu</t>
  </si>
  <si>
    <t>KHẢO SÁT THỊ PHẦN CNDN-TAY NGUYEN.xlsx</t>
  </si>
  <si>
    <t>C000036038</t>
  </si>
  <si>
    <t>Hồng  Chính</t>
  </si>
  <si>
    <t>20.412 VNĐ</t>
  </si>
  <si>
    <t>Pinaco / Đồng Nai - 4_x000D_
Yamato - 6</t>
  </si>
  <si>
    <t>Ắc quy xe điện - Ebike - PINACO: 1.620, YAMATO: 1.510</t>
  </si>
  <si>
    <t>Hồ Quốc Viễn</t>
  </si>
  <si>
    <t>CHI NHÁNH CÔNG TY TNHH THƯƠNG MẠI - QUẢNG CÁO XUÂN DUY</t>
  </si>
  <si>
    <t>TÂY NGUYÊN - QLKV VỸ</t>
  </si>
  <si>
    <t>PHÚ YÊN</t>
  </si>
  <si>
    <t>QLKV VỸ</t>
  </si>
  <si>
    <t>C000040136</t>
  </si>
  <si>
    <t>Cấm Tuyển</t>
  </si>
  <si>
    <t>6.330 VNĐ</t>
  </si>
  <si>
    <t>Ắc quy xe điện - Ebike - PINACO: 1.620, NGOAI_NHAP: 1.530</t>
  </si>
  <si>
    <t>C000018506</t>
  </si>
  <si>
    <t>Pinaco / Đồng Nai - 3_x000D_
GS - 3_x000D_
Enimac - 2_x000D_
Nhãn hiệu khác - 2</t>
  </si>
  <si>
    <t>Ắc quy xe máy - Ptz - PINACO: 250.000, GS: 260.000, ENIMAC: 255.000, OTHER: 250.000</t>
  </si>
  <si>
    <t>Lê Anh Khoa</t>
  </si>
  <si>
    <t>CÔNG TY TNHH TM TTP VIỆT NAM</t>
  </si>
  <si>
    <t>GIA LAI</t>
  </si>
  <si>
    <t>GS KHAI</t>
  </si>
  <si>
    <t>C000007881</t>
  </si>
  <si>
    <t>Tùng Phương</t>
  </si>
  <si>
    <t>122.000.000 VNĐ</t>
  </si>
  <si>
    <t>Pinaco / Đồng Nai - 3_x000D_
Enimac - 3_x000D_
Ắc quy ngoại nhập - 4</t>
  </si>
  <si>
    <t>Ắc quy oto - N100 - PINACO: 2.100.000, ENIMAC: 2.100.000_x000D_
Ắc quy oto - N85 - PINACO: 1.900.000, ENIMAC: 1.900.000</t>
  </si>
  <si>
    <t>Nguyễn Tấn Dậu</t>
  </si>
  <si>
    <t>CÔNG TY TNHH HIỆP VĨNH AN</t>
  </si>
  <si>
    <t>QUẢNG NAM</t>
  </si>
  <si>
    <t>C000038953</t>
  </si>
  <si>
    <t>Bảy Khang</t>
  </si>
  <si>
    <t>Ắc quy xe máy - Ptz 6hl - PINACO: 270.000, GS: 280.000</t>
  </si>
  <si>
    <t>C000041250</t>
  </si>
  <si>
    <t>PT Hoàng Túc</t>
  </si>
  <si>
    <t>Ắc quy xe máy - PTZ5L - PINACO: 229.000</t>
  </si>
  <si>
    <t>Phan Nhật Tiến</t>
  </si>
  <si>
    <t>C000039320</t>
  </si>
  <si>
    <t>Minh Đức</t>
  </si>
  <si>
    <t>992.000 VNĐ</t>
  </si>
  <si>
    <t>Ắc quy xe máy - Ptz6hl  - PINACO: 260.000_x000D_
Ắc quy xe máy - Ptz5l  - PINACO: 260.000_x000D_
Ắc quy xe máy - Ptz6l  - PINACO: 300.000</t>
  </si>
  <si>
    <t>Lê Mạnh Hùng</t>
  </si>
  <si>
    <t>CÔNG TY TNHH TRUNG HẢI</t>
  </si>
  <si>
    <t>KON TUM</t>
  </si>
  <si>
    <t>C000040645</t>
  </si>
  <si>
    <t>Xe Điện Gia Bảo</t>
  </si>
  <si>
    <t>Ắc quy xe điện - PA12-14AH - PINACO: 457.000</t>
  </si>
  <si>
    <t>Không ý kiến gì</t>
  </si>
  <si>
    <t>C000008924</t>
  </si>
  <si>
    <t>Phương Lắm</t>
  </si>
  <si>
    <t>420.000.000 VNĐ</t>
  </si>
  <si>
    <t>305.000.000 VNĐ</t>
  </si>
  <si>
    <t>Enimac - 9_x000D_
Pinaco / Đồng Nai - 1</t>
  </si>
  <si>
    <t>Ắc quy oto - 105D31 - ENIMAC: 2.100.000, PINACO: 2.200.000</t>
  </si>
  <si>
    <t>Không cho chụp kho vi làm npp enimac</t>
  </si>
  <si>
    <t>Nguyễn Thành Trung</t>
  </si>
  <si>
    <t>C000039617</t>
  </si>
  <si>
    <t>HIỆU BUÔN TIÊN</t>
  </si>
  <si>
    <t>Ắc quy xe máy - PTZ6HL - PINACO: 241.000_x000D_
Ắc quy xe máy - PTZ5L - PINACO: 229.000</t>
  </si>
  <si>
    <t>C000025508</t>
  </si>
  <si>
    <t>HB Tân Hưng</t>
  </si>
  <si>
    <t>Trần Sơn Vỵ</t>
  </si>
  <si>
    <t>CÔNG TY TNHH THƯƠNG MẠI VÀ DỊCH VỤ HƯNG HƯNG THỊNH</t>
  </si>
  <si>
    <t>C000026251</t>
  </si>
  <si>
    <t>Phụ Tùng Cường Phát</t>
  </si>
  <si>
    <t>Ắc quy xe máy - PTZ6HL - PINACO: 241.000</t>
  </si>
  <si>
    <t>C000006225</t>
  </si>
  <si>
    <t>Vinh Hương</t>
  </si>
  <si>
    <t>Ắc quy oto - 90D26 - PINACO: 1.850.000, NGOAI_NHAP: 1.950.000</t>
  </si>
  <si>
    <t>Hồ Tấn Việt</t>
  </si>
  <si>
    <t>CÔNG TY TNHH MỘT THÀNH VIÊN LÝ CƯỜNG</t>
  </si>
  <si>
    <t>QUẢNG NGÃI</t>
  </si>
  <si>
    <t>C000009697</t>
  </si>
  <si>
    <t>Nhung Thạch</t>
  </si>
  <si>
    <t>C000009696</t>
  </si>
  <si>
    <t>Vũ Liễu</t>
  </si>
  <si>
    <t>Ắc quy xe máy - PTz6HL - PINACO: 241.000</t>
  </si>
  <si>
    <t>C000025977</t>
  </si>
  <si>
    <t>Ngọc Pháp</t>
  </si>
  <si>
    <t>Ắc quy oto - 105D31 - PINACO: 2.200.000, ENIMAC: 2.250.000</t>
  </si>
  <si>
    <t>RSM - An</t>
  </si>
  <si>
    <t>C000008113</t>
  </si>
  <si>
    <t>Tân Thành</t>
  </si>
  <si>
    <t>69.000.000 VNĐ</t>
  </si>
  <si>
    <t xml:space="preserve">Không cho chụp kho </t>
  </si>
  <si>
    <t>C000006227</t>
  </si>
  <si>
    <t>Quốc Hùng</t>
  </si>
  <si>
    <t>Ắc quy oto - 9531 - PINACO: 2.200.000</t>
  </si>
  <si>
    <t xml:space="preserve">Không trung hàng trên kệ </t>
  </si>
  <si>
    <t>ASM - Toàn</t>
  </si>
  <si>
    <t>C000008226</t>
  </si>
  <si>
    <t>thế vỹ</t>
  </si>
  <si>
    <t>Ắc quy oto - N100 - PINACO: 2.100.000, GS: 2.050.000, ENIMAC: 2.100.000_x000D_
Ắc quy dân dụng - N30 - PINACO: 780.000, ENIMAC: 750.000</t>
  </si>
  <si>
    <t>C000016339</t>
  </si>
  <si>
    <t>Hon Đa Trọng Nhất</t>
  </si>
  <si>
    <t>C000008176</t>
  </si>
  <si>
    <t>Chính</t>
  </si>
  <si>
    <t>Ắc quy xe máy - Ptz6hl  - PINACO: 280.000, OTHER: 1.600.000</t>
  </si>
  <si>
    <t>Nguyễn Đức Mỹ</t>
  </si>
  <si>
    <t>CÔNG TY TNHH MỘT THÀNH VIÊN ẮC QUY TRẦN THANH HÙNG</t>
  </si>
  <si>
    <t>GS TIẾN</t>
  </si>
  <si>
    <t>C000024217</t>
  </si>
  <si>
    <t>HD Hùng</t>
  </si>
  <si>
    <t>Ắc quy xe máy - Ptz6hl  - PINACO: 265.000_x000D_
Ắc quy xe máy - Ptz5l - PINACO: 250.000_x000D_
Ắc quy xe máy - Ptz6l  - PINACO: 290.000</t>
  </si>
  <si>
    <t>C000018499</t>
  </si>
  <si>
    <t>Ắc quy xe máy - PTZ6L - PINACO: 281.000</t>
  </si>
  <si>
    <t>C000016309</t>
  </si>
  <si>
    <t>Hon Đa Thành Ngọc</t>
  </si>
  <si>
    <t>C000007870</t>
  </si>
  <si>
    <t>Hùng Thảo</t>
  </si>
  <si>
    <t>Ắc quy oto - N200 - PINACO: 3.558.000, GS: 3.486.000_x000D_
Ắc quy oto - N100 - PINACO: 1.818.000, GS: 1.628.000</t>
  </si>
  <si>
    <t>C000036976</t>
  </si>
  <si>
    <t>PT Nhật Khang</t>
  </si>
  <si>
    <t>Không có góp ý gì tốt</t>
  </si>
  <si>
    <t>C000034540</t>
  </si>
  <si>
    <t>Điện ô tô Ngọc Minh</t>
  </si>
  <si>
    <t>Ắc quy oto - 105D31 - PINACO: 2.200.000</t>
  </si>
  <si>
    <t>C000006018</t>
  </si>
  <si>
    <t>Hà Long</t>
  </si>
  <si>
    <t>527.670.000 VNĐ</t>
  </si>
  <si>
    <t>Ắc quy oto - N150 - PINACO: 3.150.000, GS: 3.000.000</t>
  </si>
  <si>
    <t>Chiếc khấu kha khá cho dễ bán</t>
  </si>
  <si>
    <t>C000030202</t>
  </si>
  <si>
    <t>Minh Trường</t>
  </si>
  <si>
    <t>1.932.000 VNĐ</t>
  </si>
  <si>
    <t>Ắc quy xe máy - Ptz5l - PINACO: 250.000, GS: 260.000_x000D_
Ắc quy xe máy - Ptz6hl - PINACO: 260.000, GS: 270.000_x000D_
Ắc quy xe máy - Ptz6l - PINACO: 300.000, GS: 230.000</t>
  </si>
  <si>
    <t>C000008926</t>
  </si>
  <si>
    <t>HD Sơn</t>
  </si>
  <si>
    <t>2.167.000 VNĐ</t>
  </si>
  <si>
    <t>Ắc quy xe tải - Ptz5l - PINACO: 260.000, GS: 270.000_x000D_
Ắc quy xe máy - Ptz6hl - PINACO: 270.000, GS: 280.000_x000D_
Ắc quy xe máy - Ptz6l - PINACO: 320.000, GS: 340.000</t>
  </si>
  <si>
    <t>C000026688</t>
  </si>
  <si>
    <t>PT.TÂM PHƯỢNG</t>
  </si>
  <si>
    <t>Ắc quy xe máy - PTZ5 - PINACO: 230.000, GS: 235.000, GLOBE: 230.000</t>
  </si>
  <si>
    <t>Đặng Minh Quân</t>
  </si>
  <si>
    <t>DOANH NGHIỆP TN QUANG HUYNH THẠNH</t>
  </si>
  <si>
    <t>C000007856</t>
  </si>
  <si>
    <t>Phụ tùng Kim Trang</t>
  </si>
  <si>
    <t>Ắc quy xe máy - Ptz5 - PINACO: 250.000_x000D_
Ắc quy xe máy - Ptz6hl - PINACO: 260.000_x000D_
Ắc quy xe máy - Ptz6l - PINACO: 300.000_x000D_
Ắc quy xe máy - PtX5l - PINACO: 230.000_x000D_
Ắc quy xe máy - Ptx6hl - PINACO: 250.000</t>
  </si>
  <si>
    <t>C000039292</t>
  </si>
  <si>
    <t>HON DA KHẮC TRƯỜNG</t>
  </si>
  <si>
    <t>2.020.000 VNĐ</t>
  </si>
  <si>
    <t>Ắc quy xe máy - Ptz5 - PINACO: 260.000, OTHER: 240.000_x000D_
Ắc quy xe máy - Ptz6hl - PINACO: 270.000, OTHER: 250.000</t>
  </si>
  <si>
    <t>Không có kệ hàng</t>
  </si>
  <si>
    <t>C000032528</t>
  </si>
  <si>
    <t>Honda Đức Vương</t>
  </si>
  <si>
    <t>1.282.000 VNĐ</t>
  </si>
  <si>
    <t>Ắc quy xe máy - Ptz5l - PINACO: 240.000, GS: 250.000_x000D_
Ắc quy xe máy - Ptz6hl - PINACO: 270.000, GS: 280.000</t>
  </si>
  <si>
    <t>C000007861</t>
  </si>
  <si>
    <t>HD Quang Chính</t>
  </si>
  <si>
    <t>Ắc quy oto - 44B20 - PINACO: 1.200.000</t>
  </si>
  <si>
    <t xml:space="preserve">Không cho phép </t>
  </si>
  <si>
    <t>C000019136</t>
  </si>
  <si>
    <t>7.250.000 VNĐ</t>
  </si>
  <si>
    <t>Ắc quy xe máy - Ptz5 - PINACO: 230.000, GS: 235.000_x000D_
Ắc quy xe máy - Ptz6Hl - PINACO: 240.000, GS: 245.000_x000D_
Ắc quy xe máy - Ptz6l - PINACO: 280.000, GS: 290.000</t>
  </si>
  <si>
    <t>C000008219</t>
  </si>
  <si>
    <t>TIẾN</t>
  </si>
  <si>
    <t>Ắc quy xe máy - Ptz6hl  - PINACO: 270.000</t>
  </si>
  <si>
    <t>C000037893</t>
  </si>
  <si>
    <t>Anh đài</t>
  </si>
  <si>
    <t>C000034610</t>
  </si>
  <si>
    <t>HD Đình Tân</t>
  </si>
  <si>
    <t>Ắc quy xe máy - Ptx 6hl - PINACO: 250.000, OTHER: 240.000</t>
  </si>
  <si>
    <t>C000034538</t>
  </si>
  <si>
    <t>Honda Hùng</t>
  </si>
  <si>
    <t>1.050.000 VNĐ</t>
  </si>
  <si>
    <t>Ắc quy xe máy - Ptz6hl  - PINACO: 280.000_x000D_
Ắc quy xe máy - Ptz5l  - PINACO: 270.000_x000D_
Ắc quy xe máy - Ptz6l  - PINACO: 320.000</t>
  </si>
  <si>
    <t>C000029494</t>
  </si>
  <si>
    <t>TTBH Xe Máy</t>
  </si>
  <si>
    <t>1.481.000 VNĐ</t>
  </si>
  <si>
    <t>Ắc quy xe máy - Ptz5l  - PINACO: 260.000, GS: 265.000_x000D_
Ắc quy xe máy - Ptz6l  - PINACO: 290.000, GS: 300.000</t>
  </si>
  <si>
    <t>C000008927</t>
  </si>
  <si>
    <t>Toàn Hân</t>
  </si>
  <si>
    <t>11.872.000 VNĐ</t>
  </si>
  <si>
    <t>Ắc quy xe máy - Ptz6hl  - PINACO: 260.000, GS: 260.000_x000D_
Ắc quy xe máy - Ptz5l  - PINACO: 250.000, GS: 250.000_x000D_
Ắc quy xe máy - Ptz6l  - PINACO: 3.000.000, GS: 320.000</t>
  </si>
  <si>
    <t>C000037157</t>
  </si>
  <si>
    <t>the son</t>
  </si>
  <si>
    <t>2.233.000 VNĐ</t>
  </si>
  <si>
    <t>Ắc quy xe máy - Ptz6hl  - PINACO: 280.000, GS: 290.000_x000D_
Ắc quy xe máy - Ptz5l  - PINACO: 270.000, GS: 290.000_x000D_
Ắc quy xe máy - Ptz6l - PINACO: 340.000, GS: 350.000</t>
  </si>
  <si>
    <t>C000008937</t>
  </si>
  <si>
    <t>HD Hoà Phát</t>
  </si>
  <si>
    <t>Ắc quy xe máy - Ptz6hl  - PINACO: 280.000_x000D_
Ắc quy xe máy - Ptz5l  - PINACO: 280.000_x000D_
Ắc quy xe máy - Ptz6l  - PINACO: 350.000</t>
  </si>
  <si>
    <t>C000028621</t>
  </si>
  <si>
    <t>HD Đà Nẵng</t>
  </si>
  <si>
    <t>952.000 VNĐ</t>
  </si>
  <si>
    <t>Ắc quy xe máy - Ptz6hl  - PINACO: 280.000_x000D_
Ắc quy xe máy - Ptz5l  - PINACO: 280.000_x000D_
Ắc quy xe máy - Ptz6l  - PINACO: 340.000</t>
  </si>
  <si>
    <t>C000029019</t>
  </si>
  <si>
    <t>HD Phúc Kha</t>
  </si>
  <si>
    <t>Ắc quy xe máy - Ptz6hl  - PINACO: 290.000, OTHER: 240.000</t>
  </si>
  <si>
    <t>Lê Đức Chỉnh</t>
  </si>
  <si>
    <t>C000027635</t>
  </si>
  <si>
    <t>HD Thành Đông</t>
  </si>
  <si>
    <t>Ắc quy xe máy - Ptz6hl  - PINACO: 280.000_x000D_
Ắc quy xe máy - Ptz5l  - PINACO: 280.000_x000D_
Ắc quy xe máy - Ptz6l - PINACO: 360.000</t>
  </si>
  <si>
    <t>C000020952</t>
  </si>
  <si>
    <t>Phước Hiền</t>
  </si>
  <si>
    <t>Pinaco / Đồng Nai - 4_x000D_
GS - 4_x000D_
Enimac - 2</t>
  </si>
  <si>
    <t>Ắc quy xe máy - Ptz 6l - PINACO: 250.000, GS: 260.000, ENIMAC: 250.000</t>
  </si>
  <si>
    <t>C000018508</t>
  </si>
  <si>
    <t>Hưng Phương</t>
  </si>
  <si>
    <t>GS - 5_x000D_
Pinaco / Đồng Nai - 5</t>
  </si>
  <si>
    <t>Ắc quy xe máy - Ptz 6hl - GS: 260.000, PINACO: 245.000</t>
  </si>
  <si>
    <t>C000009076</t>
  </si>
  <si>
    <t>Thanh Lan</t>
  </si>
  <si>
    <t>Ắc quy xe máy - Ptz - PINACO: 250.000, GS: 270.000, GLOBE: 260.000</t>
  </si>
  <si>
    <t>C000009074</t>
  </si>
  <si>
    <t>Phong Phú</t>
  </si>
  <si>
    <t>Ắc quy xe máy - Ptz 6l - PINACO: 250.000, GS: 260.000</t>
  </si>
  <si>
    <t>C000009075</t>
  </si>
  <si>
    <t>Anh Kiệt</t>
  </si>
  <si>
    <t>Ắc quy xe máy - Ptz 6l - PINACO: 245.000, GS: 255.000, GLOBE: 250.000</t>
  </si>
  <si>
    <t>C000030204</t>
  </si>
  <si>
    <t>Honda Vũ</t>
  </si>
  <si>
    <t>482.000 VNĐ</t>
  </si>
  <si>
    <t>Ắc quy xe máy - Ptz6hl  - PINACO: 280.000_x000D_
Ắc quy xe máy - Ptz6l - PINACO: 330.000_x000D_
Ắc quy xe máy - Ptz5l  - PINACO: 280.000</t>
  </si>
  <si>
    <t>C000037155</t>
  </si>
  <si>
    <t>phụ tùng Nguyên Nga</t>
  </si>
  <si>
    <t>Ắc quy xe máy - Ptz 6hl - PINACO: 270.000</t>
  </si>
  <si>
    <t>C000006201</t>
  </si>
  <si>
    <t>Trung Cây</t>
  </si>
  <si>
    <t>Ắc quy xe máy - PTZ5L - PINACO: 240.000, GS: 245.000</t>
  </si>
  <si>
    <t>Thay đổi mẫu mã hộp bình cao và bình lùn cho bắt mắt và trực quang hơn</t>
  </si>
  <si>
    <t>C000018956</t>
  </si>
  <si>
    <t>Cô Thu</t>
  </si>
  <si>
    <t>Ắc quy xe máy - PTZ6HL - PINACO: 245.000, GS: 255.000</t>
  </si>
  <si>
    <t>C000006145</t>
  </si>
  <si>
    <t>Thanh Bân</t>
  </si>
  <si>
    <t>Ắc quy xe máy - PTZ6L - PINACO: 285.000, GS: 300.000, GLOBE: 285.000</t>
  </si>
  <si>
    <t>C000031579</t>
  </si>
  <si>
    <t>Hoàng Hiệp</t>
  </si>
  <si>
    <t>1.187.000 VNĐ</t>
  </si>
  <si>
    <t>Ắc quy xe máy - Ptz5l  - PINACO: 270.000, GS: 280.000_x000D_
Ắc quy xe máy - Ptz6hl  - PINACO: 290.000, GS: 300.000_x000D_
Ắc quy xe máy - Ptz6l - PINACO: 350.000_x000D_
Ắc quy xe máy - Ptz7A - PINACO: 460.000</t>
  </si>
  <si>
    <t>C000006144</t>
  </si>
  <si>
    <t>Tân Đức Hòa</t>
  </si>
  <si>
    <t>Ắc quy xe máy - PTZ5 - PINACO: 220.000, GS: 225.000</t>
  </si>
  <si>
    <t>C000026121</t>
  </si>
  <si>
    <t>Hòa Tân Cảnh</t>
  </si>
  <si>
    <t>4.280.000 VNĐ</t>
  </si>
  <si>
    <t>Ắc quy xe máy - Ptz6hl  - PINACO: 300.000_x000D_
Ắc quy xe máy - Ptz5l  - PINACO: 300.000_x000D_
Ắc quy xe máy - Ptz6l  - PINACO: 380.000_x000D_
Ắc quy xe máy - Ptz6hl - PINACO: 280.000</t>
  </si>
  <si>
    <t>Cửa hàng Không có kho hàng</t>
  </si>
  <si>
    <t>C000029202</t>
  </si>
  <si>
    <t>Toàn Thắng</t>
  </si>
  <si>
    <t>2.290.000 VNĐ</t>
  </si>
  <si>
    <t>Ắc quy xe máy - Ptz5l  - PINACO: 280.000, OTHER: 200.000_x000D_
Ắc quy xe máy - Ptz6hl  - PINACO: 280.000, OTHER: 210.000_x000D_
Ắc quy xe máy - Ptz6l - PINACO: 340.000</t>
  </si>
  <si>
    <t>C000005993</t>
  </si>
  <si>
    <t>179.000.000 VNĐ</t>
  </si>
  <si>
    <t>Ắc quy oto - 55D23 - PINACO: 1.500.000, GS: 1.450.000</t>
  </si>
  <si>
    <t>C000025546</t>
  </si>
  <si>
    <t>Tuấn Hữu</t>
  </si>
  <si>
    <t>Ắc quy xe máy - Ptz 6hl - PINACO: 250.000, GS: 260.000, OTHER: 240.000</t>
  </si>
  <si>
    <t>C000006122</t>
  </si>
  <si>
    <t>HD Trường</t>
  </si>
  <si>
    <t>33.978.000 VNĐ</t>
  </si>
  <si>
    <t>GS - 6_x000D_
Pinaco / Đồng Nai - 4</t>
  </si>
  <si>
    <t>Ắc quy xe máy - Ptz6hl  - GS: 280.000, PINACO: 260.000_x000D_
Ắc quy xe máy - Ptz5l  - PINACO: 250.000, GS: 280.000_x000D_
Ắc quy xe máy - Ptz6l - GS: 320.000, PINACO: 300.000</t>
  </si>
  <si>
    <t>Không có kệ trưng bày</t>
  </si>
  <si>
    <t>C000036246</t>
  </si>
  <si>
    <t>Huỳnh Hải</t>
  </si>
  <si>
    <t>Ắc quy xe máy - Ptz - PINACO: 280.000</t>
  </si>
  <si>
    <t>C000024764</t>
  </si>
  <si>
    <t>DUY ĐOÁN</t>
  </si>
  <si>
    <t>15.400.000 VNĐ</t>
  </si>
  <si>
    <t>Ắc quy xe máy - Ptz 6hl  - PINACO: 250.000, GS: 260.000</t>
  </si>
  <si>
    <t>C000035859</t>
  </si>
  <si>
    <t>Thanh Tùng HD</t>
  </si>
  <si>
    <t>Không có  kho hàng</t>
  </si>
  <si>
    <t>C000018470</t>
  </si>
  <si>
    <t>phúc Đức</t>
  </si>
  <si>
    <t>C000027636</t>
  </si>
  <si>
    <t>HD Phong Dũng</t>
  </si>
  <si>
    <t>711.000 VNĐ</t>
  </si>
  <si>
    <t>Ắc quy xe máy - Ptz6hl  - PINACO: 280.000_x000D_
Ắc quy xe máy - Ptz5l  - PINACO: 270.000</t>
  </si>
  <si>
    <t>C000033551</t>
  </si>
  <si>
    <t>Honda Thanh Thươm</t>
  </si>
  <si>
    <t>2.621.000 VNĐ</t>
  </si>
  <si>
    <t>Ắc quy xe máy - Ptz5l - PINACO: 270.000, GS: 275.000_x000D_
Ắc quy xe máy - Ptz6hl - PINACO: 280.000, GS: 285.000_x000D_
Ắc quy xe máy - Ptz6l - PINACO: 320.000</t>
  </si>
  <si>
    <t>C000025484</t>
  </si>
  <si>
    <t>HD Tây</t>
  </si>
  <si>
    <t>Ắc quy xe máy - Ptz6hl  - PINACO: 300.000</t>
  </si>
  <si>
    <t>C000008978</t>
  </si>
  <si>
    <t>Phước Sơn</t>
  </si>
  <si>
    <t>Ắc quy xe máy - Ptz6hl  - PINACO: 250.000, GS: 250.000, OTHER: 220.000</t>
  </si>
  <si>
    <t>C000023058</t>
  </si>
  <si>
    <t>HD Trọng</t>
  </si>
  <si>
    <t>Ắc quy xe máy - Ptz - PINACO: 245.000</t>
  </si>
  <si>
    <t>C000006053</t>
  </si>
  <si>
    <t>HD Đình Phi</t>
  </si>
  <si>
    <t>Ắc quy xe máy - Ptz 6hl - PINACO: 250.000, GS: 270.000</t>
  </si>
  <si>
    <t>C000006050</t>
  </si>
  <si>
    <t>HD Trang</t>
  </si>
  <si>
    <t>31.500.000 VNĐ</t>
  </si>
  <si>
    <t>Ắc quy xe máy - Ptz - PINACO: 250.000, GS: 270.000</t>
  </si>
  <si>
    <t>C000024763</t>
  </si>
  <si>
    <t>NGỌC HỒ</t>
  </si>
  <si>
    <t>Ắc quy xe máy - Ptz 6hl  - PINACO: 270.000</t>
  </si>
  <si>
    <t>C000020955</t>
  </si>
  <si>
    <t>Lưu Xuân</t>
  </si>
  <si>
    <t>Ắc quy xe máy - Ptz 6hl  - PINACO: 250.000, GS: 270.000</t>
  </si>
  <si>
    <t>C000030663</t>
  </si>
  <si>
    <t>Honda Tề</t>
  </si>
  <si>
    <t>Ắc quy xe máy - Ptz5l - PINACO: 280.000_x000D_
Ắc quy xe máy - Ptz6hl - PINACO: 280.000</t>
  </si>
  <si>
    <t>C000037465</t>
  </si>
  <si>
    <t>Honda Lê Tài</t>
  </si>
  <si>
    <t>C000008114</t>
  </si>
  <si>
    <t>Điện ô tô Nguyên</t>
  </si>
  <si>
    <t>Ắc quy oto - 95D31 - PINACO: 2.200.000</t>
  </si>
  <si>
    <t>C000026299</t>
  </si>
  <si>
    <t>Minh Tuất</t>
  </si>
  <si>
    <t>17.500.000 VNĐ</t>
  </si>
  <si>
    <t>Pinaco / Đồng Nai - 7_x000D_
Thiên Năng - 3</t>
  </si>
  <si>
    <t>Ắc quy xe điện - Pa 12_14 - PINACO: 1.900.000, THIEN_NANG: 1.800.000</t>
  </si>
  <si>
    <t>C000008989</t>
  </si>
  <si>
    <t>Vĩnh Phú</t>
  </si>
  <si>
    <t>Ắc quy xe máy - Ptz 6hl - PINACO: 270.000, GS: 290.000</t>
  </si>
  <si>
    <t>C000008972</t>
  </si>
  <si>
    <t>Đăng Hoàng</t>
  </si>
  <si>
    <t>Pinaco / Đồng Nai - 3_x000D_
GS - 3_x000D_
Enimac - 2_x000D_
Globe - 2</t>
  </si>
  <si>
    <t>Ắc quy xe máy - Ptz 6hl - PINACO: 240.000, GS: 270.000, ENIMAC: 270.000, GLOBE: 260.000</t>
  </si>
  <si>
    <t>C000008980</t>
  </si>
  <si>
    <t>Vũ Văn Dương</t>
  </si>
  <si>
    <t>Pinaco / Đồng Nai - 3_x000D_
Globe - 2_x000D_
GS - 4_x000D_
Nhãn hiệu khác - 1</t>
  </si>
  <si>
    <t>Ắc quy xe máy - Ptz 6hl - PINACO: 240.000, GLOBE: 270.000, GS: 270.000, OTHER: 200.000</t>
  </si>
  <si>
    <t>C000039293</t>
  </si>
  <si>
    <t>HD QUỐC TOÀN</t>
  </si>
  <si>
    <t>Ắc quy xe máy - Ptz 6hl - PINACO: 270.000, ENIMAC: 280.000</t>
  </si>
  <si>
    <t>C000025476</t>
  </si>
  <si>
    <t>VĨNH THỨC</t>
  </si>
  <si>
    <t>Ắc quy xe máy - Ptz 6hl - PINACO: 250.000, GS: 260.000</t>
  </si>
  <si>
    <t>C000026294</t>
  </si>
  <si>
    <t>Thắng Lợi</t>
  </si>
  <si>
    <t>Ắc quy xe máy - Ptz6hl  - PINACO: 290.000, GS: 300.000</t>
  </si>
  <si>
    <t>C000031915</t>
  </si>
  <si>
    <t>PT Tuấn Chư Pưh</t>
  </si>
  <si>
    <t>35.700.000 VNĐ</t>
  </si>
  <si>
    <t>Ắc quy xe máy - Ptz6hl  - PINACO: 280.000, GS: 300.000, ENIMAC: 300.000, OTHER: 230.000</t>
  </si>
  <si>
    <t>C000006197</t>
  </si>
  <si>
    <t>Tứ Khiêm</t>
  </si>
  <si>
    <t>C000008953</t>
  </si>
  <si>
    <t>Huy Long</t>
  </si>
  <si>
    <t>Ắc quy oto - 31800 - PINACO: 2.450.000, GS: 2.400.000, NGOAI_NHAP: 2.400.000</t>
  </si>
  <si>
    <t>Nguyễn Đình Chính</t>
  </si>
  <si>
    <t>CÔNG TY TNHH MỘT THÀNH VIÊN ĐỨC HẢI</t>
  </si>
  <si>
    <t>C000027622</t>
  </si>
  <si>
    <t>Viêt Thủy</t>
  </si>
  <si>
    <t>Enimac - 1_x000D_
Pinaco / Đồng Nai - 9</t>
  </si>
  <si>
    <t>Ắc quy oto - N220 - ENIMAC: 4.100.000, PINACO: 4.300.000</t>
  </si>
  <si>
    <t>C000006226</t>
  </si>
  <si>
    <t>Điện ô tô Thanh</t>
  </si>
  <si>
    <t>71.000.000 VNĐ</t>
  </si>
  <si>
    <t>59.000.000 VNĐ</t>
  </si>
  <si>
    <t>Ắc quy oto - 10531 - PINACO: 2.100.000, ENIMAC: 2.100.000</t>
  </si>
  <si>
    <t>K cho chụp kho</t>
  </si>
  <si>
    <t>C000008100</t>
  </si>
  <si>
    <t>Bình QS</t>
  </si>
  <si>
    <t>Ắc quy xe máy - Ptz6hl  - PINACO: 285.000, GS: 320.000</t>
  </si>
  <si>
    <t>C000006228</t>
  </si>
  <si>
    <t>Minh Hậu</t>
  </si>
  <si>
    <t>Ắc quy oto - 31800 - PINACO: 2.600.000, GS: 2.650.000</t>
  </si>
  <si>
    <t>C000008099</t>
  </si>
  <si>
    <t>Song Chính</t>
  </si>
  <si>
    <t>Ắc quy xe máy - Ptz6hl  - PINACO: 230.000, GS: 230.000, GLOBE: 255.000</t>
  </si>
  <si>
    <t>C000038202</t>
  </si>
  <si>
    <t>PT Vương</t>
  </si>
  <si>
    <t>Ắc quy xe điện - PA 12-23 - PINACO: 400.000, OTHER: 350.000</t>
  </si>
  <si>
    <t>Võ Xuân Phước</t>
  </si>
  <si>
    <t>C000007855</t>
  </si>
  <si>
    <t>Hoàng Phúc</t>
  </si>
  <si>
    <t>Ắc quy oto - 95D31 - PINACO: 2.000.000</t>
  </si>
  <si>
    <t xml:space="preserve">K chụp kho </t>
  </si>
  <si>
    <t>C000024205</t>
  </si>
  <si>
    <t>Tiên Thu GM</t>
  </si>
  <si>
    <t>Ắc quy xe máy - Ptz6hl  - PINACO: 230.000, GS: 235.000, THIEN_NANG: 1.400.000</t>
  </si>
  <si>
    <t>C000024204</t>
  </si>
  <si>
    <t>Lan Khôi GM</t>
  </si>
  <si>
    <t>Pinaco / Đồng Nai - 3_x000D_
GS - 3_x000D_
Enimac - 2_x000D_
Xupai - 1_x000D_
Nhãn hiệu khác - 1</t>
  </si>
  <si>
    <t>Bán lẻ: 29%; Bán sỉ: 71%</t>
  </si>
  <si>
    <t>Ắc quy xe máy - Ptz6hl  - PINACO: 260.000, GS: 280.000, ENIMAC: 270.000, XUPAI: 1.700.000, OTHER: 220.000</t>
  </si>
  <si>
    <t>C000008235</t>
  </si>
  <si>
    <t>Tấn Đức</t>
  </si>
  <si>
    <t>103.670.000 VNĐ</t>
  </si>
  <si>
    <t>Ắc quy oto - N100 - PINACO: 2.300.000, GS: 2.100.000</t>
  </si>
  <si>
    <t>C000024206</t>
  </si>
  <si>
    <t>Nhân GM</t>
  </si>
  <si>
    <t>Ắc quy xe máy - Ptz6hl  - PINACO: 230.000, GS: 260.000</t>
  </si>
  <si>
    <t>C000036822</t>
  </si>
  <si>
    <t>Quốc Tuấn</t>
  </si>
  <si>
    <t>Ắc quy xe máy - Ptz6hl  - PINACO: 290.000</t>
  </si>
  <si>
    <t>C000024765</t>
  </si>
  <si>
    <t>XUÂN HÙNG</t>
  </si>
  <si>
    <t>Ắc quy xe máy - Ptz 6hl - PINACO: 260.000, OTHER: 250.000</t>
  </si>
  <si>
    <t>C000006143</t>
  </si>
  <si>
    <t>81.000.000 VNĐ</t>
  </si>
  <si>
    <t>98.500.000 VNĐ</t>
  </si>
  <si>
    <t>Pinaco / Đồng Nai - 3_x000D_
GS - 3_x000D_
Enimac - 2_x000D_
Globe - 1_x000D_
Ắc quy ngoại nhập - 1</t>
  </si>
  <si>
    <t>Ắc quy oto - 90D26 - PINACO: 1.750.000, GS: 1.700.000, ENIMAC: 1.700.000, NGOAI_NHAP: 1.850.000</t>
  </si>
  <si>
    <t>C000030804</t>
  </si>
  <si>
    <t>HD Linh</t>
  </si>
  <si>
    <t>Ắc quy xe máy - Ptz 6hl - PINACO: 280.000</t>
  </si>
  <si>
    <t>C000006133</t>
  </si>
  <si>
    <t>Song Hào</t>
  </si>
  <si>
    <t>Pinaco / Đồng Nai - 3_x000D_
GS - 5_x000D_
Nhãn hiệu khác - 2</t>
  </si>
  <si>
    <t>Ắc quy xe máy - Ptz 6hl - PINACO: 260.000, GS: 270.000, OTHER: 250.000</t>
  </si>
  <si>
    <t>C000019894</t>
  </si>
  <si>
    <t>HD Quang Tứ</t>
  </si>
  <si>
    <t>Ắc quy xe điện - Pa 12_14 - PINACO: 1.900.000_x000D_
Ắc quy xe điện - Pa 12_23 - PINACO: 2.900.000</t>
  </si>
  <si>
    <t>C000017744</t>
  </si>
  <si>
    <t>tấn</t>
  </si>
  <si>
    <t>Ắc quy xe máy - Ptz6hl  - PINACO: 241.000, GS: 265.000, OTHER: 230.000</t>
  </si>
  <si>
    <t>C000006131</t>
  </si>
  <si>
    <t>Ắc quy xe máy - Ptz 6hl - PINACO: 260.000, GS: 250.000</t>
  </si>
  <si>
    <t>C000007985</t>
  </si>
  <si>
    <t>Cảnh PN</t>
  </si>
  <si>
    <t>12.800.000 VNĐ</t>
  </si>
  <si>
    <t>Ắc quy xe máy - Ptz6hl  - PINACO: 241.000, GLOBE: 230.000, OTHER: 1.500.000</t>
  </si>
  <si>
    <t>C000006045</t>
  </si>
  <si>
    <t>Thể Quyết</t>
  </si>
  <si>
    <t>Ắc quy xe máy - pTZ6hl  - PINACO: 280.000, OTHER: 240.000</t>
  </si>
  <si>
    <t>C000007988</t>
  </si>
  <si>
    <t>Anh Hoa</t>
  </si>
  <si>
    <t>11.200.000 VNĐ</t>
  </si>
  <si>
    <t>Ắc quy xe máy - Ptz6hl  - PINACO: 230.000, GS: 260.000, OTHER: 1.360.000</t>
  </si>
  <si>
    <t>C000029182</t>
  </si>
  <si>
    <t>điện ô tô Duy Sơn</t>
  </si>
  <si>
    <t>212.670.000 VNĐ</t>
  </si>
  <si>
    <t>Ắc quy oto - N150 - PINACO: 3.300.000, ENIMAC: 3.200.000</t>
  </si>
  <si>
    <t>C000005997</t>
  </si>
  <si>
    <t>Quốc Nhân</t>
  </si>
  <si>
    <t>C000020954</t>
  </si>
  <si>
    <t>Phụ tùng Oanh</t>
  </si>
  <si>
    <t>6.700.000 VNĐ</t>
  </si>
  <si>
    <t>Ắc quy xe máy - Ptz6hl  - PINACO: 280.000, OTHER: 250.000</t>
  </si>
  <si>
    <t>C000024218</t>
  </si>
  <si>
    <t>HD Phi</t>
  </si>
  <si>
    <t>Ắc quy xe máy - Ptz6hl  - PINACO: 250.000, GS: 260.000</t>
  </si>
  <si>
    <t>C000030664</t>
  </si>
  <si>
    <t>Honda Đức</t>
  </si>
  <si>
    <t>Ắc quy xe máy - Ptz5l  - PINACO: 280.000_x000D_
Ắc quy xe máy - Ptz6hl - PINACO: 290.000_x000D_
Ắc quy xe máy - Ptz6l  - PINACO: 340.000</t>
  </si>
  <si>
    <t>C000024567</t>
  </si>
  <si>
    <t>điện ô tô Sơn</t>
  </si>
  <si>
    <t>68.400.018 VNĐ</t>
  </si>
  <si>
    <t>Ắc quy oto - N100 - PINACO: 2.150.000, GS: 2.000.000, ENIMAC: 2.050.000</t>
  </si>
  <si>
    <t>C000030981</t>
  </si>
  <si>
    <t>Honda 207</t>
  </si>
  <si>
    <t>Ắc quy xe điện - Pa - PINACO: 1.800.000, GS: 300.000</t>
  </si>
  <si>
    <t>C000008928</t>
  </si>
  <si>
    <t>Tiến Phát</t>
  </si>
  <si>
    <t>Ắc quy xe máy - Ptz5l  - PINACO: 230.000, GS: 235.000_x000D_
Ắc quy xe máy - Ptz6hl - PINACO: 235.000, GS: 240.000</t>
  </si>
  <si>
    <t>C000031809</t>
  </si>
  <si>
    <t>Honda Hồng Tương</t>
  </si>
  <si>
    <t>Ắc quy xe máy - Ptz5l  - PINACO: 280.000, OTHER: 260.000</t>
  </si>
  <si>
    <t>C000037998</t>
  </si>
  <si>
    <t>Xe Điện Quy Phát</t>
  </si>
  <si>
    <t>5.668.000 VNĐ</t>
  </si>
  <si>
    <t>Ắc quy xe máy - PA 12-14 - PINACO: 460.000, OTHER: 360.000</t>
  </si>
  <si>
    <t>C000006087</t>
  </si>
  <si>
    <t>Vĩnh Lợi</t>
  </si>
  <si>
    <t>Ắc quy xe máy - Ptz6hl  - PINACO: 280.000</t>
  </si>
  <si>
    <t>C000006080</t>
  </si>
  <si>
    <t>Năm Sơn</t>
  </si>
  <si>
    <t>Ắc quy xe máy - Ptz6l  - PINACO: 380.000</t>
  </si>
  <si>
    <t>C000025374</t>
  </si>
  <si>
    <t>An Bình</t>
  </si>
  <si>
    <t>C000007886</t>
  </si>
  <si>
    <t>Tân chính</t>
  </si>
  <si>
    <t>Ắc quy xe máy - Ptz6hl  - PINACO: 240.000, GLOBE: 260.000</t>
  </si>
  <si>
    <t>C000009064</t>
  </si>
  <si>
    <t>Nga Hiệp</t>
  </si>
  <si>
    <t>76 VNĐ</t>
  </si>
  <si>
    <t>Ắc quy oto - 50b24 - PINACO: 1.200.000, GS: 1.150.000_x000D_
Ắc quy oto - 105d31 - PINACO: 2.000.000, GS: 1.900.000</t>
  </si>
  <si>
    <t>C000007849</t>
  </si>
  <si>
    <t>Hải Nhạn</t>
  </si>
  <si>
    <t>Ắc quy xe máy - PTZ5L - PINACO: 245.000, GS: 243.000, GLOBE: 250.000</t>
  </si>
  <si>
    <t>C000007880</t>
  </si>
  <si>
    <t>Chung</t>
  </si>
  <si>
    <t>Ắc quy xe máy - Ptz6hl  - PINACO: 250.000, GS: 270.000, GLOBE: 270.000</t>
  </si>
  <si>
    <t>C000031101</t>
  </si>
  <si>
    <t>Honda Thanh</t>
  </si>
  <si>
    <t>Ắc quy xe máy - Ptz6hl  - PINACO: 280.000, GS: 280.000, OTHER: 260.000</t>
  </si>
  <si>
    <t>C000007851</t>
  </si>
  <si>
    <t>Phương My</t>
  </si>
  <si>
    <t>Ắc quy xe máy - PTZ6HL - PINACO: 251.000, GS: 250.000, GLOBE: 260.000</t>
  </si>
  <si>
    <t>C000031448</t>
  </si>
  <si>
    <t>Xuân Thủy</t>
  </si>
  <si>
    <t>Ắc quy xe máy - Ptz5l  - PINACO: 280.000</t>
  </si>
  <si>
    <t>C000006073</t>
  </si>
  <si>
    <t>HD Đệ</t>
  </si>
  <si>
    <t>Ắc quy xe máy - Ptz6l  - PINACO: 350.000, GS: 360.000</t>
  </si>
  <si>
    <t>C000009004</t>
  </si>
  <si>
    <t>Huệ Vinh</t>
  </si>
  <si>
    <t>Ắc quy xe máy - PTZ5L - PINACO: 245.000, GLOBE: 255.000, GS: 245.000</t>
  </si>
  <si>
    <t>C000006075</t>
  </si>
  <si>
    <t>Tấn Lai</t>
  </si>
  <si>
    <t>Ắc quy xe máy - Ptz5l  - PINACO: 240.000, GS: 240.000, OTHER: 220.000</t>
  </si>
  <si>
    <t>C000006074</t>
  </si>
  <si>
    <t>HD Hiền</t>
  </si>
  <si>
    <t>Pinaco / Đồng Nai - 4_x000D_
Enimac - 4_x000D_
Nhãn hiệu khác - 2</t>
  </si>
  <si>
    <t>Ắc quy xe máy - Ptz6hl  - PINACO: 250.000, ENIMAC: 250.000, OTHER: 230.000</t>
  </si>
  <si>
    <t>C000006196</t>
  </si>
  <si>
    <t>HD Hiếu</t>
  </si>
  <si>
    <t>Ắc quy xe máy - Ptz 6hl - PINACO: 270.000, GLOBE: 280.000</t>
  </si>
  <si>
    <t>C000025612</t>
  </si>
  <si>
    <t>TUYẾT MINH</t>
  </si>
  <si>
    <t>Ắc quy xe máy - Ptz6hl  - PINACO: 250.000, GS: 250.000, GLOBE: 250.000</t>
  </si>
  <si>
    <t>C000009020</t>
  </si>
  <si>
    <t>Khai</t>
  </si>
  <si>
    <t>72.000.099 VNĐ</t>
  </si>
  <si>
    <t>Pinaco / Đồng Nai - 3_x000D_
GS - 3_x000D_
Globe - 2_x000D_
Enimac - 2</t>
  </si>
  <si>
    <t>Ắc quy oto - N100 - PINACO: 2.300.000, GS: 2.100.000, GLOBE: 2.000.000, ENIMAC: 2.000.000</t>
  </si>
  <si>
    <t>C000025202</t>
  </si>
  <si>
    <t>vĩnh phúc gắn máy</t>
  </si>
  <si>
    <t>23.335.000 VNĐ</t>
  </si>
  <si>
    <t>Pinaco / Đồng Nai - 2_x000D_
GS - 3_x000D_
Thiên Năng - 3_x000D_
Nhãn hiệu khác - 2</t>
  </si>
  <si>
    <t>Ắc quy xe máy - Ptz6hl  - PINACO: 250.000, GS: 270.000, THIEN_NANG: 1.500.000, OTHER: 1.400.000</t>
  </si>
  <si>
    <t>C000029014</t>
  </si>
  <si>
    <t>Tiến Đạt</t>
  </si>
  <si>
    <t>C000009040</t>
  </si>
  <si>
    <t>Thuyền</t>
  </si>
  <si>
    <t>4.000.500 VNĐ</t>
  </si>
  <si>
    <t>Ắc quy xe máy - Ptz6hl  - PINACO: 280.000, GS: 300.000, ENIMAC: 280.000</t>
  </si>
  <si>
    <t>C000009055</t>
  </si>
  <si>
    <t>Anh Lệ</t>
  </si>
  <si>
    <t>Ắc quy xe máy - Ptz6hl  - PINACO: 250.000, GS: 270.000</t>
  </si>
  <si>
    <t>C000006116</t>
  </si>
  <si>
    <t>Chị Yến</t>
  </si>
  <si>
    <t>Ắc quy xe máy - Ptz 6hl - PINACO: 245.000, GS: 250.000, OTHER: 240.000</t>
  </si>
  <si>
    <t>C000008238</t>
  </si>
  <si>
    <t>Hoa Trường</t>
  </si>
  <si>
    <t>Ắc quy xe máy - PTZ5L - PINACO: 230.000</t>
  </si>
  <si>
    <t>C000017215</t>
  </si>
  <si>
    <t>Phát Huy</t>
  </si>
  <si>
    <t>Ắc quy xe máy - Ptz 6hl - GS: 250.000, PINACO: 245.000_x000D_
Ắc quy xe máy - Ptz 5l - PINACO: 235.000, GS: 240.000</t>
  </si>
  <si>
    <t>C000012433</t>
  </si>
  <si>
    <t>Việt én</t>
  </si>
  <si>
    <t>Ắc quy dân dụng - N220 - PINACO: 4.200.000, GS: 3.900.000, GLOBE: 3.900.000</t>
  </si>
  <si>
    <t>C000008237</t>
  </si>
  <si>
    <t>Liên Thành</t>
  </si>
  <si>
    <t>Ắc quy xe máy - PTZ6L - PINACO: 285.000, GS: 285.000, GLOBE: 285.000</t>
  </si>
  <si>
    <t>C000008236</t>
  </si>
  <si>
    <t>Ắc quy xe máy - PTZ5L - PINACO: 240.000, GS: 265.000, GLOBE: 245.000</t>
  </si>
  <si>
    <t>C000006048</t>
  </si>
  <si>
    <t>Pháp Đấy</t>
  </si>
  <si>
    <t>66.000.000 VNĐ</t>
  </si>
  <si>
    <t>Ắc quy xe tải - n70 - PINACO: 1.600.000, GS: 1.650.000</t>
  </si>
  <si>
    <t>C000040128</t>
  </si>
  <si>
    <t>HÙNG DUNG</t>
  </si>
  <si>
    <t>Ắc quy xe máy - Ptz 6h  - PINACO: 270.000, GS: 280.000</t>
  </si>
  <si>
    <t>C000008101</t>
  </si>
  <si>
    <t>Vĩnh Phát</t>
  </si>
  <si>
    <t>22.800.000 VNĐ</t>
  </si>
  <si>
    <t>Pinaco / Đồng Nai - 2_x000D_
GS - 4_x000D_
Thiên Năng - 3_x000D_
Nhãn hiệu khác - 1</t>
  </si>
  <si>
    <t>Ắc quy xe máy - Ptz6hl  - PINACO: 235.000, GS: 235.000</t>
  </si>
  <si>
    <t>C000019128</t>
  </si>
  <si>
    <t>HD Dũng Ia Băng</t>
  </si>
  <si>
    <t>Ắc quy xe máy - Ptz5l - PINACO: 290.000, GS: 300.000</t>
  </si>
  <si>
    <t>C000038038</t>
  </si>
  <si>
    <t>HD Hoài</t>
  </si>
  <si>
    <t>Ắc quy xe máy - Ptz6hl  - PINACO: 320.000</t>
  </si>
  <si>
    <t>Cửa hàng bán lẻ,ko có kho hàng</t>
  </si>
  <si>
    <t>C000006168</t>
  </si>
  <si>
    <t>Thái bảo</t>
  </si>
  <si>
    <t>Ắc quy xe máy - Ptz6hl  - PINACO: 240.000, GS: 260.000</t>
  </si>
  <si>
    <t>C000008007</t>
  </si>
  <si>
    <t>Duy Tiến</t>
  </si>
  <si>
    <t>Ắc quy oto - 31800 - PINACO: 2.450.000, GS: 2.450.000</t>
  </si>
  <si>
    <t>trưng bày toàn bộ sản phẩm</t>
  </si>
  <si>
    <t>C000008015</t>
  </si>
  <si>
    <t>Trưng bày lên kệ,không có kho</t>
  </si>
  <si>
    <t>C000019019</t>
  </si>
  <si>
    <t>Nhật Nam</t>
  </si>
  <si>
    <t>Ắc quy xe tải - n100 - PINACO: 2.100.000, GS: 2.150.000</t>
  </si>
  <si>
    <t>C000008009</t>
  </si>
  <si>
    <t>Mai Sáu</t>
  </si>
  <si>
    <t>Ắc quy xe máy - Ptz6l - PINACO: 320.000, OTHER: 300.000</t>
  </si>
  <si>
    <t>Cửa hàng không có kho</t>
  </si>
  <si>
    <t>C000006204</t>
  </si>
  <si>
    <t>Ô Tô Tuấn</t>
  </si>
  <si>
    <t>105.000.090 VNĐ</t>
  </si>
  <si>
    <t>Ắc quy oto - CMF 31800 - PINACO: 2.400.000, ENIMAC: 220.000</t>
  </si>
  <si>
    <t>C000008016</t>
  </si>
  <si>
    <t>HD Chi</t>
  </si>
  <si>
    <t>Ắc quy xe máy - Ptz6hl - PINACO: 310.000, ENIMAC: 310.000</t>
  </si>
  <si>
    <t>Trưng bày trên kệ,không để kho</t>
  </si>
  <si>
    <t>C000006203</t>
  </si>
  <si>
    <t>Trần Sương</t>
  </si>
  <si>
    <t>Ắc quy oto - N100 - PINACO: 2.200.000, GS: 2.050.000, ENIMAC: 2.100.000</t>
  </si>
  <si>
    <t>C000009083</t>
  </si>
  <si>
    <t>HD Thinh</t>
  </si>
  <si>
    <t>Trưng bày trên kệ hàng,không có kho</t>
  </si>
  <si>
    <t>C000009085</t>
  </si>
  <si>
    <t>Ắc quy xe máy - PTZ5l - PINACO: 285.000, GS: 290.000_x000D_
Ắc quy xe máy - PTZ6HL  - PINACO: 300.000, GS: 305.000</t>
  </si>
  <si>
    <t>C000009079</t>
  </si>
  <si>
    <t>Điện ô tô Quân</t>
  </si>
  <si>
    <t>Ắc quy xe tải - n120 - PINACO: 2.550.000, GS: 2.600.000</t>
  </si>
  <si>
    <t>C000009086</t>
  </si>
  <si>
    <t>HD Thạnh</t>
  </si>
  <si>
    <t>Ắc quy xe máy - pTZ6hl - PINACO: 290, GS: 300.000</t>
  </si>
  <si>
    <t>C000029498</t>
  </si>
  <si>
    <t>Ngọc Quý</t>
  </si>
  <si>
    <t>Ắc quy xe máy - Ptz6l - PINACO: 380.000</t>
  </si>
  <si>
    <t>Cửa hàng sữa chữa,không có kho hàng</t>
  </si>
  <si>
    <t>C000025550</t>
  </si>
  <si>
    <t>Minh Trung</t>
  </si>
  <si>
    <t>Ắc quy xe máy - PTZ5l - PINACO: 290.000, GS: 300.000, OTHER: 280.000</t>
  </si>
  <si>
    <t>C000006104</t>
  </si>
  <si>
    <t>Lý Liễu</t>
  </si>
  <si>
    <t>Ắc quy xe máy - Ptz5l  - PINACO: 240.000, GS: 260.000_x000D_
Ắc quy xe máy - Ptz6hl - PINACO: 250.000, GS: 270.000_x000D_
Ắc quy xe máy - Ptz6l  - PINACO: 290.000, GS: 330.000</t>
  </si>
  <si>
    <t>C000006140</t>
  </si>
  <si>
    <t>Toàn Vân</t>
  </si>
  <si>
    <t>Ắc quy oto - N220 - GS: 4.000.000, PINACO: 4.100.000</t>
  </si>
  <si>
    <t>C000034280</t>
  </si>
  <si>
    <t>Honda Văn Trạng</t>
  </si>
  <si>
    <t>C000006126</t>
  </si>
  <si>
    <t>HD Dũng Minh</t>
  </si>
  <si>
    <t>2.350.000 VNĐ</t>
  </si>
  <si>
    <t>Ắc quy xe máy - Ptz5l  - PINACO: 260.000_x000D_
Ắc quy xe máy - Ptz6hl - PINACO: 270.000_x000D_
Ắc quy xe máy - Ptz6l  - PINACO: 310.000</t>
  </si>
  <si>
    <t>C000019495</t>
  </si>
  <si>
    <t>Lâm Việt Phát</t>
  </si>
  <si>
    <t>11.660.000 VNĐ</t>
  </si>
  <si>
    <t>Ắc quy xe máy - Ptz5l  - PINACO: 260.000, GS: 265.000_x000D_
Ắc quy xe máy - Ptz6hl - PINACO: 270.000, GS: 275.000_x000D_
Ắc quy xe máy - Ptz6l  - PINACO: 300.000_x000D_
Ắc quy xe máy - Ptz7l - PINACO: 400.000</t>
  </si>
  <si>
    <t>C000006123</t>
  </si>
  <si>
    <t>HD Trường Giang</t>
  </si>
  <si>
    <t>5.835.000 VNĐ</t>
  </si>
  <si>
    <t>Ắc quy xe máy - Ptz5l  - PINACO: 240.000, GS: 260.000_x000D_
Ắc quy xe máy - Ptz6hl - PINACO: 250.000, GS: 270.000_x000D_
Ắc quy xe máy - Ptz6l  - PINACO: 290.000</t>
  </si>
  <si>
    <t>C000008242</t>
  </si>
  <si>
    <t>Văn Hải</t>
  </si>
  <si>
    <t>Ắc quy xe máy - PTZ5 - PINACO: 240.000, GS: 250.000</t>
  </si>
  <si>
    <t>C000023053</t>
  </si>
  <si>
    <t>Trung Thành Đạt</t>
  </si>
  <si>
    <t>4.250.000 VNĐ</t>
  </si>
  <si>
    <t>Ắc quy xe máy - Ptz6hl - PINACO: 270.000, GS: 270.000_x000D_
Ắc quy xe máy - Ptz5l - PINACO: 260.000, GS: 265.000_x000D_
Ắc quy xe máy - Ptz6l  - PINACO: 300.000</t>
  </si>
  <si>
    <t>C000006117</t>
  </si>
  <si>
    <t>Điện ô tô Tuấn</t>
  </si>
  <si>
    <t>Ắc quy oto - N150 - PINACO: 3.250.000, ENIMAC: 3.200.000</t>
  </si>
  <si>
    <t>C000007871</t>
  </si>
  <si>
    <t>Tuấn Thanh</t>
  </si>
  <si>
    <t>159 VNĐ</t>
  </si>
  <si>
    <t>Ắc quy xe tải - N200 - PINACO: 3.550.000, GS: 3.550.000, ENIMAC: 3.550.000_x000D_
Ắc quy xe tải - N220 - PINACO: 3.650.000, GS: 3.650.000, ENIMAC: 3.650.000</t>
  </si>
  <si>
    <t>C000006151</t>
  </si>
  <si>
    <t>Nga Bông</t>
  </si>
  <si>
    <t>Ắc quy oto - N220 - PINACO: 4.100.000</t>
  </si>
  <si>
    <t>C000024573</t>
  </si>
  <si>
    <t>thùy dương gắn máy</t>
  </si>
  <si>
    <t>Ắc quy xe máy - Ptz6hl  - PINACO: 230.000, GS: 230.000, ENIMAC: 230.000</t>
  </si>
  <si>
    <t>C000024572</t>
  </si>
  <si>
    <t>tuyết kiểm gắn máy</t>
  </si>
  <si>
    <t>Pinaco / Đồng Nai - 4_x000D_
GS - 4_x000D_
Yamato - 2</t>
  </si>
  <si>
    <t>Ắc quy xe máy - Ptz6hl  - PINACO: 230.000, GS: 240.000</t>
  </si>
  <si>
    <t>C000018592</t>
  </si>
  <si>
    <t>Ắc quy xe máy - Ptz6hl  - PINACO: 270, OTHER: 1.800.000</t>
  </si>
  <si>
    <t>C000025978</t>
  </si>
  <si>
    <t>Hồng Anh</t>
  </si>
  <si>
    <t>9.700.000 VNĐ</t>
  </si>
  <si>
    <t>Ắc quy xe điện - Pa 12/14 - PINACO: 480.000</t>
  </si>
  <si>
    <t>C000006102</t>
  </si>
  <si>
    <t>Điện ô tô Huấn</t>
  </si>
  <si>
    <t xml:space="preserve">K cho chụp kho </t>
  </si>
  <si>
    <t>C000006113</t>
  </si>
  <si>
    <t>HD Hoàng Hà</t>
  </si>
  <si>
    <t>7.281.442 VNĐ</t>
  </si>
  <si>
    <t>Ắc quy xe máy - Ptz5l  - PINACO: 300.000, GS: 3.000.000_x000D_
Ắc quy xe máy - Ptz6hl - PINACO: 300.000, GS: 300.000_x000D_
Ắc quy xe máy - Ptz6l  - PINACO: 400.000</t>
  </si>
  <si>
    <t>C000006100</t>
  </si>
  <si>
    <t>Nông cơ Quang</t>
  </si>
  <si>
    <t>Ắc quy oto - N100 - PINACO: 220.000</t>
  </si>
  <si>
    <t>C000006110</t>
  </si>
  <si>
    <t>HD Phước Sang</t>
  </si>
  <si>
    <t>5.254.000 VNĐ</t>
  </si>
  <si>
    <t>Ắc quy xe máy - Ptz5l - PINACO: 270.000, OTHER: 250.000_x000D_
Ắc quy xe máy - Ptz6hl - PINACO: 280.000, OTHER: 250.000_x000D_
Ắc quy xe máy - Ptz6l - PINACO: 320.000</t>
  </si>
  <si>
    <t>C000006097</t>
  </si>
  <si>
    <t>Hiệp Thành</t>
  </si>
  <si>
    <t>C000006098</t>
  </si>
  <si>
    <t>Điện cơ Huy</t>
  </si>
  <si>
    <t>Ắc quy oto - 31800 - PINACO: 2.650.000</t>
  </si>
  <si>
    <t>C000038255</t>
  </si>
  <si>
    <t>Honda Điệu</t>
  </si>
  <si>
    <t>699.000 VNĐ</t>
  </si>
  <si>
    <t>Ắc quy xe máy - Ptz5l - PINACO: 260.000, GS: 260.000_x000D_
Ắc quy xe máy - Ptz6hl - PINACO: 270.000, GS: 270.000</t>
  </si>
  <si>
    <t>C000008116</t>
  </si>
  <si>
    <t>Tiến Cảnh</t>
  </si>
  <si>
    <t>Ắc quy xe máy - Ptz5l - PINACO: 240.000_x000D_
Ắc quy xe máy - Ptz6hl - PINACO: 250.000_x000D_
Ắc quy xe máy - Ptz6l  - PINACO: 290.000</t>
  </si>
  <si>
    <t>C000008119</t>
  </si>
  <si>
    <t>HD Tuấn Ân</t>
  </si>
  <si>
    <t>10.350.000 VNĐ</t>
  </si>
  <si>
    <t>Ắc quy xe máy - Ptz5l - PINACO: 240.000, GS: 280.000_x000D_
Ắc quy xe máy - Ptz6hl - PINACO: 250.000, GS: 270.000_x000D_
Ắc quy xe máy - Ptz6l  - PINACO: 300.000, GS: 310.000</t>
  </si>
  <si>
    <t>C000035125</t>
  </si>
  <si>
    <t>Út Dĩnh</t>
  </si>
  <si>
    <t>9.158.000 VNĐ</t>
  </si>
  <si>
    <t>Ắc quy xe máy - Ptz5l - PINACO: 235.000_x000D_
Ắc quy xe máy - Ptz6hl  - PINACO: 235_x000D_
Ắc quy xe máy - Ptz6l  - PINACO: 280.000</t>
  </si>
  <si>
    <t>C000018349</t>
  </si>
  <si>
    <t>bình minh</t>
  </si>
  <si>
    <t>Ắc quy xe máy - PTZ6HL - PINACO: 250.000, GS: 240.000</t>
  </si>
  <si>
    <t>C000025811</t>
  </si>
  <si>
    <t>Xuân Phong</t>
  </si>
  <si>
    <t>Ắc quy xe máy - Ptz6hl  - PINACO: 240.000, GS: 250.000</t>
  </si>
  <si>
    <t>C000006020</t>
  </si>
  <si>
    <t>Minh Hải</t>
  </si>
  <si>
    <t>Ắc quy oto - Cmf 165G51 - PINACO: 4.400.000, ENIMAC: 4.300.000</t>
  </si>
  <si>
    <t>C000008120</t>
  </si>
  <si>
    <t>HD Huấn</t>
  </si>
  <si>
    <t>Ắc quy xe máy - Ptz5l - PINACO: 260.000_x000D_
Ắc quy xe máy - Ptz6hl - PINACO: 270.000_x000D_
Ắc quy xe máy - Ptz6l - PINACO: 350.000</t>
  </si>
  <si>
    <t xml:space="preserve">Không có kệ hàng </t>
  </si>
  <si>
    <t>C000018542</t>
  </si>
  <si>
    <t>tấn hiệp</t>
  </si>
  <si>
    <t>Ắc quy xe máy - PTZ6HL - PINACO: 250.000</t>
  </si>
  <si>
    <t>C000031580</t>
  </si>
  <si>
    <t>Liên Hợp</t>
  </si>
  <si>
    <t>Ắc quy xe máy - PA - PINACO: 1.700.000, GS: 300.000</t>
  </si>
  <si>
    <t>C000008123</t>
  </si>
  <si>
    <t>HD Long Hải</t>
  </si>
  <si>
    <t>Ắc quy xe máy - Ptz5  - PINACO: 260.000_x000D_
Ắc quy xe máy - Ptz6hl - PINACO: 270.000_x000D_
Ắc quy xe máy - Ptz6l - PINACO: 320.000</t>
  </si>
  <si>
    <t>C000012597</t>
  </si>
  <si>
    <t>Thái Bình</t>
  </si>
  <si>
    <t>Ắc quy xe máy - PTZ5L - PINACO: 240.000, GS: 250.000, GLOBE: 250.000</t>
  </si>
  <si>
    <t>C000006095</t>
  </si>
  <si>
    <t>Ắc quy xe tải - 90d26 - PINACO: 1.800.000, GS: 1.850.000</t>
  </si>
  <si>
    <t>cửa hàng bán lẻ,không có kho hàng</t>
  </si>
  <si>
    <t>C000006094</t>
  </si>
  <si>
    <t>Ngọc Duy</t>
  </si>
  <si>
    <t>Ắc quy xe tải - 31800 - PINACO: 2.550.000, GS: 2.600.000</t>
  </si>
  <si>
    <t>C000008118</t>
  </si>
  <si>
    <t>HD Đương</t>
  </si>
  <si>
    <t>Ắc quy xe máy - Ptz5 - PINACO: 300.000_x000D_
Ắc quy xe máy - Ptz6hl - PINACO: 300.000_x000D_
Ắc quy xe máy - Ptz6l - PINACO: 350.000</t>
  </si>
  <si>
    <t>C000030571</t>
  </si>
  <si>
    <t>Honda Tuyên</t>
  </si>
  <si>
    <t>Ắc quy xe máy - Ptz5 - PINACO: 290.000_x000D_
Ắc quy xe máy - Ptz6hl - PINACO: 290.000_x000D_
Ắc quy xe máy - Ptz6l - PINACO: 350.000</t>
  </si>
  <si>
    <t>C000008986</t>
  </si>
  <si>
    <t>Quang Nhật</t>
  </si>
  <si>
    <t>2.680.000 VNĐ</t>
  </si>
  <si>
    <t>Ắc quy xe máy - Ptz5l  - PINACO: 280.000, GS: 310.000</t>
  </si>
  <si>
    <t>C000030665</t>
  </si>
  <si>
    <t>Honda Phúc</t>
  </si>
  <si>
    <t>Ắc quy xe máy - Ptz5 - PINACO: 240.000_x000D_
Ắc quy xe máy - Ptz6hl - PINACO: 240.000</t>
  </si>
  <si>
    <t>C000008184</t>
  </si>
  <si>
    <t>Quốc hải</t>
  </si>
  <si>
    <t>55.500.000 VNĐ</t>
  </si>
  <si>
    <t>Ắc quy xe máy - Ptz6hl  - PINACO: 250.000, OTHER: 195.000</t>
  </si>
  <si>
    <t>C000031225</t>
  </si>
  <si>
    <t>ngọc sáu</t>
  </si>
  <si>
    <t>Ắc quy xe máy - Ptz6hl  - PINACO: 228.000, GS: 230.000</t>
  </si>
  <si>
    <t>C000024202</t>
  </si>
  <si>
    <t>Vũ Hải Gắn Máy</t>
  </si>
  <si>
    <t>30.500.000 VNĐ</t>
  </si>
  <si>
    <t>Pinaco / Đồng Nai - 1_x000D_
GS - 6_x000D_
Globe - 2_x000D_
Thiên Năng - 1_x000D_
Nhãn hiệu khác - 0</t>
  </si>
  <si>
    <t>Ắc quy xe máy - Ptz6hl  - PINACO: 230.000, GS: 235.000, GLOBE: 270.000</t>
  </si>
  <si>
    <t>C000037154</t>
  </si>
  <si>
    <t>thế hùng</t>
  </si>
  <si>
    <t>C000030662</t>
  </si>
  <si>
    <t>Honda Tân</t>
  </si>
  <si>
    <t>Ắc quy xe máy - Ptz5 - PINACO: 240.000, OTHER: 200.000_x000D_
Ắc quy xe máy - Ptz6hl - PINACO: 250.000, OTHER: 210.000_x000D_
Ắc quy xe máy - Ptz6l - PINACO: 280.000</t>
  </si>
  <si>
    <t>C000008111</t>
  </si>
  <si>
    <t>Cảnh Bình</t>
  </si>
  <si>
    <t>C000023564</t>
  </si>
  <si>
    <t>Đức Thịnh</t>
  </si>
  <si>
    <t>C000006067</t>
  </si>
  <si>
    <t>Điện ô tô Tý</t>
  </si>
  <si>
    <t>70.500.000 VNĐ</t>
  </si>
  <si>
    <t>Ắc quy xe tải - 105d31 - PINACO: 2.050.000, GS: 2.100.000</t>
  </si>
  <si>
    <t>C000006065</t>
  </si>
  <si>
    <t>Ắc quy Cường</t>
  </si>
  <si>
    <t>Ắc quy xe tải - 31800 - PINACO: 2.500.000</t>
  </si>
  <si>
    <t>C000008121</t>
  </si>
  <si>
    <t>HD Thanh Qúy</t>
  </si>
  <si>
    <t>Ắc quy oto - 90D26 - PINACO: 1.900.000</t>
  </si>
  <si>
    <t>C000006059</t>
  </si>
  <si>
    <t>Huỳnh Tư</t>
  </si>
  <si>
    <t>Ắc quy xe tải - 31800 - PINACO: 2.500.000, GS: 2.550.000, ENIMAC: 2.500.000</t>
  </si>
  <si>
    <t>C000008920</t>
  </si>
  <si>
    <t>Ngọc Hải</t>
  </si>
  <si>
    <t>162.000.000 VNĐ</t>
  </si>
  <si>
    <t>Ắc quy oto - 105D31 - PINACO: 2.100.000, GS: 2.000.000, ENIMAC: 2.050.000</t>
  </si>
  <si>
    <t>C000008934</t>
  </si>
  <si>
    <t>HD Giang</t>
  </si>
  <si>
    <t>31.044.000 VNĐ</t>
  </si>
  <si>
    <t>Ắc quy xe máy - Ptz5 - PINACO: 235, GS: 235.000_x000D_
Ắc quy xe máy - Ptz6 - PINACO: 235.000, GS: 235.000</t>
  </si>
  <si>
    <t>C000006082</t>
  </si>
  <si>
    <t>HD Kiên</t>
  </si>
  <si>
    <t>Pinaco / Đồng Nai - 8_x000D_
Xupai - 2</t>
  </si>
  <si>
    <t>Ắc quy xe máy - Ptz6hl  - PINACO: 280.000, XUPAI: 1.600.000</t>
  </si>
  <si>
    <t>C000008925</t>
  </si>
  <si>
    <t>14.057.000 VNĐ</t>
  </si>
  <si>
    <t>Ắc quy xe máy - Ptz5 - PINACO: 300.000_x000D_
Ắc quy xe máy - Ptz6hl - PINACO: 300.000_x000D_
Ắc quy xe máy - Ptz6l - PINACO: 370.000</t>
  </si>
  <si>
    <t>C000007894</t>
  </si>
  <si>
    <t>Quốc Tú</t>
  </si>
  <si>
    <t>Ắc quy xe máy - Ptz6hl  - PINACO: 240.000, GS: 260.000, ENIMAC: 235.000</t>
  </si>
  <si>
    <t>C000006076</t>
  </si>
  <si>
    <t>HD Trung</t>
  </si>
  <si>
    <t>C000007892</t>
  </si>
  <si>
    <t>Cảnh Ty</t>
  </si>
  <si>
    <t>Ắc quy xe máy - Ptz6hl - PINACO: 240.000, GS: 265.000</t>
  </si>
  <si>
    <t>C000009036</t>
  </si>
  <si>
    <t>Đức Bình</t>
  </si>
  <si>
    <t>130 VNĐ</t>
  </si>
  <si>
    <t>Pinaco / Đồng Nai - 4_x000D_
GS - 2_x000D_
Enimac - 2_x000D_
Ắc quy ngoại nhập - 1_x000D_
Nhãn hiệu khác - 1</t>
  </si>
  <si>
    <t>Ắc quy oto - n100 - PINACO: 2.000.000, GS: 1.950.000, ENIMAC: 2.050.000</t>
  </si>
  <si>
    <t>C000006194</t>
  </si>
  <si>
    <t>TƯ DIỆN</t>
  </si>
  <si>
    <t>Ắc quy xe máy - Ptz6 - PINACO: 245.000, GS: 270.000, OTHER: 230.000</t>
  </si>
  <si>
    <t>C000027347</t>
  </si>
  <si>
    <t>Hà Phát An</t>
  </si>
  <si>
    <t>Ắc quy xe máy - Ptz5L - PINACO: 220.000, GS: 270.000, GLOBE: 250.000</t>
  </si>
  <si>
    <t>C000015986</t>
  </si>
  <si>
    <t>Cô Hồng</t>
  </si>
  <si>
    <t>292 VNĐ</t>
  </si>
  <si>
    <t>Pinaco / Đồng Nai - 6_x000D_
GS - 1_x000D_
Ắc quy ngoại nhập - 3</t>
  </si>
  <si>
    <t>Ắc quy oto - 90d26 - PINACO: 1.700.000, GS: 1.700.000, NGOAI_NHAP: 1.700.000</t>
  </si>
  <si>
    <t>Đồng Nai áp dụng giá mới sớm hơn đối thủ hơn 2 tháng gây khó khăn cho việc bán ra</t>
  </si>
  <si>
    <t>C000020005</t>
  </si>
  <si>
    <t>Việt Đức</t>
  </si>
  <si>
    <t>Ắc quy xe máy - Ptz6hl  - PINACO: 280.000, OTHER: 270.000</t>
  </si>
  <si>
    <t>C000006193</t>
  </si>
  <si>
    <t>Bảy Quốc</t>
  </si>
  <si>
    <t>32.828.000 VNĐ</t>
  </si>
  <si>
    <t>Ắc quy xe máy - Ptz 6hl - PINACO: 241.000, GS: 265.000, ENIMAC: 282.000</t>
  </si>
  <si>
    <t>C000031578</t>
  </si>
  <si>
    <t>Ắc quy KT</t>
  </si>
  <si>
    <t>Ắc quy oto - 105D31 - PINACO: 2.150.000, GS: 210.000</t>
  </si>
  <si>
    <t>C000008956</t>
  </si>
  <si>
    <t>Tấn Chánh</t>
  </si>
  <si>
    <t>Ắc quy xe tải - 55d23 - PINACO: 1.600.000, GS: 1.650.000</t>
  </si>
  <si>
    <t>cửa hàng bán lẻ ,trương bày hết lên kệ.</t>
  </si>
  <si>
    <t>C000008958</t>
  </si>
  <si>
    <t>Minh Điền</t>
  </si>
  <si>
    <t>Pinaco / Đồng Nai - 3_x000D_
GS - 3_x000D_
Enimac - 4</t>
  </si>
  <si>
    <t>Ắc quy xe tải - n85 - PINACO: 1.750.000, GS: 1.800.000, ENIMAC: 1.750.000</t>
  </si>
  <si>
    <t>cửa hàng bán lẻ nhiều  nên ko có kho hàng</t>
  </si>
  <si>
    <t>C000030203</t>
  </si>
  <si>
    <t>Sửa xe Sài Gòn</t>
  </si>
  <si>
    <t>934.000 VNĐ</t>
  </si>
  <si>
    <t>Ắc quy xe máy - Ptz5 - PINACO: 300.000, GS: 300.000_x000D_
Ắc quy xe máy - Ptz6hl - PINACO: 320.000, GS: 320.000_x000D_
Ắc quy xe máy - Ptz6l - PINACO: 370.000, GS: 400.000</t>
  </si>
  <si>
    <t xml:space="preserve"> không có kho hàng</t>
  </si>
  <si>
    <t>C000029929</t>
  </si>
  <si>
    <t>NGọc Trinh</t>
  </si>
  <si>
    <t>C000008921</t>
  </si>
  <si>
    <t>Điện ô tô Thắng</t>
  </si>
  <si>
    <t>Ắc quy oto - N150 - PINACO: 3.200.000, OTHER: 3.100.000</t>
  </si>
  <si>
    <t>C000008949</t>
  </si>
  <si>
    <t>Tự Do</t>
  </si>
  <si>
    <t>Ắc quy xe tải - n100 - PINACO: 2.050.000, GS: 2.050.000, NGOAI_NHAP: 2.150.000</t>
  </si>
  <si>
    <t>C000039149</t>
  </si>
  <si>
    <t>AQ Trung Kiên</t>
  </si>
  <si>
    <t xml:space="preserve">K cho chụp hình kho </t>
  </si>
  <si>
    <t>C000006129</t>
  </si>
  <si>
    <t>Điện tử Long</t>
  </si>
  <si>
    <t>61.000.000 VNĐ</t>
  </si>
  <si>
    <t>Ắc quy oto - 31800 - PINACO: 2.450.000, GS: 2.500.000</t>
  </si>
  <si>
    <t>C000018928</t>
  </si>
  <si>
    <t>HD Phú</t>
  </si>
  <si>
    <t>Ắc quy xe máy - Ptz6hl  - PINACO: 310.000, ENIMAC: 330.000</t>
  </si>
  <si>
    <t>C000008976</t>
  </si>
  <si>
    <t>HD Thành Đạt</t>
  </si>
  <si>
    <t>Ắc quy xe máy - Ptz 6hl - PINACO: 241.000_x000D_
Ắc quy xe máy - Ptz 5l - PINACO: 229.000_x000D_
Ắc quy xe máy - Ptz 6l - PINACO: 281.000</t>
  </si>
  <si>
    <t>C000035127</t>
  </si>
  <si>
    <t>HD Giáp</t>
  </si>
  <si>
    <t>C000019207</t>
  </si>
  <si>
    <t>Hoàng Anh</t>
  </si>
  <si>
    <t>Ắc quy xe máy - Ptz 6hl - PINACO: 241.000</t>
  </si>
  <si>
    <t>C000008987</t>
  </si>
  <si>
    <t>HD Châu</t>
  </si>
  <si>
    <t>Ắc quy xe máy - Ptz6hl  - PINACO: 250.000</t>
  </si>
  <si>
    <t>C000008984</t>
  </si>
  <si>
    <t>Tư Thận</t>
  </si>
  <si>
    <t>C000008955</t>
  </si>
  <si>
    <t>Pinaco / Đồng Nai - 4_x000D_
Enimac - 2_x000D_
GS - 4</t>
  </si>
  <si>
    <t>Ắc quy xe tải - n100 - PINACO: 2.100.000, ENIMAC: 2.100.000, GS: 2.050.000</t>
  </si>
  <si>
    <t>C000030994</t>
  </si>
  <si>
    <t>Honda Thanh Sang</t>
  </si>
  <si>
    <t>1.702.000 VNĐ</t>
  </si>
  <si>
    <t>Ắc quy xe máy - Ptz5 - PINACO: 280.000_x000D_
Ắc quy xe máy - Ptz6hl - PINACO: 280.000_x000D_
Ắc quy xe máy - Ptz6l - PINACO: 360.000</t>
  </si>
  <si>
    <t>Cửa hàng bán lẽ không có kho</t>
  </si>
  <si>
    <t>Khảo sát thị phần QLKV Bình.xlsx</t>
  </si>
  <si>
    <t>C000027480</t>
  </si>
  <si>
    <t>Hành Hương</t>
  </si>
  <si>
    <t>Ắc quy xe máy - Ptz5l - PINACO: 230.000, OTHER: 190.000</t>
  </si>
  <si>
    <t>Nguyễn Đình Đức</t>
  </si>
  <si>
    <t>CÔNG TY CỔ PHẦN CÔNG NGHỆ THIẾT BỊ TÂN PHÁT</t>
  </si>
  <si>
    <t>CNDN - QLKV BÌNH</t>
  </si>
  <si>
    <t>NGHỆ AN</t>
  </si>
  <si>
    <t>C000038676</t>
  </si>
  <si>
    <t>Dương Hợi</t>
  </si>
  <si>
    <t>10.190.000 VNĐ</t>
  </si>
  <si>
    <t>Ắc quy xe máy - Ptz5l - PINACO: 240.000, NGOAI_NHAP: 190.000</t>
  </si>
  <si>
    <t>Võ Cát Hào</t>
  </si>
  <si>
    <t>ASM - Bình</t>
  </si>
  <si>
    <t>C000022786</t>
  </si>
  <si>
    <t>Xuân Châu</t>
  </si>
  <si>
    <t>Ắc quy xe máy - Ptz5l - PINACO: 230.000, GS: 240.000</t>
  </si>
  <si>
    <t>C000011901</t>
  </si>
  <si>
    <t>Dương Tình</t>
  </si>
  <si>
    <t>C000011899</t>
  </si>
  <si>
    <t>Trần Hoàng</t>
  </si>
  <si>
    <t>Ắc quy xe máy - Ptz5l - PINACO: 270.000, GS: 280.000</t>
  </si>
  <si>
    <t>C000012319</t>
  </si>
  <si>
    <t>Xuân Trà</t>
  </si>
  <si>
    <t>Trần Văn Cường</t>
  </si>
  <si>
    <t>CÔNG TY TNHH THÀNH THẢO NGHỆ AN</t>
  </si>
  <si>
    <t>C000011746</t>
  </si>
  <si>
    <t>Chiến Chung</t>
  </si>
  <si>
    <t>C000029868</t>
  </si>
  <si>
    <t>Anh Châu</t>
  </si>
  <si>
    <t>C000011713</t>
  </si>
  <si>
    <t>Phan Trung</t>
  </si>
  <si>
    <t>10.000.009 VNĐ</t>
  </si>
  <si>
    <t>Ắc quy xe máy - Ptz6hl - PINACO: 250.000</t>
  </si>
  <si>
    <t>C000011718</t>
  </si>
  <si>
    <t>Hồng Quân</t>
  </si>
  <si>
    <t>250.000 VNĐ</t>
  </si>
  <si>
    <t>C000011721</t>
  </si>
  <si>
    <t>Ắc quy xe máy - Ptz5l - PINACO: 235.000</t>
  </si>
  <si>
    <t>C000011728</t>
  </si>
  <si>
    <t>Tuấn Ngọc</t>
  </si>
  <si>
    <t>Ắc quy xe máy - Ptz5l  - PINACO: 230.000, OTHER: 190.000</t>
  </si>
  <si>
    <t>GS - Hoàng</t>
  </si>
  <si>
    <t>C000017721</t>
  </si>
  <si>
    <t>Thắng Hiên</t>
  </si>
  <si>
    <t>Ắc quy xe máy - Ptz5l - GS: 240.000, PINACO: 230.000</t>
  </si>
  <si>
    <t>C000011711</t>
  </si>
  <si>
    <t>Tiềm Nữ</t>
  </si>
  <si>
    <t>C000011942</t>
  </si>
  <si>
    <t>Hường Viên</t>
  </si>
  <si>
    <t>C000017857</t>
  </si>
  <si>
    <t>Hải Yến</t>
  </si>
  <si>
    <t>Ắc quy xe máy - Ptz5l - PINACO: 230.000, GS: 240.000, OTHER: 190.000</t>
  </si>
  <si>
    <t>C000011809</t>
  </si>
  <si>
    <t>Thắng Ema</t>
  </si>
  <si>
    <t>Ắc quy xe máy - Ptz6l  - PINACO: 280.000</t>
  </si>
  <si>
    <t>C000011874</t>
  </si>
  <si>
    <t>Đức Cường</t>
  </si>
  <si>
    <t>Pinaco / Đồng Nai - 7_x000D_
Nhãn hiệu khác - 0_x000D_
GS - 3</t>
  </si>
  <si>
    <t>C000017363</t>
  </si>
  <si>
    <t>Nguyễn Văn Hòa</t>
  </si>
  <si>
    <t>C000011966</t>
  </si>
  <si>
    <t>Hằng Tiên</t>
  </si>
  <si>
    <t>C000025514</t>
  </si>
  <si>
    <t>Linh Hưng Nguyên</t>
  </si>
  <si>
    <t>Ắc quy xe máy - Ptz6hl - PINACO: 250.000, GS: 270.000, NGOAI_NHAP: 210.000</t>
  </si>
  <si>
    <t>C000015359</t>
  </si>
  <si>
    <t>Hải Anh</t>
  </si>
  <si>
    <t>C000011932</t>
  </si>
  <si>
    <t>Sơn Thủy</t>
  </si>
  <si>
    <t>C000011085</t>
  </si>
  <si>
    <t>Trung Hoan</t>
  </si>
  <si>
    <t>1.120.000.000 VNĐ</t>
  </si>
  <si>
    <t>C000011779</t>
  </si>
  <si>
    <t>Ắc quy xe máy - Ptz6hl - PINACO: 240.000, GS: 245.000, OTHER: 185.000</t>
  </si>
  <si>
    <t>C000011227</t>
  </si>
  <si>
    <t>Hường Long</t>
  </si>
  <si>
    <t>Ắc quy oto - 90d26 - PINACO: 1.650.000, GS: 1.750.000, NGOAI_NHAP: 1.700.000</t>
  </si>
  <si>
    <t>C000009881</t>
  </si>
  <si>
    <t>Đại Huyền</t>
  </si>
  <si>
    <t>73.000.009 VNĐ</t>
  </si>
  <si>
    <t>C000019408</t>
  </si>
  <si>
    <t>Hoàng Thủy</t>
  </si>
  <si>
    <t>Không có kho</t>
  </si>
  <si>
    <t>C000009857</t>
  </si>
  <si>
    <t>Sơn Phượng</t>
  </si>
  <si>
    <t>125.100.890 VNĐ</t>
  </si>
  <si>
    <t>Ắc quy oto - N100 - PINACO: 2.050.000, GS: 2.000.000, NGOAI_NHAP: 2.000.000</t>
  </si>
  <si>
    <t>C000009876</t>
  </si>
  <si>
    <t>Yên Quỳnh Tiến</t>
  </si>
  <si>
    <t>C000011318</t>
  </si>
  <si>
    <t>Xuân Mỹ</t>
  </si>
  <si>
    <t>Ắc quy oto - 50b24ls - PINACO: 1.150.000, NGOAI_NHAP: 1.250.000</t>
  </si>
  <si>
    <t>C000009847</t>
  </si>
  <si>
    <t>200.090.000 VNĐ</t>
  </si>
  <si>
    <t>C000017097</t>
  </si>
  <si>
    <t>Thanh Nhật</t>
  </si>
  <si>
    <t>409.000.000 VNĐ</t>
  </si>
  <si>
    <t>C000011940</t>
  </si>
  <si>
    <t>Đường Liễu</t>
  </si>
  <si>
    <t>Ắc quy xe máy - Ptz5l - PINACO: 230.000, GS: 240.000, OTHER: 180.000</t>
  </si>
  <si>
    <t>C000011939</t>
  </si>
  <si>
    <t>Xuân Long</t>
  </si>
  <si>
    <t>C000019409</t>
  </si>
  <si>
    <t>Duy Khiêm</t>
  </si>
  <si>
    <t>238.099.900 VNĐ</t>
  </si>
  <si>
    <t>C000011089</t>
  </si>
  <si>
    <t>Thảo Hương</t>
  </si>
  <si>
    <t>Hàng để kho khác</t>
  </si>
  <si>
    <t>C000015363</t>
  </si>
  <si>
    <t>Anh Vân</t>
  </si>
  <si>
    <t>C000011805</t>
  </si>
  <si>
    <t>Hà Điệp</t>
  </si>
  <si>
    <t>Pinaco / Đồng Nai - 4_x000D_
GS - 3_x000D_
Globe - 3_x000D_
Nhãn hiệu khác - 0</t>
  </si>
  <si>
    <t>Ắc quy xe máy - Ptz6hl - PINACO: 235.000, GS: 245.000, GLOBE: 225.000, OTHER: 190.000</t>
  </si>
  <si>
    <t>C000040731</t>
  </si>
  <si>
    <t>Duệ Hồng</t>
  </si>
  <si>
    <t>Pinaco / Đồng Nai - 4_x000D_
Ắc quy ngoại nhập - 2_x000D_
Thiên Năng - 4</t>
  </si>
  <si>
    <t>Ắc quy xe điện - Pa12-14 - PINACO: 420.000, NGOAI_NHAP: 320.000, THIEN_NANG: 350.000</t>
  </si>
  <si>
    <t>C000011440</t>
  </si>
  <si>
    <t>Đồng Điện</t>
  </si>
  <si>
    <t>Ắc quy oto - N100 - PINACO: 20.500.000</t>
  </si>
  <si>
    <t>Khách hàng để hàng ở nhà</t>
  </si>
  <si>
    <t>C000009868</t>
  </si>
  <si>
    <t>C000011442</t>
  </si>
  <si>
    <t>Nền Điệp</t>
  </si>
  <si>
    <t>GS - 8_x000D_
Pinaco / Đồng Nai - 2</t>
  </si>
  <si>
    <t>Ắc quy oto - N100 - GS: 2.050, PINACO: 2.000.000</t>
  </si>
  <si>
    <t>Khách hàng không cho chụp</t>
  </si>
  <si>
    <t>C000011444</t>
  </si>
  <si>
    <t>Thành Sâm</t>
  </si>
  <si>
    <t>Ắc quy oto - 31800 - PINACO: 2.150.000</t>
  </si>
  <si>
    <t>Hàng khách hàng cất kho khác</t>
  </si>
  <si>
    <t>C000009862</t>
  </si>
  <si>
    <t>Đông Lùn</t>
  </si>
  <si>
    <t>430.000.000 VNĐ</t>
  </si>
  <si>
    <t>C000011909</t>
  </si>
  <si>
    <t>Chung Duyên</t>
  </si>
  <si>
    <t>Ắc quy xe máy - Ptz5l - PINACO: 23.000, GS: 240.000, GLOBE: 235.000_x000D_
Ắc quy xe điện - Pa 12-14 - OTHER: 1.500.000</t>
  </si>
  <si>
    <t>C000016293</t>
  </si>
  <si>
    <t>Thành Huế Phương</t>
  </si>
  <si>
    <t>Ắc quy xe máy - Ptz6hl - PINACO: 240.000</t>
  </si>
  <si>
    <t>C000012152</t>
  </si>
  <si>
    <t>Hường Kỳ</t>
  </si>
  <si>
    <t>717.500.000 VNĐ</t>
  </si>
  <si>
    <t>Pinaco / Đồng Nai - 2_x000D_
Enimac - 4_x000D_
Ắc quy ngoại nhập - 2_x000D_
GS - 2</t>
  </si>
  <si>
    <t>Ắc quy oto - N100 - PINACO: 2.050.000, ENIMAC: 2.000.000, GS: 2.100.000</t>
  </si>
  <si>
    <t>C000012153</t>
  </si>
  <si>
    <t>Lâm Túy</t>
  </si>
  <si>
    <t>245.000.000 VNĐ</t>
  </si>
  <si>
    <t>Pinaco / Đồng Nai - 5_x000D_
GS - 1_x000D_
Ắc quy ngoại nhập - 4</t>
  </si>
  <si>
    <t>C000025719</t>
  </si>
  <si>
    <t>Phúc Tâm</t>
  </si>
  <si>
    <t>Pinaco / Đồng Nai - 6_x000D_
Enimac - 2_x000D_
Nhãn hiệu khác - 2</t>
  </si>
  <si>
    <t>Ắc quy xe máy - Ptz5l - PINACO: 280.000, ENIMAC: 270.000_x000D_
Ắc quy xe điện - Pa 12-14 - OTHER: 2.500.000</t>
  </si>
  <si>
    <t>C000019075</t>
  </si>
  <si>
    <t>Phú Thủy</t>
  </si>
  <si>
    <t>77.900.000 VNĐ</t>
  </si>
  <si>
    <t>Ko có kho hàng</t>
  </si>
  <si>
    <t>C000012317</t>
  </si>
  <si>
    <t>Hoa Duẩn</t>
  </si>
  <si>
    <t>88.900.009 VNĐ</t>
  </si>
  <si>
    <t>Ắc quy oto - N100 - PINACO: 2.050.000, GS: 2.100.000, NGOAI_NHAP: 2.000.000</t>
  </si>
  <si>
    <t>C000011848</t>
  </si>
  <si>
    <t>Hiền Sơn</t>
  </si>
  <si>
    <t>130.001.003 VNĐ</t>
  </si>
  <si>
    <t>Ắc quy xe máy - Ptz6l - PINACO: 275.000, GS: 285.000, GLOBE: 270.000</t>
  </si>
  <si>
    <t>C000019418</t>
  </si>
  <si>
    <t>Phú Điện</t>
  </si>
  <si>
    <t>270.000.000 VNĐ</t>
  </si>
  <si>
    <t>Pinaco / Đồng Nai - 6_x000D_
Ắc quy ngoại nhập - 2_x000D_
Enimac - 2</t>
  </si>
  <si>
    <t>Ắc quy oto - N150 - PINACO: 2.950.000, NGOAI_NHAP: 3.300.000, ENIMAC: 2.950.000</t>
  </si>
  <si>
    <t>Khách hàng để bình ở kho,không trưng bày nhiều,vì sợ thuế</t>
  </si>
  <si>
    <t>C000011847</t>
  </si>
  <si>
    <t>Nam Hằng</t>
  </si>
  <si>
    <t>Ắc quy xe máy - Ptz6hl - PINACO: 240.000, GS: 245.000, GLOBE: 220.000</t>
  </si>
  <si>
    <t>C000011837</t>
  </si>
  <si>
    <t>Hồng Ngân</t>
  </si>
  <si>
    <t>Pinaco / Đồng Nai - 3_x000D_
GS - 3_x000D_
Globe - 2_x000D_
Nhãn hiệu khác - 2</t>
  </si>
  <si>
    <t>Ắc quy xe máy - Ptz5l 230000 - PINACO: 230.000, GS: 235.000, GLOBE: 215.000, OTHER: 190.000</t>
  </si>
  <si>
    <t>C000011752</t>
  </si>
  <si>
    <t>Luyện Thủy</t>
  </si>
  <si>
    <t>GS - 4_x000D_
Nhãn hiệu khác - 2_x000D_
Pinaco / Đồng Nai - 4</t>
  </si>
  <si>
    <t>Ắc quy xe máy - Ptz6hl - GS: 235.000, PINACO: 230.000, OTHER: 190.000</t>
  </si>
  <si>
    <t>C000011784</t>
  </si>
  <si>
    <t>Thành Sỹ</t>
  </si>
  <si>
    <t>Ắc quy oto - 44b20 - PINACO: 1.050, GS: 1.150</t>
  </si>
  <si>
    <t>C000011751</t>
  </si>
  <si>
    <t>Ắc quy xe máy - Ptz5l - PINACO: 230.000, GS: 235.000, GLOBE: 215.000</t>
  </si>
  <si>
    <t>C000010953</t>
  </si>
  <si>
    <t>Đàn</t>
  </si>
  <si>
    <t>Kho không ở vị trí điểm bán</t>
  </si>
  <si>
    <t>C000009846</t>
  </si>
  <si>
    <t>Hòa Tri</t>
  </si>
  <si>
    <t>84.090.000 VNĐ</t>
  </si>
  <si>
    <t>C000009851</t>
  </si>
  <si>
    <t>Hồng Soa</t>
  </si>
  <si>
    <t>C000011762</t>
  </si>
  <si>
    <t>Vinh Thu</t>
  </si>
  <si>
    <t>Ắc quy xe máy - Ptz6hl - PINACO: 240.000, GS: 245.000, OTHER: 190.000</t>
  </si>
  <si>
    <t>C000011763</t>
  </si>
  <si>
    <t>Hải Hiền</t>
  </si>
  <si>
    <t>C000009889</t>
  </si>
  <si>
    <t>Trọng Điều</t>
  </si>
  <si>
    <t>Ắc quy oto - N100 - PINACO: 2.005.000, GS: 2.050.000, ENIMAC: 1.950.000</t>
  </si>
  <si>
    <t>C000011263</t>
  </si>
  <si>
    <t>Cữa hàng k có kho</t>
  </si>
  <si>
    <t>C000011758</t>
  </si>
  <si>
    <t>Ngọc Tú</t>
  </si>
  <si>
    <t>C000012321</t>
  </si>
  <si>
    <t>Vũ Sơn</t>
  </si>
  <si>
    <t>Pinaco / Đồng Nai - 8_x000D_
Ắc quy ngoại nhập - 2_x000D_
GS - 0</t>
  </si>
  <si>
    <t>Ắc quy oto - N100 - PINACO: 2.050.000, NGOAI_NHAP: 2.100.000</t>
  </si>
  <si>
    <t>C000012318</t>
  </si>
  <si>
    <t>Đại Nghĩa</t>
  </si>
  <si>
    <t>Ắc quy oto - N100 - PINACO: 2.050.000, GS: 2.100.000, NGOAI_NHAP: 2.200.000</t>
  </si>
  <si>
    <t>C000011307</t>
  </si>
  <si>
    <t>Mạnh Xuân</t>
  </si>
  <si>
    <t>365.000.000 VNĐ</t>
  </si>
  <si>
    <t>316.000.000 VNĐ</t>
  </si>
  <si>
    <t>Ắc quy oto - N100 - PINACO: 1.950, GS: 2.050, ENIMAC: 1.950</t>
  </si>
  <si>
    <t>Kho khách hàng để chổ khác</t>
  </si>
  <si>
    <t>C000027997</t>
  </si>
  <si>
    <t>Đức Chinh</t>
  </si>
  <si>
    <t>Ắc quy xe tải - N220 - PINACO: 4.200.000</t>
  </si>
  <si>
    <t>Khách không trưng bày hàng,</t>
  </si>
  <si>
    <t>C000011963</t>
  </si>
  <si>
    <t>Hiếu Hà</t>
  </si>
  <si>
    <t>Ắc quy xe máy - Ptz5l - PINACO: 240.000, GS: 250.000</t>
  </si>
  <si>
    <t>C000011961</t>
  </si>
  <si>
    <t>Trường Thọ</t>
  </si>
  <si>
    <t>Ắc quy xe máy - Ptz5l - PINACO: 230, GS: 240</t>
  </si>
  <si>
    <t>C000011317</t>
  </si>
  <si>
    <t>227.000.000 VNĐ</t>
  </si>
  <si>
    <t>Pinaco / Đồng Nai - 7_x000D_
GS - 3_x000D_
Nhãn hiệu khác - 0</t>
  </si>
  <si>
    <t>Ắc quy oto - N100 - PINACO: 1.950.000, GS: 2.000.000</t>
  </si>
  <si>
    <t>C000011936</t>
  </si>
  <si>
    <t>Quang Thành</t>
  </si>
  <si>
    <t>C000027720</t>
  </si>
  <si>
    <t>Văn giáo</t>
  </si>
  <si>
    <t>Ắc quy xe máy - Ptz5l - PINACO: 280.000_x000D_
Ắc quy xe máy - Ptz6hl - PINACO: 290.000_x000D_
Ắc quy xe máy - Ptz6l iss - PINACO: 360.000</t>
  </si>
  <si>
    <t>Hoàng Xuân Quế</t>
  </si>
  <si>
    <t>CÔNG TY TNHH THƯƠNG MẠI VÀ DỊCH VỤ TUẤN ANH HK</t>
  </si>
  <si>
    <t>HÀ TĨNH</t>
  </si>
  <si>
    <t>GS- Huy</t>
  </si>
  <si>
    <t>C000027505</t>
  </si>
  <si>
    <t>Hoàng thuyết</t>
  </si>
  <si>
    <t>C000018838</t>
  </si>
  <si>
    <t>Hoan Phi</t>
  </si>
  <si>
    <t>Ắc quy xe máy - Bình Thấp - PINACO: 260.000</t>
  </si>
  <si>
    <t>Phan Duy Hải</t>
  </si>
  <si>
    <t>C000009934</t>
  </si>
  <si>
    <t>Xoan Hào</t>
  </si>
  <si>
    <t>Ắc quy xe máy - Ptz5l - PINACO: 229.000, GS: 235.000_x000D_
Ắc quy xe máy - Ptz6hl - PINACO: 241.000, GS: 235.000_x000D_
Ắc quy xe máy - Ptz6l iss - PINACO: 285.000, GS: 295.000</t>
  </si>
  <si>
    <t>C000028557</t>
  </si>
  <si>
    <t>Hòa Anh</t>
  </si>
  <si>
    <t>C000028038</t>
  </si>
  <si>
    <t>Hoài Dương</t>
  </si>
  <si>
    <t>C000009762</t>
  </si>
  <si>
    <t>Ắc quy oto - N100 - PINACO: 2.100.000, GS: 2.100.000, ENIMAC: 2.000.000</t>
  </si>
  <si>
    <t>Lê Hữu Đa</t>
  </si>
  <si>
    <t>Công ty TNHH Thương Mại Hợi Đồng</t>
  </si>
  <si>
    <t>C000009767</t>
  </si>
  <si>
    <t>Hồng Cường</t>
  </si>
  <si>
    <t>81.400.000 VNĐ</t>
  </si>
  <si>
    <t>Ắc quy xe tải - N120 - PINACO: 2.400.000, GS: 2.500.000</t>
  </si>
  <si>
    <t>C000009776</t>
  </si>
  <si>
    <t>Bích Lự</t>
  </si>
  <si>
    <t>136.500.000 VNĐ</t>
  </si>
  <si>
    <t>C000009792</t>
  </si>
  <si>
    <t>Phát Út</t>
  </si>
  <si>
    <t>104.979.000 VNĐ</t>
  </si>
  <si>
    <t>Ắc quy xe tải - N100 - PINACO: 2.000.000, GS: 2.100.000</t>
  </si>
  <si>
    <t>C000033349</t>
  </si>
  <si>
    <t>Sơn Hường</t>
  </si>
  <si>
    <t>C000018872</t>
  </si>
  <si>
    <t>Doanh Xoan</t>
  </si>
  <si>
    <t>C000018870</t>
  </si>
  <si>
    <t>Chính Nghĩa</t>
  </si>
  <si>
    <t>C000018871</t>
  </si>
  <si>
    <t>Hồng Lĩnh</t>
  </si>
  <si>
    <t>C000018869</t>
  </si>
  <si>
    <t>Ngọc Thọ</t>
  </si>
  <si>
    <t>C000034648</t>
  </si>
  <si>
    <t>Phương Nam</t>
  </si>
  <si>
    <t>C000032698</t>
  </si>
  <si>
    <t>Trung Thảo</t>
  </si>
  <si>
    <t>Ắc quy xe máy - Ptz5l - PINACO: 280.000_x000D_
Ắc quy xe máy - Ptz6hl - PINACO: 290.000_x000D_
Ắc quy xe máy - Ptz6l - PINACO: 360.000</t>
  </si>
  <si>
    <t>C000010006</t>
  </si>
  <si>
    <t>Mai Đức Bình</t>
  </si>
  <si>
    <t>Ắc quy xe máy - Bình Cao - PINACO: 240.000</t>
  </si>
  <si>
    <t>C000009744</t>
  </si>
  <si>
    <t>C000009713</t>
  </si>
  <si>
    <t>Nga Tuấn</t>
  </si>
  <si>
    <t>Ắc quy oto - N150 - PINACO: 3.100.000</t>
  </si>
  <si>
    <t>C000028566</t>
  </si>
  <si>
    <t>Hồng Mại</t>
  </si>
  <si>
    <t>Ắc quy xe máy - Bình Thấp - PINACO: 230.000</t>
  </si>
  <si>
    <t>Nhờ công ty làm biển nhanh giúp cửa hàng . Chứ đợt này chờ biển hơi lâu</t>
  </si>
  <si>
    <t>C000009716</t>
  </si>
  <si>
    <t>Hoè Bình</t>
  </si>
  <si>
    <t>C000009717</t>
  </si>
  <si>
    <t>Thủy Thơ</t>
  </si>
  <si>
    <t>Ắc quy oto - CMF 31800 - PINACO: 2.300.000</t>
  </si>
  <si>
    <t>C000010015</t>
  </si>
  <si>
    <t>Lưu Hạ</t>
  </si>
  <si>
    <t>75.000 VNĐ</t>
  </si>
  <si>
    <t>C000010017</t>
  </si>
  <si>
    <t>Tuyết Đương</t>
  </si>
  <si>
    <t>Ctkm gói mua hàng tăng suất du lịch</t>
  </si>
  <si>
    <t>C000009702</t>
  </si>
  <si>
    <t>Hà Phương</t>
  </si>
  <si>
    <t>Ắc quy oto - N85 - PINACO: 1.750.000</t>
  </si>
  <si>
    <t>C000041047</t>
  </si>
  <si>
    <t>Thuận Lan</t>
  </si>
  <si>
    <t>Ắc quy xe máy - Ptz5l - PINACO: 280.000_x000D_
Ắc quy xe máy - Ptz6hl - PINACO: 290.000</t>
  </si>
  <si>
    <t>C000033866</t>
  </si>
  <si>
    <t>Dũng Huệ</t>
  </si>
  <si>
    <t>C000009947</t>
  </si>
  <si>
    <t>Dũng Bền</t>
  </si>
  <si>
    <t>Ắc quy xe máy - Bình cao - PINACO: 240.000, GS: 260.000</t>
  </si>
  <si>
    <t>C000034774</t>
  </si>
  <si>
    <t>Hải Nhàn</t>
  </si>
  <si>
    <t>Ắc quy xe máy - Ptz5l - PINACO: 280.000_x000D_
Ắc quy xe máy - Ptz6hl - PINACO: 290.000_x000D_
Ắc quy xe máy - Ptz6l iss - PINACO: 350.000</t>
  </si>
  <si>
    <t>C000028034</t>
  </si>
  <si>
    <t>Thảo Bình</t>
  </si>
  <si>
    <t>Ắc quy xe tải - Ptz5l - PINACO: 229.000_x000D_
Ắc quy xe máy - Ptz6hl - PINACO: 241.000_x000D_
Ắc quy xe máy - Ptz6l iss - PINACO: 281.000</t>
  </si>
  <si>
    <t>C000028035</t>
  </si>
  <si>
    <t>Phong Thủy</t>
  </si>
  <si>
    <t>Ắc quy xe máy - Ptz5l - PINACO: 229.000_x000D_
Ắc quy xe máy - Ptz6hl - PINACO: 241.000_x000D_
Ắc quy xe máy - Ptz6l iss - PINACO: 281.000</t>
  </si>
  <si>
    <t>C000009926</t>
  </si>
  <si>
    <t>Hiệp Nầm</t>
  </si>
  <si>
    <t>Ắc quy xe máy - Ptz5l - PINACO: 229.000, GS: 225.000_x000D_
Ắc quy xe máy - Ptz6hl - PINACO: 241.000, GS: 235.000_x000D_
Ắc quy xe máy - Ptz6l iss - PINACO: 281.000, GS: 285.000</t>
  </si>
  <si>
    <t>C000009765</t>
  </si>
  <si>
    <t>Lan Tuế 1</t>
  </si>
  <si>
    <t>C000010051</t>
  </si>
  <si>
    <t>Thiệu Vân</t>
  </si>
  <si>
    <t>Pinaco / Đồng Nai - 2_x000D_
Globe - 1_x000D_
GS - 1_x000D_
Yamato - 3_x000D_
Xupai - 3</t>
  </si>
  <si>
    <t>Ắc quy xe máy - Bình cao - PINACO: 240.000, GLOBE: 240.000, GS: 260.000</t>
  </si>
  <si>
    <t>C000009740</t>
  </si>
  <si>
    <t>Tuấn Bảo</t>
  </si>
  <si>
    <t>233.000.000 VNĐ</t>
  </si>
  <si>
    <t>Ắc quy oto - N100E  - PINACO: 1.950.000</t>
  </si>
  <si>
    <t>C000010013</t>
  </si>
  <si>
    <t>Bình Nguyệt</t>
  </si>
  <si>
    <t>Ắc quy xe máy - Bình cao - PINACO: 240.000, GS: 225.000, OTHER: 500.000</t>
  </si>
  <si>
    <t>C000009790</t>
  </si>
  <si>
    <t>Thanh Tý</t>
  </si>
  <si>
    <t>C000009789</t>
  </si>
  <si>
    <t>Hùng Xuân</t>
  </si>
  <si>
    <t>Ắc quy xe tải - N85 - PINACO: 1.750.000</t>
  </si>
  <si>
    <t>C000009788</t>
  </si>
  <si>
    <t>Tuấn Trang</t>
  </si>
  <si>
    <t>C000036499</t>
  </si>
  <si>
    <t>Trung Viết</t>
  </si>
  <si>
    <t xml:space="preserve">Cân đối lại giá </t>
  </si>
  <si>
    <t>C000017070</t>
  </si>
  <si>
    <t>Bá Đức</t>
  </si>
  <si>
    <t>Ắc quy xe máy - Bình cao - PINACO: 280.000</t>
  </si>
  <si>
    <t>C000009734</t>
  </si>
  <si>
    <t>C000034769</t>
  </si>
  <si>
    <t>Quang Lan</t>
  </si>
  <si>
    <t>Ắc quy xe máy - Bình Cao - PINACO: 240.000, GS: 230.000, OTHER: 190.000</t>
  </si>
  <si>
    <t>C000036500</t>
  </si>
  <si>
    <t>Triệu Phú</t>
  </si>
  <si>
    <t>C000009785</t>
  </si>
  <si>
    <t>Anh Nga 2</t>
  </si>
  <si>
    <t>C000009993</t>
  </si>
  <si>
    <t>Anh Nga</t>
  </si>
  <si>
    <t>Ắc quy xe máy - PTZ6HL - PINACO: 240.000</t>
  </si>
  <si>
    <t>C000017725</t>
  </si>
  <si>
    <t>Văn Vị</t>
  </si>
  <si>
    <t>Pinaco / Đồng Nai - 3_x000D_
GS - 1_x000D_
Thiên Năng - 6</t>
  </si>
  <si>
    <t>Ắc quy xe máy - Bình Cao - PINACO: 280.000, GS: 280.000, THIEN_NANG: 450.000</t>
  </si>
  <si>
    <t>C000010050</t>
  </si>
  <si>
    <t>Đức Tâm</t>
  </si>
  <si>
    <t>Ắc quy xe máy - Bình Thấp - PINACO: 230.000, GS: 225.000</t>
  </si>
  <si>
    <t>C000034321</t>
  </si>
  <si>
    <t>Long Thiết</t>
  </si>
  <si>
    <t>Ắc quy xe máy - PTZ5L ĐN - PINACO: 229.000_x000D_
Ắc quy xe máy - PTZ6HL ĐN - PINACO: 241.000_x000D_
Ắc quy xe máy - PTZ6L ISS - PINACO: 281.000_x000D_
Ắc quy xe máy - PTZ7L ĐN - PINACO: 381.000_x000D_
Ắc quy xe máy - PTZ7A ĐN - PINACO: 381.000</t>
  </si>
  <si>
    <t>Ct hợp đồng đi du lịch cho khách hàng</t>
  </si>
  <si>
    <t>C000018904</t>
  </si>
  <si>
    <t>Khang Nga</t>
  </si>
  <si>
    <t>Ắc quy xe máy - PTZ6HL - PINACO: 280.000, YAMATO: 460.000</t>
  </si>
  <si>
    <t>C000018848</t>
  </si>
  <si>
    <t>Ngọc Hiếu</t>
  </si>
  <si>
    <t>Ắc quy xe máy - PTZ6HL - PINACO: 280.000, THIEN_NANG: 355.000</t>
  </si>
  <si>
    <t>C000036590</t>
  </si>
  <si>
    <t>A loan</t>
  </si>
  <si>
    <t>PHAN VĂN QUÝ</t>
  </si>
  <si>
    <t>CÔNG TY TNHH THƯƠNG MẠI TH HẢI THÀNH</t>
  </si>
  <si>
    <t>QUẢNG BÌNH</t>
  </si>
  <si>
    <t>GS Nẵm</t>
  </si>
  <si>
    <t>C000010339</t>
  </si>
  <si>
    <t>Minh Tứ</t>
  </si>
  <si>
    <t>Ắc quy xe máy - Pty - PINACO: 240, GS: 250</t>
  </si>
  <si>
    <t>C000026440</t>
  </si>
  <si>
    <t>Ngọc Anh</t>
  </si>
  <si>
    <t>Ắc quy xe tải - Ptz6hl  - PINACO: 300.000</t>
  </si>
  <si>
    <t>C000024817</t>
  </si>
  <si>
    <t>Tư bông</t>
  </si>
  <si>
    <t>Ắc quy xe máy - Ptz6hl - PINACO: 245, GS: 255</t>
  </si>
  <si>
    <t>Giá cao hon gs</t>
  </si>
  <si>
    <t>C000010344</t>
  </si>
  <si>
    <t>Lâm Len</t>
  </si>
  <si>
    <t>191.000.000 VNĐ</t>
  </si>
  <si>
    <t>Pinaco / Đồng Nai - 4_x000D_
Enimac - 3_x000D_
GS - 3</t>
  </si>
  <si>
    <t>Ắc quy xe tải - N100 - PINACO: 2.050.000, ENIMAC: 2.050.000, GS: 2.050.000</t>
  </si>
  <si>
    <t>Nguyễn Văn Chiến</t>
  </si>
  <si>
    <t>CÔNG TY TNHH THƯƠNG MẠI TỔNG HỢP THÀNH THẢO</t>
  </si>
  <si>
    <t>C000010430</t>
  </si>
  <si>
    <t>Anh Trí</t>
  </si>
  <si>
    <t>185.000.009 VNĐ</t>
  </si>
  <si>
    <t>Ắc quy oto - N150 - PINACO: 3.050.000, GS: 3.050.000</t>
  </si>
  <si>
    <t>C000010402</t>
  </si>
  <si>
    <t>Chiến Nguyệt</t>
  </si>
  <si>
    <t>Ắc quy xe tải - N150 - PINACO: 3.050.000, GS: 3.050.000</t>
  </si>
  <si>
    <t>C000010337</t>
  </si>
  <si>
    <t>Thu Thắng</t>
  </si>
  <si>
    <t>Ắc quy xe máy - Ptz6hl  - PINACO: 245, GS: 255</t>
  </si>
  <si>
    <t>Cao hơn gs</t>
  </si>
  <si>
    <t>C000010334</t>
  </si>
  <si>
    <t>Quang Hồng</t>
  </si>
  <si>
    <t>Ắc quy xe tải - Ptz6hl  - PINACO: 245, GS: 255</t>
  </si>
  <si>
    <t>C000010342</t>
  </si>
  <si>
    <t>Trung Hà</t>
  </si>
  <si>
    <t>Giá cao</t>
  </si>
  <si>
    <t>C000010914</t>
  </si>
  <si>
    <t>Lâm Hương</t>
  </si>
  <si>
    <t>C000010357</t>
  </si>
  <si>
    <t>Lâm Bình</t>
  </si>
  <si>
    <t>C000010415</t>
  </si>
  <si>
    <t>Tư Bông</t>
  </si>
  <si>
    <t>94.000.000 VNĐ</t>
  </si>
  <si>
    <t>Pinaco / Đồng Nai - 5_x000D_
Enimac - 2_x000D_
GS - 3</t>
  </si>
  <si>
    <t>Ắc quy xe tải - N150 - PINACO: 3.050.000, ENIMAC: 3.050.000, GS: 3.050.000</t>
  </si>
  <si>
    <t xml:space="preserve">Chương trình khuyến mãi để giá thấp hơn </t>
  </si>
  <si>
    <t>C000026537</t>
  </si>
  <si>
    <t>thoại điểu</t>
  </si>
  <si>
    <t>C000035440</t>
  </si>
  <si>
    <t>Vũ Lộc</t>
  </si>
  <si>
    <t>C000010428</t>
  </si>
  <si>
    <t>Hoà Thương</t>
  </si>
  <si>
    <t>C000026480</t>
  </si>
  <si>
    <t>thí hiệp</t>
  </si>
  <si>
    <t>C000010359</t>
  </si>
  <si>
    <t>Phú Thành</t>
  </si>
  <si>
    <t>Ắc quy xe tải - N120 - PINACO: 2.450.000, GS: 2.450.000, ENIMAC: 2.400.000</t>
  </si>
  <si>
    <t>Giá Bình Đồng nai quá cao bán châm</t>
  </si>
  <si>
    <t>C000025793</t>
  </si>
  <si>
    <t>Bảo châu</t>
  </si>
  <si>
    <t>C000010455</t>
  </si>
  <si>
    <t>Chií Thanh</t>
  </si>
  <si>
    <t>Ắc quy xe máy - Ptzz6hl - PINACO: 300.000</t>
  </si>
  <si>
    <t>C000010326</t>
  </si>
  <si>
    <t>Doanh Huệ</t>
  </si>
  <si>
    <t>Ắc quy xe tải - N100 - PINACO: 2.050.000, GS: 2.050.000</t>
  </si>
  <si>
    <t xml:space="preserve">Đề nghị giá bình rẻ hơn giá cao quá khó bán </t>
  </si>
  <si>
    <t>C000010393</t>
  </si>
  <si>
    <t>Tùng Huế</t>
  </si>
  <si>
    <t>Hổ trợ thêm giá giống Bình GS</t>
  </si>
  <si>
    <t>C000010424</t>
  </si>
  <si>
    <t>Cường Quân</t>
  </si>
  <si>
    <t>168.500.000 VNĐ</t>
  </si>
  <si>
    <t xml:space="preserve">Để nghi giá tốt hơn để phần lãi nhuận Cao hơn </t>
  </si>
  <si>
    <t>C000010443</t>
  </si>
  <si>
    <t>Minh Huệ</t>
  </si>
  <si>
    <t>Ắc quy xe máy - Ptz6hl - PINACO: 240, GS: 230</t>
  </si>
  <si>
    <t>Xin tăng ck giảm giá bán</t>
  </si>
  <si>
    <t>C000022968</t>
  </si>
  <si>
    <t>Tinh Hai</t>
  </si>
  <si>
    <t>Ắc quy xe máy - Ptz6hk - PINACO: 222, GS: 220, GLOBE: 215</t>
  </si>
  <si>
    <t>Tăng ck để có giá tốt hơn gs</t>
  </si>
  <si>
    <t>C000025077</t>
  </si>
  <si>
    <t>Thành thảo</t>
  </si>
  <si>
    <t>711.000.000 VNĐ</t>
  </si>
  <si>
    <t>Ắc quy xe máy - Ptz6 - PINACO: 300</t>
  </si>
  <si>
    <t>Ctkm tốt hơn để có giá tốt hơn</t>
  </si>
  <si>
    <t>C000010449</t>
  </si>
  <si>
    <t>Phương Loan</t>
  </si>
  <si>
    <t>163.000.009 VNĐ</t>
  </si>
  <si>
    <t>Ắc quy oto - N100 - PINACO: 2.050.000, GS: 2.050.000, GLOBE: 2.000.000</t>
  </si>
  <si>
    <t xml:space="preserve">Đề nghị có chương trình tốt để giá được tốt tăng lãi suất </t>
  </si>
  <si>
    <t>C000029150</t>
  </si>
  <si>
    <t>Quang Sử</t>
  </si>
  <si>
    <t>Ắc quy xe máy - Ptz5l - PINACO: 220.000, GS: 230.000</t>
  </si>
  <si>
    <t>Nguyễn Văn Hai</t>
  </si>
  <si>
    <t>CÔNG TY TRÁCH NHIỆM HỮU HẠN MINH NGUYỆT PHÁT</t>
  </si>
  <si>
    <t>QUẢNG TRỊ</t>
  </si>
  <si>
    <t>C000029148</t>
  </si>
  <si>
    <t>Nguyễn Tính</t>
  </si>
  <si>
    <t>Ắc quy xe máy - Ptz6l - PINACO: 270.000, GS: 300.000</t>
  </si>
  <si>
    <t>C000029149</t>
  </si>
  <si>
    <t>Đức Nhơn</t>
  </si>
  <si>
    <t>C000037044</t>
  </si>
  <si>
    <t>Hồng Đặng 2</t>
  </si>
  <si>
    <t>Giá cả khá cao hơn đối thủ Gs</t>
  </si>
  <si>
    <t>C000031181</t>
  </si>
  <si>
    <t>Ca ly</t>
  </si>
  <si>
    <t>Ắc quy xe máy - Ptz6l - PINACO: 270.000, OTHER: 270.000</t>
  </si>
  <si>
    <t>C000012082</t>
  </si>
  <si>
    <t>Tuấn Tám</t>
  </si>
  <si>
    <t>Ắc quy xe máy - Ptz6hl - PINACO: 230.000, GS: 240.000</t>
  </si>
  <si>
    <t>Giâ</t>
  </si>
  <si>
    <t>C000036006</t>
  </si>
  <si>
    <t>Đình Lực</t>
  </si>
  <si>
    <t>Giá bình khá cao với đối thủ cạnh tranh</t>
  </si>
  <si>
    <t>GS - Ái</t>
  </si>
  <si>
    <t>C000036005</t>
  </si>
  <si>
    <t>Minh kì</t>
  </si>
  <si>
    <t>Ắc quy xe máy - Ptz6hl - PINACO: 230.000</t>
  </si>
  <si>
    <t>C000029142</t>
  </si>
  <si>
    <t>Đức Hoàng</t>
  </si>
  <si>
    <t>Bình nhanh hư quá , cần kiểm tra lại</t>
  </si>
  <si>
    <t>C000029151</t>
  </si>
  <si>
    <t>Dũng Honda</t>
  </si>
  <si>
    <t>C000029147</t>
  </si>
  <si>
    <t>Đính</t>
  </si>
  <si>
    <t>C000029146</t>
  </si>
  <si>
    <t>Quang Hiền</t>
  </si>
  <si>
    <t>Bình điện giá cao hơn mặt bằng chung</t>
  </si>
  <si>
    <t>C000012279</t>
  </si>
  <si>
    <t>A Thông</t>
  </si>
  <si>
    <t>Điểm bán không cho chụp ảnh khi và không trưng bày sản phẩm. Phản ánh tỷ lệ bảo hành cao</t>
  </si>
  <si>
    <t>C000036003</t>
  </si>
  <si>
    <t>Xuân Anh</t>
  </si>
  <si>
    <t>Ắc quy xe máy - Ptz6hl - PINACO: 230.000, ENIMAC: 230.000</t>
  </si>
  <si>
    <t>Bình bảo hành nhiều, giá bình cao hơn mặt bằng chung</t>
  </si>
  <si>
    <t>C000032011</t>
  </si>
  <si>
    <t>Hoàng Dương</t>
  </si>
  <si>
    <t>C000035596</t>
  </si>
  <si>
    <t>Hữu Thiện</t>
  </si>
  <si>
    <t>C000036710</t>
  </si>
  <si>
    <t>Xuân Trường</t>
  </si>
  <si>
    <t>C000032656</t>
  </si>
  <si>
    <t>Tèo</t>
  </si>
  <si>
    <t>C000025496</t>
  </si>
  <si>
    <t>Tấn Tài</t>
  </si>
  <si>
    <t>C000023478</t>
  </si>
  <si>
    <t>băc bon</t>
  </si>
  <si>
    <t>C000036008</t>
  </si>
  <si>
    <t>Hợp ĐIỆP</t>
  </si>
  <si>
    <t>C000037750</t>
  </si>
  <si>
    <t>oanh thạch</t>
  </si>
  <si>
    <t>C000034777</t>
  </si>
  <si>
    <t>C000011518</t>
  </si>
  <si>
    <t>Khôi Thành</t>
  </si>
  <si>
    <t>Nguyễn Văn Sơn</t>
  </si>
  <si>
    <t>CÔNG TY TNHH MTV THƯƠNG MẠI -DỊCH VỤ HƯƠNG TIẾN</t>
  </si>
  <si>
    <t>C000011519</t>
  </si>
  <si>
    <t>Khắc Tuyến</t>
  </si>
  <si>
    <t>890.000.000 VNĐ</t>
  </si>
  <si>
    <t>C000033947</t>
  </si>
  <si>
    <t>Quang Khánh</t>
  </si>
  <si>
    <t>C000029157</t>
  </si>
  <si>
    <t>C000029158</t>
  </si>
  <si>
    <t>470.000 VNĐ</t>
  </si>
  <si>
    <t>Ắc quy xe máy - Ptz6hl - GS: 240.000, PINACO: 230.000</t>
  </si>
  <si>
    <t>C000012278</t>
  </si>
  <si>
    <t>Đồng Tín</t>
  </si>
  <si>
    <t>470.000.000 VNĐ</t>
  </si>
  <si>
    <t>C000028043</t>
  </si>
  <si>
    <t>Quang Minh</t>
  </si>
  <si>
    <t>Ắc quy xe máy - Ptz6hl - GS: 230.000, PINACO: 240.000</t>
  </si>
  <si>
    <t>C000011522</t>
  </si>
  <si>
    <t>Trí Huệ</t>
  </si>
  <si>
    <t>C000010620</t>
  </si>
  <si>
    <t>C000027525</t>
  </si>
  <si>
    <t>Dũng Lan</t>
  </si>
  <si>
    <t>C000012219</t>
  </si>
  <si>
    <t>Chị Loan</t>
  </si>
  <si>
    <t>C000029818</t>
  </si>
  <si>
    <t>Anh Điệp</t>
  </si>
  <si>
    <t>C000037045</t>
  </si>
  <si>
    <t>Anh Lưu</t>
  </si>
  <si>
    <t>C000012014</t>
  </si>
  <si>
    <t>Hương Bình</t>
  </si>
  <si>
    <t>C000027523</t>
  </si>
  <si>
    <t>Anh Nhật</t>
  </si>
  <si>
    <t>C000033318</t>
  </si>
  <si>
    <t>Văn Thìn</t>
  </si>
  <si>
    <t>C000025186</t>
  </si>
  <si>
    <t>Thiện Chiến</t>
  </si>
  <si>
    <t>C000012021</t>
  </si>
  <si>
    <t>C000025780</t>
  </si>
  <si>
    <t>Quôc Huy</t>
  </si>
  <si>
    <t>Ắc quy xe máy - Ptz6hl - PINACO: 230.000, ENIMAC: 220.000</t>
  </si>
  <si>
    <t>C000012037</t>
  </si>
  <si>
    <t>Hồng Lâm</t>
  </si>
  <si>
    <t>C000011532</t>
  </si>
  <si>
    <t>Minh Trí Huệ</t>
  </si>
  <si>
    <t>C000012254</t>
  </si>
  <si>
    <t>Cảm điện ô tô</t>
  </si>
  <si>
    <t>C000025185</t>
  </si>
  <si>
    <t>Trương Cử</t>
  </si>
  <si>
    <t>Tỉ lệ bảo hành cao, giá cao so với đối thủ</t>
  </si>
  <si>
    <t>C000012046</t>
  </si>
  <si>
    <t>Nết Phụng</t>
  </si>
  <si>
    <t>Pinaco / Đồng Nai - 3_x000D_
GS - 4_x000D_
Thiên Năng - 2_x000D_
Nhãn hiệu khác - 1</t>
  </si>
  <si>
    <t>Ắc quy xe máy - Ptz5l - PINACO: 230.000, GS: 235.000, THIEN_NANG: 1.450.000, OTHER: 1.400.000</t>
  </si>
  <si>
    <t>Cải thiện sản phẩm bình PA điện, giá cao hơn so với đối thủ</t>
  </si>
  <si>
    <t>C000011399</t>
  </si>
  <si>
    <t>Minh Luyện</t>
  </si>
  <si>
    <t>Pinaco / Đồng Nai - 3_x000D_
GS - 4_x000D_
Nhãn hiệu khác - 3</t>
  </si>
  <si>
    <t>Giá bình PA điện cao hơn so với thị trường</t>
  </si>
  <si>
    <t>C000011404</t>
  </si>
  <si>
    <t>Minh Đạm</t>
  </si>
  <si>
    <t>Hạn chế bảo hành</t>
  </si>
  <si>
    <t>C000011400</t>
  </si>
  <si>
    <t>Đạo Nghĩa</t>
  </si>
  <si>
    <t>Ắc quy xe điện - Pa 12-14 - PINACO: 1.600.000, THIEN_NANG: 1.450.000</t>
  </si>
  <si>
    <t>Cần càie thiện chất lượng bình PA điện, tăng ctkm</t>
  </si>
  <si>
    <t>C000032009</t>
  </si>
  <si>
    <t>Anh Mạnh</t>
  </si>
  <si>
    <t>C000031722</t>
  </si>
  <si>
    <t>Ngọc Điền</t>
  </si>
  <si>
    <t>C000011402</t>
  </si>
  <si>
    <t>Minh Quân</t>
  </si>
  <si>
    <t>C000033945</t>
  </si>
  <si>
    <t>Ắc quy xe máy - Ptz6hl - PINACO: 230.000, GS: 2.400.000</t>
  </si>
  <si>
    <t>C000011412</t>
  </si>
  <si>
    <t>Văn Hiệp CT</t>
  </si>
  <si>
    <t>C000028633</t>
  </si>
  <si>
    <t>Quốc Toán</t>
  </si>
  <si>
    <t>C000012055</t>
  </si>
  <si>
    <t>Kim Cúc</t>
  </si>
  <si>
    <t>C000027600</t>
  </si>
  <si>
    <t>Phúc Hồng</t>
  </si>
  <si>
    <t>1.480.000 VNĐ</t>
  </si>
  <si>
    <t>Pinaco / Đồng Nai - 6_x000D_
Thiên Năng - 4</t>
  </si>
  <si>
    <t>C000012042</t>
  </si>
  <si>
    <t>Liên Minh</t>
  </si>
  <si>
    <t>C000027526</t>
  </si>
  <si>
    <t>Pinaco / Đồng Nai - 6_x000D_
Thiên Năng - 4_x000D_
GS - 0</t>
  </si>
  <si>
    <t>Ắc quy xe máy - Ptz6hl - PINACO: 230.000, THIEN_NANG: 1.250.000</t>
  </si>
  <si>
    <t>C000036007</t>
  </si>
  <si>
    <t>Đức Hiền</t>
  </si>
  <si>
    <t>Pinaco / Đồng Nai - 4_x000D_
GS - 3_x000D_
Thiên Năng - 3</t>
  </si>
  <si>
    <t>Ắc quy xe máy - Ptz5l - PINACO: 235.000, GS: 240.000, THIEN_NANG: 1.350.000</t>
  </si>
  <si>
    <t>C000012015</t>
  </si>
  <si>
    <t>C000011985</t>
  </si>
  <si>
    <t>C000011517</t>
  </si>
  <si>
    <t>Hồng Đặng</t>
  </si>
  <si>
    <t>Ắc quy xe máy - Ptz6hl - PINACO: 230.000, GS: 230.000_x000D_
Ắc quy xe máy - Ptz5hl - PINACO: 220.000, GS: 230.000_x000D_
Ắc quy xe máy - Ptz6l - PINACO: 275.000, GS: 300.000</t>
  </si>
  <si>
    <t>Xin tăng chiết khấu</t>
  </si>
  <si>
    <t>C000011526</t>
  </si>
  <si>
    <t>Minh Phương</t>
  </si>
  <si>
    <t>Ắc quy xe máy - Ptz6hl - PINACO: 230.000_x000D_
Ắc quy xe máy - Ptz6l - PINACO: 275.000</t>
  </si>
  <si>
    <t>Để xuất tăng chiết khấu</t>
  </si>
  <si>
    <t>C000012339</t>
  </si>
  <si>
    <t>Hai Rê</t>
  </si>
  <si>
    <t>573.000.000 VNĐ</t>
  </si>
  <si>
    <t>Ắc quy xe tải - N100 - PINACO: 2.000.000, NGOAI_NHAP: 2.000.000</t>
  </si>
  <si>
    <t xml:space="preserve">Không cho xem kho hàng </t>
  </si>
  <si>
    <t>NGUYỄN THANH PHONG</t>
  </si>
  <si>
    <t>Công Ty Trách Nhiệm Hữu Hạn Cửu Phước Long</t>
  </si>
  <si>
    <t>THỪA THIÊN HUẾ</t>
  </si>
  <si>
    <t>GS Khánh</t>
  </si>
  <si>
    <t>C000016800</t>
  </si>
  <si>
    <t>Hồng Liên</t>
  </si>
  <si>
    <t>Ắc quy xe máy - Ptz5L  - PINACO: 230.000, GS: 245.000, OTHER: 190.000</t>
  </si>
  <si>
    <t>Hoàng Đình Thảo</t>
  </si>
  <si>
    <t>CÔNG TY TNHH MỘT THÀNH VIÊN HOÀNG CÔNG NGUYÊN</t>
  </si>
  <si>
    <t>C000008862</t>
  </si>
  <si>
    <t>Thúy Lâm</t>
  </si>
  <si>
    <t>Pinaco / Đồng Nai - 4_x000D_
Nhãn hiệu khác - 1_x000D_
GS - 5</t>
  </si>
  <si>
    <t>Ắc quy xe máy - Ptz6hl - PINACO: 241.000, OTHER: 210.000, GS: 245.000</t>
  </si>
  <si>
    <t>Lý do nhạy cảm nên khách kh muốn chụp kho hàng</t>
  </si>
  <si>
    <t>HOÀNG CÔNG BÌNH NGUYÊN</t>
  </si>
  <si>
    <t>C000024496</t>
  </si>
  <si>
    <t>Minh Đồng Tâm</t>
  </si>
  <si>
    <t>226.000.000 VNĐ</t>
  </si>
  <si>
    <t>C000012360</t>
  </si>
  <si>
    <t>Quang Hà</t>
  </si>
  <si>
    <t>Ắc quy xe tải - N100 - PINACO: 1.930.000</t>
  </si>
  <si>
    <t>C000023418</t>
  </si>
  <si>
    <t>Điện oto Sang</t>
  </si>
  <si>
    <t>Ắc quy dân dụng - N30 - PINACO: 840.000</t>
  </si>
  <si>
    <t>C000012359</t>
  </si>
  <si>
    <t>Dì Hồng</t>
  </si>
  <si>
    <t>106.000.000 VNĐ</t>
  </si>
  <si>
    <t>Ắc quy xe tải - N100 - PINACO: 1.900.000</t>
  </si>
  <si>
    <t>C000037746</t>
  </si>
  <si>
    <t>Ắc quy xe máy - Ptz6hl - PINACO: 241.000, GS: 250.000</t>
  </si>
  <si>
    <t>Sản phẩm rất ít bảo hành</t>
  </si>
  <si>
    <t>C000012345</t>
  </si>
  <si>
    <t>Phương Anh</t>
  </si>
  <si>
    <t xml:space="preserve">Không cho chụp kho hàng </t>
  </si>
  <si>
    <t>C000012350</t>
  </si>
  <si>
    <t>Phúc Thủy</t>
  </si>
  <si>
    <t>293.000.000 VNĐ</t>
  </si>
  <si>
    <t>275.500.000 VNĐ</t>
  </si>
  <si>
    <t>Ắc quy xe tải - N100 - PINACO: 1.950.000, ENIMAC: 2.000.000</t>
  </si>
  <si>
    <t xml:space="preserve">K cho chụp kho hàng </t>
  </si>
  <si>
    <t>C000017825</t>
  </si>
  <si>
    <t>HỒNG HẢI</t>
  </si>
  <si>
    <t>219.500.000 VNĐ</t>
  </si>
  <si>
    <t>Ắc quy xe tải - N100 - PINACO: 1.950.000</t>
  </si>
  <si>
    <t>C000008886</t>
  </si>
  <si>
    <t>Thư Trang</t>
  </si>
  <si>
    <t>C000012325</t>
  </si>
  <si>
    <t>Chị Gấm</t>
  </si>
  <si>
    <t>Ắc quy xe tải - N100 - PINACO: 1.900.000, GS: 1.850.000, GLOBE: 1.850.000</t>
  </si>
  <si>
    <t>C000008870</t>
  </si>
  <si>
    <t>Pinaco / Đồng Nai - 2_x000D_
Globe - 5_x000D_
Nhãn hiệu khác - 3</t>
  </si>
  <si>
    <t>Ắc quy xe máy - Ptz5L  - PINACO: 230, GLOBE: 238, OTHER: 190</t>
  </si>
  <si>
    <t>C000008873</t>
  </si>
  <si>
    <t>Sang</t>
  </si>
  <si>
    <t>Ắc quy xe máy - Ptz5L  - PINACO: 230.000</t>
  </si>
  <si>
    <t>C000007973</t>
  </si>
  <si>
    <t>Xuân Thiện</t>
  </si>
  <si>
    <t>C000007977</t>
  </si>
  <si>
    <t>Phúc Điệp</t>
  </si>
  <si>
    <t>Ắc quy xe máy - Ptz5L - PINACO: 230.000, GS: 245.000</t>
  </si>
  <si>
    <t>C000025307</t>
  </si>
  <si>
    <t>Hữu Thu</t>
  </si>
  <si>
    <t>19.500.000 VNĐ</t>
  </si>
  <si>
    <t>Ắc quy xe máy - Pt z5l  - PINACO: 230.000, OTHER: 190.000</t>
  </si>
  <si>
    <t>C000012333</t>
  </si>
  <si>
    <t>Việt Vinh An</t>
  </si>
  <si>
    <t>Ắc quy xe tải - N100 - PINACO: 2.000.000</t>
  </si>
  <si>
    <t>C000027127</t>
  </si>
  <si>
    <t>Quang Trung</t>
  </si>
  <si>
    <t>Ắc quy xe tải - N100 - PINACO: 1.950.000, GS: 2.000.000</t>
  </si>
  <si>
    <t>C000007975</t>
  </si>
  <si>
    <t>Tiên An</t>
  </si>
  <si>
    <t>Ắc quy xe máy - Pt z5l  - PINACO: 230.000, GS: 245.000</t>
  </si>
  <si>
    <t>C000012332</t>
  </si>
  <si>
    <t>Bé Nhiêu</t>
  </si>
  <si>
    <t>Ắc quy xe tải - N100 - PINACO: 1.990.000, GLOBE: 1.990.000</t>
  </si>
  <si>
    <t>C000007972</t>
  </si>
  <si>
    <t>Quốc Anh</t>
  </si>
  <si>
    <t>Ắc quy xe máy - Pt z5l  - PINACO: 230.000</t>
  </si>
  <si>
    <t>C000038077</t>
  </si>
  <si>
    <t>Bảo Ngân</t>
  </si>
  <si>
    <t>Ắc quy xe điện - Pa 12_14 - PINACO: 1.540.000, OTHER: 1.300.000</t>
  </si>
  <si>
    <t>C000006214</t>
  </si>
  <si>
    <t>Bé Bo</t>
  </si>
  <si>
    <t>Ắc quy oto - 90d26 - PINACO: 1.650.000</t>
  </si>
  <si>
    <t>Hà Văn Hiệp</t>
  </si>
  <si>
    <t>Công ty TNHH MTV Ngọc Mạnh</t>
  </si>
  <si>
    <t>C000008884</t>
  </si>
  <si>
    <t>Yến</t>
  </si>
  <si>
    <t>C000008845</t>
  </si>
  <si>
    <t>Hai Quỳnh</t>
  </si>
  <si>
    <t>Ắc quy oto - N100 - PINACO: 1.900.000, ENIMAC: 1.950.000</t>
  </si>
  <si>
    <t>C000018459</t>
  </si>
  <si>
    <t>Văn Tý</t>
  </si>
  <si>
    <t>C000008034</t>
  </si>
  <si>
    <t>Khôn Nguyễn</t>
  </si>
  <si>
    <t>C000008859</t>
  </si>
  <si>
    <t>Duy Loan</t>
  </si>
  <si>
    <t>Pinaco / Đồng Nai - 5_x000D_
Globe - 2_x000D_
Nhãn hiệu khác - 3</t>
  </si>
  <si>
    <t>Ắc quy xe máy - Ptz6hl - PINACO: 241.000, GLOBE: 230.000, OTHER: 210.000</t>
  </si>
  <si>
    <t>Đã hợp tác bán hàng từ lúc nhà phân phối mới ra thị trường , đến nay cảm thấy chất lượng đã tốt hơn rất nhiều so với trước . Ít khi bảo hành , bình điện đã có sự thay đổi tốt hơn rất nhiều.</t>
  </si>
  <si>
    <t>C000007914</t>
  </si>
  <si>
    <t>Tánh Phúc</t>
  </si>
  <si>
    <t>Ắc quy oto - 31800 - PINACO: 2.250.000</t>
  </si>
  <si>
    <t>C000008842</t>
  </si>
  <si>
    <t>Hoàng Công Nguyên</t>
  </si>
  <si>
    <t>Ắc quy oto - 50b24 - PINACO: 1.100.000</t>
  </si>
  <si>
    <t>C000009117</t>
  </si>
  <si>
    <t>Thảo Lợi</t>
  </si>
  <si>
    <t>Ắc quy xe máy - Ptz6hl - PINACO: 241.000, GS: 245.000</t>
  </si>
  <si>
    <t>C000007919</t>
  </si>
  <si>
    <t>ANH THỌ</t>
  </si>
  <si>
    <t>C000007922</t>
  </si>
  <si>
    <t>Tuấn Thủy</t>
  </si>
  <si>
    <t>Ắc quy xe máy - Ptz6hl - PINACO: 241.000, GS: 245.000, OTHER: 220.000</t>
  </si>
  <si>
    <t>C000007927</t>
  </si>
  <si>
    <t>Quang Ri</t>
  </si>
  <si>
    <t>Bình tốt , rất ít bảo hành</t>
  </si>
  <si>
    <t>C000019118</t>
  </si>
  <si>
    <t>Gấm lành</t>
  </si>
  <si>
    <t>C000017826</t>
  </si>
  <si>
    <t>Lai Hiền</t>
  </si>
  <si>
    <t>C000008906</t>
  </si>
  <si>
    <t>Duy Tịnh</t>
  </si>
  <si>
    <t>Ắc quy xe máy - Ptz6hl - PINACO: 241.000, GS: 241.000</t>
  </si>
  <si>
    <t>Bình đã tốt hơn rất nhiều so voeis thời gian trước</t>
  </si>
  <si>
    <t>C000009100</t>
  </si>
  <si>
    <t>Hà Phượng</t>
  </si>
  <si>
    <t>Ắc quy xe máy - Pt z5l  - PINACO: 230, GS: 245</t>
  </si>
  <si>
    <t>C000008903</t>
  </si>
  <si>
    <t>Quang Chiến</t>
  </si>
  <si>
    <t>Bình ptz6l iss tốt nhất trong các dòng sản phẩm của tất cả các hãng khác. Bình ít bảo hành 1 năm bh 1 2 cái chất lượng tốt.</t>
  </si>
  <si>
    <t>C000009109</t>
  </si>
  <si>
    <t>Ắc quy xe máy - Pt z5l  - PINACO: 229.000, GS: 245</t>
  </si>
  <si>
    <t>C000009128</t>
  </si>
  <si>
    <t>Chị Ty</t>
  </si>
  <si>
    <t>Chất lượng tốt ,  bảo hành ít hơn theo thời gian</t>
  </si>
  <si>
    <t>C000018915</t>
  </si>
  <si>
    <t>Hiển Long</t>
  </si>
  <si>
    <t>Ắc quy xe máy - Pt z5l  - PINACO: 229, GS: 233, GLOBE: 245, OTHER: 190</t>
  </si>
  <si>
    <t>C000008044</t>
  </si>
  <si>
    <t>Anh Phi</t>
  </si>
  <si>
    <t>Ắc quy xe máy - Pt x6hl  - PINACO: 234.000, GS: 225.000</t>
  </si>
  <si>
    <t>C000009092</t>
  </si>
  <si>
    <t>Thảo Trân</t>
  </si>
  <si>
    <t>Ắc quy oto - 50b24 - PINACO: 1.100.000, GS: 1.150.000</t>
  </si>
  <si>
    <t>C000009090</t>
  </si>
  <si>
    <t>Duy Hiểu</t>
  </si>
  <si>
    <t>Ắc quy oto - N120 - PINACO: 2.400.000</t>
  </si>
  <si>
    <t>C000008885</t>
  </si>
  <si>
    <t>Khánh Hòa</t>
  </si>
  <si>
    <t>Ắc quy xe máy - Pt z5l  - PINACO: 230, GS: 245, OTHER: 190, GLOBE: 255</t>
  </si>
  <si>
    <t>ASM Bình</t>
  </si>
  <si>
    <t>C000008024</t>
  </si>
  <si>
    <t>A DŨNG</t>
  </si>
  <si>
    <t>Ắc quy khác - N100 - PINACO: 1.850.000, GS: 1.800.000, GLOBE: 1.900.000</t>
  </si>
  <si>
    <t>C000008021</t>
  </si>
  <si>
    <t>Quang Thuận An</t>
  </si>
  <si>
    <t>C000008851</t>
  </si>
  <si>
    <t>Nhật Thanh</t>
  </si>
  <si>
    <t>Ắc quy xe máy - Ptz6hl - PINACO: 241.000, GS: 250.000, OTHER: 210.000</t>
  </si>
  <si>
    <t>Khách sẽ gửi ảnh ở kho hàng sau .</t>
  </si>
  <si>
    <t>C000008832</t>
  </si>
  <si>
    <t>Thành Tâm</t>
  </si>
  <si>
    <t>Ắc quy oto - N150 - PINACO: 2.900.000, GS: 2.950.000</t>
  </si>
  <si>
    <t>C000008850</t>
  </si>
  <si>
    <t>Ắc quy xe máy - Ptz6hl - PINACO: 241, GS: 245, GLOBE: 240</t>
  </si>
  <si>
    <t>Bảo hành rất nhanh , đối với các sản phẩm của đồng nai</t>
  </si>
  <si>
    <t>C000008854</t>
  </si>
  <si>
    <t>Vĩnh Thao</t>
  </si>
  <si>
    <t>Ắc quy xe máy - Ptz6l - PINACO: 281, GS: 295, OTHER: 270</t>
  </si>
  <si>
    <t>C000026506</t>
  </si>
  <si>
    <t>Minh Quang</t>
  </si>
  <si>
    <t>C000008853</t>
  </si>
  <si>
    <t>Khách hẹn lần sau chụp kho hàng để bình điện xe máy.</t>
  </si>
  <si>
    <t xml:space="preserve"> ASM Bình</t>
  </si>
  <si>
    <t>C000008864</t>
  </si>
  <si>
    <t>Tùng Nhân</t>
  </si>
  <si>
    <t>Ắc quy xe máy - Ptz6l - PINACO: 261</t>
  </si>
  <si>
    <t>C000017572</t>
  </si>
  <si>
    <t>Hồng Phúc</t>
  </si>
  <si>
    <t>Ắc quy xe máy - Ptz6hl - PINACO: 241, GS: 245, OTHER: 210</t>
  </si>
  <si>
    <t>C000008888</t>
  </si>
  <si>
    <t>Thành Tín</t>
  </si>
  <si>
    <t>10.000.008 VNĐ</t>
  </si>
  <si>
    <t>Ắc quy xe máy - Pt z5l  - PINACO: 218.000, GS: 2.450.000</t>
  </si>
  <si>
    <t>C000018914</t>
  </si>
  <si>
    <t>Khánh Linh</t>
  </si>
  <si>
    <t>103.000.000 VNĐ</t>
  </si>
  <si>
    <t>Ắc quy xe máy - Pt z5l  - PINACO: 218.000, GS: 225.000, OTHER: 190.000</t>
  </si>
  <si>
    <t>C000017451</t>
  </si>
  <si>
    <t>Quang Hùng</t>
  </si>
  <si>
    <t>12.000.008 VNĐ</t>
  </si>
  <si>
    <t>Ắc quy xe máy - Pt z5l  - PINACO: 230.000, GS: 245.000, OTHER: 195.000</t>
  </si>
  <si>
    <t>C000008880</t>
  </si>
  <si>
    <t>Thiện Phước</t>
  </si>
  <si>
    <t>Ắc quy xe máy - Pt z5l  - PINACO: 220.000, GS: 230</t>
  </si>
  <si>
    <t>C000007928</t>
  </si>
  <si>
    <t>Long oanh</t>
  </si>
  <si>
    <t>Ắc quy xe máy - Ptz6hl  - PINACO: 241.000</t>
  </si>
  <si>
    <t>Giá tăng quá nhanh</t>
  </si>
  <si>
    <t>C000017978</t>
  </si>
  <si>
    <t>Đình Chung</t>
  </si>
  <si>
    <t>Ắc quy xe máy - Ptz6hl - PINACO: 241, GS: 260</t>
  </si>
  <si>
    <t>Giá bán tăng quá nhanh so với đối thủ</t>
  </si>
  <si>
    <t>C000008078</t>
  </si>
  <si>
    <t>Cường Nhã</t>
  </si>
  <si>
    <t>C000025627</t>
  </si>
  <si>
    <t>Hương Hòa</t>
  </si>
  <si>
    <t>Ắc quy xe máy - Ptz6hl - PINACO: 225.000, GS: 235.000, OTHER: 205.000</t>
  </si>
  <si>
    <t>Giá tăng quá cao so với đối thủ</t>
  </si>
  <si>
    <t>C000029918</t>
  </si>
  <si>
    <t>Ngô Văn Tân</t>
  </si>
  <si>
    <t>CÔNG TY TNHH LÂM PHÁT BATTERY</t>
  </si>
  <si>
    <t>ĐÀ NẴNG</t>
  </si>
  <si>
    <t>C000029503</t>
  </si>
  <si>
    <t>Cảnh</t>
  </si>
  <si>
    <t>Ắc quy xe máy - Ptz6hl  - PINACO: 240.000</t>
  </si>
  <si>
    <t>C000039298</t>
  </si>
  <si>
    <t>Honda Tuấn</t>
  </si>
  <si>
    <t>Ắc quy xe máy - Z5l - PINACO: 300.000</t>
  </si>
  <si>
    <t>Huỳnh Lê Ngọc Tân</t>
  </si>
  <si>
    <t>C000018665</t>
  </si>
  <si>
    <t>Thu</t>
  </si>
  <si>
    <t>Ắc quy xe máy - PTz5l  - PINACO: 230.000</t>
  </si>
  <si>
    <t>C000018635</t>
  </si>
  <si>
    <t>Tuấn Ân</t>
  </si>
  <si>
    <t>1.000.009 VNĐ</t>
  </si>
  <si>
    <t>Ắc quy xe máy - Z5l - PINACO: 280.000</t>
  </si>
  <si>
    <t>Hồ Văn Trung</t>
  </si>
  <si>
    <t>C000026898</t>
  </si>
  <si>
    <t>Minh Thông</t>
  </si>
  <si>
    <t>Ắc quy xe máy - Z6hl - PINACO: 280.000, OTHER: 250.000</t>
  </si>
  <si>
    <t>C000026240</t>
  </si>
  <si>
    <t>Thuận</t>
  </si>
  <si>
    <t>Ắc quy xe máy - Z5l - PINACO: 250.000, NGOAI_NHAP: 220.000</t>
  </si>
  <si>
    <t xml:space="preserve">Chất lượng chưa tốt </t>
  </si>
  <si>
    <t>C000039432</t>
  </si>
  <si>
    <t>Ắc quy xe máy - PTz5l  - PINACO: 240.000, ENIMAC: 220.000</t>
  </si>
  <si>
    <t xml:space="preserve">Giá cao hơn đối thủ nên rất khó cạnh tranh, chất lượng sản phẩm không ổn định người tiêu dùng phản ánh nhiều nên rất khó đưa ra cho người tiêu dùng không yên tâm,mong công ty xem xét </t>
  </si>
  <si>
    <t>C000026946</t>
  </si>
  <si>
    <t>Hồng Kết</t>
  </si>
  <si>
    <t>C000031515</t>
  </si>
  <si>
    <t>Dũng Thành</t>
  </si>
  <si>
    <t>Ắc quy xe máy - Z5l - PINACO: 300.000, GS: 340.000, GLOBE: 340.000</t>
  </si>
  <si>
    <t>C000028273</t>
  </si>
  <si>
    <t>Honda Út</t>
  </si>
  <si>
    <t>Ắc quy xe máy - Z5l - PINACO: 260.000</t>
  </si>
  <si>
    <t>C000006956</t>
  </si>
  <si>
    <t>Anh Khoa</t>
  </si>
  <si>
    <t>C000018108</t>
  </si>
  <si>
    <t>Khôi Nguyên</t>
  </si>
  <si>
    <t>3.750.000 VNĐ</t>
  </si>
  <si>
    <t>Pinaco / Đồng Nai - 1_x000D_
Globe - 7_x000D_
Nhãn hiệu khác - 2</t>
  </si>
  <si>
    <t>Ắc quy xe máy - Z9 - PINACO: 440.000, GLOBE: 490.000, OTHER: 410.000</t>
  </si>
  <si>
    <t>C000018881</t>
  </si>
  <si>
    <t>Bình</t>
  </si>
  <si>
    <t>Ắc quy xe máy - PTz5l  - PINACO: 220.000</t>
  </si>
  <si>
    <t>C000017342</t>
  </si>
  <si>
    <t>Chiến Hường</t>
  </si>
  <si>
    <t>Ắc quy xe điện - Pa 12-14 - PINACO: 457</t>
  </si>
  <si>
    <t xml:space="preserve">Không cho chụp ảnh kho hàng,công ty mỗi tháng mỗi chương trình khác , khó nắm giá bán nhiều khi khách mua phàn nàn về giá cả </t>
  </si>
  <si>
    <t>C000034100</t>
  </si>
  <si>
    <t>HONDA CHUNG</t>
  </si>
  <si>
    <t>Ắc quy xe máy - Z5l - _x000D_
Ắc quy xe máy - Z5l - PINACO: 280.000</t>
  </si>
  <si>
    <t>C000018028</t>
  </si>
  <si>
    <t>Tâm Thuận</t>
  </si>
  <si>
    <t>98.000.000 VNĐ</t>
  </si>
  <si>
    <t>GS - 2_x000D_
Enimac - 2_x000D_
Globe - 6</t>
  </si>
  <si>
    <t>Ắc quy oto - n220 - GS: 7.900.000, ENIMAC: 8.000.000, GLOBE: 8.000.000</t>
  </si>
  <si>
    <t>Trần Kim Mẫn</t>
  </si>
  <si>
    <t>CÔNG TY TNHH MỘT THÀNH VIÊN ẮC QUY TOÀN LỢI</t>
  </si>
  <si>
    <t>GS Hải</t>
  </si>
  <si>
    <t>C000007032</t>
  </si>
  <si>
    <t>Nhựt</t>
  </si>
  <si>
    <t>Ắc quy xe máy - Ptz6hl  - PINACO: 240.000, OTHER: 220.000</t>
  </si>
  <si>
    <t>C000026945</t>
  </si>
  <si>
    <t>Honda Hoàng</t>
  </si>
  <si>
    <t>Ắc quy xe máy - Z5l - PINACO: 290.000</t>
  </si>
  <si>
    <t>C000018645</t>
  </si>
  <si>
    <t>Phước Hoàng</t>
  </si>
  <si>
    <t>1.509.999 VNĐ</t>
  </si>
  <si>
    <t>Ắc quy xe máy - Z5l - PINACO: 260.000, GS: 290.000</t>
  </si>
  <si>
    <t>C000034589</t>
  </si>
  <si>
    <t>Thành Đạt 2</t>
  </si>
  <si>
    <t>C000017314</t>
  </si>
  <si>
    <t>Minh Chiến</t>
  </si>
  <si>
    <t>Ắc quy xe máy - Ptz6hl  - PINACO: 245.000, OTHER: 220.000</t>
  </si>
  <si>
    <t>C000007315</t>
  </si>
  <si>
    <t>Văn Vinh</t>
  </si>
  <si>
    <t>C000040336</t>
  </si>
  <si>
    <t>Phụ Tùng Thịnh Miền</t>
  </si>
  <si>
    <t>Ắc quy xe máy - Z5l - PINACO: 235.000, GS: 250.000</t>
  </si>
  <si>
    <t>C000026244</t>
  </si>
  <si>
    <t>Mô tô Tường</t>
  </si>
  <si>
    <t>C000029216</t>
  </si>
  <si>
    <t>C000038170</t>
  </si>
  <si>
    <t>C000007300</t>
  </si>
  <si>
    <t>Bá Hùng</t>
  </si>
  <si>
    <t>C000019164</t>
  </si>
  <si>
    <t>153.067.000 VNĐ</t>
  </si>
  <si>
    <t>Ắc quy khác - n220 - PINACO: 3.700.000, GS: 3.700.005, GLOBE: 3.650.000</t>
  </si>
  <si>
    <t>C000025121</t>
  </si>
  <si>
    <t>Long</t>
  </si>
  <si>
    <t>C000007266</t>
  </si>
  <si>
    <t>Ân Điển</t>
  </si>
  <si>
    <t>Ắc quy khác - 31800 - PINACO: 2.350.000, ENIMAC: 2.350.000</t>
  </si>
  <si>
    <t>C000034763</t>
  </si>
  <si>
    <t>TUẤN SỸ</t>
  </si>
  <si>
    <t>C000031242</t>
  </si>
  <si>
    <t>C000037056</t>
  </si>
  <si>
    <t>Chí Hùng</t>
  </si>
  <si>
    <t>C000007134</t>
  </si>
  <si>
    <t>Cô Tâm</t>
  </si>
  <si>
    <t>Ắc quy xe máy - Z6hl - GS: 250.000, PINACO: 230.000</t>
  </si>
  <si>
    <t>C000040521</t>
  </si>
  <si>
    <t>Quốc Thảo</t>
  </si>
  <si>
    <t>Pinaco / Đồng Nai - 2_x000D_
GS - 2_x000D_
Globe - 2_x000D_
Nhãn hiệu khác - 4</t>
  </si>
  <si>
    <t>Ắc quy xe máy - PTz5l  - PINACO: 240.000, GS: 250.000, GLOBE: 260.000, OTHER: 220.000</t>
  </si>
  <si>
    <t>C000007088</t>
  </si>
  <si>
    <t>Hưng</t>
  </si>
  <si>
    <t xml:space="preserve">Về chất lượng sản phẩm hay trục trặc cần chỉnh chất lượng sản phẩm tốt hơn để người tiêu dùng tin tưởng </t>
  </si>
  <si>
    <t>C000026032</t>
  </si>
  <si>
    <t>Hiếu</t>
  </si>
  <si>
    <t>C000030135</t>
  </si>
  <si>
    <t xml:space="preserve">Giữ chất lượng sản phẩm tốt, giá cả hợp lý </t>
  </si>
  <si>
    <t>C000007006</t>
  </si>
  <si>
    <t>Dũng Tường</t>
  </si>
  <si>
    <t>Ắc quy xe máy - PTz5l  - PINACO: 230.000_x000D_
Ắc quy xe máy - Ptz6hl  - PINACO: 240.000</t>
  </si>
  <si>
    <t>C000018642</t>
  </si>
  <si>
    <t>Đại vệ</t>
  </si>
  <si>
    <t>Ắc quy xe máy - PTz5l  - PINACO: 230.000, OTHER: 200.000</t>
  </si>
  <si>
    <t>Chất lượng sản phẩm còn bảo hành nhiều, giá cao hơn các hãng khác,</t>
  </si>
  <si>
    <t>C000006844</t>
  </si>
  <si>
    <t>Ắc quy xe máy - Z6hl - PINACO: 300.000, OTHER: 280.000</t>
  </si>
  <si>
    <t>C000018899</t>
  </si>
  <si>
    <t>Hoa Trung Hải</t>
  </si>
  <si>
    <t>Ắc quy xe máy - Ptx5l  - PINACO: 220.000, GS: 230.000</t>
  </si>
  <si>
    <t xml:space="preserve">Mong muốn công ty đưa thẳng giá cho điểm bán dễ nắm, bán ra cho người tiêu dùng hợp lý, cạnh tranh với các hãng khác dễ dàng hơn </t>
  </si>
  <si>
    <t>C000039893</t>
  </si>
  <si>
    <t>Đại Trường</t>
  </si>
  <si>
    <t>C000007028</t>
  </si>
  <si>
    <t>Văn Thịnh</t>
  </si>
  <si>
    <t>C000018617</t>
  </si>
  <si>
    <t>Hữu Tiến</t>
  </si>
  <si>
    <t>Ắc quy khác - n150 - PINACO: 2.950.000, GS: 2.950.000</t>
  </si>
  <si>
    <t>C000032466</t>
  </si>
  <si>
    <t>Ngọc Hiệp</t>
  </si>
  <si>
    <t>Ắc quy oto - 31800 - PINACO: 2.350.000</t>
  </si>
  <si>
    <t>C000017343</t>
  </si>
  <si>
    <t>Ắc quy xe điện - Pa12-14  - PINACO: 457</t>
  </si>
  <si>
    <t xml:space="preserve">Không cho chụp kho hàng, chỉ có hàng trưng bày trên, chất lượng chưa tốt, báo cáo lại công ty có hướng đưa sản phẩm tốt đến người tiêu dùng, giá cả hợp lý </t>
  </si>
  <si>
    <t>C000039434</t>
  </si>
  <si>
    <t>Đại nguyên khánh</t>
  </si>
  <si>
    <t>Ắc quy xe máy - PTz5l  - PINACO: 230.000, GS: 245.000</t>
  </si>
  <si>
    <t xml:space="preserve">Đưa sản phẩm ổn định ra người tiêu dùng ổn định, chương trình không nên thay đổi liên tục, để điểm bán nắm một giá ổn định, bán ra dễ hơn </t>
  </si>
  <si>
    <t>C000032348</t>
  </si>
  <si>
    <t>TAQUACO</t>
  </si>
  <si>
    <t>Ắc quy xe máy - Z6hl - PINACO: 280.000</t>
  </si>
  <si>
    <t>C000006751</t>
  </si>
  <si>
    <t>Dũng HT</t>
  </si>
  <si>
    <t>Ắc quy xe máy - Ptx6hl  - PINACO: 235.000</t>
  </si>
  <si>
    <t>C000026901</t>
  </si>
  <si>
    <t>C000018782</t>
  </si>
  <si>
    <t>Minh Châu</t>
  </si>
  <si>
    <t>C000007310</t>
  </si>
  <si>
    <t>Minh Tuấn HT</t>
  </si>
  <si>
    <t>Ắc quy xe máy - PTz5l  - PINACO: 230.000, GS: 240.000, OTHER: 210.000</t>
  </si>
  <si>
    <t>C000026664</t>
  </si>
  <si>
    <t>Ắc quy xe máy - PTz5l  - PINACO: 230.000, OTHER: 220.000</t>
  </si>
  <si>
    <t>C000040852</t>
  </si>
  <si>
    <t>Ba Gà</t>
  </si>
  <si>
    <t>Ắc quy xe điện - PA 12-14 - PINACO: 1.700.000</t>
  </si>
  <si>
    <t xml:space="preserve">Cần cải thiện chất lượng ắc quy xe điện để cạnh tranh với các hãng </t>
  </si>
  <si>
    <t>C000016902</t>
  </si>
  <si>
    <t>Khánh</t>
  </si>
  <si>
    <t>Enimac - 5_x000D_
Pinaco / Đồng Nai - 5</t>
  </si>
  <si>
    <t>Ắc quy khác - n100 - ENIMAC: 2.150.000, PINACO: 2.150.000</t>
  </si>
  <si>
    <t>C000016888</t>
  </si>
  <si>
    <t>Chị Cân</t>
  </si>
  <si>
    <t>Ắc quy khác - n100 - PINACO: 2.100.000, GS: 2.100.000, ENIMAC: 2.100.000</t>
  </si>
  <si>
    <t>C000029334</t>
  </si>
  <si>
    <t>Quốc An</t>
  </si>
  <si>
    <t>Ắc quy khác - 31800 - PINACO: 2.300.000, GS: 2.350.000, NGOAI_NHAP: 2.400.000</t>
  </si>
  <si>
    <t>C000016855</t>
  </si>
  <si>
    <t>Hiền Hùng Cường</t>
  </si>
  <si>
    <t>Pinaco / Đồng Nai - 4_x000D_
GS - 2_x000D_
Ắc quy ngoại nhập - 4</t>
  </si>
  <si>
    <t>Ắc quy khác - 31800 - PINACO: 2.350.000, GS: 2.400.000, NGOAI_NHAP: 2.400.000</t>
  </si>
  <si>
    <t>C000007083</t>
  </si>
  <si>
    <t>Hoàng Liên</t>
  </si>
  <si>
    <t xml:space="preserve">Đưa giá thẳng cho điểm bán dễ tính bán ra cho khách, chất lượng sản phẩm tốt hơn,cho người tiêu dùng yên tâm </t>
  </si>
  <si>
    <t>C000019463</t>
  </si>
  <si>
    <t>Quốc lam</t>
  </si>
  <si>
    <t>Ắc quy xe máy - Z6hl - PINACO: 230.000, GLOBE: 270.000</t>
  </si>
  <si>
    <t>C000025433</t>
  </si>
  <si>
    <t>Tâm Nguyên</t>
  </si>
  <si>
    <t>Ắc quy xe máy - Z5l - PINACO: 225, GS: 245</t>
  </si>
  <si>
    <t>Giá chưa đủ cạnh tranh với GS</t>
  </si>
  <si>
    <t>C000006925</t>
  </si>
  <si>
    <t>Tý</t>
  </si>
  <si>
    <t>Ắc quy xe máy - Z6l - PINACO: 370.000</t>
  </si>
  <si>
    <t>C000007121</t>
  </si>
  <si>
    <t>Ắc quy xe máy - Z5l - PINACO: 235.000</t>
  </si>
  <si>
    <t>C000007125</t>
  </si>
  <si>
    <t>Tấn Sỹ</t>
  </si>
  <si>
    <t>Ắc quy xe máy - Z6hl - PINACO: 230.000, GS: 250.000</t>
  </si>
  <si>
    <t>C000026433</t>
  </si>
  <si>
    <t>Honda Quý</t>
  </si>
  <si>
    <t>Ắc quy xe máy - Z6hl - PINACO: 310.000</t>
  </si>
  <si>
    <t>C000006854</t>
  </si>
  <si>
    <t>Quốc Đại</t>
  </si>
  <si>
    <t>Ắc quy xe máy - Z5l - PINACO: 300.000, GS: 330.000</t>
  </si>
  <si>
    <t>C000007068</t>
  </si>
  <si>
    <t>Văn Hồng</t>
  </si>
  <si>
    <t>C000007099</t>
  </si>
  <si>
    <t>Tuấn Cúc</t>
  </si>
  <si>
    <t>Ắc quy xe máy - Z5l - PINACO: 300.000, GLOBE: 330.000</t>
  </si>
  <si>
    <t>Không có ý kiến gì</t>
  </si>
  <si>
    <t>C000006836</t>
  </si>
  <si>
    <t>Ắc quy xe máy - Z6l - PINACO: 350.000</t>
  </si>
  <si>
    <t>C000017230</t>
  </si>
  <si>
    <t>Minh Tiến</t>
  </si>
  <si>
    <t>Ắc quy xe máy - Ptz6hl  - PINACO: 250.000, GS: 260.000, GLOBE: 270.000</t>
  </si>
  <si>
    <t xml:space="preserve">Giá hơi cao so với đối thủ,kể cả PA, nên người tiêu dùng lựa chọn sản phẩm tốt dùng và phù hợp với chất lượng </t>
  </si>
  <si>
    <t>C000007108</t>
  </si>
  <si>
    <t>Ngọc</t>
  </si>
  <si>
    <t>25.000.009 VNĐ</t>
  </si>
  <si>
    <t>C000040629</t>
  </si>
  <si>
    <t>Thiên Phú</t>
  </si>
  <si>
    <t>Ắc quy xe điện - PA 12-14 - PINACO: 1.650.000</t>
  </si>
  <si>
    <t>C000007115</t>
  </si>
  <si>
    <t>Phước Nhân</t>
  </si>
  <si>
    <t>15.009.000 VNĐ</t>
  </si>
  <si>
    <t>Ắc quy xe máy - Z5l - PINACO: 250.000, GS: 290.000</t>
  </si>
  <si>
    <t>C000007098</t>
  </si>
  <si>
    <t>Thảo yến</t>
  </si>
  <si>
    <t>Ắc quy xe máy - Z6hl - PINACO: 235, GS: 250</t>
  </si>
  <si>
    <t>Giá chênh lệch với GS không nhiều nên thợ sửa xe sẽ ưu tiên chọn GS</t>
  </si>
  <si>
    <t>C000027020</t>
  </si>
  <si>
    <t>A Tài</t>
  </si>
  <si>
    <t>11.420.000 VNĐ</t>
  </si>
  <si>
    <t>Ắc quy xe máy - PTz5l  - PINACO: 230.000, NGOAI_NHAP: 200.000</t>
  </si>
  <si>
    <t xml:space="preserve">Đưa thẳng giá cuối cùng cho dễ nắm và dễ bán ra cho khách, chất lượng kém hơn với trước,mong muốn được giá ổn định chất lượng sản phẩm tốt cho người tiêu dùng yên tâm hơn </t>
  </si>
  <si>
    <t>C000018111</t>
  </si>
  <si>
    <t>Bốn Hưng</t>
  </si>
  <si>
    <t>Ắc quy khác - n150 - PINACO: 3.000.000, ENIMAC: 3.000.000</t>
  </si>
  <si>
    <t>C000007289</t>
  </si>
  <si>
    <t>Trọng điện ô tô</t>
  </si>
  <si>
    <t>54.535.000 VNĐ</t>
  </si>
  <si>
    <t>Ắc quy khác - n100 - PINACO: 2.100.000, GS: 2.100.000</t>
  </si>
  <si>
    <t>C000017333</t>
  </si>
  <si>
    <t>Bé Hạt</t>
  </si>
  <si>
    <t>GS - 10_x000D_
Globe - 0</t>
  </si>
  <si>
    <t>Ắc quy khác - n220 - GS: 7.800.000</t>
  </si>
  <si>
    <t>C000016905</t>
  </si>
  <si>
    <t>119.000.000 VNĐ</t>
  </si>
  <si>
    <t>GS - 5_x000D_
Enimac - 1_x000D_
Pinaco / Đồng Nai - 3_x000D_
Ắc quy ngoại nhập - 0_x000D_
Globe - 1</t>
  </si>
  <si>
    <t>Ắc quy khác - 31800 - GS: 2.300.000, ENIMAC: 2.300.000, PINACO: 2.300.000, NGOAI_NHAP: 2.400.000, GLOBE: 2.300.000</t>
  </si>
  <si>
    <t>C000006774</t>
  </si>
  <si>
    <t>Triệu</t>
  </si>
  <si>
    <t>C000024771</t>
  </si>
  <si>
    <t>Phước An</t>
  </si>
  <si>
    <t>Ắc quy xe máy - Z5l - PINACO: 225, GS: 245, GLOBE: 245</t>
  </si>
  <si>
    <t>C000028274</t>
  </si>
  <si>
    <t>Tiên</t>
  </si>
  <si>
    <t>Ắc quy xe máy - Z5l - PINACO: 300.000, OTHER: 280.000</t>
  </si>
  <si>
    <t>C000040520</t>
  </si>
  <si>
    <t>Ắc quy xe điện - Pa12-14  - PINACO: 1.500.000, THIEN_NANG: 1.300.000</t>
  </si>
  <si>
    <t xml:space="preserve">Sản phẩm lổi nhiều, khách hàng phàn nàn, giá cao hơn đối thủ nên rất khó bán,mong công ty xem lại chất lượng sản phẩm, và giả, mới cạnh tranh với những hãng khác được </t>
  </si>
  <si>
    <t>C000006911</t>
  </si>
  <si>
    <t>Thành công 1</t>
  </si>
  <si>
    <t>C000006823</t>
  </si>
  <si>
    <t>Cương Trang</t>
  </si>
  <si>
    <t>Ắc quy xe máy - Z6l - PINACO: 280.000, GLOBE: 330.000</t>
  </si>
  <si>
    <t>Việc bảo hành kiểm tra bình còn khó khăn hơn đối thủ</t>
  </si>
  <si>
    <t>C000006753</t>
  </si>
  <si>
    <t>Liên</t>
  </si>
  <si>
    <t>Ắc quy xe máy - Ptz6hl  - PINACO: 235.000, GS: 240.000</t>
  </si>
  <si>
    <t xml:space="preserve">Giá tương đương với GS nên khách hàng mua GS nhiều hơn, chất lượng kém hơn đối thủ </t>
  </si>
  <si>
    <t>C000006943</t>
  </si>
  <si>
    <t>Quang Đệ 2</t>
  </si>
  <si>
    <t>C000025352</t>
  </si>
  <si>
    <t>Văn Năm</t>
  </si>
  <si>
    <t xml:space="preserve">Không có kho hàng, đưa chất lượng sản phẩm tốt hơn, hàng dạo này hay lỗi nhiều, cần khắc phục chất lượng sản phẩm ổn định hơn </t>
  </si>
  <si>
    <t>C000026665</t>
  </si>
  <si>
    <t>Quốc Minh</t>
  </si>
  <si>
    <t>C000029917</t>
  </si>
  <si>
    <t>Đức</t>
  </si>
  <si>
    <t>C000031637</t>
  </si>
  <si>
    <t>Thành Hậu</t>
  </si>
  <si>
    <t>Ắc quy xe máy - Z6hl - PINACO: 300.000</t>
  </si>
  <si>
    <t>C000006835</t>
  </si>
  <si>
    <t>C000016923</t>
  </si>
  <si>
    <t>Ắc quy khác - n100 - PINACO: 2.200.000</t>
  </si>
  <si>
    <t>C000007087</t>
  </si>
  <si>
    <t>Thanh Ninh</t>
  </si>
  <si>
    <t>C000007198</t>
  </si>
  <si>
    <t>Bích Hiền</t>
  </si>
  <si>
    <t>1.140.000.000 VNĐ</t>
  </si>
  <si>
    <t>Pinaco / Đồng Nai - 3_x000D_
Globe - 0_x000D_
Ắc quy ngoại nhập - 7</t>
  </si>
  <si>
    <t>Ắc quy khác - 31800 - PINACO: 2.300.000, NGOAI_NHAP: 2.400.000</t>
  </si>
  <si>
    <t>C000016922</t>
  </si>
  <si>
    <t>Ánh Dần</t>
  </si>
  <si>
    <t>64.531.000 VNĐ</t>
  </si>
  <si>
    <t>Ắc quy khác - n150 - PINACO: 3.200.000, ENIMAC: 3.200.000</t>
  </si>
  <si>
    <t>C000032465</t>
  </si>
  <si>
    <t>Phụ Tùng Gia Long</t>
  </si>
  <si>
    <t>Ắc quy khác - n150 - PINACO: 3.000.000</t>
  </si>
  <si>
    <t>C000007037</t>
  </si>
  <si>
    <t xml:space="preserve">Giá cao khó bán ra cho người tiêu dùng </t>
  </si>
  <si>
    <t>C000016885</t>
  </si>
  <si>
    <t>Cường oanh</t>
  </si>
  <si>
    <t>Ắc quy khác - n220 - PINACO: 4.250.000</t>
  </si>
  <si>
    <t>C000018448</t>
  </si>
  <si>
    <t>Điện Quốc Phú</t>
  </si>
  <si>
    <t>Ắc quy khác - n100 - PINACO: 2.100.000, ENIMAC: 2.150.000</t>
  </si>
  <si>
    <t>C000007029</t>
  </si>
  <si>
    <t>Thiên Ân</t>
  </si>
  <si>
    <t>C000016920</t>
  </si>
  <si>
    <t>Ngọc Phước</t>
  </si>
  <si>
    <t>C000018900</t>
  </si>
  <si>
    <t>Trọng Trường</t>
  </si>
  <si>
    <t>Pinaco / Đồng Nai - 4_x000D_
Globe - 4_x000D_
GS - 2</t>
  </si>
  <si>
    <t>Ắc quy xe máy - Z6hl - PINACO: 300.000, GLOBE: 350.000, GS: 350.000</t>
  </si>
  <si>
    <t>C000007022</t>
  </si>
  <si>
    <t>Ắc quy xe máy - Ptx5l  - PINACO: 220.000</t>
  </si>
  <si>
    <t>C000006838</t>
  </si>
  <si>
    <t>Ngọc Đài</t>
  </si>
  <si>
    <t>C000026430</t>
  </si>
  <si>
    <t>Đức BTC</t>
  </si>
  <si>
    <t>Ắc quy xe máy - Z5l - PINACO: 280.000, GS: 300.000</t>
  </si>
  <si>
    <t>C000006820</t>
  </si>
  <si>
    <t>Nam Hải</t>
  </si>
  <si>
    <t>Ắc quy xe máy - Z5l - PINACO: 220.000, GS: 235.000</t>
  </si>
  <si>
    <t>C000018568</t>
  </si>
  <si>
    <t>Honda Vân</t>
  </si>
  <si>
    <t>C000019491</t>
  </si>
  <si>
    <t>Thái Hòa</t>
  </si>
  <si>
    <t>Ắc quy xe máy - X5l - PINACO: 300.000, OTHER: 280.000</t>
  </si>
  <si>
    <t>C000006936</t>
  </si>
  <si>
    <t>Nguyễn Văn Trung</t>
  </si>
  <si>
    <t>Ắc quy xe máy - Z5l - PINACO: 250.000, GLOBE: 270.000</t>
  </si>
  <si>
    <t>C000018687</t>
  </si>
  <si>
    <t>Tùng Lâm</t>
  </si>
  <si>
    <t>C000006830</t>
  </si>
  <si>
    <t>Hùng Núi Thành</t>
  </si>
  <si>
    <t>C000017405</t>
  </si>
  <si>
    <t>Anh Dũng</t>
  </si>
  <si>
    <t>C000007113</t>
  </si>
  <si>
    <t>Dũng trà kiệu</t>
  </si>
  <si>
    <t>Ắc quy xe máy - Z5l - PINACO: 250.000, GS: 280.000</t>
  </si>
  <si>
    <t>C000006963</t>
  </si>
  <si>
    <t>Ắc quy xe máy - Ptz6hl  - PINACO: 240.000, GLOBE: 250.000</t>
  </si>
  <si>
    <t xml:space="preserve">Giá bình gần bằng giá đối thủ, đưa giá bán thẳng giá như đối thủ, để điểm bán dễ nắm giá và bán ra cho người tiêu dùng hợp lý hơn </t>
  </si>
  <si>
    <t>C000006793</t>
  </si>
  <si>
    <t>Sơn Lâm</t>
  </si>
  <si>
    <t>Ắc quy xe máy - Z6l - PINACO: 360.000</t>
  </si>
  <si>
    <t>C000033286</t>
  </si>
  <si>
    <t>C000018976</t>
  </si>
  <si>
    <t>Honda 69</t>
  </si>
  <si>
    <t>Giá chưa đủ cạnh tranh và thay đổi giá liên tục gây khó chịu cho khách hàng</t>
  </si>
  <si>
    <t>C000007018</t>
  </si>
  <si>
    <t>C000007097</t>
  </si>
  <si>
    <t>Thiện Điện Dương</t>
  </si>
  <si>
    <t>C000026985</t>
  </si>
  <si>
    <t>Văn Sỹ</t>
  </si>
  <si>
    <t xml:space="preserve">Chất lượng sản phẩm chưa tốt, giá sản phẩm lên cao gần bằng các hãng khác, cần xem xét lại </t>
  </si>
  <si>
    <t>C000007107</t>
  </si>
  <si>
    <t>Dũng Tuyến</t>
  </si>
  <si>
    <t>Ắc quy xe máy - Z5l - PINACO: 235.000, GS: 245.000, GLOBE: 260.000</t>
  </si>
  <si>
    <t>C000007074</t>
  </si>
  <si>
    <t>Ngọc Quảng</t>
  </si>
  <si>
    <t>Ắc quy xe máy - Ptz6hl  - PINACO: 240.000, GS: 2.550.000, GLOBE: 250.000</t>
  </si>
  <si>
    <t>C000006832</t>
  </si>
  <si>
    <t>Kiêm</t>
  </si>
  <si>
    <t>Ắc quy xe máy - Z5l - PINACO: 230, GS: 245</t>
  </si>
  <si>
    <t>C000006885</t>
  </si>
  <si>
    <t>Bích Anh</t>
  </si>
  <si>
    <t xml:space="preserve">Về giá </t>
  </si>
  <si>
    <t>C000026482</t>
  </si>
  <si>
    <t>Toàn Lợi</t>
  </si>
  <si>
    <t>Ắc quy xe máy - Z6hl - PINACO: 250.000</t>
  </si>
  <si>
    <t>C000006937</t>
  </si>
  <si>
    <t>Quang Đệ 1</t>
  </si>
  <si>
    <t>20.000.009 VNĐ</t>
  </si>
  <si>
    <t>Ắc quy xe máy - Z5l  - PINACO: 250.000</t>
  </si>
  <si>
    <t>C000006961</t>
  </si>
  <si>
    <t>Bé Quý</t>
  </si>
  <si>
    <t>Ắc quy xe máy - Ptx6hl  - PINACO: 235.000, GS: 245.000, GLOBE: 250.000</t>
  </si>
  <si>
    <t>C000007077</t>
  </si>
  <si>
    <t>M.Kông</t>
  </si>
  <si>
    <t>Ắc quy xe máy - Ptz6hl  - PINACO: 240.000, GS: 250.000, GLOBE: 255.000</t>
  </si>
  <si>
    <t xml:space="preserve">Giá cao gần bằng đối thủ, chất lượng sản phẩm thấp hơn so với đối thủ, đưa giá cuối cùng cho điểm bán dễ nắm, bán ra cho người tiêu dùng, chất lượng sản phẩm cần phải điều chỉnh tốt hơn để người tiêu dùng yên tâm sử dụng </t>
  </si>
  <si>
    <t>C000006871</t>
  </si>
  <si>
    <t>Long Thành HS</t>
  </si>
  <si>
    <t>Ắc quy xe máy - ptz6hl  - PINACO: 2.300.000, GS: 240.000</t>
  </si>
  <si>
    <t xml:space="preserve">Giá cao gần bằng đối thủ, rất khó bán ra cho người tiêu dùng, chất lượng sản phẩm chưa ổn định, mong công ty xem xét, để được tốt hơn </t>
  </si>
  <si>
    <t>C000007071</t>
  </si>
  <si>
    <t>Huyên</t>
  </si>
  <si>
    <t>C000027231</t>
  </si>
  <si>
    <t>86.000.000 VNĐ</t>
  </si>
  <si>
    <t>Ắc quy oto - 31800 - PINACO: 2.300.000, GS: 2.350.000, ENIMAC: 2.300.000</t>
  </si>
  <si>
    <t>C000030034</t>
  </si>
  <si>
    <t>Bình Tiến</t>
  </si>
  <si>
    <t>C000007296</t>
  </si>
  <si>
    <t>Liên TL</t>
  </si>
  <si>
    <t>Ắc quy xe máy - Ptz6hl  - PINACO: 235.000, GS: 240.000, GLOBE: 245.000</t>
  </si>
  <si>
    <t xml:space="preserve">Giá sản phẩm cao, gần bằng giá đối thủ nên khó bán ra cho người tiêu dùng </t>
  </si>
  <si>
    <t>C000006927</t>
  </si>
  <si>
    <t>Nghĩa Hiếu</t>
  </si>
  <si>
    <t>Ắc quy xe máy - Z5l - PINACO: 230.000</t>
  </si>
  <si>
    <t>C000006827</t>
  </si>
  <si>
    <t>Sáu Quân</t>
  </si>
  <si>
    <t>C000018829</t>
  </si>
  <si>
    <t>Honda Hải</t>
  </si>
  <si>
    <t>C000030134</t>
  </si>
  <si>
    <t>Hd Quang</t>
  </si>
  <si>
    <t>C000040585</t>
  </si>
  <si>
    <t>Tứ Hy</t>
  </si>
  <si>
    <t>C000006985</t>
  </si>
  <si>
    <t>Đại Hoàng</t>
  </si>
  <si>
    <t xml:space="preserve">Đưa giá sản phẩm ra thẳng giá, để dễ bán ra cho người tiêu dùng, và dễ cạnh tranh với đối thủ khác, chất lượng sản phẩm cần ổn định và tốt hơn hiện tại </t>
  </si>
  <si>
    <t>C000017353</t>
  </si>
  <si>
    <t>Hữu Hòa</t>
  </si>
  <si>
    <t>Ắc quy xe máy - PTz5l  - PINACO: 230.000, GS: 240.000</t>
  </si>
  <si>
    <t>C000007046</t>
  </si>
  <si>
    <t>Nghĩa Bình</t>
  </si>
  <si>
    <t>C000034761</t>
  </si>
  <si>
    <t>Khải Lâm</t>
  </si>
  <si>
    <t>C000039297</t>
  </si>
  <si>
    <t>Ngô Mới</t>
  </si>
  <si>
    <t>C000006757</t>
  </si>
  <si>
    <t>Anh Trực</t>
  </si>
  <si>
    <t>C000031240</t>
  </si>
  <si>
    <t>C000026897</t>
  </si>
  <si>
    <t>Thời Tân</t>
  </si>
  <si>
    <t>Ắc quy xe máy - Z5l - PINACO: 220.000</t>
  </si>
  <si>
    <t>C000007086</t>
  </si>
  <si>
    <t>Ngọc Hiền</t>
  </si>
  <si>
    <t>C000018673</t>
  </si>
  <si>
    <t>Tuấn</t>
  </si>
  <si>
    <t>C000007116</t>
  </si>
  <si>
    <t>Hương</t>
  </si>
  <si>
    <t>C000038234</t>
  </si>
  <si>
    <t>Xe điện Vũ Trang</t>
  </si>
  <si>
    <t>Ắc quy xe máy - 12-14 - PINACO: 375.000, XUPAI: 340.000</t>
  </si>
  <si>
    <t>C000006958</t>
  </si>
  <si>
    <t>Thanh Thu</t>
  </si>
  <si>
    <t>Pinaco / Đồng Nai - 2_x000D_
GS - 1_x000D_
Globe - 6_x000D_
Nhãn hiệu khác - 1</t>
  </si>
  <si>
    <t>Ắc quy xe máy - Z5l - PINACO: 215.000, GS: 230.000, GLOBE: 250.000, OTHER: 200.000</t>
  </si>
  <si>
    <t>C000006941</t>
  </si>
  <si>
    <t>Mai chi</t>
  </si>
  <si>
    <t>Pinaco / Đồng Nai - 2_x000D_
GS - 2_x000D_
Globe - 5_x000D_
Nhãn hiệu khác - 1</t>
  </si>
  <si>
    <t>Ắc quy xe máy - X5l - PINACO: 215, GLOBE: 240, GS: 240, OTHER: 190</t>
  </si>
  <si>
    <t>C000006907</t>
  </si>
  <si>
    <t>Nhật Thảo</t>
  </si>
  <si>
    <t>Ắc quy xe máy - Z6hl - PINACO: 225.000, GS: 240.000, GLOBE: 240.000</t>
  </si>
  <si>
    <t>C000006959</t>
  </si>
  <si>
    <t>Trung Thành</t>
  </si>
  <si>
    <t>Ắc quy xe máy - Ptx6hl  - PINACO: 235.000, GS: 245.000</t>
  </si>
  <si>
    <t xml:space="preserve">Về giá cả giảm giá bán,hoặc chia thẳng giá cuối cùng,hay tăng ck% lên để có được giá tốt, cạnh tranh với đối thủ </t>
  </si>
  <si>
    <t>C000018675</t>
  </si>
  <si>
    <t>Văn Thanh</t>
  </si>
  <si>
    <t>C000006783</t>
  </si>
  <si>
    <t>Cường ông ích đường</t>
  </si>
  <si>
    <t>C000006960</t>
  </si>
  <si>
    <t>Nam Phượng</t>
  </si>
  <si>
    <t>C000007089</t>
  </si>
  <si>
    <t>Thanh Hà</t>
  </si>
  <si>
    <t>C000026243</t>
  </si>
  <si>
    <t>Honda Tổng</t>
  </si>
  <si>
    <t>Ắc quy xe máy - Z5l - PINACO: 280.000, ENIMAC: 260.000</t>
  </si>
  <si>
    <t>C000007267</t>
  </si>
  <si>
    <t>Nam Thành</t>
  </si>
  <si>
    <t>Pinaco / Đồng Nai - 3_x000D_
Enimac - 6_x000D_
GS - 1</t>
  </si>
  <si>
    <t>Ắc quy khác - n150 - PINACO: 3.150.000, ENIMAC: 3.200.000, GS: 3.150.000</t>
  </si>
  <si>
    <t>C000006831</t>
  </si>
  <si>
    <t>Viết Tú</t>
  </si>
  <si>
    <t>C000019492</t>
  </si>
  <si>
    <t>Ngọc Châu</t>
  </si>
  <si>
    <t>Ắc quy xe máy - Z5l - PINACO: 300.000, GS: 330.000, ENIMAC: 310.000</t>
  </si>
  <si>
    <t>C000006784</t>
  </si>
  <si>
    <t>Nhân</t>
  </si>
  <si>
    <t>Pinaco / Đồng Nai - 5_x000D_
Enimac - 3_x000D_
Nhãn hiệu khác - 2</t>
  </si>
  <si>
    <t>Ắc quy xe máy - Z5l - PINACO: 300.000, ENIMAC: 300.000, OTHER: 270.000</t>
  </si>
  <si>
    <t>C000006802</t>
  </si>
  <si>
    <t>C000016772</t>
  </si>
  <si>
    <t>Hồng Hạnh</t>
  </si>
  <si>
    <t>174.000.000 VNĐ</t>
  </si>
  <si>
    <t>Ắc quy khác - n100 - PINACO: 1.950.000, GS: 2.000.000</t>
  </si>
  <si>
    <t>C000016849</t>
  </si>
  <si>
    <t>Ngọc Hạnh</t>
  </si>
  <si>
    <t>4.700.000 VNĐ</t>
  </si>
  <si>
    <t>16.900.000 VNĐ</t>
  </si>
  <si>
    <t>Ắc quy oto - 31s800 - PINACO: 2.400.000, NGOAI_NHAP: 2.450.000</t>
  </si>
  <si>
    <t>C000006906</t>
  </si>
  <si>
    <t>C000027908</t>
  </si>
  <si>
    <t>Thanh Phong Vân Đồn</t>
  </si>
  <si>
    <t>C000025247</t>
  </si>
  <si>
    <t>Phụ Tùng Vân</t>
  </si>
  <si>
    <t>C000006934</t>
  </si>
  <si>
    <t>Xuân Dũng</t>
  </si>
  <si>
    <t>Ắc quy xe máy - Z6hl - PINACO: 225.000, GLOBE: 250.000</t>
  </si>
  <si>
    <t>C000038235</t>
  </si>
  <si>
    <t>Hòa</t>
  </si>
  <si>
    <t>Không cho chụp kho, làm bản hiệu lâu, chất lượng sản phẩm và giá cả cao so với đối thủ GS</t>
  </si>
  <si>
    <t>C000019928</t>
  </si>
  <si>
    <t>Hiệu Thoa 2</t>
  </si>
  <si>
    <t>Ắc quy xe máy - Z5l  - PINACO: 280.000</t>
  </si>
  <si>
    <t>C000030133</t>
  </si>
  <si>
    <t>Morto Hùng</t>
  </si>
  <si>
    <t>C000007085</t>
  </si>
  <si>
    <t>Moto Hiệp</t>
  </si>
  <si>
    <t>C000006889</t>
  </si>
  <si>
    <t>Lam</t>
  </si>
  <si>
    <t>Ắc quy xe máy - Z5l - PINACO: 250.000, GLOBE: 280.000</t>
  </si>
  <si>
    <t>C000006912</t>
  </si>
  <si>
    <t>Năm Thành</t>
  </si>
  <si>
    <t>Ắc quy xe máy - Z6hl - PINACO: 230.000, GS: 250.000, OTHER: 200.000</t>
  </si>
  <si>
    <t>Bảo hành đối với khách đại lý khó khăn hơn so với các đối thủ</t>
  </si>
  <si>
    <t>C000026899</t>
  </si>
  <si>
    <t>Duy Định</t>
  </si>
  <si>
    <t>Ắc quy xe máy - Z6hl - PINACO: 310.000, OTHER: 290.000</t>
  </si>
  <si>
    <t>Cần Cải thiện chất lượng bình z6hl</t>
  </si>
  <si>
    <t>C000016897</t>
  </si>
  <si>
    <t>Bốn Phương</t>
  </si>
  <si>
    <t>Ắc quy xe tải - n100 - PINACO: 2.150.000</t>
  </si>
  <si>
    <t>C000007120</t>
  </si>
  <si>
    <t>Nam BR</t>
  </si>
  <si>
    <t>Ắc quy xe máy - Z5l - PINACO: 235.000, GS: 245.000</t>
  </si>
  <si>
    <t>C000016872</t>
  </si>
  <si>
    <t>Đức Vạn</t>
  </si>
  <si>
    <t>Ắc quy khác - n150 - PINACO: 3.100.000, GS: 3.150.000, ENIMAC: 3.100.000</t>
  </si>
  <si>
    <t>C000007091</t>
  </si>
  <si>
    <t>Ngọc Hà</t>
  </si>
  <si>
    <t>Ắc quy xe máy - Z6hl - PINACO: 290.000, GS: 320.000</t>
  </si>
  <si>
    <t>C000006814</t>
  </si>
  <si>
    <t>Phúc Nguyên</t>
  </si>
  <si>
    <t>Ắc quy xe máy - Z5l - PINACO: 220.000, GLOBE: 230.000</t>
  </si>
  <si>
    <t>C000006812</t>
  </si>
  <si>
    <t>Anh Đạt</t>
  </si>
  <si>
    <t>Ắc quy xe máy - Z5l - PINACO: 220.000, ENIMAC: 210.000</t>
  </si>
  <si>
    <t>C000026031</t>
  </si>
  <si>
    <t>Tuấn Khoa</t>
  </si>
  <si>
    <t>Ắc quy xe máy - Z5l - PINACO: 310.000</t>
  </si>
  <si>
    <t>C000006926</t>
  </si>
  <si>
    <t>C000007287</t>
  </si>
  <si>
    <t>Thụy Xuyên</t>
  </si>
  <si>
    <t>Ắc quy khác - n150 - PINACO: 3.000.000, GS: 3.000.000</t>
  </si>
  <si>
    <t>C000031516</t>
  </si>
  <si>
    <t>Thành Phượng</t>
  </si>
  <si>
    <t>C000018662</t>
  </si>
  <si>
    <t>An Sơn</t>
  </si>
  <si>
    <t>Ắc quy xe máy - Z5l - PINACO: 240, GLOBE: 260</t>
  </si>
  <si>
    <t>C000018830</t>
  </si>
  <si>
    <t>Minh Ba</t>
  </si>
  <si>
    <t>Ắc quy xe máy - Z6l - PINACO: 360.000, GS: 400.000</t>
  </si>
  <si>
    <t>C000007038</t>
  </si>
  <si>
    <t xml:space="preserve">Đề nghị chất lượng sản phẩm tốt hơn, hàng PTz5l và ptz6hl tháng 2-4-2026 hay trục trặc,công ty hổ trợ kệ để trưng bày hàng tại điểm bán </t>
  </si>
  <si>
    <t>C000025354</t>
  </si>
  <si>
    <t>Bảy</t>
  </si>
  <si>
    <t>Ắc quy xe máy - Z6l - PINACO: 290.000, GS: 310.000, GLOBE: 310.000</t>
  </si>
  <si>
    <t>C000007297</t>
  </si>
  <si>
    <t>Đức Ta</t>
  </si>
  <si>
    <t>Về chất lượng sản phẩm chưa được ổn định so với đối thủ, về phần giá thì gần bằng đối thủ nên rất khó bán ra cho người tiêu dùng, rất mong có được giá cả ổn định và chất lượng sản phẩm tốt hơn.</t>
  </si>
  <si>
    <t>C000018685</t>
  </si>
  <si>
    <t>Ắc quy xe máy - Ptx5l  - PINACO: 210.000, GS: 225.000, GLOBE: 230.000</t>
  </si>
  <si>
    <t xml:space="preserve">Giá sản phẩm cao so với đối thủ, chương trình thay đổi ck%, khó bán lẻ ra cho khách,mong công ty đưa ra giá cuối cùng để điểm bán dễ nắm và có giá tốt để cạnh tranh với đối thủ </t>
  </si>
  <si>
    <t>C000038416</t>
  </si>
  <si>
    <t>Honda Kỳ</t>
  </si>
  <si>
    <t>Ắc quy xe điện - PA 12-14 - PINACO: 1.600.000, OTHER: 1.600.000</t>
  </si>
  <si>
    <t>Ắc quy xe điện chưa đồng bộ, chưa đạt chất lượng ổn định như các hãng khác</t>
  </si>
  <si>
    <t>C000028272</t>
  </si>
  <si>
    <t>Honda Minh Tâm</t>
  </si>
  <si>
    <t>C000018947</t>
  </si>
  <si>
    <t>Phận</t>
  </si>
  <si>
    <t>C000006962</t>
  </si>
  <si>
    <t>Long Thành</t>
  </si>
  <si>
    <t>Ắc quy xe máy - PTz5l  - PINACO: 230.000, GS: 240.000, GLOBE: 250.000</t>
  </si>
  <si>
    <t xml:space="preserve">Giá sản phẩm của công ty gần bằng giá sản phẩm của đối thủ,nên điều chỉnh lại giá hợp lý để có thể cạnh tranh với đối thủ dễ hơn, và đưa chất lượng sản phẩm tốt hơn đến người tiêu dùng </t>
  </si>
  <si>
    <t>C000006929</t>
  </si>
  <si>
    <t>Luận</t>
  </si>
  <si>
    <t>C000018780</t>
  </si>
  <si>
    <t>Công Tốt</t>
  </si>
  <si>
    <t>Globe - 8_x000D_
Pinaco / Đồng Nai - 2</t>
  </si>
  <si>
    <t>Ắc quy xe máy - Ptz6hl  - GLOBE: 240.000, PINACO: 240.000</t>
  </si>
  <si>
    <t xml:space="preserve">Chất lượng kém so với đối thủ, giá cao bằng đối thủ nên rất khó bán ra cho người tiêu dùng </t>
  </si>
  <si>
    <t>C000006914</t>
  </si>
  <si>
    <t>Ắc quy xe máy - Z5l - GS: 350.000, PINACO: 300.000</t>
  </si>
  <si>
    <t>C000006805</t>
  </si>
  <si>
    <t>Ắc quy xe máy - Z5l - PINACO: 220.000, GLOBE: 240.000</t>
  </si>
  <si>
    <t>C000006750</t>
  </si>
  <si>
    <t>Anh Linh</t>
  </si>
  <si>
    <t>C000007011</t>
  </si>
  <si>
    <t>Hiến</t>
  </si>
  <si>
    <t xml:space="preserve">Giữ vững chất lượng sản phẩm,chia thẳng giá cuối cùng cho dễ nắm giá,cho kệ để trưng bày sản phẩm, có quà tặng từ công ty để được quảng bá sản phẩm từ công ty </t>
  </si>
  <si>
    <t>C000006877</t>
  </si>
  <si>
    <t>Ắc quy xe điện - Pa12-23  - PINACO: 721</t>
  </si>
  <si>
    <t xml:space="preserve">Không có kho hàng,đề nghị công ty hổ trợ kệ để hàng trưng bày, và giữ chất lượng sản phẩm ổn định và ngày một tốt hơn </t>
  </si>
  <si>
    <t>C000017313</t>
  </si>
  <si>
    <t>Moto Hải</t>
  </si>
  <si>
    <t>Ắc quy xe điện - Pa 12-14, pa12-23  - PINACO: 457</t>
  </si>
  <si>
    <t>C000007075</t>
  </si>
  <si>
    <t>Minh Tâm</t>
  </si>
  <si>
    <t>C000037315</t>
  </si>
  <si>
    <t>Văn Thảo</t>
  </si>
  <si>
    <t>Ắc quy xe máy - Z6hl - PINACO: 320.000, GLOBE: 370.000</t>
  </si>
  <si>
    <t>C000007017</t>
  </si>
  <si>
    <t>Ắc quy xe máy - Z5l - PINACO: 250.000, ENIMAC: 240.000</t>
  </si>
  <si>
    <t>C000007078</t>
  </si>
  <si>
    <t>Nam Sơn</t>
  </si>
  <si>
    <t>C000007007</t>
  </si>
  <si>
    <t>Cô Sáu</t>
  </si>
  <si>
    <t>Ắc quy xe máy - Ptz6hl  - PINACO: 235.000</t>
  </si>
  <si>
    <t xml:space="preserve">Hàng nhập nhiều, thị trường đầu ra khó khăn, nhập từ từ, chất lượng dạo này tệ,không ổn định </t>
  </si>
  <si>
    <t>C000026426</t>
  </si>
  <si>
    <t>Hải Hân</t>
  </si>
  <si>
    <t>Ắc quy xe máy - Z5l - PINACO: 235, GS: 245, GLOBE: 250</t>
  </si>
  <si>
    <t>C000038597</t>
  </si>
  <si>
    <t>Trung Motor</t>
  </si>
  <si>
    <t>C000038574</t>
  </si>
  <si>
    <t>DUY ĐỨC XE TAY GA</t>
  </si>
  <si>
    <t>C000006745</t>
  </si>
  <si>
    <t>Thiện Hồng</t>
  </si>
  <si>
    <t>C000029505</t>
  </si>
  <si>
    <t>C000007008</t>
  </si>
  <si>
    <t>Ắc quy xe máy - Ptz6hl  - PINACO: 230.000, GS: 240.000, GLOBE: 250.000</t>
  </si>
  <si>
    <t xml:space="preserve">Không cho chụp kho hàng, giá sản phẩm chưa được ổn định, giá cả cao gần bằng đối thủ nên khó bán ra cho người tiêu dùng nên khó cạnh tranh </t>
  </si>
  <si>
    <t>C000026666</t>
  </si>
  <si>
    <t>Tâm</t>
  </si>
  <si>
    <t>C000037855</t>
  </si>
  <si>
    <t>Phước Thành</t>
  </si>
  <si>
    <t>Pinaco / Đồng Nai - 2_x000D_
Thiên Năng - 5_x000D_
Xupai - 3</t>
  </si>
  <si>
    <t>Ắc quy xe điện - PA 12-14 - PINACO: 1.700.000, XUPAI: 1.700.000</t>
  </si>
  <si>
    <t>Chất lượng bình ắc quy không đồng nhất, không đảm bảo số km hoạt động. Chế độ bảo hành chưa đủ cạnh tranh với đối thủ.</t>
  </si>
  <si>
    <t>C000034555</t>
  </si>
  <si>
    <t>Trung Thành 2</t>
  </si>
  <si>
    <t>Ắc quy xe máy - Ptx5l  - PINACO: 210.000, OTHER: 200.000</t>
  </si>
  <si>
    <t xml:space="preserve">Công ty đưa thẳng giá xuống tại điểm bán cho dễ nắm giá bán lẻ ra cho người tiêu dùng,nâng cao giá trị của sản phẩm để ít bảo hành cho khách hàng và cạnh tranh chất lượng với các sản phẩm khác </t>
  </si>
  <si>
    <t>C000006924</t>
  </si>
  <si>
    <t>Tiễn</t>
  </si>
  <si>
    <t>Ắc quy xe máy - X5l - PINACO: 280.000</t>
  </si>
  <si>
    <t>Không có</t>
  </si>
  <si>
    <t>C000006803</t>
  </si>
  <si>
    <t>Quốc Thiên</t>
  </si>
  <si>
    <t>C000018827</t>
  </si>
  <si>
    <t>Đại Hồng</t>
  </si>
  <si>
    <t>Ắc quy xe máy - Z5l - PINACO: 255.000</t>
  </si>
  <si>
    <t>C000007082</t>
  </si>
  <si>
    <t>Cường Phong Thử</t>
  </si>
  <si>
    <t>C000029213</t>
  </si>
  <si>
    <t>Đại thịnh</t>
  </si>
  <si>
    <t>Đưa giá cuối cùng của tất cả các sản phẩm cho điểm bán dễ nhớ và đưa chất lượng sản phẩm tốt hơn để cạnh tranh với đối thủ.</t>
  </si>
  <si>
    <t>C000038417</t>
  </si>
  <si>
    <t>Đại Thành</t>
  </si>
  <si>
    <t>Ắc quy xe máy - Z5l - GS: 360.000, PINACO: 300.000</t>
  </si>
  <si>
    <t>C000007080</t>
  </si>
  <si>
    <t>Quang Thảo</t>
  </si>
  <si>
    <t>C000006769</t>
  </si>
  <si>
    <t>Tùng Hòa Xuân</t>
  </si>
  <si>
    <t xml:space="preserve">Không có bình </t>
  </si>
  <si>
    <t>C000039162</t>
  </si>
  <si>
    <t>Ắc quy xe máy - Z5l - PINACO: 300.000, GS: 340.000</t>
  </si>
  <si>
    <t>C000006983</t>
  </si>
  <si>
    <t>Phi Vinh</t>
  </si>
  <si>
    <t>Ắc quy xe máy - Ptz6hl  - PINACO: 220.000, GLOBE: 230.000</t>
  </si>
  <si>
    <t xml:space="preserve">Giá thực tế của tất cả các sản phẩm phải tốt, chất lượng sản phẩm ổn định hơn, để cạnh tranh với đối thủ trên thị trường </t>
  </si>
  <si>
    <t>C000033069</t>
  </si>
  <si>
    <t>Trình</t>
  </si>
  <si>
    <t>3.400.000 VNĐ</t>
  </si>
  <si>
    <t>Ắc quy xe máy - PTz5l  - PINACO: 235.000, OTHER: 215.000</t>
  </si>
  <si>
    <t>C000006752</t>
  </si>
  <si>
    <t>Mô Tô Đức</t>
  </si>
  <si>
    <t>C000006807</t>
  </si>
  <si>
    <t>Thanh Khương</t>
  </si>
  <si>
    <t>Pinaco / Đồng Nai - 4_x000D_
Globe - 5_x000D_
Ắc quy ngoại nhập - 1</t>
  </si>
  <si>
    <t>Ắc quy xe máy - Z5l - PINACO: 240.000, GLOBE: 260.000, NGOAI_NHAP: 190.000</t>
  </si>
  <si>
    <t>C000040630</t>
  </si>
  <si>
    <t>Tứ Xe Điện</t>
  </si>
  <si>
    <t>Ắc quy xe điện - PA 12-14 - PINACO: 1.600.000, THIEN_NANG: 1.600.000</t>
  </si>
  <si>
    <t>C000037856</t>
  </si>
  <si>
    <t>Tân Thọ xe điện</t>
  </si>
  <si>
    <t>Ắc quy xe điện - PA 12-14 - PINACO: 1.650.000, OTHER: 1.550.000</t>
  </si>
  <si>
    <t>C000029212</t>
  </si>
  <si>
    <t>Trí Hải</t>
  </si>
  <si>
    <t>500.090 VNĐ</t>
  </si>
  <si>
    <t>C000039433</t>
  </si>
  <si>
    <t>Honda Trí</t>
  </si>
  <si>
    <t>C000026427</t>
  </si>
  <si>
    <t>Sửa Xe Hùng</t>
  </si>
  <si>
    <t>Ắc quy xe máy - Z5l - PINACO: 270.000</t>
  </si>
  <si>
    <t>C000018774</t>
  </si>
  <si>
    <t>Tiến Dũng PH</t>
  </si>
  <si>
    <t>C000039296</t>
  </si>
  <si>
    <t>Thuận Thiên</t>
  </si>
  <si>
    <t>C000037055</t>
  </si>
  <si>
    <t>SX Thức</t>
  </si>
  <si>
    <t>MIEN DONG 1 (1).xlsx</t>
  </si>
  <si>
    <t>C000035059</t>
  </si>
  <si>
    <t>PT A Tỷ</t>
  </si>
  <si>
    <t>Ắc quy xe máy - Ptx5l  - PINACO: 225.000</t>
  </si>
  <si>
    <t xml:space="preserve">Chưa có </t>
  </si>
  <si>
    <t>Phan Huy Cường</t>
  </si>
  <si>
    <t>CÔNG TY TNHH THƯƠNG MẠI DỊCH VỤ TUẤN MINH CHÂU</t>
  </si>
  <si>
    <t>MIỀN ĐÔNG 1</t>
  </si>
  <si>
    <t>ĐỒNG NAI</t>
  </si>
  <si>
    <t>C000031218</t>
  </si>
  <si>
    <t>HONDA KÝ</t>
  </si>
  <si>
    <t>Ắc quy xe máy - Ptz5l  - PINACO: 270.000_x000D_
Ắc quy xe máy - Ptz6l  - PINACO: 340.000_x000D_
Ắc quy xe máy - Ptz6hl - PINACO: 280.000</t>
  </si>
  <si>
    <t>Không có ý kiến gì hết</t>
  </si>
  <si>
    <t>Kiều Ngọc Hảo</t>
  </si>
  <si>
    <t>KIM PHÁT THỊNH</t>
  </si>
  <si>
    <t>BÌNH THUẬN</t>
  </si>
  <si>
    <t>C000002644</t>
  </si>
  <si>
    <t>PT.CHÂU</t>
  </si>
  <si>
    <t>Ắc quy xe điện - Pa 12-14 - PINACO: 450.000, OTHER: 380.000_x000D_
Ắc quy xe máy - Z7a - PINACO: 380.000, GS: 400.000_x000D_
Ắc quy xe máy - Z5l - PINACO: 220.000, GS: 240.000, OTHER: 200.000_x000D_
Ắc quy xe máy - Z6l iss - PINACO: 280.000, GS: 300.000, OTHER: 250.000</t>
  </si>
  <si>
    <t>- Giá cao
- Không cho xem kho vì hàng hóa nhiều loại</t>
  </si>
  <si>
    <t>Nguyễn Cảnh Tuấn</t>
  </si>
  <si>
    <t>CÔNG TY TNHH TM TH PHƯƠNG PHÚC</t>
  </si>
  <si>
    <t>C000002641</t>
  </si>
  <si>
    <t>TUÂN NGỌC</t>
  </si>
  <si>
    <t>Pinaco / Đồng Nai - 2_x000D_
GS - 6_x000D_
Globe - 2_x000D_
Nhãn hiệu khác - 0</t>
  </si>
  <si>
    <t>Ắc quy xe máy - Z5l - PINACO: 220.000, GS: 240.000, GLOBE: 220.000_x000D_
Ắc quy xe máy - Z6hl - PINACO: 240.000, GS: 250.000, GLOBE: 240.000_x000D_
Ắc quy xe máy - Z6l iss - PINACO: 280.000, GS: 300.000, GLOBE: 280.000</t>
  </si>
  <si>
    <t>- chất lượng ổn, giá cao khó bán
- kho hàng nhiều hàng hóa không cho chụp ảnh kho</t>
  </si>
  <si>
    <t>C000003216</t>
  </si>
  <si>
    <t>Châu Tuấn</t>
  </si>
  <si>
    <t>Ắc quy xe máy - Ptz5l  - PINACO: 250.000_x000D_
Ắc quy xe máy - Ptz6l  - PINACO: 320.000_x000D_
Ắc quy xe máy - Ptz6hl - PINACO: 280.000</t>
  </si>
  <si>
    <t>C000003361</t>
  </si>
  <si>
    <t>Hải Châu</t>
  </si>
  <si>
    <t>Ắc quy oto - N150 - PINACO: 3.200.000, GS: 3.200.000_x000D_
Ắc quy oto - N100 - PINACO: 2.200.000, GS: 2.200.000_x000D_
Ắc quy oto - N70 - PINACO: 1.700.000, GS: 1.700.000_x000D_
Ắc quy oto - N50 - PINACO: 1.200.000, GS: 1.250.000_x000D_
Ắc quy dân dụng - N30 - PINACO: 800.000, GS: 800.000_x000D_
Ắc quy dân dụng - N28 - PINACO: 780.000, GS: 780.000_x000D_
Ắc quy oto - 105d31 - PINACO: 0, GS: 1.950.000, NGOAI_NHAP: 2.100.000_x000D_
Ắc quy oto - Din65 - GS: 1.650.000, NGOAI_NHAP: 1.700.000</t>
  </si>
  <si>
    <t>Nguyễn Phạm Liêm</t>
  </si>
  <si>
    <t>CÔNG TY TNHH PHÁT TƯỜNG AN</t>
  </si>
  <si>
    <t>NINH THUẬN</t>
  </si>
  <si>
    <t>C000039407</t>
  </si>
  <si>
    <t>HONDA TƯỞNG</t>
  </si>
  <si>
    <t>Ắc quy xe máy - Ptz5l  - PINACO: 260.000_x000D_
Ắc quy xe máy - Ptz6l  - PINACO: 320.000_x000D_
Ắc quy xe máy - Ptz6hl - PINACO: 280.000</t>
  </si>
  <si>
    <t xml:space="preserve">Không Có Ý kiến gì </t>
  </si>
  <si>
    <t>C000003330</t>
  </si>
  <si>
    <t>Ắc quy xe máy - ptz5l - PINACO: 230.000, GS: 260.000_x000D_
Ắc quy xe máy - ptz6hl - PINACO: 240.000, GS: 270.000_x000D_
Ắc quy xe máy - ptz6l - PINACO: 280.000, GS: 310.000_x000D_
Ắc quy xe máy - ptz7A - PINACO: 380.000, GS: 410.000_x000D_
Ắc quy xe máy - ptz9 - PINACO: 410.000, GS: 450.000</t>
  </si>
  <si>
    <t>Ghi chú : không cho chụp kho , kệ</t>
  </si>
  <si>
    <t>Trần Văn Việt</t>
  </si>
  <si>
    <t>C000024303</t>
  </si>
  <si>
    <t>Tư Linh</t>
  </si>
  <si>
    <t>Ắc quy xe máy - Ptz5l  - PINACO: 270.000_x000D_
Ắc quy xe máy - Ptz6l  - PINACO: 330.000_x000D_
Ắc quy xe máy - Ptz6hl  - PINACO: 280.000</t>
  </si>
  <si>
    <t xml:space="preserve">Ko có ý kiến gì </t>
  </si>
  <si>
    <t>C000003196</t>
  </si>
  <si>
    <t>HĐ Phương</t>
  </si>
  <si>
    <t>Ắc quy xe máy - Ptz5l  - PINACO: 260.000_x000D_
Ắc quy xe máy - Ptz6l  - PINACO: 320.000_x000D_
Ắc quy xe máy - Ptz6hl  - PINACO: 270.000_x000D_
Ắc quy xe máy - Ptz7a - PINACO: 400.000</t>
  </si>
  <si>
    <t xml:space="preserve">Không Có Ý Kiến Gì Hết </t>
  </si>
  <si>
    <t>C000003300</t>
  </si>
  <si>
    <t>Văn Lập</t>
  </si>
  <si>
    <t>Ắc quy xe tải - Ptx6HL - PINACO: 280.000_x000D_
Ắc quy xe máy - Ptx5L - PINACO: 260.000_x000D_
Ắc quy xe máy - Ptz6L - PINACO: 330.000_x000D_
Ắc quy xe máy - Ptz7A - PINACO: 400.000</t>
  </si>
  <si>
    <t>C000003310</t>
  </si>
  <si>
    <t>Năm Đức</t>
  </si>
  <si>
    <t>Ắc quy xe máy - N150 - PINACO: 3.100.000, GS: 3.100.000_x000D_
Ắc quy oto - N100 - PINACO: 2.100.000, GS: 2.150.000_x000D_
Ắc quy oto - N70 - PINACO: 1.600.000, GS: 1.600.000_x000D_
Ắc quy oto - 31800 - PINACO: 2.200.000, GS: 2.200.000_x000D_
Ắc quy oto - 90d26 - PINACO: 1.700.000, GS: 1.750.000_x000D_
Ắc quy oto - 50b24 - PINACO: 1.200.000, GS: 1.250.000</t>
  </si>
  <si>
    <t>C000032352</t>
  </si>
  <si>
    <t>HD Hồng Hảo</t>
  </si>
  <si>
    <t>Pinaco / Đồng Nai - 2_x000D_
GS - 3_x000D_
Nhãn hiệu khác - 4_x000D_
Thiên Năng - 1</t>
  </si>
  <si>
    <t>Ắc quy xe máy - ptz5l - PINACO: 230.000, GS: 250.000, OTHER: 160.000_x000D_
Ắc quy xe máy - ptz6hl - PINACO: 240.000, GS: 260.000, OTHER: 160.000_x000D_
Ắc quy xe máy - ptz6l - PINACO: 290.000, GS: 320.000_x000D_
Ắc quy xe điện - pa 12-14 - PINACO: 1.700.000, THIEN_NANG: 1.500.000</t>
  </si>
  <si>
    <t>-Ghi chú : ko chụp ảnh ở kho, kệ
- Bình điện có đợt nhanh hư, bình yếu Cần ổn đinh, mạnh hơn.</t>
  </si>
  <si>
    <t>C000002715</t>
  </si>
  <si>
    <t>Ắc quy xe máy - PTZ6HL - PINACO: 240.000, GS: 250.000</t>
  </si>
  <si>
    <t>Đỗ Trọng Nghĩa</t>
  </si>
  <si>
    <t>C000032675</t>
  </si>
  <si>
    <t>Đức Hùng</t>
  </si>
  <si>
    <t>Ắc quy xe máy - PTZ5L  - PINACO: 235.000, OTHER: 220.000, GS: 250.000</t>
  </si>
  <si>
    <t>C000003269</t>
  </si>
  <si>
    <t>CH Vinh</t>
  </si>
  <si>
    <t>Ắc quy xe máy - N220 - PINACO: 4.150.000, GS: 4.200.000_x000D_
Ắc quy oto - N150 - PINACO: 3.100.000, GS: 3.200.000_x000D_
Ắc quy oto - N100 - PINACO: 2.100.000, GS: 2.150.000_x000D_
Ắc quy dân dụng - N30 - PINACO: 800.000, GS: 820.000</t>
  </si>
  <si>
    <t>C000023785</t>
  </si>
  <si>
    <t>Điện cơ Vũ</t>
  </si>
  <si>
    <t>Ắc quy oto - N220 - PINACO: 4.100.000, GS: 4.200.000_x000D_
Ắc quy oto - N150 - PINACO: 3.100.000, GS: 3.150.000</t>
  </si>
  <si>
    <t>C000003352</t>
  </si>
  <si>
    <t>Thiệu</t>
  </si>
  <si>
    <t>Ắc quy oto - N100 - PINACO: 2.150.000, GS: 2.200.000_x000D_
Ắc quy oto - N85 - PINACO: 1.750.000, GS: 1.800.000_x000D_
Ắc quy oto - N70 - PINACO: 1.600.000, GS: 1.650.000_x000D_
Ắc quy oto - N50 - PINACO: 1.150.000, GS: 1.200.000_x000D_
Ắc quy dân dụng - N30 - PINACO: 800.000, GS: 800.000_x000D_
Ắc quy dân dụng - N28 - PINACO: 760.000, GS: 760.000</t>
  </si>
  <si>
    <t>C000003249</t>
  </si>
  <si>
    <t>Quang Châu</t>
  </si>
  <si>
    <t>Ắc quy xe máy - Ptz6l  - PINACO: 320.000_x000D_
Ắc quy xe máy - Ptz5l  - PINACO: 260.000_x000D_
Ắc quy xe máy - Ptz6hl - PINACO: 270.000</t>
  </si>
  <si>
    <t>C000003373</t>
  </si>
  <si>
    <t>Tiến Thịnh</t>
  </si>
  <si>
    <t>Ắc quy xe máy - Ptz6HL - PINACO: 250.000, GS: 270.000, GLOBE: 250.000_x000D_
Ắc quy xe máy - Ptz5L - PINACO: 240.000, GS: 270.000, GLOBE: 245.000_x000D_
Ắc quy xe máy - Ptz6L - PINACO: 300.000, GS: 330.000, GLOBE: 320.000</t>
  </si>
  <si>
    <t>C000002951</t>
  </si>
  <si>
    <t>PT Ngọc Thận</t>
  </si>
  <si>
    <t>Ắc quy xe máy - Ptz6l - PINACO: 285.000, GS: 300.000</t>
  </si>
  <si>
    <t>Không chụp hình được kho và kệ</t>
  </si>
  <si>
    <t>Lương Văn Nam</t>
  </si>
  <si>
    <t>CÔNG TY TNHH THƯƠNG MẠI - DỊCH VỤ QUỐC THÁI</t>
  </si>
  <si>
    <t>BÀ RỊA - VŨNG TÀU</t>
  </si>
  <si>
    <t>C000002959</t>
  </si>
  <si>
    <t>Ngọc Quang</t>
  </si>
  <si>
    <t>Ắc quy xe máy - Ptz6l - GS: 300.000, PINACO: 285.000</t>
  </si>
  <si>
    <t>C000002958</t>
  </si>
  <si>
    <t>PT Vinh Ký</t>
  </si>
  <si>
    <t>Ắc quy xe máy - PTZ6L - PINACO: 290.000, GS: 300.000</t>
  </si>
  <si>
    <t>Hoàng Xuân Quốc</t>
  </si>
  <si>
    <t>C000003343</t>
  </si>
  <si>
    <t>Honda Mẫn</t>
  </si>
  <si>
    <t>Ắc quy oto - N220 - PINACO: 4.050.000, GS: 4.100.000_x000D_
Ắc quy oto - N150 - PINACO: 3.100.000, GS: 3.150.000_x000D_
Ắc quy oto - N100 - PINACO: 2.150.000, GS: 2.150.000_x000D_
Ắc quy oto - N70 - PINACO: 1.650.000, GS: 1.700.000_x000D_
Ắc quy dân dụng - N30 - PINACO: 760.000, GS: 780.000_x000D_
Ắc quy oto - 44B20 - PINACO: 1.150.000, GS: 1.200.000_x000D_
Ắc quy oto - 90d26 - PINACO: 1.750.000, GS: 1.800.000</t>
  </si>
  <si>
    <t>C000003345</t>
  </si>
  <si>
    <t>CH Đăng</t>
  </si>
  <si>
    <t>Ắc quy oto - N220 - PINACO: 4.100.000, GS: 4.200.000_x000D_
Ắc quy oto - N150 - PINACO: 3.100.000, GS: 3.200.000_x000D_
Ắc quy oto - N100 - PINACO: 2.100.000, GS: 2.150.000_x000D_
Ắc quy oto - N85 - PINACO: 1.750.000, GS: 1.800.000_x000D_
Ắc quy oto - N70 - PINACO: 1.600.000, GS: 1.650.000_x000D_
Ắc quy dân dụng - N30 - PINACO: 780.000, GS: 800.000</t>
  </si>
  <si>
    <t>C000031629</t>
  </si>
  <si>
    <t>SX TUẤN 26</t>
  </si>
  <si>
    <t>Ắc quy xe máy - Ptz6l iss - PINACO: 300.000</t>
  </si>
  <si>
    <t>C000002634</t>
  </si>
  <si>
    <t>AQ Trường</t>
  </si>
  <si>
    <t>Ắc quy oto - 31800 - PINACO: 2.250.000, GS: 2.250.000, ENIMAC: 22.000.000</t>
  </si>
  <si>
    <t>Phạm Khánh Hồng</t>
  </si>
  <si>
    <t>C000025062</t>
  </si>
  <si>
    <t>An Phú</t>
  </si>
  <si>
    <t>Ắc quy xe máy - Ptz6hl - PINACO: 250.000, GLOBE: 260.000</t>
  </si>
  <si>
    <t>C000031293</t>
  </si>
  <si>
    <t>ĂC QUY HOÀN MỸ</t>
  </si>
  <si>
    <t>C000003324</t>
  </si>
  <si>
    <t>Mười Tăng</t>
  </si>
  <si>
    <t>Ắc quy oto - N100 - PINACO: 2.200.000, GS: 2.300.000_x000D_
Ắc quy oto - N70 - PINACO: 1.600.000, GS: 1.650.000_x000D_
Ắc quy dân dụng - N30 - PINACO: 780.000, GS: 800.000_x000D_
Ắc quy oto - 90d26 - PINACO: 1.700.000, GS: 1.800.000</t>
  </si>
  <si>
    <t>C000003370</t>
  </si>
  <si>
    <t>Văn Tư</t>
  </si>
  <si>
    <t>Ắc quy oto - N100 - PINACO: 2.100.000, GS: 2.200.000, ENIMAC: 2.100.000_x000D_
Ắc quy oto - N85 - PINACO: 1.750.000, GS: 1.850.000, ENIMAC: 1.700.000_x000D_
Ắc quy oto - N70 - PINACO: 1.550.000, GS: 1.600.000, ENIMAC: 1.550.000_x000D_
Ắc quy xe tải - N150 - PINACO: 3.200.000, GS: 3.250.000, ENIMAC: 3.150.000_x000D_
Ắc quy oto - Din70 - PINACO: 1.700.000, GS: 1.800.000, ENIMAC: 1.700.000_x000D_
Ắc quy oto - N120 - PINACO: 2.650.000, GS: 2.700.000, ENIMAC: 2.600.000</t>
  </si>
  <si>
    <t>C000002740</t>
  </si>
  <si>
    <t>PT Xuân Yến</t>
  </si>
  <si>
    <t>Ắc quy xe máy - X5l - PINACO: 212.000, GS: 240.000_x000D_
Ắc quy xe máy - X6hl - GS: 245.000, PINACO: 235_x000D_
Ắc quy xe máy - Z6l - GS: 310.000, PINACO: 280.000</t>
  </si>
  <si>
    <t xml:space="preserve">- Chất lượng ổn </t>
  </si>
  <si>
    <t>C000003184</t>
  </si>
  <si>
    <t>PT Thanh Sơn</t>
  </si>
  <si>
    <t>Ắc quy xe máy - Ptz5l  - PINACO: 235.000, GS: 250.000, OTHER: 230.000</t>
  </si>
  <si>
    <t>C000003183</t>
  </si>
  <si>
    <t>PT Phát Lợi</t>
  </si>
  <si>
    <t>Ắc quy xe máy - Ptz5l  - PINACO: 235.000, GLOBE: 245.000, OTHER: 220.000_x000D_
Ắc quy xe máy - Ptz6l  - PINACO: 290.000, GLOBE: 305.000, OTHER: 270.000_x000D_
Ắc quy xe máy - Ptz6hl - PINACO: 245.000, GLOBE: 255.000, OTHER: 220.000</t>
  </si>
  <si>
    <t xml:space="preserve">Không có y kiến gì </t>
  </si>
  <si>
    <t>C000003367</t>
  </si>
  <si>
    <t>Thanh Quyên</t>
  </si>
  <si>
    <t>Ắc quy xe máy - ptz5l - PINACO: 250.000, GS: 265.000, GLOBE: 260.000_x000D_
Ắc quy xe máy - ptz6hl - PINACO: 250.000, GS: 270.000, GLOBE: 260.000_x000D_
Ắc quy xe máy - ptz6l - PINACO: 290.000, GS: 330.000, GLOBE: 310.000_x000D_
Ắc quy xe máy - ptz7a.  - PINACO: 390.000, GS: 440.000, GLOBE: 420.000</t>
  </si>
  <si>
    <t>-Ghi Chú : Không cho chụp kho</t>
  </si>
  <si>
    <t>C000002941</t>
  </si>
  <si>
    <t>Cao Vinh</t>
  </si>
  <si>
    <t>GS - 3_x000D_
Enimac - 2_x000D_
Ắc quy ngoại nhập - 1_x000D_
Pinaco / Đồng Nai - 4</t>
  </si>
  <si>
    <t>Ắc quy oto - N100 - GS: 2.000.000, ENIMAC: 2.000.000, PINACO: 2.150.000, NGOAI_NHAP: 2.200.000</t>
  </si>
  <si>
    <t>Phạm Ngọc Giàu</t>
  </si>
  <si>
    <t>CÔNG TY TNHH THƯƠNG MẠI ÁNH SÁNG</t>
  </si>
  <si>
    <t>C000024305</t>
  </si>
  <si>
    <t>Sáu Minh</t>
  </si>
  <si>
    <t>Ắc quy xe máy - Ptz5l  - PINACO: 260.000_x000D_
Ắc quy xe máy - Ptz6l  - PINACO: 295.000_x000D_
Ắc quy xe máy - Ptz6hl - PINACO: 267.000_x000D_
Ắc quy xe máy - Ptz9l - PINACO: 445.000_x000D_
Ắc quy xe máy - Ptz7a  - PINACO: 430.000</t>
  </si>
  <si>
    <t xml:space="preserve">Xin Kệ Xin thêm chiết khấu để bán nhanh hơn </t>
  </si>
  <si>
    <t>C000031312</t>
  </si>
  <si>
    <t>SỬA XE PHÁT ĐẠT</t>
  </si>
  <si>
    <t>Ắc quy xe máy - Ptz5l  - PINACO: 260.000_x000D_
Ắc quy xe máy - Ptz6l  - PINACO: 320.000_x000D_
Ắc quy xe máy - Ptz6hl  - PINACO: 280.000</t>
  </si>
  <si>
    <t>C000003203</t>
  </si>
  <si>
    <t>Đức Huê</t>
  </si>
  <si>
    <t>Ắc quy xe máy - Ptz5l  - PINACO: 240.000_x000D_
Ắc quy xe máy - Ptz6l  - PINACO: 300.000_x000D_
Ắc quy xe máy - Ptz6hl - PINACO: 280.000</t>
  </si>
  <si>
    <t xml:space="preserve">Không Có Ý Kiến Gì </t>
  </si>
  <si>
    <t>C000031938</t>
  </si>
  <si>
    <t>Sửa xe HUỲNH ĐẠT</t>
  </si>
  <si>
    <t>Ắc quy xe máy - Ptz5l  - PINACO: 260.000_x000D_
Ắc quy xe máy - Ptz6l  - PINACO: 320.000_x000D_
Ắc quy xe tải - Ptz6hl - PINACO: 280.000</t>
  </si>
  <si>
    <t xml:space="preserve"> Ích Có CT chạy thưởng so với bên cty khác</t>
  </si>
  <si>
    <t>C000024302</t>
  </si>
  <si>
    <t>Honda Được</t>
  </si>
  <si>
    <t xml:space="preserve">Không Có Đề Nghị Gì Hết </t>
  </si>
  <si>
    <t>C000003195</t>
  </si>
  <si>
    <t>Ắc quy xe máy - Ptz5l  - PINACO: 270.000_x000D_
Ắc quy xe máy - Ptz6l  - PINACO: 350.000_x000D_
Ắc quy xe máy - Ptz6hl  - PINACO: 280.000</t>
  </si>
  <si>
    <t>C000003281</t>
  </si>
  <si>
    <t>Lê Đá</t>
  </si>
  <si>
    <t>Ắc quy xe máy - Ptz6HL - PINACO: 260.000, GS: 280.000, GLOBE: 270.000_x000D_
Ắc quy xe máy - Ptz5L - PINACO: 250.000, GS: 280.000, GLOBE: 260.000_x000D_
Ắc quy xe máy - Ptz6L - PINACO: 300.000, GS: 340.000, GLOBE: 320.000_x000D_
Ắc quy xe máy - Ptz7A - PINACO: 400.000, GS: 440.000, GLOBE: 450.000</t>
  </si>
  <si>
    <t>C000003286</t>
  </si>
  <si>
    <t>Hiếu Thảo</t>
  </si>
  <si>
    <t>196.000.000 VNĐ</t>
  </si>
  <si>
    <t>Ắc quy oto - N220 - PINACO: 4.200.000, GS: 4.300.000_x000D_
Ắc quy oto - N150 - PINACO: 3.100.000, GS: 3.200.000_x000D_
Ắc quy oto - N100 - PINACO: 2.100.000, GS: 2.200.000_x000D_
Ắc quy xe tải - 31800 - PINACO: 2.350.000, GS: 2.500.000_x000D_
Ắc quy oto - Din70 - PINACO: 1.700.000, GS: 1.800.000_x000D_
Ắc quy dân dụng - N30 - PINACO: 800.000, GS: 800.000</t>
  </si>
  <si>
    <t>C000033925</t>
  </si>
  <si>
    <t>Honda LY</t>
  </si>
  <si>
    <t>C000002707</t>
  </si>
  <si>
    <t>Sáu Hùng</t>
  </si>
  <si>
    <t>C000002713</t>
  </si>
  <si>
    <t>P.T Thanh Sơn</t>
  </si>
  <si>
    <t>Ắc quy xe máy - PTZ6HL - PINACO: 240.000, GS: 280.000_x000D_
Ắc quy xe điện - PA 12-14 - OTHER: 390.000</t>
  </si>
  <si>
    <t>Thương hiệu và tâm lý người tiêu dùng vẫn thích và dùng thương hiệu GS hơn, nhất là những lúc thay bình ắc quy tháo ra thấy thương hiệu của đối thủ</t>
  </si>
  <si>
    <t>C000031761</t>
  </si>
  <si>
    <t>Phúc Nghị Đức</t>
  </si>
  <si>
    <t>31.242.000 VNĐ</t>
  </si>
  <si>
    <t>Ắc quy xe máy - PTZ5L - PINACO: 235.000, GS: 260.000</t>
  </si>
  <si>
    <t>C000002870</t>
  </si>
  <si>
    <t>Nguyễn Duy</t>
  </si>
  <si>
    <t>748.000.000 VNĐ</t>
  </si>
  <si>
    <t>Pinaco / Đồng Nai - 1_x000D_
GS - 8_x000D_
Ắc quy ngoại nhập - 1</t>
  </si>
  <si>
    <t>C000030760</t>
  </si>
  <si>
    <t>Hân Phát</t>
  </si>
  <si>
    <t>Ắc quy xe máy - PTZ5L - PINACO: 230.000, NGOAI_NHAP: 195.000</t>
  </si>
  <si>
    <t>C000002650</t>
  </si>
  <si>
    <t>Khánh Bằng</t>
  </si>
  <si>
    <t>Ắc quy xe điện - Pa 12-14 - PINACO: 420.000, OTHER: 380.000_x000D_
Ắc quy xe điện - Pa 12-23 - PINACO: 720.000, OTHER: 680.000</t>
  </si>
  <si>
    <t xml:space="preserve">Giá cao hơn sản phẩm khác
Chuyển đổi sản phẩm phù hợp 
Bảo hành lâu phải chờ mất thời gian </t>
  </si>
  <si>
    <t>C000002798</t>
  </si>
  <si>
    <t>SX Hải</t>
  </si>
  <si>
    <t>Ắc quy xe máy - PTZ5L - PINACO: 235.000, GS: 300.000_x000D_
Ắc quy xe máy - PTZ6HL - PINACO: 245.000, GS: 310.000_x000D_
Ắc quy xe máy - PTZ6L - PINACO: 310.000, GS: 350.000</t>
  </si>
  <si>
    <t>Không Có.</t>
  </si>
  <si>
    <t>Trương Minh Huy</t>
  </si>
  <si>
    <t>C000003043</t>
  </si>
  <si>
    <t>TRƯỜNG NGUYỄN II</t>
  </si>
  <si>
    <t>Ắc quy xe máy - PTZ5L  - PINACO: 300.000, GS: 300.000</t>
  </si>
  <si>
    <t>Phạm Văn Hải</t>
  </si>
  <si>
    <t>C000003038</t>
  </si>
  <si>
    <t>PT MINH HOÀNG</t>
  </si>
  <si>
    <t>Ắc quy xe máy - PTX5L  - PINACO: 260.000, GS: 270.000</t>
  </si>
  <si>
    <t>C000003172</t>
  </si>
  <si>
    <t>PT Nhã</t>
  </si>
  <si>
    <t>Ắc quy xe máy - Ptz5l  - PINACO: 250.000, GS: 270.000, GLOBE: 260.000_x000D_
Ắc quy xe máy - Ptz6l  - PINACO: 320.000, GS: 340.000, GLOBE: 335.000_x000D_
Ắc quy xe máy - Ptz6hl  - PINACO: 270.000, GS: 285.000, GLOBE: 280.000</t>
  </si>
  <si>
    <t>Giá Cao Khó Bán , Cần Thêm Chiết Khấu Bán Cho Mau</t>
  </si>
  <si>
    <t>C000038118</t>
  </si>
  <si>
    <t>sx Đạp Điện Quy</t>
  </si>
  <si>
    <t>Ắc quy xe máy - Pa 12_14 - PINACO: 450.000, THIEN_NANG: 450.000</t>
  </si>
  <si>
    <t>C000003041</t>
  </si>
  <si>
    <t>SX DŨNG AQ</t>
  </si>
  <si>
    <t>Ắc quy xe máy - PTZ5L  - PINACO: 280.000, GS: 300.000</t>
  </si>
  <si>
    <t>C000003351</t>
  </si>
  <si>
    <t>Văn Lâu</t>
  </si>
  <si>
    <t>Ắc quy oto - N100 - PINACO: 2.200.000, GS: 2.250.000_x000D_
Ắc quy oto - N85 - PINACO: 1.750.000, GS: 1.800.000_x000D_
Ắc quy oto - N70 - PINACO: 1.550.000, GS: 1.600.000_x000D_
Ắc quy oto - N50 - PINACO: 1.200.000, GS: 1.250.000</t>
  </si>
  <si>
    <t>Khuyến mãi tốt hơn nữa !</t>
  </si>
  <si>
    <t>C000003346</t>
  </si>
  <si>
    <t>Dinh Lan</t>
  </si>
  <si>
    <t>Ắc quy xe máy - ptz5l - PINACO: 240.000_x000D_
Ắc quy xe máy - ptz6hl - PINACO: 250.000_x000D_
Ắc quy xe máy - ptz6l - PINACO: 290.000_x000D_
Ắc quy xe máy - ptz7a - PINACO: 350.000</t>
  </si>
  <si>
    <t>C000025083</t>
  </si>
  <si>
    <t>AQ HOÀNG HIẾU TRUNG</t>
  </si>
  <si>
    <t>1.023.000.000 VNĐ</t>
  </si>
  <si>
    <t>Pinaco / Đồng Nai - 2_x000D_
GS - 2_x000D_
Enimac - 6</t>
  </si>
  <si>
    <t>Ắc quy oto - n100 - PINACO: 2.100.000, GS: 2.000.000, ENIMAC: 1.950.000</t>
  </si>
  <si>
    <t>khách hàng không cho chụp kho hàng</t>
  </si>
  <si>
    <t>C000025089</t>
  </si>
  <si>
    <t>Kim Thành Phát</t>
  </si>
  <si>
    <t>Ắc quy oto - N150 - PINACO: 3.000.000, GS: 3.100.000</t>
  </si>
  <si>
    <t>C000017544</t>
  </si>
  <si>
    <t>SX Cường</t>
  </si>
  <si>
    <t>Ắc quy xe máy - PTZ5L - PINACO: 230.000_x000D_
Ắc quy xe máy - PTZ6HL - PINACO: 250.000_x000D_
Ắc quy xe máy - PTZ6L - PINACO: 285.000_x000D_
Ắc quy xe máy - PTZ7L - PINACO: 410.000</t>
  </si>
  <si>
    <t>C000002856</t>
  </si>
  <si>
    <t>Quý</t>
  </si>
  <si>
    <t>Ắc quy xe máy - PTZ5L - PINACO: 230.000, GS: 285.000_x000D_
Ắc quy xe máy - PTZ6HL - PINACO: 245.000, GS: 290.000_x000D_
Ắc quy xe máy - PTZ6L - PINACO: 285.000, GS: 305.000_x000D_
Ắc quy xe máy - PTZ7L - PINACO: 4.000, GS: 415.000</t>
  </si>
  <si>
    <t>C000025060</t>
  </si>
  <si>
    <t>PT Minh Trang</t>
  </si>
  <si>
    <t>Ắc quy xe máy - PTZ5L - PINACO: 225.000, GS: 275.000_x000D_
Ắc quy xe máy - PTZ6HL - PINACO: 240.000, GS: 285.000_x000D_
Ắc quy xe máy - PTZ6L - PINACO: 275.000, GS: 295.000_x000D_
Ắc quy xe máy - PTZ79 - PINACO: 400.000, GS: 410.000</t>
  </si>
  <si>
    <t>C000031219</t>
  </si>
  <si>
    <t>Việt Hoa</t>
  </si>
  <si>
    <t>Ắc quy oto - N30 - PINACO: 790.000</t>
  </si>
  <si>
    <t>Nguyễn Anh Tài</t>
  </si>
  <si>
    <t>CÔNG TY TNHH GIA THỊNH PHÁT - PHAN THIẾT</t>
  </si>
  <si>
    <t>C000003142</t>
  </si>
  <si>
    <t>SX BA ĐẠI</t>
  </si>
  <si>
    <t>Ắc quy xe máy - PTZ5L  - PINACO: 270.000</t>
  </si>
  <si>
    <t>C000002763</t>
  </si>
  <si>
    <t>Nhựt Phong</t>
  </si>
  <si>
    <t>Ắc quy xe máy - PTZ5L - PINACO: 230.000, GS: 350.000_x000D_
Ắc quy xe máy - PTZ6HL - PINACO: 240.000, GS: 360.000_x000D_
Ắc quy xe máy - PTZ6L - PINACO: 285.000, GS: 390.000_x000D_
Ắc quy xe máy - PTZ7L - PINACO: 400.000, GS: 430.000</t>
  </si>
  <si>
    <t>C000027902</t>
  </si>
  <si>
    <t>Ắc Quy Bạch Đăng</t>
  </si>
  <si>
    <t>Ắc quy xe máy - PTX5L  - PINACO: 270.000, GS: 280.000, ENIMAC: 260.000</t>
  </si>
  <si>
    <t>C000034565</t>
  </si>
  <si>
    <t>aq Thọ Dân</t>
  </si>
  <si>
    <t>Ắc quy oto - Ptx5l  - PINACO: 280.000, GS: 280.000</t>
  </si>
  <si>
    <t>C000002633</t>
  </si>
  <si>
    <t>AQ Nhơn</t>
  </si>
  <si>
    <t>Pinaco / Đồng Nai - 3_x000D_
GS - 4_x000D_
Ắc quy ngoại nhập - 2_x000D_
Globe - 1</t>
  </si>
  <si>
    <t>Ắc quy oto - 90d26 - PINACO: 2.000.000, GS: 1.950.000, NGOAI_NHAP: 2.000.000</t>
  </si>
  <si>
    <t>C000031937</t>
  </si>
  <si>
    <t>Honda Huy</t>
  </si>
  <si>
    <t>Ắc quy xe máy - Ptz5l  - PINACO: 260.000_x000D_
Ắc quy xe máy - Ptz6l  - PINACO: 350.000_x000D_
Ắc quy xe máy - Ptz6hl - PINACO: 280.000</t>
  </si>
  <si>
    <t>Bình Nay Giá Cao Khó Cạnh Tranh</t>
  </si>
  <si>
    <t>C000002631</t>
  </si>
  <si>
    <t>Thọ Dân</t>
  </si>
  <si>
    <t>1.359.000.909 VNĐ</t>
  </si>
  <si>
    <t>Pinaco / Đồng Nai - 1_x000D_
GS - 1_x000D_
Enimac - 1_x000D_
Globe - 1_x000D_
Ắc quy ngoại nhập - 3_x000D_
Nhãn hiệu khác - 1_x000D_
Yamato - 1_x000D_
Thiên Năng - 1</t>
  </si>
  <si>
    <t>Ắc quy oto - 31800 - PINACO: 2.300.000, GS: 2.300.000, ENIMAC: 2.250.000, GLOBE: 2.250.000, NGOAI_NHAP: 2.300.000</t>
  </si>
  <si>
    <t xml:space="preserve">cửa hàng không cho chụp kho hàng va kho hàng cách cửa hàng 1500m </t>
  </si>
  <si>
    <t>C000003426</t>
  </si>
  <si>
    <t>PT ĐÓA PHÁT</t>
  </si>
  <si>
    <t>Ắc quy xe máy - PTX5L  - PINACO: 220.000, GS: 230.000</t>
  </si>
  <si>
    <t>C000036593</t>
  </si>
  <si>
    <t>CH Ánh Sáng</t>
  </si>
  <si>
    <t>Ắc quy xe máy - PTZ5L - PINACO: 220.000_x000D_
Ắc quy xe máy - PTZ6HL - PINACO: 242.000_x000D_
Ắc quy xe máy - PTZ6L - PINACO: 274.000_x000D_
Ắc quy xe máy - PTZ7L - PINACO: 402.000</t>
  </si>
  <si>
    <t>C000003259</t>
  </si>
  <si>
    <t>Vàng Mai</t>
  </si>
  <si>
    <t>Ắc quy xe máy - Ptx6hl  - PINACO: 270.000_x000D_
Ắc quy xe máy - Ptz6l  - PINACO: 350.000_x000D_
Ắc quy xe máy - Ptz5l  - PINACO: 270.000</t>
  </si>
  <si>
    <t>Bình Đồng Nai Ok</t>
  </si>
  <si>
    <t>C000040496</t>
  </si>
  <si>
    <t>Đạp Điện Minh Quyết</t>
  </si>
  <si>
    <t>Ắc quy xe máy - PA 12_14 - PINACO: 450.000, THIEN_NANG: 450.000</t>
  </si>
  <si>
    <t>C000037821</t>
  </si>
  <si>
    <t>XE ĐẠP ĐIỆN DỰ THẢO</t>
  </si>
  <si>
    <t>Nhãn hiệu khác - 7_x000D_
Pinaco / Đồng Nai - 3</t>
  </si>
  <si>
    <t>Ắc quy xe điện - Bình Xe đạp điện - OTHER: 1.800.000, PINACO: 1.900.000</t>
  </si>
  <si>
    <t>Bình Đồng Nai Xe điện giá cao</t>
  </si>
  <si>
    <t>C000003122</t>
  </si>
  <si>
    <t>PT TUYNH</t>
  </si>
  <si>
    <t>Ắc quy xe máy - PTX5L  - GS: 240.000, PINACO: 230.000</t>
  </si>
  <si>
    <t>C000003131</t>
  </si>
  <si>
    <t>PT TRÍ THỨC</t>
  </si>
  <si>
    <t>C000003126</t>
  </si>
  <si>
    <t>PT TẤN PHÁT</t>
  </si>
  <si>
    <t>Ắc quy xe máy - PTX5L  - PINACO: 230.000, GS: 240.000</t>
  </si>
  <si>
    <t>C000034780</t>
  </si>
  <si>
    <t>HD TUẤN KHANH</t>
  </si>
  <si>
    <t>Ắc quy xe máy - Ptz5l  - PINACO: 260.000_x000D_
Ắc quy xe máy - Ptz6l  - PINACO: 330.000_x000D_
Ắc quy xe máy - Ptz6hl - PINACO: 280.000_x000D_
Ắc quy xe máy - Ptz7l  - PINACO: 430.000</t>
  </si>
  <si>
    <t>Bình Đồng Nai OK</t>
  </si>
  <si>
    <t>C000003215</t>
  </si>
  <si>
    <t>Mỹ Thanh</t>
  </si>
  <si>
    <t>Ắc quy xe máy - Ptz5l  - PINACO: 260.000_x000D_
Ắc quy xe máy - Ptz6l  - PINACO: 340.000_x000D_
Ắc quy xe máy - Ptz6hl  - PINACO: 280.000</t>
  </si>
  <si>
    <t xml:space="preserve">Binh Đồng Nai Ok </t>
  </si>
  <si>
    <t>C000017553</t>
  </si>
  <si>
    <t>CH Hoàng Huân</t>
  </si>
  <si>
    <t>2.250.000 VNĐ</t>
  </si>
  <si>
    <t>Ắc quy xe máy - PTZ5L - PINACO: 230.000, GS: 300.000_x000D_
Ắc quy xe máy - PTZ6HL - PINACO: 242.000, GS: 310.000_x000D_
Ắc quy xe máy - PTZ6L - PINACO: 282.000, GS: 320.000</t>
  </si>
  <si>
    <t>C000003214</t>
  </si>
  <si>
    <t>Hằng Sang</t>
  </si>
  <si>
    <t>Ắc quy xe máy - Ptz5l  - PINACO: 270.000_x000D_
Ắc quy xe máy - Ptz6l  - PINACO: 360.000_x000D_
Ắc quy xe tải - Ptz6hl - PINACO: 280.000</t>
  </si>
  <si>
    <t>C000003125</t>
  </si>
  <si>
    <t>PT MINH THỐNG</t>
  </si>
  <si>
    <t>Ắc quy xe máy - PTZ5L  - PINACO: 260.000, GS: 270.000</t>
  </si>
  <si>
    <t>C000002874</t>
  </si>
  <si>
    <t>Bình An 2</t>
  </si>
  <si>
    <t>Ắc quy xe máy - PTZ5L - PINACO: 225.000, GS: 275.000_x000D_
Ắc quy xe máy - PTZ6HL - PINACO: 245.000, GS: 280.000_x000D_
Ắc quy xe máy - PTZ6L - PINACO: 272.000, GS: 290.000</t>
  </si>
  <si>
    <t>Không Có Ý Kiến.</t>
  </si>
  <si>
    <t>C000003207</t>
  </si>
  <si>
    <t>Thành Lộc</t>
  </si>
  <si>
    <t>Ắc quy xe máy - Ptz5l  - PINACO: 270.000_x000D_
Ắc quy xe máy - Ptz6l  - PINACO: 340.000_x000D_
Ắc quy xe máy - Ptz6hl  - PINACO: 280.000</t>
  </si>
  <si>
    <t xml:space="preserve">Cần Kệ Để Trưng Bày Bình Đồng Nai . </t>
  </si>
  <si>
    <t>C000003206</t>
  </si>
  <si>
    <t>HonDa Lộc</t>
  </si>
  <si>
    <t>Ắc quy xe máy - Ptz5l - PINACO: 270.000_x000D_
Ắc quy xe máy - Ptz6l  - PINACO: 350.000_x000D_
Ắc quy xe máy - Ptz6hl  - PINACO: 280.000</t>
  </si>
  <si>
    <t>C000029861</t>
  </si>
  <si>
    <t>Dntn 7 Thành</t>
  </si>
  <si>
    <t>Ắc quy xe máy - Ptz6l  - PINACO: 300.000, GS: 320.000_x000D_
Ắc quy xe máy - Ptz5l  - PINACO: 250.000, GS: 265.000_x000D_
Ắc quy xe máy - Ptz6hl - PINACO: 260.000, GS: 275.000_x000D_
Ắc quy xe máy - Ptz7a - PINACO: 400.000, GS: 420.000</t>
  </si>
  <si>
    <t>Giá Hơi Cao Khó Bán Hơn So với mọi khi</t>
  </si>
  <si>
    <t>C000027267</t>
  </si>
  <si>
    <t>Aq Hoàng Anh Tuấn</t>
  </si>
  <si>
    <t>105.500.000 VNĐ</t>
  </si>
  <si>
    <t>Pinaco / Đồng Nai - 4_x000D_
GS - 1_x000D_
Ắc quy ngoại nhập - 5</t>
  </si>
  <si>
    <t>Ắc quy oto - 105d31 - PINACO: 1.850.000, NGOAI_NHAP: 1.850.000</t>
  </si>
  <si>
    <t>C000003109</t>
  </si>
  <si>
    <t>PT BA THÀNH</t>
  </si>
  <si>
    <t>Ắc quy xe máy - PTZ5L  - PINACO: 240.000, GS: 250.000</t>
  </si>
  <si>
    <t>C000002926</t>
  </si>
  <si>
    <t>Mạnh Cường.</t>
  </si>
  <si>
    <t>Ắc quy xe máy - PTZ5L - PINACO: 227.000, GS: 272.000, GLOBE: 235.000_x000D_
Ắc quy xe máy - PTZ6HL - PINACO: 238.000, GS: 280.000, GLOBE: 245.000_x000D_
Ắc quy xe máy - PTZ6L - PINACO: 274.000, GS: 292.000, GLOBE: 280.000</t>
  </si>
  <si>
    <t>C000003106</t>
  </si>
  <si>
    <t>AQ QUỐC ANH</t>
  </si>
  <si>
    <t>Ắc quy xe máy - Ptz5l  - PINACO: 280.000, GS: 280.000</t>
  </si>
  <si>
    <t>C000002705</t>
  </si>
  <si>
    <t>121.500.000 VNĐ</t>
  </si>
  <si>
    <t>Ắc quy oto - 105d31 - PINACO: 1.900.000, GS: 2.000.000_x000D_
Ắc quy xe tải - N150 - PINACO: 3.000.000, GS: 2.950.000_x000D_
Ắc quy xe máy - Z5l - PINACO: 250.000, GS: 260.000</t>
  </si>
  <si>
    <t xml:space="preserve">- Giá cao
- Bình nước nắp nước không giống nhau (N100, N70) 
- Bỏ giấy dán đục lỗ tròn tháng, năm </t>
  </si>
  <si>
    <t>C000031455</t>
  </si>
  <si>
    <t>PT GIA BẢO</t>
  </si>
  <si>
    <t>Ắc quy xe máy - Ptx5l  - PINACO: 230.000, GS: 240.000</t>
  </si>
  <si>
    <t>C000027892</t>
  </si>
  <si>
    <t>SX Phong</t>
  </si>
  <si>
    <t>Ắc quy xe máy - Ptz6hl - PINACO: 260.000</t>
  </si>
  <si>
    <t>C000002805</t>
  </si>
  <si>
    <t>PT Hiền Thủy</t>
  </si>
  <si>
    <t>Ắc quy xe máy - PTZ5L - PINACO: 225.000, GS: 270.000_x000D_
Ắc quy xe máy - PTZ6HL - PINACO: 240.000, GS: 280.000_x000D_
Ắc quy xe máy - PTZ6L - PINACO: 275.000, GS: 290.000</t>
  </si>
  <si>
    <t>C000039150</t>
  </si>
  <si>
    <t>AQ KHANG TUẤN PHÁT</t>
  </si>
  <si>
    <t>513.000.099 VNĐ</t>
  </si>
  <si>
    <t>Pinaco / Đồng Nai - 2_x000D_
GS - 4_x000D_
Enimac - 1_x000D_
Ắc quy ngoại nhập - 3</t>
  </si>
  <si>
    <t>Ắc quy oto - 105D31 - PINACO: 2.100.000, GS: 2.100.000, NGOAI_NHAP: 2.100.000, ENIMAC: 2.000.000</t>
  </si>
  <si>
    <t>C000002708</t>
  </si>
  <si>
    <t>Minh Gia an</t>
  </si>
  <si>
    <t>C000032678</t>
  </si>
  <si>
    <t>pt trí thức 2</t>
  </si>
  <si>
    <t>C000003152</t>
  </si>
  <si>
    <t>SX MINH AN</t>
  </si>
  <si>
    <t>Ắc quy xe máy - Ptz5l  - PINACO: 250.000</t>
  </si>
  <si>
    <t>C000002651</t>
  </si>
  <si>
    <t>Sỹ Mai</t>
  </si>
  <si>
    <t>57.400.000 VNĐ</t>
  </si>
  <si>
    <t>Ắc quy dân dụng - N30 - PINACO: 820.000_x000D_
Ắc quy xe điện - Pa 12-14 - PINACO: 450.000_x000D_
Ắc quy oto - 31800 - PINACO: 2.400.000</t>
  </si>
  <si>
    <t>Giá bình cao</t>
  </si>
  <si>
    <t>C000003177</t>
  </si>
  <si>
    <t>Honda Toàn</t>
  </si>
  <si>
    <t>Ắc quy xe máy - Ptz5l  - PINACO: 260.000_x000D_
Ắc quy xe máy - Ptz6l  - PINACO: 330.000_x000D_
Ắc quy xe máy - Ptz6hl - PINACO: 270.000_x000D_
Ắc quy xe máy - Ptz9l - PINACO: 470.000</t>
  </si>
  <si>
    <t>C000003179</t>
  </si>
  <si>
    <t>Hoàng Cơ</t>
  </si>
  <si>
    <t>Ắc quy xe máy - Ptz5l  - PINACO: 250.000, GS: 265.000_x000D_
Ắc quy xe máy - Ptz6l  - PINACO: 320.000, GS: 335.000_x000D_
Ắc quy xe máy - Ptz6hl - PINACO: 260.000, GS: 275.000_x000D_
Ắc quy xe máy - Ptz7l  - PINACO: 400.000, GS: 415.000</t>
  </si>
  <si>
    <t xml:space="preserve">Bình Cao giá khó bán hơn so với mọi khi </t>
  </si>
  <si>
    <t>C000040349</t>
  </si>
  <si>
    <t>PT Kim Thịnh</t>
  </si>
  <si>
    <t>Ắc quy xe máy - Ptx5l  - PINACO: 260.000, GS: 270.000</t>
  </si>
  <si>
    <t>C000038497</t>
  </si>
  <si>
    <t>Yến Phương</t>
  </si>
  <si>
    <t>Ắc quy xe máy - PTZ5L - PINACO: 250.000, GS: 270.000_x000D_
Ắc quy xe máy - PTZ6HL - PINACO: 270.000, GS: 280.000_x000D_
Ắc quy xe máy - PTZ6L - PINACO: 290.000, GS: 315.000</t>
  </si>
  <si>
    <t>C000035174</t>
  </si>
  <si>
    <t>TƯ HÒA MINH</t>
  </si>
  <si>
    <t>Ắc quy xe máy - Ptz6l  - PINACO: 350.000_x000D_
Ắc quy xe máy - Ptz5l  - PINACO: 270.000_x000D_
Ắc quy xe máy - Ptz6hl - PINACO: 290.000</t>
  </si>
  <si>
    <t>Không Có Ý kiến gì</t>
  </si>
  <si>
    <t>C000031309</t>
  </si>
  <si>
    <t>TUẤN TƯỜNG</t>
  </si>
  <si>
    <t>Ắc quy xe máy - Ptz5l  - PINACO: 240.000_x000D_
Ắc quy xe máy - Ptz6l  - PINACO: 300.000_x000D_
Ắc quy xe máy - Ptz6hl - PINACO: 250.000_x000D_
Ắc quy xe máy - Ptz7l - PINACO: 400.000_x000D_
Ắc quy xe máy - Ptz7a - PINACO: 400.000</t>
  </si>
  <si>
    <t>Bình Giá Cao Khó Bán Hơn Mọi Khi ,</t>
  </si>
  <si>
    <t>C000024334</t>
  </si>
  <si>
    <t>CH Phúc An</t>
  </si>
  <si>
    <t>2.150.000 VNĐ</t>
  </si>
  <si>
    <t>Ắc quy xe máy - PTZ5L - PINACO: 230.000, GS: 260.000_x000D_
Ắc quy xe máy - PTZ6HL - PINACO: 240.000, GS: 265.000_x000D_
Ắc quy xe máy - PTZ6L - PINACO: 270.000, GS: 290.000</t>
  </si>
  <si>
    <t>C000003064</t>
  </si>
  <si>
    <t>PT ĐĂNG TIẾN</t>
  </si>
  <si>
    <t>C000025061</t>
  </si>
  <si>
    <t>Ắc quy xe máy - PTZ6hl - PINACO: 260.000</t>
  </si>
  <si>
    <t>C000003048</t>
  </si>
  <si>
    <t>PT KIM MINH NGỌC</t>
  </si>
  <si>
    <t>Bán lẻ: 48%; Bán sỉ: 52%</t>
  </si>
  <si>
    <t>C000003049</t>
  </si>
  <si>
    <t>AQ NHƠN</t>
  </si>
  <si>
    <t>Ắc quy xe máy - Ptz5l  - PINACO: 240.000, GS: 250.000</t>
  </si>
  <si>
    <t>C000017508</t>
  </si>
  <si>
    <t>Việt Hoàng Phát (Anh Tá)</t>
  </si>
  <si>
    <t>146.000.000 VNĐ</t>
  </si>
  <si>
    <t>Ắc quy oto - N100 - PINACO: 2.150.000, GS: 2.100.000</t>
  </si>
  <si>
    <t>C000003322</t>
  </si>
  <si>
    <t>HĐ Năm Tạo</t>
  </si>
  <si>
    <t>Ắc quy xe máy - ptz5l - PINACO: 240.000, ENIMAC: 250.000_x000D_
Ắc quy xe máy - ptz6hl - PINACO: 250.000, ENIMAC: 260.000_x000D_
Ắc quy xe máy - ptz6l - PINACO: 280.000, ENIMAC: 300.000</t>
  </si>
  <si>
    <t>Ghi chú: Không cho chụp ảnh.</t>
  </si>
  <si>
    <t>C000024752</t>
  </si>
  <si>
    <t>AQ LONG GIANG</t>
  </si>
  <si>
    <t>224.000.009 VNĐ</t>
  </si>
  <si>
    <t>Ắc quy oto - 31800 - PINACO: 2.300.000, GS: 2.350.000, NGOAI_NHAP: 2.400.000</t>
  </si>
  <si>
    <t>C000025090</t>
  </si>
  <si>
    <t>Ắc quy oto - N100 - PINACO: 2.150.000, GS: 2.100.000, ENIMAC: 1.950.000</t>
  </si>
  <si>
    <t>C000038108</t>
  </si>
  <si>
    <t>Ắc Quy Hưng Thịnh Phát</t>
  </si>
  <si>
    <t>Ắc quy oto - N100 - PINACO: 2.200.000, GS: 2.100.000</t>
  </si>
  <si>
    <t>Khách hàng cần thêm chiết khấu</t>
  </si>
  <si>
    <t>C000017773</t>
  </si>
  <si>
    <t>59.500.000 VNĐ</t>
  </si>
  <si>
    <t>Ắc quy oto - N100 - PINACO: 2.050.000, GS: 2.050.000</t>
  </si>
  <si>
    <t>C000003348</t>
  </si>
  <si>
    <t>Tuyền Giang</t>
  </si>
  <si>
    <t>Ắc quy xe máy - ptz5l - PINACO: 250.000_x000D_
Ắc quy xe máy - ptz6hl - PINACO: 260.000_x000D_
Ắc quy xe máy - ptz6l - PINACO: 290.000_x000D_
Ắc quy xe điện - pa 12-14 - PINACO: 1.600.000</t>
  </si>
  <si>
    <t>C000034194</t>
  </si>
  <si>
    <t>CH Phúc Đạt</t>
  </si>
  <si>
    <t>Pinaco / Đồng Nai - 4_x000D_
GS - 3_x000D_
Enimac - 2_x000D_
Ắc quy ngoại nhập - 1</t>
  </si>
  <si>
    <t>Ắc quy oto - 31800 - PINACO: 2.350.000, GS: 2.250.000, ENIMAC: 2.200.000, NGOAI_NHAP: 2.200.000</t>
  </si>
  <si>
    <t>C000003044</t>
  </si>
  <si>
    <t>TRƯỜNG NGUYỄN</t>
  </si>
  <si>
    <t>Ắc quy xe máy - PTZ5L  - PINACO: 270.000, GS: 280.000</t>
  </si>
  <si>
    <t>C000037439</t>
  </si>
  <si>
    <t>Bảo Châu</t>
  </si>
  <si>
    <t>Ắc quy xe điện - 12-23 - PINACO: 700.000</t>
  </si>
  <si>
    <t>C000024318</t>
  </si>
  <si>
    <t>Tâm Lập</t>
  </si>
  <si>
    <t>Pinaco / Đồng Nai - 5_x000D_
Globe - 3_x000D_
GS - 2</t>
  </si>
  <si>
    <t>Ắc quy xe máy - Ptz6l  - PINACO: 320.000, GLOBE: 330.000, GS: 345.000_x000D_
Ắc quy xe máy - Ptz5l  - PINACO: 240.000, GLOBE: 250.000, GS: 260.000_x000D_
Ắc quy xe máy - Ptz6hl  - PINACO: 250.000, GLOBE: 260.000, GS: 270.000</t>
  </si>
  <si>
    <t>Yêu Cầu Trả Bình Bảo Hành Không Hư , Cho Lại Phiếu BH Mới , giống như bên globe , Cho Hộp Mới Để Về Bán lại ,</t>
  </si>
  <si>
    <t>C000039007</t>
  </si>
  <si>
    <t>Đạp Điện Anh Ngọc</t>
  </si>
  <si>
    <t>Ắc quy xe điện - 12-14 - PINACO: 500.009</t>
  </si>
  <si>
    <t xml:space="preserve">Không có </t>
  </si>
  <si>
    <t>C000024313</t>
  </si>
  <si>
    <t>Anh Tâm</t>
  </si>
  <si>
    <t>Ắc quy xe máy - Ptz6l  - PINACO: 350.000, GS: 380.000_x000D_
Ắc quy xe máy - Ptz5l  - PINACO: 270.000, GS: 290.000_x000D_
Ắc quy xe máy - Ptz6hl  - PINACO: 280.000, GS: 300.000</t>
  </si>
  <si>
    <t xml:space="preserve">Bình Giá Hơi Cao , xin thêm chiết khấu </t>
  </si>
  <si>
    <t>C000017589</t>
  </si>
  <si>
    <t>Bích Thắng</t>
  </si>
  <si>
    <t>Ắc quy xe máy - PTz6l - PINACO: 280.000, GS: 290.000</t>
  </si>
  <si>
    <t>C000026518</t>
  </si>
  <si>
    <t>Ắc quy xe máy - Ptz6l  - PINACO: 320.000_x000D_
Ắc quy xe máy - Ptz6hl - PINACO: 260.000_x000D_
Ắc quy xe máy - Ptz5l - PINACO: 250.000_x000D_
Ắc quy xe máy - Bình Đạp Điện - PINACO: 480.000</t>
  </si>
  <si>
    <t xml:space="preserve">Giá Cao . Cần Thêm Chiết Khấu </t>
  </si>
  <si>
    <t>C000038923</t>
  </si>
  <si>
    <t>dap dien tien phat</t>
  </si>
  <si>
    <t>Ắc quy xe điện - 12-23 - PINACO: 720.000</t>
  </si>
  <si>
    <t>C000017588</t>
  </si>
  <si>
    <t>PT Pha</t>
  </si>
  <si>
    <t>Ắc quy xe máy - Ptz6hl - PINACO: 245.000, GS: 260.000</t>
  </si>
  <si>
    <t xml:space="preserve">Không chụp kho được. </t>
  </si>
  <si>
    <t>C000031936</t>
  </si>
  <si>
    <t>HONDA SỰ- QL1A</t>
  </si>
  <si>
    <t>Ắc quy xe máy - Ptz6l  - PINACO: 350.000_x000D_
Ắc quy xe máy - ptz5l - PINACO: 270.000_x000D_
Ắc quy xe máy - Ptz6hl  - PINACO: 280.000</t>
  </si>
  <si>
    <t>C000024315</t>
  </si>
  <si>
    <t>Út Sang</t>
  </si>
  <si>
    <t>Ắc quy xe máy - Ptz6l  - PINACO: 350.000_x000D_
Ắc quy xe máy - Ptz5l - PINACO: 270.000_x000D_
Ắc quy xe máy - Ptz6hl - PINACO: 280.000</t>
  </si>
  <si>
    <t xml:space="preserve">Không Có Ý kiến Gì </t>
  </si>
  <si>
    <t>C000024314</t>
  </si>
  <si>
    <t>Vũ Hùng</t>
  </si>
  <si>
    <t>Ắc quy xe máy - Ptz5l  - PINACO: 270.000, GLOBE: 280.000_x000D_
Ắc quy xe máy - Ptz6l  - PINACO: 350.000, GLOBE: 360.000_x000D_
Ắc quy xe máy - Ptz6hl  - PINACO: 280.000, GLOBE: 290.000</t>
  </si>
  <si>
    <t xml:space="preserve">Bình Đồng Nai BH OK , </t>
  </si>
  <si>
    <t>C000003375</t>
  </si>
  <si>
    <t>Thuận Tín</t>
  </si>
  <si>
    <t>GS - 5_x000D_
Pinaco / Đồng Nai - 2_x000D_
Globe - 3</t>
  </si>
  <si>
    <t>Ắc quy xe máy - ptx5l - GS: 250.000, PINACO: 215.000, GLOBE: 230.000_x000D_
Ắc quy xe máy - ptx6hl - GS: 250.000, PINACO: 240.000, GLOBE: 245.000_x000D_
Ắc quy xe máy - ptz6l - PINACO: 280.000, GS: 310.000, GLOBE: 300.000</t>
  </si>
  <si>
    <t>-Ghi chú : không cho chụp hình.</t>
  </si>
  <si>
    <t>C000003321</t>
  </si>
  <si>
    <t>HD Thành</t>
  </si>
  <si>
    <t>Ắc quy xe máy - ptz5l - PINACO: 230.000, GS: 250.000, OTHER: 180.000_x000D_
Ắc quy xe máy - ptz6hl - PINACO: 250.000, GS: 290.000, OTHER: 200.000_x000D_
Ắc quy xe máy - ptz6l - PINACO: 280.000, GS: 310.000, OTHER: 0_x000D_
Ắc quy xe điện - pa 12-14 - PINACO: 410.000</t>
  </si>
  <si>
    <t>C000002869</t>
  </si>
  <si>
    <t>Hoàng Lâm</t>
  </si>
  <si>
    <t>156.000.000 VNĐ</t>
  </si>
  <si>
    <t>Ắc quy oto - Din65 - PINACO: 1.600.000, GS: 1.600.000, NGOAI_NHAP: 1.650.000</t>
  </si>
  <si>
    <t>C000003332</t>
  </si>
  <si>
    <t>Cao Thái</t>
  </si>
  <si>
    <t>Ắc quy xe máy - ptz5l - PINACO: 215.000, GS: 245.000, GLOBE: 230.000_x000D_
Ắc quy xe máy - ptz6hl - PINACO: 225.000, GS: 245.000, GLOBE: 230.000_x000D_
Ắc quy xe máy - ptz6l - PINACO: 280.000, GS: 305.000, GLOBE: 300.000_x000D_
Ắc quy xe điện - pa 12-14 - PINACO: 400.000</t>
  </si>
  <si>
    <t>Ghi chú : không cho chụp kho,kệ</t>
  </si>
  <si>
    <t>C000002685</t>
  </si>
  <si>
    <t>Danh Đạt</t>
  </si>
  <si>
    <t>Ắc quy xe máy - PTZ5L - GS: 270.000, PINACO: 225.000</t>
  </si>
  <si>
    <t>C000003335</t>
  </si>
  <si>
    <t>Phụ Tùng Hằng</t>
  </si>
  <si>
    <t>Ắc quy xe máy - ptz5l - PINACO: 220.000, GS: 245.000_x000D_
Ắc quy xe máy - ptz6hl - GS: 245.000, PINACO: 230.000_x000D_
Ắc quy xe máy - ptz6l - GS: 305.000, PINACO: 280.000</t>
  </si>
  <si>
    <t>-Ghi chú: Không cho chụp kho.
- Cải thiện chất lượng hơn.</t>
  </si>
  <si>
    <t>C000003334</t>
  </si>
  <si>
    <t>HĐ Nhất Phong</t>
  </si>
  <si>
    <t>Ắc quy xe máy - ptz5l - PINACO: 225.000_x000D_
Ắc quy xe máy - ptz6hl - PINACO: 230.000_x000D_
Ắc quy xe máy - ptz6l - PINACO: 270.000_x000D_
Ắc quy xe máy - ptz7 - PINACO: 360.000_x000D_
Ắc quy xe máy - ptz9 - PINACO: 390.000</t>
  </si>
  <si>
    <t>C000035048</t>
  </si>
  <si>
    <t>ĂC QUY TUẤN LÂM</t>
  </si>
  <si>
    <t>4.472.000.000 VNĐ</t>
  </si>
  <si>
    <t>Pinaco / Đồng Nai - 1_x000D_
GS - 7_x000D_
Globe - 1_x000D_
Ắc quy ngoại nhập - 1_x000D_
Enimac - 0</t>
  </si>
  <si>
    <t>Ắc quy oto - n100 - PINACO: 1.950.000, GS: 1.980.000, GLOBE: 1.950.000, NGOAI_NHAP: 2.000.000, ENIMAC: 1.900.000</t>
  </si>
  <si>
    <t>C000017548</t>
  </si>
  <si>
    <t>SX Duy Bảo</t>
  </si>
  <si>
    <t>Ắc quy xe máy - PTZ5L - PINACO: 250.000, GS: 300.000_x000D_
Ắc quy xe máy - PTZ6HL - PINACO: 255.000, GS: 270.000_x000D_
Ắc quy xe máy - PTZ6L - PINACO: 300.000, GS: 320.000</t>
  </si>
  <si>
    <t>C000003257</t>
  </si>
  <si>
    <t>GM Huỳnh</t>
  </si>
  <si>
    <t>Ắc quy xe máy - Ptz5l  - PINACO: 230.000, GS: 245.000_x000D_
Ắc quy xe máy - Ptz6l  - PINACO: 300.000, GS: 325.000_x000D_
Ắc quy xe máy - Ptz6hl  - PINACO: 250.000_x000D_
Ắc quy xe máy - Ptz7a - PINACO: 400.000, GS: 420.000_x000D_
Ắc quy xe máy - Ptz7l - PINACO: 400.000, GS: 420.000</t>
  </si>
  <si>
    <t>Bình Đồng Nai Bảo Hành OK</t>
  </si>
  <si>
    <t>C000028949</t>
  </si>
  <si>
    <t>AQ Bạch Quang Vinh</t>
  </si>
  <si>
    <t>1.022.000.000 VNĐ</t>
  </si>
  <si>
    <t>Pinaco / Đồng Nai - 2_x000D_
GS - 0_x000D_
Enimac - 3_x000D_
Ắc quy ngoại nhập - 5</t>
  </si>
  <si>
    <t>Ắc quy oto - 31800 - PINACO: 2.200.000, ENIMAC: 2.150.000, NGOAI_NHAP: 2.200.000</t>
  </si>
  <si>
    <t xml:space="preserve">Giá thành cao quá cần điều chỉnh cho phù hợp cùng với các hãng bình khác mà khách hàng đang bán hiện nay khách hàng đang bán bình ngoại  nhập có mức lợi nhuận cao hơn nhiều
 </t>
  </si>
  <si>
    <t>C000003261</t>
  </si>
  <si>
    <t>GM Nghĩa</t>
  </si>
  <si>
    <t>Ắc quy xe máy - Ptz6l  - PINACO: 320.000_x000D_
Ắc quy xe máy - Ptz5l  - PINACO: 250.000_x000D_
Ắc quy xe tải - Ptz6hl - PINACO: 260.000</t>
  </si>
  <si>
    <t>Bình Sao mau Hư , 5 tháng là đổi ,</t>
  </si>
  <si>
    <t>C000037705</t>
  </si>
  <si>
    <t>Quốc Hằng 2</t>
  </si>
  <si>
    <t>Ắc quy xe điện - 12-14 - PINACO: 500.000</t>
  </si>
  <si>
    <t>C000002957</t>
  </si>
  <si>
    <t>PT Quốc</t>
  </si>
  <si>
    <t>Ắc quy xe máy - Z6l - PINACO: 280.000, GS: 290.000</t>
  </si>
  <si>
    <t>C000035058</t>
  </si>
  <si>
    <t>Nông Cơ Quốc Hằng</t>
  </si>
  <si>
    <t>Ắc quy xe điện - 12-7.2 - PINACO: 280.000</t>
  </si>
  <si>
    <t>C000031498</t>
  </si>
  <si>
    <t>PT NGUỄN HUỆ</t>
  </si>
  <si>
    <t>C000002839</t>
  </si>
  <si>
    <t>SX Toàn</t>
  </si>
  <si>
    <t>Ắc quy xe máy - PTZ5L - PINACO: 225.000, GS: 250.000, GLOBE: 230.000_x000D_
Ắc quy xe máy - PTZ6HL - PINACO: 230.000, GS: 260.000, GLOBE: 250.000_x000D_
Ắc quy xe máy - PTZ6L - PINACO: 270.000, GS: 290.000, GLOBE: 280.000</t>
  </si>
  <si>
    <t>C000031931</t>
  </si>
  <si>
    <t>SX Hòa Thành.</t>
  </si>
  <si>
    <t>Ắc quy xe máy - PTZ5L - PINACO: 250.000_x000D_
Ắc quy xe máy - PTZ6HL - PINACO: 265.000_x000D_
Ắc quy xe máy - PTZ6L - PINACO: 310.000</t>
  </si>
  <si>
    <t>Không Có .</t>
  </si>
  <si>
    <t>C000003372</t>
  </si>
  <si>
    <t>Phước Nguyên</t>
  </si>
  <si>
    <t>GS - 5_x000D_
Enimac - 1_x000D_
Pinaco / Đồng Nai - 3_x000D_
Nhãn hiệu khác - 1</t>
  </si>
  <si>
    <t>Ắc quy xe máy - ptz5l - GS: 250.000, ENIMAC: 240.000, PINACO: 230.000, OTHER: 180.000_x000D_
Ắc quy xe máy - ptz6hl - GS: 270.000, ENIMAC: 250.000, PINACO: 240.000, OTHER: 190.000_x000D_
Ắc quy xe máy - ptz6l - GS: 300.000, ENIMAC: 290.000, PINACO: 280.000, OTHER: 210.000</t>
  </si>
  <si>
    <t>Ghi Chú: không cho chụp ảnh kho</t>
  </si>
  <si>
    <t>C000030758</t>
  </si>
  <si>
    <t>CH Tấn Phước</t>
  </si>
  <si>
    <t>Ắc quy oto - Q85 - PINACO: 2.400.000, NGOAI_NHAP: 3.000.000</t>
  </si>
  <si>
    <t>C000037883</t>
  </si>
  <si>
    <t>Xe Điện Quốc Thắng</t>
  </si>
  <si>
    <t>Ắc quy xe điện - 12-14 - PINACO: 480.000</t>
  </si>
  <si>
    <t>C000003128</t>
  </si>
  <si>
    <t>SX TUYẾT ANH</t>
  </si>
  <si>
    <t>C000002939</t>
  </si>
  <si>
    <t>Ắc quy oto - DIN45 - PINACO: 1.400.000, GS: 1.450.000, NGOAI_NHAP: 1.700.000</t>
  </si>
  <si>
    <t>C000002616</t>
  </si>
  <si>
    <t>Bảy Tùng</t>
  </si>
  <si>
    <t>Ắc quy oto - n150 - PINACO: 3.100.000</t>
  </si>
  <si>
    <t>C000033231</t>
  </si>
  <si>
    <t>Kim Thảo Anh</t>
  </si>
  <si>
    <t>C000024306</t>
  </si>
  <si>
    <t>Bình An</t>
  </si>
  <si>
    <t>Ắc quy xe máy - Ptz6l  - PINACO: 320.000_x000D_
Ắc quy xe máy - Ptz6hl - PINACO: 260.000_x000D_
Ắc quy xe máy - Ptz5l - PINACO: 250.000</t>
  </si>
  <si>
    <t>Không Có Y KIẾN GÌ , Bình Đồng Nai OK</t>
  </si>
  <si>
    <t>C000002615</t>
  </si>
  <si>
    <t>166.400.000 VNĐ</t>
  </si>
  <si>
    <t>Pinaco / Đồng Nai - 4_x000D_
GS - 5_x000D_
Globe - 1_x000D_
Xupai - 0</t>
  </si>
  <si>
    <t>C000040980</t>
  </si>
  <si>
    <t>Đạp Điện Tùng Vinh</t>
  </si>
  <si>
    <t>Ắc quy xe điện - 12-23 - PINACO: 740.000</t>
  </si>
  <si>
    <t>C000002703</t>
  </si>
  <si>
    <t>Quốc Thắng</t>
  </si>
  <si>
    <t>Ắc quy xe máy - PTZ5L  - PINACO: 225.000, GS: 250.000</t>
  </si>
  <si>
    <t>C000003356</t>
  </si>
  <si>
    <t>Ắc quy xe máy - ptz5l - PINACO: 240.000_x000D_
Ắc quy xe máy - ptz6hl - PINACO: 250.000_x000D_
Ắc quy xe máy - ptz6l - PINACO: 280.000</t>
  </si>
  <si>
    <t>Khuyến mãi càng nhiều càng tốt</t>
  </si>
  <si>
    <t>C000003355</t>
  </si>
  <si>
    <t>Quang Tín</t>
  </si>
  <si>
    <t>Ắc quy xe máy - ptz5l - PINACO: 220.000, GS: 240.000, GLOBE: 230.000_x000D_
Ắc quy xe máy - ptz6hl - PINACO: 230.000, GS: 250.000, GLOBE: 240.000_x000D_
Ắc quy xe điện - pa 12-14 - PINACO: 400.000</t>
  </si>
  <si>
    <t>Ghi chú : ko cho chup ảnh</t>
  </si>
  <si>
    <t>C000038500</t>
  </si>
  <si>
    <t>Đạp Điện Xuân Thái</t>
  </si>
  <si>
    <t>Ắc quy xe điện - Pa 12-14 - PINACO: 480.000</t>
  </si>
  <si>
    <t>C000002613</t>
  </si>
  <si>
    <t>Tuấn Trung</t>
  </si>
  <si>
    <t>45.500.000 VNĐ</t>
  </si>
  <si>
    <t>Ắc quy oto - 31800 - PINACO: 2.450.000</t>
  </si>
  <si>
    <t>C000034198</t>
  </si>
  <si>
    <t>PT Đoàn Phát</t>
  </si>
  <si>
    <t>Ắc quy xe máy - Ptx5l  - PINACO: 230.000</t>
  </si>
  <si>
    <t>C000034196</t>
  </si>
  <si>
    <t>PT Kim Dung</t>
  </si>
  <si>
    <t>Ắc quy xe máy - Ptz6l iss - PINACO: 290.000</t>
  </si>
  <si>
    <t>C000040500</t>
  </si>
  <si>
    <t>Đạp Điện Nguyên Khang</t>
  </si>
  <si>
    <t>C000002611</t>
  </si>
  <si>
    <t>AQ Huynh</t>
  </si>
  <si>
    <t>C000033230</t>
  </si>
  <si>
    <t>CH Hoàng Anh Thiên</t>
  </si>
  <si>
    <t>Ắc quy xe máy - Ptx5l  - PINACO: 240.000</t>
  </si>
  <si>
    <t>C000002897</t>
  </si>
  <si>
    <t>Ắc quy xe máy - PTZ5L - PINACO: 260.000_x000D_
Ắc quy xe máy - PTZ6HL - PINACO: 270.000_x000D_
Ắc quy xe máy - PTZ6L - PINACO: 310.000</t>
  </si>
  <si>
    <t>C000003301</t>
  </si>
  <si>
    <t>Ắc quy xe máy - ptx5l - PINACO: 230.000, OTHER: 210.000_x000D_
Ắc quy xe máy - ptx6hl - PINACO: 240.000, OTHER: 220.000_x000D_
Ắc quy xe máy - ptz6l - PINACO: 280.000_x000D_
Ắc quy xe điện - pa 12-14 - PINACO: 1.600.000</t>
  </si>
  <si>
    <t>Lâu lâu có lô đạp điện bị lỗi. Cần làm ổn định hơn</t>
  </si>
  <si>
    <t>C000002876</t>
  </si>
  <si>
    <t>Ắc quy xe máy - PTZ5L - PINACO: 230.000, GS: 265.000, GLOBE: 250.000_x000D_
Ắc quy xe máy - PTZ6HL - PINACO: 241.000, GS: 270.000, GLOBE: 260.000</t>
  </si>
  <si>
    <t>C000002844</t>
  </si>
  <si>
    <t>88.700.000 VNĐ</t>
  </si>
  <si>
    <t>Ắc quy oto - N100 - PINACO: 2.200.000, GS: 1.950.000</t>
  </si>
  <si>
    <t>C000031762</t>
  </si>
  <si>
    <t>Anh Sanh</t>
  </si>
  <si>
    <t>Ắc quy oto - N220 - PINACO: 3.800.000, GS: 3.800.000</t>
  </si>
  <si>
    <t>Đề nghị điều chỉnh giá cả cho cạnh tranh với các đối thủ trên thị trường.</t>
  </si>
  <si>
    <t>C000003198</t>
  </si>
  <si>
    <t>Ngọc Đông</t>
  </si>
  <si>
    <t>Giá pinaco hiện cao hơn đối thủ, đề nghị điều chỉnh giá để cạnh tranh thị trường.</t>
  </si>
  <si>
    <t>C000003199</t>
  </si>
  <si>
    <t>Đề nghị điều chỉnh giá để cạnh tranh hơn.</t>
  </si>
  <si>
    <t>C000034783</t>
  </si>
  <si>
    <t>Ắc quy xe máy - Z5l - PINACO: 215.000, GS: 220.000_x000D_
Ắc quy xe máy - Z6hl - PINACO: 220.000, GS: 220.000_x000D_
Ắc quy xe máy - Z6l iss - PINACO: 260.000, GS: 290.000</t>
  </si>
  <si>
    <t>Giá đang cao hơn so gs nhiều</t>
  </si>
  <si>
    <t>C000002695</t>
  </si>
  <si>
    <t>PT  Thành Tâm</t>
  </si>
  <si>
    <t>Ắc quy xe máy - Z5l - PINACO: 240.000, GS: 250.000_x000D_
Ắc quy xe tải - N150 - PINACO: 3.100.000, GS: 3.100.000_x000D_
Ắc quy xe tải - N100 - PINACO: 2.200.000, GS: 2.200.000</t>
  </si>
  <si>
    <t>Giá cao
Chấy lượng trung bình, bảo hành nhiều</t>
  </si>
  <si>
    <t>C000024304</t>
  </si>
  <si>
    <t>Honda Quốc</t>
  </si>
  <si>
    <t>Ắc quy xe máy - Ptz5l  - PINACO: 245.000_x000D_
Ắc quy xe máy - Ptz6l  - PINACO: 320.000_x000D_
Ắc quy xe máy - Ptz6hl  - PINACO: 260.000</t>
  </si>
  <si>
    <t>Bình Đồng Nai ok</t>
  </si>
  <si>
    <t>C000003202</t>
  </si>
  <si>
    <t>Thành Sơn 2</t>
  </si>
  <si>
    <t>90.500.000 VNĐ</t>
  </si>
  <si>
    <t>C000003224</t>
  </si>
  <si>
    <t>HonDa Phương</t>
  </si>
  <si>
    <t>Ắc quy xe máy - Ptz6l - PINACO: 340.000_x000D_
Ắc quy xe máy - Ptz5l - PINACO: 270.000_x000D_
Ắc quy xe máy - Ptz6hl  - PINACO: 290.000</t>
  </si>
  <si>
    <t>Đồng Nai OK</t>
  </si>
  <si>
    <t>C000003205</t>
  </si>
  <si>
    <t>Hậu Phương</t>
  </si>
  <si>
    <t>Ắc quy xe máy - Ptz6l - PINACO: 310.000, GS: 330.000_x000D_
Ắc quy xe máy - Ptz5l  - PINACO: 250.000, GS: 260.000_x000D_
Ắc quy xe máy - Ptz6hl - PINACO: 260.000, GS: 270.000</t>
  </si>
  <si>
    <t>Bình Đồng Nai Bảo Hành Ok</t>
  </si>
  <si>
    <t>C000036059</t>
  </si>
  <si>
    <t>SX Thành Luân</t>
  </si>
  <si>
    <t>8.400.000 VNĐ</t>
  </si>
  <si>
    <t>Ắc quy xe máy - PTZ5L  - PINACO: 270.000, GS: 300.000</t>
  </si>
  <si>
    <t>C000003197</t>
  </si>
  <si>
    <t>Cửu Long</t>
  </si>
  <si>
    <t>274.000.000 VNĐ</t>
  </si>
  <si>
    <t>GS - 2_x000D_
Pinaco / Đồng Nai - 6_x000D_
Enimac - 1_x000D_
Ắc quy ngoại nhập - 1</t>
  </si>
  <si>
    <t>Thường xuyên tổ chức các chương trình du lịch để KH tham gia nhưng với doanh số phù hợp với năng lực bán.</t>
  </si>
  <si>
    <t>C000035509</t>
  </si>
  <si>
    <t>ĐIỆN OTO NGUYỄN THỊNH</t>
  </si>
  <si>
    <t>Ắc quy xe máy - n150 - PINACO: 3.000.000, GS: 3.100.000</t>
  </si>
  <si>
    <t>C000002924</t>
  </si>
  <si>
    <t>Ắc quy xe máy - PTZ5L - PINACO: 235.000, GS: 300.000_x000D_
Ắc quy xe máy - PTZ6L - PINACO: 305.000, GS: 350.000</t>
  </si>
  <si>
    <t>C000002660</t>
  </si>
  <si>
    <t>Mai Ly</t>
  </si>
  <si>
    <t>C000030759</t>
  </si>
  <si>
    <t>AQ Tâm Phúc</t>
  </si>
  <si>
    <t>Ắc quy oto - 318000 - PINACO: 2.250.000, GS: 2.250.000, ENIMAC: 2.250.000, NGOAI_NHAP: 2.250.000</t>
  </si>
  <si>
    <t>Xem xét lại CTKM để có giá tốt hơn mới cạnh tranh với các hãng khác từ lúc lên giá tôi bán gs và bình enimac có lợi nhuận cao hơn cho lên bán đồng nai ít lại</t>
  </si>
  <si>
    <t>C000032272</t>
  </si>
  <si>
    <t>sua xe a ky</t>
  </si>
  <si>
    <t>Ắc quy xe máy - Ptz6l us - PINACO: 380.000</t>
  </si>
  <si>
    <t xml:space="preserve">Nhân viên bán hàng chu đáo </t>
  </si>
  <si>
    <t>C000031467</t>
  </si>
  <si>
    <t>SX HẢI VÂN TAY GA</t>
  </si>
  <si>
    <t>Ắc quy xe máy - Ptx5l  - PINACO: 260.000</t>
  </si>
  <si>
    <t>C000002662</t>
  </si>
  <si>
    <t>Minh Sinh</t>
  </si>
  <si>
    <t>Ắc quy xe máy - PTZ5L - PINACO: 220.000, GS: 230.000</t>
  </si>
  <si>
    <t>C000035464</t>
  </si>
  <si>
    <t>sx tuấn vỹ</t>
  </si>
  <si>
    <t>Ắc quy xe máy - PTZ6LISS  - PINACO: 300.000, GS: 320.000</t>
  </si>
  <si>
    <t>C000031466</t>
  </si>
  <si>
    <t>PT QUỐC HIỆP</t>
  </si>
  <si>
    <t>C000036061</t>
  </si>
  <si>
    <t>ATB Shop.VN</t>
  </si>
  <si>
    <t>Ắc quy xe máy - Ptz6l iss - PINACO: 320.000</t>
  </si>
  <si>
    <t>C000003304</t>
  </si>
  <si>
    <t>Pháp Huy</t>
  </si>
  <si>
    <t>Ắc quy xe máy - Ptx6HL - PINACO: 220.000, GS: 225.000_x000D_
Ắc quy xe máy - Ptx5L - PINACO: 210.000, GS: 220.000_x000D_
Ắc quy oto - 90d26 - PINACO: 1.700.000, GS: 1.750.000_x000D_
Ắc quy oto - N100 - PINACO: 2.150.000, GS: 2.200.000_x000D_
Ắc quy oto - N70 - PINACO: 1.700.000, GS: 1.750.000_x000D_
Ắc quy oto - 31800 - PINACO: 2.250.000, GS: 2.300.000</t>
  </si>
  <si>
    <t>Chương trình khuyến mãi tốt hơn nữa !</t>
  </si>
  <si>
    <t>C000002659</t>
  </si>
  <si>
    <t>Tuynh Nguyệt</t>
  </si>
  <si>
    <t>Ắc quy xe máy - PTZ6HL - PINACO: 230.000, GS: 260.000</t>
  </si>
  <si>
    <t>C000003210</t>
  </si>
  <si>
    <t>Ắc quy xe máy - Ptz6l  - PINACO: 330.000_x000D_
Ắc quy xe máy - Ptz5l  - PINACO: 270.000_x000D_
Ắc quy xe máy - Ptz6hl  - PINACO: 280.000</t>
  </si>
  <si>
    <t>C000003303</t>
  </si>
  <si>
    <t>Ắc quy xe máy - Ptx6HL - PINACO: 220.000, GS: 225.000_x000D_
Ắc quy xe máy - Ptx5L - PINACO: 210.000, GS: 225.000_x000D_
Ắc quy xe máy - Ptz6L - PINACO: 265.000, GS: 300.000_x000D_
Ắc quy oto - N150 - PINACO: 3.100.000, GS: 3.200.000_x000D_
Ắc quy oto - N100 - PINACO: 2.150.000, GS: 2.200.000_x000D_
Ắc quy oto - N70 - PINACO: 1.650.000, GS: 1.700.000_x000D_
Ắc quy dân dụng - N30 - PINACO: 750.000, GS: 780.000_x000D_
Ắc quy oto - 90d26 - PINACO: 1.700.000, GS: 1.700.000_x000D_
Ắc quy oto - 50b24 - PINACO: 1.200.000, GS: 1.250.000</t>
  </si>
  <si>
    <t>Cải thiện chất lượng sản phẩm tốt hơn nữa !</t>
  </si>
  <si>
    <t>C000003211</t>
  </si>
  <si>
    <t>Phụ Tùng Huy</t>
  </si>
  <si>
    <t>Ắc quy xe máy - Ptz5l - PINACO: 220.000, GS: 210.000</t>
  </si>
  <si>
    <t>Cần thêm chiết khấu tất cả các loại bình Đồng Nai</t>
  </si>
  <si>
    <t>C000036062</t>
  </si>
  <si>
    <t>PT  Diệu Thịnh Phát</t>
  </si>
  <si>
    <t>C000003208</t>
  </si>
  <si>
    <t>HD Tình</t>
  </si>
  <si>
    <t>C000003230</t>
  </si>
  <si>
    <t>SX Lâm</t>
  </si>
  <si>
    <t>Ắc quy xe máy - Ptz6l  - PINACO: 320.000_x000D_
Ắc quy xe máy - Ptz5l - PINACO: 260.000_x000D_
Ắc quy xe máy - Ptz6hl - PINACO: 280.000</t>
  </si>
  <si>
    <t>C000003099</t>
  </si>
  <si>
    <t>PT NGUYỄN LONG II</t>
  </si>
  <si>
    <t>Ắc quy xe máy - PTZ6LISS  - PINACO: 280.000, GS: 290.000</t>
  </si>
  <si>
    <t>C000003302</t>
  </si>
  <si>
    <t>Ắc quy xe máy - ptz5l - PINACO: 210.000, GS: 230.000_x000D_
Ắc quy xe máy - ptz6hl - GS: 250.000, PINACO: 225.000_x000D_
Ắc quy xe máy - ptz6l - GS: 290.000, PINACO: 260.000</t>
  </si>
  <si>
    <t>Ghi chú: không cho chụp hình bên trong kho</t>
  </si>
  <si>
    <t>C000002621</t>
  </si>
  <si>
    <t>Ắc quy oto - 90d26 - NGOAI_NHAP: 1.900.000, PINACO: 1.900.000, GS: 1.800.000</t>
  </si>
  <si>
    <t>C000027634</t>
  </si>
  <si>
    <t>Đại Lý Việt</t>
  </si>
  <si>
    <t xml:space="preserve">Cần thêm chiết khấu để giá bằng hoặc nhỏ hơn gs vì hiện tại tất cả các loại bình Đồng Nai giá đều cao hơn </t>
  </si>
  <si>
    <t>C000036060</t>
  </si>
  <si>
    <t>SX Tiến Minh</t>
  </si>
  <si>
    <t>C000003188</t>
  </si>
  <si>
    <t>Điện oto Hải</t>
  </si>
  <si>
    <t>Xin thêm chiết khấu đối với tất cả các loại bình Đồng Nai</t>
  </si>
  <si>
    <t>C000017505</t>
  </si>
  <si>
    <t>Đức Vinh</t>
  </si>
  <si>
    <t>C000003185</t>
  </si>
  <si>
    <t>PT Kim</t>
  </si>
  <si>
    <t>Ắc quy xe máy - Ptz6l  - PINACO: 320.000, GLOBE: 340.000_x000D_
Ắc quy xe máy - Ptz6hl  - PINACO: 260.000, GLOBE: 275.000_x000D_
Ắc quy xe máy - Ptz5l - PINACO: 250.000, GLOBE: 265.000</t>
  </si>
  <si>
    <t>C000002916</t>
  </si>
  <si>
    <t>CH Trang</t>
  </si>
  <si>
    <t>Ắc quy xe tải - N200 - PINACO: 4.200.000, GS: 4.000.000</t>
  </si>
  <si>
    <t>C000002812</t>
  </si>
  <si>
    <t>Bảy Thành</t>
  </si>
  <si>
    <t>Ắc quy oto - N70 - PINACO: 1.650.000, GS: 1.500.000_x000D_
Ắc quy oto - N100 - PINACO: 2.100.000, GS: 1.800.000</t>
  </si>
  <si>
    <t>C000002912</t>
  </si>
  <si>
    <t>Ắc quy oto - DIN65  - PINACO: 1.600.000, GS: 1.600.000, NGOAI_NHAP: 1.650.000</t>
  </si>
  <si>
    <t>C000024757</t>
  </si>
  <si>
    <t>PT Công</t>
  </si>
  <si>
    <t>Ắc quy xe máy - Ptz6hl  - PINACO: 250.000, GLOBE: 260.000_x000D_
Ắc quy xe máy - Ptz6l - PINACO: 325.000, GLOBE: 345.000_x000D_
Ắc quy xe máy - Ptz5l - PINACO: 235.000, GLOBE: 245.000</t>
  </si>
  <si>
    <t>Lấy Nhiều Cần Thêm chiết khấu , để bán đồng nai nhiều hơn</t>
  </si>
  <si>
    <t>C000003176</t>
  </si>
  <si>
    <t>Long Điện Cơ</t>
  </si>
  <si>
    <t>Cần thêm chương trình chiết khấu cao , chiết khấu thấp bán không ra hàng</t>
  </si>
  <si>
    <t>C000003175</t>
  </si>
  <si>
    <t>Điện Hiếu</t>
  </si>
  <si>
    <t>23.800.000 VNĐ</t>
  </si>
  <si>
    <t>C000003280</t>
  </si>
  <si>
    <t>Tuấn Thảo</t>
  </si>
  <si>
    <t>Ắc quy xe máy - ptz5l - PINACO: 230.000, GS: 280.000_x000D_
Ắc quy xe máy - ptz6hl - GS: 320.000, PINACO: 260.000_x000D_
Ắc quy xe máy - ptz6l - PINACO: 290.000, GS: 350.000_x000D_
Ắc quy xe điện - pa 12-14 - GS: 380.000, PINACO: 390.000</t>
  </si>
  <si>
    <t>Cải thiện chất luợng ổn đinh hơn.</t>
  </si>
  <si>
    <t>C000002657</t>
  </si>
  <si>
    <t>Thành Dũng</t>
  </si>
  <si>
    <t>15.700.000 VNĐ</t>
  </si>
  <si>
    <t>Ắc quy xe máy - Z5l  - PINACO: 220.000, GS: 220.000_x000D_
Ắc quy xe máy - Z6hl - PINACO: 235.000, GS: 250.000_x000D_
Ắc quy xe máy - Z6l iss - PINACO: 275.000, GS: 290.000</t>
  </si>
  <si>
    <t>Giá cao , chất lượng ổn, bảo hành nhiều</t>
  </si>
  <si>
    <t>C000036064</t>
  </si>
  <si>
    <t>Khánh Bằng.</t>
  </si>
  <si>
    <t>Ắc quy oto - 105d31 - PINACO: 1.850.000, GS: 1.850.000_x000D_
Ắc quy oto - 31800 - PINACO: 2.200.000, GS: 2.000.000_x000D_
Ắc quy oto - N100 - PINACO: 1.950.000, GS: 1.900.000</t>
  </si>
  <si>
    <t xml:space="preserve">Bình giá cao hơn nhiều so với gs
</t>
  </si>
  <si>
    <t>C000019617</t>
  </si>
  <si>
    <t>AQ Lộc</t>
  </si>
  <si>
    <t>394.000.000 VNĐ</t>
  </si>
  <si>
    <t>Pinaco / Đồng Nai - 5_x000D_
GS - 1_x000D_
Ắc quy ngoại nhập - 2_x000D_
Thiên Năng - 1_x000D_
Globe - 1</t>
  </si>
  <si>
    <t>Ắc quy xe tải - 318000 - PINACO: 2.200.000, GS: 2.250.000, NGOAI_NHAP: 2.250.000</t>
  </si>
  <si>
    <t>C000002658</t>
  </si>
  <si>
    <t>Nông Cơ Đức Dũng</t>
  </si>
  <si>
    <t>Ắc quy xe điện - Pa 12-14 - PINACO: 400.000_x000D_
Ắc quy dân dụng - N30 - PINACO: 750.000_x000D_
Ắc quy oto - 31800 - PINACO: 2.400.000</t>
  </si>
  <si>
    <t>C000002716</t>
  </si>
  <si>
    <t>Hương Phú</t>
  </si>
  <si>
    <t>C000002649</t>
  </si>
  <si>
    <t>HD CHẮN SÁNG</t>
  </si>
  <si>
    <t>Ắc quy xe máy - Z5l - PINACO: 270.000_x000D_
Ắc quy xe máy - Z6hl - PINACO: 280.000_x000D_
Ắc quy xe máy - Z6l iss - PINACO: 290.000</t>
  </si>
  <si>
    <t>Tốt</t>
  </si>
  <si>
    <t>C000002647</t>
  </si>
  <si>
    <t>PT Sáng</t>
  </si>
  <si>
    <t>Ắc quy xe máy - Z5l - PINACO: 230.000, OTHER: 200.000_x000D_
Ắc quy xe máy - Z6hl - PINACO: 240.000, OTHER: 210.000_x000D_
Ắc quy xe máy - Z6l - PINACO: 280.000, OTHER: 250.000</t>
  </si>
  <si>
    <t>C000030258</t>
  </si>
  <si>
    <t>NGỌC ĐỨC</t>
  </si>
  <si>
    <t>Ắc quy xe máy - Ptz6l  - PINACO: 320.000, GS: 345.000, GLOBE: 335.000_x000D_
Ắc quy xe máy - Ptx6hl - PINACO: 250.000, GS: 290.000, GLOBE: 275.000_x000D_
Ắc quy xe máy - Ptx5l - PINACO: 245.000, GS: 280.000, GLOBE: 265.000</t>
  </si>
  <si>
    <t>Đồng Nai Ok</t>
  </si>
  <si>
    <t>C000038104</t>
  </si>
  <si>
    <t>Hoàng Việt</t>
  </si>
  <si>
    <t>Ắc quy xe điện - 12-14 - PINACO: 420.000, OTHER: 0_x000D_
Ắc quy xe điện - 12-12 - PINACO: 420.000, OTHER: 320.000</t>
  </si>
  <si>
    <t>C000002642</t>
  </si>
  <si>
    <t>KHÁNH HƯƠNG</t>
  </si>
  <si>
    <t>Ắc quy xe máy - Z5l - PINACO: 230.000, GS: 220.000_x000D_
Ắc quy xe máy - Z7a - PINACO: 390.000, GS: 400.000_x000D_
Ắc quy xe máy - Z6l iss - PINACO: 250.000, GS: 280.000</t>
  </si>
  <si>
    <t>- Chất lượng thấp, bảo hành nhiều</t>
  </si>
  <si>
    <t>C000024319</t>
  </si>
  <si>
    <t>Lê Thành</t>
  </si>
  <si>
    <t>Ắc quy xe máy - Ptz6hl - PINACO: 280.000_x000D_
Ắc quy xe máy - Ptz6l  - PINACO: 320.000_x000D_
Ắc quy xe máy - Ptz5l - PINACO: 260.000</t>
  </si>
  <si>
    <t>C000003270</t>
  </si>
  <si>
    <t>Hưng Hằng</t>
  </si>
  <si>
    <t>Vấn đề bảo hành những lỗi trả về cần rõ ràng, không đổ lỗi cho khách hàng</t>
  </si>
  <si>
    <t>C000039951</t>
  </si>
  <si>
    <t>SX Tiến Phát MOTO</t>
  </si>
  <si>
    <t>C000003173</t>
  </si>
  <si>
    <t>Honda Kiệt</t>
  </si>
  <si>
    <t>Ắc quy xe máy - Ptz6hl - PINACO: 280.000_x000D_
Ắc quy xe máy - Ptz6l  - PINACO: 330.000_x000D_
Ắc quy xe máy - Ptz5l - PINACO: 260.000</t>
  </si>
  <si>
    <t>Cần Thêm Chiết khấu, Bán Cho Nhanh</t>
  </si>
  <si>
    <t>C000003075</t>
  </si>
  <si>
    <t>PT TUẤN ĐỒNG</t>
  </si>
  <si>
    <t>Ắc quy xe máy - Ptz5l  - PINACO: 230.000, GS: 240.000</t>
  </si>
  <si>
    <t>C000017601</t>
  </si>
  <si>
    <t>Ngọc Lý (GM)</t>
  </si>
  <si>
    <t>Ắc quy xe máy - PtZ6hl - PINACO: 250.000, GS: 260.000</t>
  </si>
  <si>
    <t>C000003077</t>
  </si>
  <si>
    <t>PT HỒNG SƠN</t>
  </si>
  <si>
    <t>Ắc quy xe máy - Ptz5l  - PINACO: 270.000, GS: 280.000</t>
  </si>
  <si>
    <t>C000003078</t>
  </si>
  <si>
    <t>AQ VĂN NANG</t>
  </si>
  <si>
    <t>C000024321</t>
  </si>
  <si>
    <t>Thái Sang</t>
  </si>
  <si>
    <t>Ắc quy xe máy - Ptz6l - PINACO: 330.000, GS: 360.000_x000D_
Ắc quy xe máy - Ptz6hl  - PINACO: 270.000, GS: 290.000_x000D_
Ắc quy xe máy - Ptz5l - PINACO: 260.000, GS: 280.000</t>
  </si>
  <si>
    <t xml:space="preserve">Cần Thêm Chiết Khấu , Cho dể bán </t>
  </si>
  <si>
    <t>C000036492</t>
  </si>
  <si>
    <t>pt hon da bung</t>
  </si>
  <si>
    <t>Ắc quy xe điện - Pa 12-14 - PINACO: 360.000</t>
  </si>
  <si>
    <t>C000023517</t>
  </si>
  <si>
    <t>Anh Luật</t>
  </si>
  <si>
    <t>Ắc quy xe máy - Ptz9l - PINACO: 430.000_x000D_
Ắc quy xe máy - Ptz6hl  - PINACO: 250.000_x000D_
Ắc quy xe máy - Ptz6l  - PINACO: 300.000_x000D_
Ắc quy xe máy - Ptz5l - PINACO: 240.000_x000D_
Ắc quy xe máy - Ptz7l - PINACO: 400.000</t>
  </si>
  <si>
    <t>Đồng. Nai Ok</t>
  </si>
  <si>
    <t>C000031940</t>
  </si>
  <si>
    <t>88.300.000 VNĐ</t>
  </si>
  <si>
    <t>Ắc quy xe tải - N100 - PINACO: 1.950.000, GS: 1.880.000</t>
  </si>
  <si>
    <t>C000003094</t>
  </si>
  <si>
    <t>SX MINH DŨNG</t>
  </si>
  <si>
    <t>Ắc quy xe máy - Ptz5l - PINACO: 240.000, GS: 260.000</t>
  </si>
  <si>
    <t>C000003181</t>
  </si>
  <si>
    <t>2.760.000 VNĐ</t>
  </si>
  <si>
    <t>Ắc quy xe máy - Ptz7l - PINACO: 420.000_x000D_
Ắc quy xe máy - Ptz6l  - PINACO: 300.000_x000D_
Ắc quy xe máy - Ptz6hl - PINACO: 270.000_x000D_
Ắc quy xe máy - Ptz5l - PINACO: 260.000</t>
  </si>
  <si>
    <t>Đồng Nai Đang Ok</t>
  </si>
  <si>
    <t>C000034782</t>
  </si>
  <si>
    <t>HD Đạt Phát</t>
  </si>
  <si>
    <t>Ắc quy xe máy - ptx5l - PINACO: 240.000_x000D_
Ắc quy xe máy - ptx6hl - PINACO: 260.000_x000D_
Ắc quy xe máy - ptz6l - PINACO: 280.000</t>
  </si>
  <si>
    <t xml:space="preserve">-Ghi chú:  Không cho chụp kho
</t>
  </si>
  <si>
    <t>C000003093</t>
  </si>
  <si>
    <t>PT TÁM</t>
  </si>
  <si>
    <t>Ắc quy xe máy - Ptx5l  - PINACO: 240.000, GS: 260.000</t>
  </si>
  <si>
    <t>C000035505</t>
  </si>
  <si>
    <t>CH Hải Minh</t>
  </si>
  <si>
    <t>Ắc quy oto - DIN65  - PINACO: 1.550.000</t>
  </si>
  <si>
    <t>C000034564</t>
  </si>
  <si>
    <t>Dũng Hoanda</t>
  </si>
  <si>
    <t>Ắc quy xe máy - Ptz6l iss - PINACO: 270.000</t>
  </si>
  <si>
    <t xml:space="preserve">Nhân viên bán hàng tốt </t>
  </si>
  <si>
    <t>C000033236</t>
  </si>
  <si>
    <t>Thanh Liêm</t>
  </si>
  <si>
    <t>C000002628</t>
  </si>
  <si>
    <t>Trần Cảnh</t>
  </si>
  <si>
    <t>Ắc quy oto - 31800 - PINACO: 2.200.000, GS: 2.150.000, NGOAI_NHAP: 2.200.000</t>
  </si>
  <si>
    <t>Bảo hành dễ chút cho khách dễ thở nếu bảo hành khó quá khách chuyển qua bình khác  
Từ báo lên giá  bán bình GS và bình ngoại nhiều hơn Đồng Nai</t>
  </si>
  <si>
    <t>C000003295</t>
  </si>
  <si>
    <t>HD Việt</t>
  </si>
  <si>
    <t>Ắc quy xe máy - ptz5l - PINACO: 250.000_x000D_
Ắc quy xe máy - ptz6hl - PINACO: 260.000_x000D_
Ắc quy xe máy - ptz6l - PINACO: 280.000</t>
  </si>
  <si>
    <t xml:space="preserve">Phiếu bảo hành nên có cái bịch ( như bình đạp điện) </t>
  </si>
  <si>
    <t>C000003232</t>
  </si>
  <si>
    <t>Tâm Ngâu</t>
  </si>
  <si>
    <t>Ắc quy xe máy - Ptz6l - PINACO: 330.000, OTHER: 0_x000D_
Ắc quy xe máy - Ptz6hl - PINACO: 260.000_x000D_
Ắc quy xe máy - Ptz5l - PINACO: 250.000, OTHER: 260.000</t>
  </si>
  <si>
    <t xml:space="preserve">Cần Thêm Khuyến Mải </t>
  </si>
  <si>
    <t>C000003294</t>
  </si>
  <si>
    <t>Ắc quy xe máy - PTZ5L - PINACO: 240.000, GS: 255.000, GLOBE: 0_x000D_
Ắc quy xe máy - PTZ6HL - PINACO: 250.000, GS: 270.000_x000D_
Ắc quy xe máy - PTZ6L - PINACO: 340.000, GS: 390.000</t>
  </si>
  <si>
    <t>Cần làm chất lượng ổn đinh hơn.</t>
  </si>
  <si>
    <t>C000003251</t>
  </si>
  <si>
    <t>Hoàng Ninh</t>
  </si>
  <si>
    <t>Ắc quy xe máy - Ptz6l  - PINACO: 300.000, GS: 320.000</t>
  </si>
  <si>
    <t xml:space="preserve">Bình Giá Cao Khó Bán , Cần Thêm Chiết Khấu </t>
  </si>
  <si>
    <t>C000028374</t>
  </si>
  <si>
    <t>Hiệu Buôn Anh Phong</t>
  </si>
  <si>
    <t>Ắc quy xe máy - Ptz5L - PINACO: 240.000, GS: 230.000, GLOBE: 230.000</t>
  </si>
  <si>
    <t>C000039259</t>
  </si>
  <si>
    <t>SX Ty</t>
  </si>
  <si>
    <t>Ắc quy xe máy - Ptz6l is - PINACO: 280.000</t>
  </si>
  <si>
    <t>C000003245</t>
  </si>
  <si>
    <t>HD Khoa</t>
  </si>
  <si>
    <t>C000030859</t>
  </si>
  <si>
    <t>HÀ NGA- Cảng Phan Rí</t>
  </si>
  <si>
    <t>Ắc quy khác - N100 - PINACO: 2.300.000, GS: 2.100.000</t>
  </si>
  <si>
    <t>Cửa hàng cần thêm chiết khấu vì giá lên cao quá</t>
  </si>
  <si>
    <t>C000003242</t>
  </si>
  <si>
    <t>Thuận Thành</t>
  </si>
  <si>
    <t>Ắc quy xe tải - N220 - PINACO: 4.000.000, GS: 3.800.000</t>
  </si>
  <si>
    <t>Bình nào giá cũng cao hơn GS cần xem xét thêm chiết khấu đối với bình Đồng Nai</t>
  </si>
  <si>
    <t>C000002688</t>
  </si>
  <si>
    <t>Cẩm Nhung</t>
  </si>
  <si>
    <t>Ắc quy xe máy - PTZ5L  - PINACO: 250.000, GS: 300.000</t>
  </si>
  <si>
    <t>C000002775</t>
  </si>
  <si>
    <t>SX Quang Chỉnh</t>
  </si>
  <si>
    <t>Ắc quy xe máy - PTZ5l - PINACO: 235.000_x000D_
Ắc quy xe máy - PTZ6HL - PINACO: 240.000</t>
  </si>
  <si>
    <t>C000031308</t>
  </si>
  <si>
    <t>SỬA XE THÁI</t>
  </si>
  <si>
    <t>Ắc quy xe máy - Ptz6l  - PINACO: 320.000_x000D_
Ắc quy xe máy - Ptz6hl - PINACO: 280.000_x000D_
Ắc quy xe máy - Ptz5l - PINACO: 260.000</t>
  </si>
  <si>
    <t>C000040748</t>
  </si>
  <si>
    <t>Đạp Điện Việt Hùng</t>
  </si>
  <si>
    <t>Pinaco / Đồng Nai - 5_x000D_
Xupai - 5</t>
  </si>
  <si>
    <t>Ắc quy xe điện - Pa 12-14 - PINACO: 460.000, XUPAI: 460.000</t>
  </si>
  <si>
    <t>C000003291</t>
  </si>
  <si>
    <t>Đan Điền</t>
  </si>
  <si>
    <t>Ắc quy xe máy - ptx5l - PINACO: 240.000_x000D_
Ắc quy xe máy - ptx6L - PINACO: 250.000</t>
  </si>
  <si>
    <t>giá pinaco tăng quá cao gần bằng GS giờ khó bán, có nhiều lô bình lỗi quá khách đòi hàng tốt hơn. Không cho chụp ảnh kho</t>
  </si>
  <si>
    <t>C000002791</t>
  </si>
  <si>
    <t>CH Oanh</t>
  </si>
  <si>
    <t>Ắc quy xe tải - N100 - PINACO: 2.150.000, GS: 2.000.000</t>
  </si>
  <si>
    <t>C000003241</t>
  </si>
  <si>
    <t>Thái Thảo</t>
  </si>
  <si>
    <t>Cần thêm chiết khấu vì giá tăng cao so với các hãng khác</t>
  </si>
  <si>
    <t>C000003238</t>
  </si>
  <si>
    <t>Tấn Hùng</t>
  </si>
  <si>
    <t>Ắc quy xe máy - Ptz5l - PINACO: 250.000, GS: 275.000_x000D_
Ắc quy xe máy - Ptz6hl - PINACO: 260.000, GS: 290.000</t>
  </si>
  <si>
    <t xml:space="preserve">Bình Cao Gần Bằng Bình Globe , Khó Bán So Với Mọi Khi </t>
  </si>
  <si>
    <t>C000003051</t>
  </si>
  <si>
    <t>PT KIM THÀNH</t>
  </si>
  <si>
    <t>Ắc quy xe máy - Ptx5l - PINACO: 250.000, GS: 270.000</t>
  </si>
  <si>
    <t>C000037826</t>
  </si>
  <si>
    <t>Phương Minh Trung</t>
  </si>
  <si>
    <t>Ắc quy xe máy - PTZ6HL  - GS: 265.000, PINACO: 240.000</t>
  </si>
  <si>
    <t>C000002771</t>
  </si>
  <si>
    <t>PT Hoàng Mai</t>
  </si>
  <si>
    <t>Ắc quy xe máy - PZ6HL - PINACO: 230, GS: 260</t>
  </si>
  <si>
    <t>C000003237</t>
  </si>
  <si>
    <t>Honda Đẫu</t>
  </si>
  <si>
    <t>Ắc quy xe máy - Ptz6l - PINACO: 300.000, GS: 330.000, OTHER: 260.000_x000D_
Ắc quy xe máy - Ptz6hl - PINACO: 275.000, GS: 295.000, OTHER: 250.000</t>
  </si>
  <si>
    <t>Ko có Ý kiến gì , Vẫn đang ok</t>
  </si>
  <si>
    <t>C000036058</t>
  </si>
  <si>
    <t>Ắc quy xe máy - Ptz5x - PINACO: 220.000, GS: 230.000</t>
  </si>
  <si>
    <t>C000040493</t>
  </si>
  <si>
    <t>Đạp Điện Nguyễn Hưng</t>
  </si>
  <si>
    <t>Ắc quy xe điện - Pa 12-14 - PINACO: 470.000, THIEN_NANG: 470.000</t>
  </si>
  <si>
    <t>C000003236</t>
  </si>
  <si>
    <t>Ắc quy xe máy - Ptz6l ptz5l ptz6hl ptz9a ptz7a  - PINACO: 250.000, GS: 270.000</t>
  </si>
  <si>
    <t xml:space="preserve">Không Có Ý Kiến </t>
  </si>
  <si>
    <t>C000002666</t>
  </si>
  <si>
    <t>Ắc quy xe tải - 31800 - GS: 2.200.000, PINACO: 2.300.000</t>
  </si>
  <si>
    <t>C000002770</t>
  </si>
  <si>
    <t>SX Ngô Cảnh</t>
  </si>
  <si>
    <t>Ắc quy xe máy - PTZ6L - PINACO: 275, GS: 290</t>
  </si>
  <si>
    <t>C000017500</t>
  </si>
  <si>
    <t>Mạnh Sương</t>
  </si>
  <si>
    <t>36.800.000 VNĐ</t>
  </si>
  <si>
    <t>Ắc quy oto - CMF 90D26L - PINACO: 1.800.000</t>
  </si>
  <si>
    <t>C000034202</t>
  </si>
  <si>
    <t>AQ Phương Nam</t>
  </si>
  <si>
    <t>162.121.009 VNĐ</t>
  </si>
  <si>
    <t>Pinaco / Đồng Nai - 1_x000D_
GS - 2_x000D_
Enimac - 2_x000D_
Thiên Năng - 1_x000D_
Ắc quy ngoại nhập - 4</t>
  </si>
  <si>
    <t>Ắc quy xe điện - pa 12 ,15 - THIEN_NANG: 780.000_x000D_
Ắc quy oto - din45 - GS: 1.350.000, ENIMAC: 1.300.000, NGOAI_NHAP: 1.350.000, PINACO: 1.490.000</t>
  </si>
  <si>
    <t>C000032672</t>
  </si>
  <si>
    <t>TRƯỜNG HUYỀN</t>
  </si>
  <si>
    <t>Ắc quy dân dụng - N30 - PINACO: 760.000, GS: 740.000</t>
  </si>
  <si>
    <t>Cửa hàng cần thêm chiết khấu để dễ bán hàng</t>
  </si>
  <si>
    <t>C000002665</t>
  </si>
  <si>
    <t>Trường Hùng</t>
  </si>
  <si>
    <t>C000040231</t>
  </si>
  <si>
    <t>Phụ Tùng Hoàng Long</t>
  </si>
  <si>
    <t>Ắc quy xe máy - Ptx5l - GS: 230.000, PINACO: 220.000</t>
  </si>
  <si>
    <t>C000030899</t>
  </si>
  <si>
    <t>SX VĂN TỴ</t>
  </si>
  <si>
    <t>Ắc quy xe máy - Ptz5 - PINACO: 270.000, GS: 280.000</t>
  </si>
  <si>
    <t>C000002690</t>
  </si>
  <si>
    <t>Ắc quy xe máy - PTZ6L - PINACO: 280.000, GS: 310.000</t>
  </si>
  <si>
    <t>C000002972</t>
  </si>
  <si>
    <t>PT Phú Cường</t>
  </si>
  <si>
    <t>Ắc quy xe máy - Ptz6hl - PINACO: 280.000, GS: 295.000</t>
  </si>
  <si>
    <t xml:space="preserve">Khách không trưng bày hàng ,để trong kho không vào kho chụp hình được. </t>
  </si>
  <si>
    <t>C000002625</t>
  </si>
  <si>
    <t>Ngọc Luận</t>
  </si>
  <si>
    <t>160.000.099 VNĐ</t>
  </si>
  <si>
    <t>GS - 3_x000D_
Pinaco / Đồng Nai - 2_x000D_
Ắc quy ngoại nhập - 5</t>
  </si>
  <si>
    <t>Ắc quy oto - 40b20 - GS: 1.200.000, PINACO: 1.150.000, NGOAI_NHAP: 1.250.000</t>
  </si>
  <si>
    <t>C000034199</t>
  </si>
  <si>
    <t>AQ Phát Triển</t>
  </si>
  <si>
    <t>Ắc quy xe máy - PTZ6LISS  - PINACO: 300.000, GS: 320.000, ENIMAC: 300.000</t>
  </si>
  <si>
    <t>C000002663</t>
  </si>
  <si>
    <t>Honda Bẩu</t>
  </si>
  <si>
    <t>C000002618</t>
  </si>
  <si>
    <t>Hoàn Mỹ</t>
  </si>
  <si>
    <t>259.000.000 VNĐ</t>
  </si>
  <si>
    <t>GS - 3_x000D_
Ắc quy ngoại nhập - 3_x000D_
Pinaco / Đồng Nai - 4</t>
  </si>
  <si>
    <t>Ắc quy oto - 40b20 - GS: 1.150.000, NGOAI_NHAP: 1.150.000, PINACO: 1.150.000</t>
  </si>
  <si>
    <t>C000002643</t>
  </si>
  <si>
    <t>PT.HIỀN</t>
  </si>
  <si>
    <t>Ắc quy xe máy - X5l - PINACO: 210.000, GS: 225.000_x000D_
Ắc quy xe máy - X6hl - PINACO: 220.000, GS: 230.000_x000D_
Ắc quy xe máy - Z6l iss - PINACO: 270.000, GS: 290.000</t>
  </si>
  <si>
    <t>- Chất lượng tạm ổn mong sau,này sẽ ít bảo hành hơn</t>
  </si>
  <si>
    <t>C000003218</t>
  </si>
  <si>
    <t>Hồng Thạnh</t>
  </si>
  <si>
    <t>Ắc quy oto - 105D31R - PINACO: 2.200.000, GS: 2.100.000, OTHER: 2.000.000</t>
  </si>
  <si>
    <t>Cửa hàng không trữ hàng , khi nào cần khách hàng sẽ liên hệ Npp giao qua 
Chiết khấu thấp không bán cạnh tranh với các hãng khác được</t>
  </si>
  <si>
    <t>C000025091</t>
  </si>
  <si>
    <t>AQ Thảo</t>
  </si>
  <si>
    <t>Ắc quy oto - N100 - PINACO: 2.100.000, GS: 2.000.000, NGOAI_NHAP: 2.000.000</t>
  </si>
  <si>
    <t>C000024494</t>
  </si>
  <si>
    <t>Cần thêm chương trình khuyến mãi chiết khấu để đấu với gs</t>
  </si>
  <si>
    <t>C000002795</t>
  </si>
  <si>
    <t>PT Thanh Thảo</t>
  </si>
  <si>
    <t>Ắc quy xe máy - PTZ6HL - PINACO: 240, OTHER: 200</t>
  </si>
  <si>
    <t>C000003217</t>
  </si>
  <si>
    <t>Việt Phu</t>
  </si>
  <si>
    <t>C000023552</t>
  </si>
  <si>
    <t>C000002781</t>
  </si>
  <si>
    <t>Quốc Đống</t>
  </si>
  <si>
    <t>Ắc quy xe tải - N150 - PINACO: 3.200.000</t>
  </si>
  <si>
    <t>C000002689</t>
  </si>
  <si>
    <t>Hiền 101</t>
  </si>
  <si>
    <t>Ắc quy xe tải - N100 - PINACO: 2.100.000, GS: 2.100.000</t>
  </si>
  <si>
    <t>C000002691</t>
  </si>
  <si>
    <t>Garage Đức</t>
  </si>
  <si>
    <t>Chương trình khuyến mãi nên có ngay từ ngày đầu tháng để dễ mua bán . Bảo hành nên theo quy định thời gian trên phiếu, ko có những lỗi bị loại trừ khi còn hạn bảo hành</t>
  </si>
  <si>
    <t>C000002790</t>
  </si>
  <si>
    <t>SX Nhân</t>
  </si>
  <si>
    <t>Ắc quy xe máy - PTZ5L - PINACO: 240</t>
  </si>
  <si>
    <t>C000002789</t>
  </si>
  <si>
    <t>11.000.090 VNĐ</t>
  </si>
  <si>
    <t>Ắc quy xe tải - PTZ5L - PINACO: 230, GS: 275, GLOBE: 260</t>
  </si>
  <si>
    <t>C000003170</t>
  </si>
  <si>
    <t>GS - 3_x000D_
Globe - 3_x000D_
Pinaco / Đồng Nai - 4</t>
  </si>
  <si>
    <t>C000002679</t>
  </si>
  <si>
    <t>127.200.000 VNĐ</t>
  </si>
  <si>
    <t>Bình bảo hành cty nên kiểm tra và báo sớm cho cửa hàng để mau đổi cho khách</t>
  </si>
  <si>
    <t>C000002737</t>
  </si>
  <si>
    <t>NHẬT TÂN</t>
  </si>
  <si>
    <t>Ắc quy xe máy - Z5l  - PINACO: 250.000, GS: 250.000_x000D_
Ắc quy xe máy - Z6hl - PINACO: 260.000, GS: 280.000_x000D_
Ắc quy xe máy - Z6l iss - PINACO: 290.000, GS: 320.000</t>
  </si>
  <si>
    <t>- Giá cao, chất lượng trung bình bán ra chậm</t>
  </si>
  <si>
    <t>C000002800</t>
  </si>
  <si>
    <t>SX Nghĩa</t>
  </si>
  <si>
    <t>Ắc quy xe máy - PTZ5L - PINACO: 330, GS: 380</t>
  </si>
  <si>
    <t>C000029768</t>
  </si>
  <si>
    <t>AQ Nhã</t>
  </si>
  <si>
    <t>387.000.000 VNĐ</t>
  </si>
  <si>
    <t>Pinaco / Đồng Nai - 1_x000D_
GS - 3_x000D_
Ắc quy ngoại nhập - 6_x000D_
Nhãn hiệu khác - 0</t>
  </si>
  <si>
    <t>Ắc quy oto -  50b24 - GS: 1.400.000, OTHER: 1.450.000, PINACO: 1.400.000</t>
  </si>
  <si>
    <t>đề nghị km tốt hơn để giảm giá thành cạnh tranh với cá thương hiệu khác</t>
  </si>
  <si>
    <t>C000036491</t>
  </si>
  <si>
    <t>Sữa Xe Đức Dũng</t>
  </si>
  <si>
    <t>Ắc quy xe máy - Z5l - PINACO: 220.000, GS: 230.000_x000D_
Ắc quy xe máy - Z6hl - PINACO: 240.000, GS: 230.000_x000D_
Ắc quy xe máy - Z6l iss - PINACO: 280.000, GS: 300.000</t>
  </si>
  <si>
    <t>- Giá cao hơn so với đối thử
- Chất lượng bình thường, bảo hành nhiều</t>
  </si>
  <si>
    <t>C000002738</t>
  </si>
  <si>
    <t>VỸ LOAN</t>
  </si>
  <si>
    <t>Ắc quy xe máy - Z5l - PINACO: 240.000, GS: 250.000, GLOBE: 250.000_x000D_
Ắc quy xe máy - Z6hl - PINACO: 250.000, GS: 255.000, GLOBE: 255.000_x000D_
Ắc quy xe máy - Z6l iss - PINACO: 300.000, GS: 330.000, GLOBE: 300.000</t>
  </si>
  <si>
    <t xml:space="preserve">- Giá hơi cao
- Chất lượng ok
</t>
  </si>
  <si>
    <t>C000002729</t>
  </si>
  <si>
    <t>Khuyên</t>
  </si>
  <si>
    <t>Ắc quy oto - 105d31 - PINACO: 1.950.000, GS: 2.000.000_x000D_
Ắc quy oto - 31800 - PINACO: 2.300.000, GS: 2.300.000_x000D_
Ắc quy xe điện - Pa 12-14 - PINACO: 500.000, OTHER: 400.000</t>
  </si>
  <si>
    <t>- Giá cao N100,N120
- Bảo hành lâu</t>
  </si>
  <si>
    <t>C000002734</t>
  </si>
  <si>
    <t>Hạnh Trung</t>
  </si>
  <si>
    <t>Ắc quy xe điện - Pa 12-14 - PINACO: 1.800.000, XUPAI: 160.000_x000D_
Ắc quy xe máy - Z5l - PINACO: 220.000, GS: 230.000_x000D_
Ắc quy xe tải - N100 - PINACO: 2.100.000, GS: 2.100.000</t>
  </si>
  <si>
    <t>- Bình đồng nai ok. Luôn yêu đồng nai. 
- Mà giá hơi cao</t>
  </si>
  <si>
    <t>C000002608</t>
  </si>
  <si>
    <t>GARA Hoàng Minh</t>
  </si>
  <si>
    <t>450.150.000 VNĐ</t>
  </si>
  <si>
    <t>GS - 1_x000D_
Pinaco / Đồng Nai - 1_x000D_
Enimac - 8_x000D_
Nhãn hiệu khác - 0</t>
  </si>
  <si>
    <t>Ắc quy oto - N100 - GS: 1.950.000, PINACO: 1.900.000, ENIMAC: 1.900.000</t>
  </si>
  <si>
    <t>C000002731</t>
  </si>
  <si>
    <t>57.500.000 VNĐ</t>
  </si>
  <si>
    <t>Ắc quy oto - 31800 - PINACO: 2.200.000_x000D_
Ắc quy oto - 105d31 - PINACO: 1.900.000_x000D_
Ắc quy oto - N100 - PINACO: 2.000.000</t>
  </si>
  <si>
    <t>- Chương trình khuyết mãi khó hiểu
- Bảo hành chậm</t>
  </si>
  <si>
    <t>C000002736</t>
  </si>
  <si>
    <t>MINH(XUÂN ĐÀ)</t>
  </si>
  <si>
    <t>Ắc quy xe máy - Z5l - PINACO: 225.000, GS: 235.000_x000D_
Ắc quy xe máy - Z6hl - PINACO: 235.000, GS: 240.000_x000D_
Ắc quy xe máy - Z6l iss - PINACO: 280.000, GS: 300.000</t>
  </si>
  <si>
    <t xml:space="preserve">- Chương trình khuyến mãi hơi khó hiểu, </t>
  </si>
  <si>
    <t>C000002661</t>
  </si>
  <si>
    <t>C.H Minh</t>
  </si>
  <si>
    <t>301.000.000 VNĐ</t>
  </si>
  <si>
    <t>Pinaco / Đồng Nai - 5_x000D_
GS - 5_x000D_
Nhãn hiệu khác - 0</t>
  </si>
  <si>
    <t>C000002982</t>
  </si>
  <si>
    <t>Đồng Tiến 2</t>
  </si>
  <si>
    <t>Ắc quy xe máy - Z6hl - PINACO: 260.000</t>
  </si>
  <si>
    <t>C000002981</t>
  </si>
  <si>
    <t>Đồng Tiến 1</t>
  </si>
  <si>
    <t>C000002735</t>
  </si>
  <si>
    <t>PT.CẦN</t>
  </si>
  <si>
    <t>Ắc quy xe máy - X5l - PINACO: 230.000, OTHER: 210.000_x000D_
Ắc quy xe máy - X6hl - PINACO: 240.000, OTHER: 220.000_x000D_
Ắc quy xe máy - Z6l iss - PINACO: 290.000, OTHER: 250.000</t>
  </si>
  <si>
    <t xml:space="preserve">- Bảo hành chậm </t>
  </si>
  <si>
    <t>C000002723</t>
  </si>
  <si>
    <t>PT.HỮU HÙNG</t>
  </si>
  <si>
    <t>Ắc quy xe máy - X5l - PINACO: 210.000, GS: 220.000, OTHER: 180.000_x000D_
Ắc quy xe máy - X6hl - GS: 270.000, OTHER: 200.000, PINACO: 240.000_x000D_
Ắc quy xe máy - Z6l iss - PINACO: 260.000, GS: 295.000, OTHER: 230.000</t>
  </si>
  <si>
    <t>- Giá cao 
- cân nặng thấo hơn so với đối thủ cùng Ampe</t>
  </si>
  <si>
    <t>C000002635</t>
  </si>
  <si>
    <t>Kiều Khanh</t>
  </si>
  <si>
    <t>218.000.009 VNĐ</t>
  </si>
  <si>
    <t>Ắc quy oto - 31800 - PINACO: 2.420.000</t>
  </si>
  <si>
    <t>C000027888</t>
  </si>
  <si>
    <t>CH Nhớt Kim</t>
  </si>
  <si>
    <t>Ắc quy oto - N100 - PINACO: 2.100.000, GS: 2.100.000_x000D_
Ắc quy oto - 31800 - PINACO: 2.300.000, GS: 2.300.000_x000D_
Ắc quy oto - 105d31 - PINACO: 2.100.000, GS: 2.100.000</t>
  </si>
  <si>
    <t>- Giá cao
- Bình nước chất lượng tốt, khô hơi kém so với đối thủ</t>
  </si>
  <si>
    <t>C000002741</t>
  </si>
  <si>
    <t>PT Khương Ninh</t>
  </si>
  <si>
    <t>Ắc quy xe máy - Z5l - PINACO: 230.000, GS: 230.000, OTHER: 180.000_x000D_
Ắc quy xe máy - Z6hl - PINACO: 240.000, GS: 270.000, OTHER: 200.000_x000D_
Ắc quy xe máy - Z6l  - PINACO: 285.000, GS: 300.000, OTHER: 220.000</t>
  </si>
  <si>
    <t xml:space="preserve">- Chất lượng tạm ổn
- Giá cao </t>
  </si>
  <si>
    <t>C000017373</t>
  </si>
  <si>
    <t>Ac Quy Tan Binh</t>
  </si>
  <si>
    <t>762.000.000 VNĐ</t>
  </si>
  <si>
    <t>Pinaco / Đồng Nai - 6_x000D_
GS - 2_x000D_
Xupai - 1_x000D_
Ắc quy ngoại nhập - 1</t>
  </si>
  <si>
    <t>- Giá thành cao, không ổn định.</t>
  </si>
  <si>
    <t>MIEN TAY 1-PHÂN CÔNG KHẢO SÁT 25.09.26.xlsx</t>
  </si>
  <si>
    <t>C000019546</t>
  </si>
  <si>
    <t>Phước Thái DD</t>
  </si>
  <si>
    <t>Đàm Nghĩa</t>
  </si>
  <si>
    <t>CÔNG TY TNHH MTV BẢY THÀNH CÔNG</t>
  </si>
  <si>
    <t>MIỀN TÂY 1</t>
  </si>
  <si>
    <t>ĐỒNG THÁP</t>
  </si>
  <si>
    <t>Nguyễn Trần Thương</t>
  </si>
  <si>
    <t>C000004147</t>
  </si>
  <si>
    <t>Ba Giắn gm</t>
  </si>
  <si>
    <t>Ắc quy xe máy - Ptz5l - PINACO: 270.000, GS: 300.000</t>
  </si>
  <si>
    <t>Võ Trung Hải</t>
  </si>
  <si>
    <t>CÔNG TY CP SẢN XUẤT THƯƠNG MẠI DỊCH VỤ HƯNG THÀNH PHÁT</t>
  </si>
  <si>
    <t>BẾN TRE</t>
  </si>
  <si>
    <t>C000004150</t>
  </si>
  <si>
    <t>Anh Công</t>
  </si>
  <si>
    <t>7.900.000 VNĐ</t>
  </si>
  <si>
    <t>Ắc quy xe máy - Ptz5l - PINACO: 250.000, GS: 290.000</t>
  </si>
  <si>
    <t>C000004149</t>
  </si>
  <si>
    <t>Tám Huỳnh Xuân gm</t>
  </si>
  <si>
    <t>77.300.000 VNĐ</t>
  </si>
  <si>
    <t>Ắc quy xe máy - Ptx5l - PINACO: 240.000, GS: 280.000</t>
  </si>
  <si>
    <t>C000004148</t>
  </si>
  <si>
    <t>Đức Chọn</t>
  </si>
  <si>
    <t>Ắc quy xe máy - Ptz5l - PINACO: 280.000</t>
  </si>
  <si>
    <t>C000004134</t>
  </si>
  <si>
    <t>Nguyện gm</t>
  </si>
  <si>
    <t>4.010.000 VNĐ</t>
  </si>
  <si>
    <t>C000004133</t>
  </si>
  <si>
    <t>Thành Tuấn</t>
  </si>
  <si>
    <t>16.050.000 VNĐ</t>
  </si>
  <si>
    <t>Võ Ngọc Thanh Vũ</t>
  </si>
  <si>
    <t>C000004124</t>
  </si>
  <si>
    <t>Cô Năm Lớn</t>
  </si>
  <si>
    <t>C000004119</t>
  </si>
  <si>
    <t>SX Thanh Hải</t>
  </si>
  <si>
    <t>C000033901</t>
  </si>
  <si>
    <t>Chí Tâm</t>
  </si>
  <si>
    <t>49.200.000 VNĐ</t>
  </si>
  <si>
    <t>Pinaco / Đồng Nai - 1_x000D_
GS - 4_x000D_
Nhãn hiệu khác - 1_x000D_
Xupai - 1_x000D_
Yamato - 2_x000D_
Thiên Năng - 1</t>
  </si>
  <si>
    <t>Ắc quy xe điện - 12_14 - PINACO: 400.000, XUPAI: 400.000, YAMATO: 350.000, THIEN_NANG: 360.000</t>
  </si>
  <si>
    <t>Dương Thanh Tú</t>
  </si>
  <si>
    <t>CÔNG TY TNHH MỘT THÀNH VIÊN THĂNG LONG 79</t>
  </si>
  <si>
    <t>TIỀN GIANG</t>
  </si>
  <si>
    <t>C000019438</t>
  </si>
  <si>
    <t>PT Khuyên</t>
  </si>
  <si>
    <t>Ắc quy xe máy - Ptz5l - GS: 275.000, PINACO: 240.000</t>
  </si>
  <si>
    <t>C000004073</t>
  </si>
  <si>
    <t>CH Sơn</t>
  </si>
  <si>
    <t>Ắc quy xe máy - Ptz5l - PINACO: 260.000, GS: 280.000</t>
  </si>
  <si>
    <t>C000027819</t>
  </si>
  <si>
    <t>215.200.108 VNĐ</t>
  </si>
  <si>
    <t>Pinaco / Đồng Nai - 6_x000D_
GS - 1_x000D_
Enimac - 1_x000D_
Ắc quy ngoại nhập - 2</t>
  </si>
  <si>
    <t>Ắc quy xe tải - N100 - PINACO: 2.000.000, ENIMAC: 1.950.000, NGOAI_NHAP: 2.050.000</t>
  </si>
  <si>
    <t>Nguyễn Võ Thái Phong</t>
  </si>
  <si>
    <t>CÔNG TY TNHH MTV THƯƠNG MẠI DỊCH VỤ TRỌNG NGHĨA</t>
  </si>
  <si>
    <t>C000039531</t>
  </si>
  <si>
    <t>Phụ Tùng Phú Hòa 5</t>
  </si>
  <si>
    <t>Ắc quy xe điện - Pa 12.14 - PINACO: 1.800.000</t>
  </si>
  <si>
    <t>Trần Công Tân</t>
  </si>
  <si>
    <t>CÔNG TY TNHH VPP THUẬN LONG</t>
  </si>
  <si>
    <t>C000038014</t>
  </si>
  <si>
    <t>CH Xe Điện Phú Hòa</t>
  </si>
  <si>
    <t>Ắc quy xe điện - Pa 12.14 - PINACO: 1.800.000, THIEN_NANG: 1.700.000</t>
  </si>
  <si>
    <t>C000004331</t>
  </si>
  <si>
    <t>Minh Trọng</t>
  </si>
  <si>
    <t>C000003480</t>
  </si>
  <si>
    <t>Tấn Lợi</t>
  </si>
  <si>
    <t>Pinaco / Đồng Nai - 8_x000D_
GS - 2_x000D_
Enimac - 0</t>
  </si>
  <si>
    <t>Ắc quy oto - N100 - PINACO: 2.250.000, GS: 2.400.000</t>
  </si>
  <si>
    <t>Đoàn Thanh Sang</t>
  </si>
  <si>
    <t>CÔNG TY TNHH TM DV XNK NGUYÊN</t>
  </si>
  <si>
    <t>Nguyễn Trung Hiếu</t>
  </si>
  <si>
    <t>C000004468</t>
  </si>
  <si>
    <t>Ắc quy xe máy - Ptz5l - PINACO: 235.000, GS: 255.000, GLOBE: 245.000</t>
  </si>
  <si>
    <t>C000003469</t>
  </si>
  <si>
    <t>Lê Lược</t>
  </si>
  <si>
    <t>89.960.000 VNĐ</t>
  </si>
  <si>
    <t>Ắc quy oto - N100 - PINACO: 2.150.000, GS: 2.300.000, ENIMAC: 2.250.000</t>
  </si>
  <si>
    <t>C000004152</t>
  </si>
  <si>
    <t>Tân Kiệt</t>
  </si>
  <si>
    <t>2.026.000 VNĐ</t>
  </si>
  <si>
    <t>C000038220</t>
  </si>
  <si>
    <t>Chin Nghia</t>
  </si>
  <si>
    <t>Ắc quy xe điện - Ptz5l - PINACO: 280.000</t>
  </si>
  <si>
    <t>C000004158</t>
  </si>
  <si>
    <t>Mười Được</t>
  </si>
  <si>
    <t>Ắc quy xe máy - Ptz5l - PINACO: 270.000</t>
  </si>
  <si>
    <t>C000005143</t>
  </si>
  <si>
    <t>Ắc quy dân dụng - N30 - PINACO: 800.000, ENIMAC: 750.000</t>
  </si>
  <si>
    <t>Nguyễn Thanh Liêm</t>
  </si>
  <si>
    <t>CÔNG TY TNHH THƯƠNG MẠI ÁI XUÂN</t>
  </si>
  <si>
    <t>TRÀ VINH</t>
  </si>
  <si>
    <t>C000005114</t>
  </si>
  <si>
    <t>CH.Lan</t>
  </si>
  <si>
    <t>Ắc quy oto - N100 - PINACO: 2.100.000, GS: 2.000.000, ENIMAC: 1.800.000</t>
  </si>
  <si>
    <t>C000005110</t>
  </si>
  <si>
    <t>Tấn Trung</t>
  </si>
  <si>
    <t>C000004509</t>
  </si>
  <si>
    <t>Thanh Hải Tam Nông</t>
  </si>
  <si>
    <t>780.000.000 VNĐ</t>
  </si>
  <si>
    <t>Pinaco / Đồng Nai - 4_x000D_
GS - 3_x000D_
Enimac - 2_x000D_
Nhãn hiệu khác - 1</t>
  </si>
  <si>
    <t>Ắc quy xe tải - N100 - PINACO: 2.000.000, GS: 2.000.000, ENIMAC: 2.000.000, OTHER: 2.000.000</t>
  </si>
  <si>
    <t>C000003471</t>
  </si>
  <si>
    <t>Qưới</t>
  </si>
  <si>
    <t>Ắc quy oto - N100 - PINACO: 2.300.000, GS: 2.500.000</t>
  </si>
  <si>
    <t>C000024559</t>
  </si>
  <si>
    <t>Tiệm Điện Hoà</t>
  </si>
  <si>
    <t>C000023597</t>
  </si>
  <si>
    <t>PT Đại Việt</t>
  </si>
  <si>
    <t>Ắc quy xe máy - Ptz5l  - PINACO: 229.000_x000D_
Ắc quy xe máy - Ptz6hl  - PINACO: 241.000</t>
  </si>
  <si>
    <t>Nguyễn Văn Đoàn</t>
  </si>
  <si>
    <t>CHI NHÁNH DOANH NGHIỆP TƯ NHÂN TÂN TÂN</t>
  </si>
  <si>
    <t>C000028479</t>
  </si>
  <si>
    <t>A Shin</t>
  </si>
  <si>
    <t>C000003721</t>
  </si>
  <si>
    <t>Dũng Tuấn DD</t>
  </si>
  <si>
    <t>CÔNG TY TNHH MTV XUÂN HIẾU VĨNH LONG</t>
  </si>
  <si>
    <t>C000025473</t>
  </si>
  <si>
    <t>C000005216</t>
  </si>
  <si>
    <t>SX Đạt Thành</t>
  </si>
  <si>
    <t>C000003724</t>
  </si>
  <si>
    <t>Anh Việt DD</t>
  </si>
  <si>
    <t>Pinaco / Đồng Nai - 5_x000D_
GS - 4_x000D_
Ắc quy ngoại nhập - 1</t>
  </si>
  <si>
    <t>Ắc quy oto - Cmf 31800 - PINACO: 2.400.000, GS: 2.450.000, NGOAI_NHAP: 2.500.000</t>
  </si>
  <si>
    <t>Tính toán giãm giá thành , đôi bên cùng có lợi .</t>
  </si>
  <si>
    <t>C000005072</t>
  </si>
  <si>
    <t>Chảy</t>
  </si>
  <si>
    <t>C000005075</t>
  </si>
  <si>
    <t>Huỳnh Phong</t>
  </si>
  <si>
    <t>C000019786</t>
  </si>
  <si>
    <t>Thùy Hương</t>
  </si>
  <si>
    <t>Ắc quy xe tải - N100 - PINACO: 2.100.000, GS: 2.050.000, GLOBE: 1.950.000, OTHER: 2.000.000</t>
  </si>
  <si>
    <t>C000036899</t>
  </si>
  <si>
    <t>A Vũ</t>
  </si>
  <si>
    <t>2.454.800 VNĐ</t>
  </si>
  <si>
    <t>Ắc quy xe máy - Ptz5l - PINACO: 229.000, GS: 240.000</t>
  </si>
  <si>
    <t>Nguyễn Quốc Phương</t>
  </si>
  <si>
    <t>CÔNG TY TNHH MTV HUY CƯỜNG GIA HÂN</t>
  </si>
  <si>
    <t>VĨNH LONG</t>
  </si>
  <si>
    <t>C000037928</t>
  </si>
  <si>
    <t>CH Xe Đap Điên Xuyên Trân</t>
  </si>
  <si>
    <t>Ắc quy xe điện - Pa 12-14  - PINACO: 457.000</t>
  </si>
  <si>
    <t>Khong vao kho duoc</t>
  </si>
  <si>
    <t>C000039015</t>
  </si>
  <si>
    <t>Bảy sx</t>
  </si>
  <si>
    <t>4.683.000 VNĐ</t>
  </si>
  <si>
    <t>Lưu Hoàng Diệu</t>
  </si>
  <si>
    <t>C000003904</t>
  </si>
  <si>
    <t>Quang Liêm DD</t>
  </si>
  <si>
    <t>843.824.000 VNĐ</t>
  </si>
  <si>
    <t>Ắc quy oto - N100 - PINACO: 1.774.000, GS: 1.645.000, NGOAI_NHAP: 1.565.000</t>
  </si>
  <si>
    <t>Dương Hoàng Tân</t>
  </si>
  <si>
    <t>C000034729</t>
  </si>
  <si>
    <t>Chu Trang</t>
  </si>
  <si>
    <t>C000039012</t>
  </si>
  <si>
    <t>Thắng sx</t>
  </si>
  <si>
    <t>1.663.333 VNĐ</t>
  </si>
  <si>
    <t>C000036369</t>
  </si>
  <si>
    <t>pt Ngoc Quan</t>
  </si>
  <si>
    <t>Ắc quy xe máy - Ptx5l  - PINACO: 209.000</t>
  </si>
  <si>
    <t>C000039021</t>
  </si>
  <si>
    <t>Hữu Tài sx</t>
  </si>
  <si>
    <t>927.000 VNĐ</t>
  </si>
  <si>
    <t>C000028459</t>
  </si>
  <si>
    <t>SON VU</t>
  </si>
  <si>
    <t>C000036858</t>
  </si>
  <si>
    <t>TAN PHU HOA</t>
  </si>
  <si>
    <t>100 VNĐ</t>
  </si>
  <si>
    <t>Ắc quy xe máy - Ptz5l  - PINACO: 290.000</t>
  </si>
  <si>
    <t>C000018510</t>
  </si>
  <si>
    <t>Hai Hộ DD</t>
  </si>
  <si>
    <t>1.088.121.100 VNĐ</t>
  </si>
  <si>
    <t>Pinaco / Đồng Nai - 4_x000D_
GS - 2_x000D_
Enimac - 2_x000D_
Globe - 2</t>
  </si>
  <si>
    <t>Ắc quy oto - N100 - PINACO: 1.794.000, GS: 1.645.000, GLOBE: 1.601.000, ENIMAC: 1.550.000</t>
  </si>
  <si>
    <t>Phan Thanh</t>
  </si>
  <si>
    <t>C000028470</t>
  </si>
  <si>
    <t>CH HIÊU MÂN</t>
  </si>
  <si>
    <t>600 VNĐ</t>
  </si>
  <si>
    <t>Ắc quy xe điện - Pa 7,2  - PINACO: 266.000</t>
  </si>
  <si>
    <t>C000004068</t>
  </si>
  <si>
    <t>Pinaco / Đồng Nai - 1_x000D_
Globe - 2_x000D_
GS - 6_x000D_
Nhãn hiệu khác - 1</t>
  </si>
  <si>
    <t>Ắc quy xe máy - Ptz5l - PINACO: 250.000, GLOBE: 245.000, GS: 270.000, OTHER: 200.000</t>
  </si>
  <si>
    <t>C000005122</t>
  </si>
  <si>
    <t>Bảy Phu</t>
  </si>
  <si>
    <t>500 VNĐ</t>
  </si>
  <si>
    <t>Khach hang rất khó khong vao bênhbtrong cua hang duoc nvbh chi đứng phia ngoai tiếp</t>
  </si>
  <si>
    <t>C000005130</t>
  </si>
  <si>
    <t>CH Hưng</t>
  </si>
  <si>
    <t>C000003499</t>
  </si>
  <si>
    <t>Đức Hường</t>
  </si>
  <si>
    <t>147.000.000 VNĐ</t>
  </si>
  <si>
    <t>C000003837</t>
  </si>
  <si>
    <t>Mười GM</t>
  </si>
  <si>
    <t>C000027750</t>
  </si>
  <si>
    <t>Giang Hà DD</t>
  </si>
  <si>
    <t>520.759.000 VNĐ</t>
  </si>
  <si>
    <t>Ắc quy oto - N100 - PINACO: 1.794.000, GS: 1.650.000</t>
  </si>
  <si>
    <t>C000004080</t>
  </si>
  <si>
    <t>CH Phước</t>
  </si>
  <si>
    <t>Pinaco / Đồng Nai - 1_x000D_
GS - 3_x000D_
Xupai - 6</t>
  </si>
  <si>
    <t>Ắc quy xe máy - Ptz6hl  - PINACO: 250.000, GS: 270.000, XUPAI: 400.000</t>
  </si>
  <si>
    <t>C000037299</t>
  </si>
  <si>
    <t>Anh Sang</t>
  </si>
  <si>
    <t>1.156.000 VNĐ</t>
  </si>
  <si>
    <t>C000003622</t>
  </si>
  <si>
    <t>Tư Lâm 444</t>
  </si>
  <si>
    <t>5.028.000 VNĐ</t>
  </si>
  <si>
    <t>Ắc quy xe máy - Ptx5l  - PINACO: 300.000, OTHER: 250.000_x000D_
Ắc quy xe máy - Ptx6hl  - PINACO: 310.000, OTHER: 260.000_x000D_
Ắc quy xe máy - Ptz6l iss  - PINACO: 380.000, OTHER: 320.000</t>
  </si>
  <si>
    <t xml:space="preserve">Giá quá cao không thay được nhiều </t>
  </si>
  <si>
    <t>Nguyễn Hoài Bảo</t>
  </si>
  <si>
    <t>CÔNG TY TNHH MỘT THÀNH VIÊN HMH LONG AN</t>
  </si>
  <si>
    <t>C000028461</t>
  </si>
  <si>
    <t>Pt Trung</t>
  </si>
  <si>
    <t>Ắc quy xe máy - Pa 7,2  - PINACO: 266.000</t>
  </si>
  <si>
    <t>C000005117</t>
  </si>
  <si>
    <t>CH Hòa</t>
  </si>
  <si>
    <t>Hết hàng , npp chua giao tới</t>
  </si>
  <si>
    <t>C000037566</t>
  </si>
  <si>
    <t>Sửa Xe Huỳnh Long</t>
  </si>
  <si>
    <t>1.168.000 VNĐ</t>
  </si>
  <si>
    <t>C000003932</t>
  </si>
  <si>
    <t>Vạn An</t>
  </si>
  <si>
    <t>Ắc quy oto - N100 - PINACO: 2.100.000, GS: 1.800.000, ENIMAC: 1.750.000</t>
  </si>
  <si>
    <t>Lê Minh Trưởng</t>
  </si>
  <si>
    <t>CÔNG TY TNHH TM XNK HỮU THÀNH PHÁT</t>
  </si>
  <si>
    <t>C000039016</t>
  </si>
  <si>
    <t>Thanh Phương sx</t>
  </si>
  <si>
    <t>966.267 VNĐ</t>
  </si>
  <si>
    <t>C000034001</t>
  </si>
  <si>
    <t>CH An Khôi</t>
  </si>
  <si>
    <t>C000036871</t>
  </si>
  <si>
    <t>Nguyễn Nhàn</t>
  </si>
  <si>
    <t>3.084.000 VNĐ</t>
  </si>
  <si>
    <t>C000037320</t>
  </si>
  <si>
    <t>Anh Khá</t>
  </si>
  <si>
    <t>1.637.000 VNĐ</t>
  </si>
  <si>
    <t>C000038346</t>
  </si>
  <si>
    <t>Hai Tùng GM</t>
  </si>
  <si>
    <t>2.564.000 VNĐ</t>
  </si>
  <si>
    <t>C000036898</t>
  </si>
  <si>
    <t>Phụ tùng Bảo</t>
  </si>
  <si>
    <t>939.000 VNĐ</t>
  </si>
  <si>
    <t>C000038326</t>
  </si>
  <si>
    <t>Thăng Long</t>
  </si>
  <si>
    <t>Ắc quy xe máy - Ptz6hl - PINACO: 250.000, GS: 280.000, GLOBE: 260.000</t>
  </si>
  <si>
    <t>C000025814</t>
  </si>
  <si>
    <t>PT. Quốc</t>
  </si>
  <si>
    <t>Hàng để trong kho , 2 kho , nên ko chup kệ ,hàng tồn kho</t>
  </si>
  <si>
    <t>C000005124</t>
  </si>
  <si>
    <t>CH Thọ</t>
  </si>
  <si>
    <t>C000037130</t>
  </si>
  <si>
    <t>CH Đưc</t>
  </si>
  <si>
    <t>C000037584</t>
  </si>
  <si>
    <t>Anh Tài Sửa Xe</t>
  </si>
  <si>
    <t>C000003916</t>
  </si>
  <si>
    <t>Hữu Tài DD</t>
  </si>
  <si>
    <t>118.890.000 VNĐ</t>
  </si>
  <si>
    <t>Ắc quy oto - N100 - PINACO: 1.794.000, GS: 1.650.000, ENIMAC: 1.604.000</t>
  </si>
  <si>
    <t>C000034170</t>
  </si>
  <si>
    <t>CH Xuân Hiếu GM</t>
  </si>
  <si>
    <t>66.517.000 VNĐ</t>
  </si>
  <si>
    <t>C000033295</t>
  </si>
  <si>
    <t>Việt Long GM</t>
  </si>
  <si>
    <t>97.788.000 VNĐ</t>
  </si>
  <si>
    <t>Pinaco / Đồng Nai - 4_x000D_
GS - 3_x000D_
Globe - 2_x000D_
Xupai - 1</t>
  </si>
  <si>
    <t>Ắc quy xe máy - ptz5L  - PINACO: 229.000, GS: 240.000, GLOBE: 216.000, XUPAI: 370.000</t>
  </si>
  <si>
    <t>C000004453</t>
  </si>
  <si>
    <t>Hằng</t>
  </si>
  <si>
    <t>Ắc quy oto - Cmf 31800 - PINACO: 2.400.000, GS: 2.400.000, OTHER: 2.100.000</t>
  </si>
  <si>
    <t>C000003907</t>
  </si>
  <si>
    <t>Thiên Long GM</t>
  </si>
  <si>
    <t>31.301.000 VNĐ</t>
  </si>
  <si>
    <t>Pinaco / Đồng Nai - 5_x000D_
Globe - 2_x000D_
GS - 3</t>
  </si>
  <si>
    <t>Ắc quy xe máy - Ptx5l  - PINACO: 216.000, GS: 235.000, GLOBE: 210.000</t>
  </si>
  <si>
    <t>C000036749</t>
  </si>
  <si>
    <t>Mẫn Tiến GM LKL</t>
  </si>
  <si>
    <t>7.956.000 VNĐ</t>
  </si>
  <si>
    <t>Ắc quy xe máy - ptz5L  - PINACO: 229.000, GS: 245.000</t>
  </si>
  <si>
    <t>C000017190</t>
  </si>
  <si>
    <t>Thảo Nguyên</t>
  </si>
  <si>
    <t>Ắc quy xe tải - N100 - PINACO: 2.100.000, GS: 2.000.000</t>
  </si>
  <si>
    <t>C000036905</t>
  </si>
  <si>
    <t>Huỳnh Trường FI</t>
  </si>
  <si>
    <t>C000003898</t>
  </si>
  <si>
    <t>Ngói GM</t>
  </si>
  <si>
    <t>34.533.000 VNĐ</t>
  </si>
  <si>
    <t>C000035228</t>
  </si>
  <si>
    <t>Tiến GM</t>
  </si>
  <si>
    <t>C000037868</t>
  </si>
  <si>
    <t>Út Thọ</t>
  </si>
  <si>
    <t>Ắc quy xe điện - 12-14 - PINACO: 400.000, OTHER: 380.000</t>
  </si>
  <si>
    <t>C000003899</t>
  </si>
  <si>
    <t>Đồng Hiệp DD</t>
  </si>
  <si>
    <t>66.088.000 VNĐ</t>
  </si>
  <si>
    <t>Ắc quy oto - N100 - PINACO: 1.794.000, GS: 1.670.000</t>
  </si>
  <si>
    <t>C000038338</t>
  </si>
  <si>
    <t>Huỳnh Kiệt</t>
  </si>
  <si>
    <t>710.000 VNĐ</t>
  </si>
  <si>
    <t>C000035961</t>
  </si>
  <si>
    <t>Kiệt DDNL</t>
  </si>
  <si>
    <t>Ắc quy oto - N100 - PINACO: 2.200.000, GS: 2.100.000, ENIMAC: 2.050.000, NGOAI_NHAP: 2.000.000</t>
  </si>
  <si>
    <t>C000003715</t>
  </si>
  <si>
    <t>Duy Anh GM</t>
  </si>
  <si>
    <t>Ắc quy xe máy - Ptz6hl - PINACO: 270.000, GS: 290.000, GLOBE: 280.000</t>
  </si>
  <si>
    <t>C000035399</t>
  </si>
  <si>
    <t>Lê Văn Thâu GM</t>
  </si>
  <si>
    <t>15.616.000 VNĐ</t>
  </si>
  <si>
    <t>Ắc quy xe máy - Ptz5l  - PINACO: 229.000, GS: 240.000</t>
  </si>
  <si>
    <t>C000037392</t>
  </si>
  <si>
    <t>Việt GM</t>
  </si>
  <si>
    <t>Ắc quy xe máy - Ptz5l - PINACO: 260.000, GS: 280.000, GLOBE: 270.000</t>
  </si>
  <si>
    <t>C000037927</t>
  </si>
  <si>
    <t>SX Phuc Khai</t>
  </si>
  <si>
    <t>C000003877</t>
  </si>
  <si>
    <t>Thâu DD</t>
  </si>
  <si>
    <t>48.900.000 VNĐ</t>
  </si>
  <si>
    <t>Ắc quy oto - N100 - GS: 1.650.000, PINACO: 1.794.000</t>
  </si>
  <si>
    <t>C000003876</t>
  </si>
  <si>
    <t>Chín Khoa DD</t>
  </si>
  <si>
    <t>53.477.000 VNĐ</t>
  </si>
  <si>
    <t>Ắc quy oto - N100 - PINACO: 1.774.000</t>
  </si>
  <si>
    <t>C000003875</t>
  </si>
  <si>
    <t>Huỳnh Há GM</t>
  </si>
  <si>
    <t>28.105.000 VNĐ</t>
  </si>
  <si>
    <t>C000017968</t>
  </si>
  <si>
    <t>Hữu Thạnh</t>
  </si>
  <si>
    <t>3.535.000 VNĐ</t>
  </si>
  <si>
    <t>C000028466</t>
  </si>
  <si>
    <t>CH LONG</t>
  </si>
  <si>
    <t>C000005077</t>
  </si>
  <si>
    <t>Bảy Chẵn</t>
  </si>
  <si>
    <t>Khach không cho vao bên trong , chup kệ ,voi kho</t>
  </si>
  <si>
    <t>C000035144</t>
  </si>
  <si>
    <t>Tuan</t>
  </si>
  <si>
    <t>425.000 VNĐ</t>
  </si>
  <si>
    <t>Ắc quy xe máy - Ptx5l - PINACO: 260.000</t>
  </si>
  <si>
    <t>C000034167</t>
  </si>
  <si>
    <t>Thanh Tùng PT</t>
  </si>
  <si>
    <t>Lê Chí Phương</t>
  </si>
  <si>
    <t>C000003866</t>
  </si>
  <si>
    <t>Sáu Đẹp DD</t>
  </si>
  <si>
    <t>48.782.000 VNĐ</t>
  </si>
  <si>
    <t>Ắc quy oto - N100 - PINACO: 1.794.000</t>
  </si>
  <si>
    <t>C000005079</t>
  </si>
  <si>
    <t>CH Năm</t>
  </si>
  <si>
    <t>Ắc quy xe máy - Ptz6hl  - PINACO: 241.000_x000D_
Ắc quy xe máy - Ptz5l  - PINACO: 229.000</t>
  </si>
  <si>
    <t>C000003836</t>
  </si>
  <si>
    <t>Lê Hải GM</t>
  </si>
  <si>
    <t>10.281.000 VNĐ</t>
  </si>
  <si>
    <t>Ắc quy xe máy - Ptx5l  - PINACO: 216.000, GS: 236.000</t>
  </si>
  <si>
    <t>C000032688</t>
  </si>
  <si>
    <t>Phuc Khang</t>
  </si>
  <si>
    <t>C000003975</t>
  </si>
  <si>
    <t>CH Sáu Tí</t>
  </si>
  <si>
    <t>Pinaco / Đồng Nai - 4_x000D_
Enimac - 1_x000D_
GS - 3_x000D_
Globe - 1_x000D_
Ắc quy ngoại nhập - 1</t>
  </si>
  <si>
    <t>Ắc quy oto - 31s800 - PINACO: 2.300.000, ENIMAC: 2.200.000, GS: 2.300.000</t>
  </si>
  <si>
    <t>C000041137</t>
  </si>
  <si>
    <t>CH Xe Điện Phú Hòa 6</t>
  </si>
  <si>
    <t>Ắc quy xe điện - Pa 12.14 - PINACO: 1.700.000, THIEN_NANG: 1.650.000</t>
  </si>
  <si>
    <t>C000004179</t>
  </si>
  <si>
    <t>Trọng Nhân mc</t>
  </si>
  <si>
    <t>2.570.000 VNĐ</t>
  </si>
  <si>
    <t>Ắc quy xe máy - Ptx5l - PINACO: 250.000</t>
  </si>
  <si>
    <t>C000003882</t>
  </si>
  <si>
    <t>Minh Quang GM</t>
  </si>
  <si>
    <t>6.465.000 VNĐ</t>
  </si>
  <si>
    <t>Ắc quy xe máy - Ptz5l  - PINACO: 229.000, GS: 238.000</t>
  </si>
  <si>
    <t>C000037298</t>
  </si>
  <si>
    <t>Năm Tân</t>
  </si>
  <si>
    <t>491.169 VNĐ</t>
  </si>
  <si>
    <t>Ắc quy xe máy - Ptz5l - PINACO: 229.000, GS: 250.000</t>
  </si>
  <si>
    <t>C000003835</t>
  </si>
  <si>
    <t>Bá Cường GM</t>
  </si>
  <si>
    <t>8.702.000 VNĐ</t>
  </si>
  <si>
    <t>C000028202</t>
  </si>
  <si>
    <t>Thanh Tú GM</t>
  </si>
  <si>
    <t>Ắc quy xe máy - Ptz5l. Ptz6hl - PINACO: 230.240</t>
  </si>
  <si>
    <t>C000004644</t>
  </si>
  <si>
    <t>Tình DD</t>
  </si>
  <si>
    <t>Ắc quy dân dụng - N200.n120.150.n30 - PINACO: 800</t>
  </si>
  <si>
    <t>CÔNG TY TNHH MTV LÊ KHÔI BATTERY</t>
  </si>
  <si>
    <t>C000004643</t>
  </si>
  <si>
    <t>Bảy Chích DD</t>
  </si>
  <si>
    <t>Ắc quy dân dụng - N25.n30n. Ns40.n100.n120 - PINACO: 2.000.000</t>
  </si>
  <si>
    <t>C000003915</t>
  </si>
  <si>
    <t>Nguyên Võ DD</t>
  </si>
  <si>
    <t>17.003.000 VNĐ</t>
  </si>
  <si>
    <t>Ắc quy oto - N100 - PINACO: 1.794.000, GS: 1.650.000, ENIMAC: 1.563.000</t>
  </si>
  <si>
    <t>C000040518</t>
  </si>
  <si>
    <t>SX Tuấn Kiệt</t>
  </si>
  <si>
    <t>1.189.000 VNĐ</t>
  </si>
  <si>
    <t>C000003962</t>
  </si>
  <si>
    <t>Ngọc Phương</t>
  </si>
  <si>
    <t>C000027215</t>
  </si>
  <si>
    <t>7 La</t>
  </si>
  <si>
    <t>Ắc quy xe máy - Pa 12.14 - PINACO: 400.000, OTHER: 350.000</t>
  </si>
  <si>
    <t>C000004627</t>
  </si>
  <si>
    <t>Thông GM</t>
  </si>
  <si>
    <t>Ắc quy xe máy - PTZ5L. Gtz6v. Wtz5s - PINACO: 230, GS: 247, GLOBE: 210</t>
  </si>
  <si>
    <t>C000005111</t>
  </si>
  <si>
    <t>Vĩnh Hoa</t>
  </si>
  <si>
    <t>Ắc quy dân dụng - N30 - PINACO: 750.000, GS: 730.000</t>
  </si>
  <si>
    <t>C000003538</t>
  </si>
  <si>
    <t>Đức Hải 127</t>
  </si>
  <si>
    <t>60.000.909 VNĐ</t>
  </si>
  <si>
    <t>Pinaco / Đồng Nai - 3_x000D_
Globe - 5_x000D_
GS - 1_x000D_
Ắc quy ngoại nhập - 1</t>
  </si>
  <si>
    <t>Ắc quy oto - N100 - PINACO: 2.000.000, GLOBE: 1.950.000</t>
  </si>
  <si>
    <t>C000004023</t>
  </si>
  <si>
    <t>Tân 2</t>
  </si>
  <si>
    <t>Ắc quy xe máy - Ptz5l - PINACO: 260.000, GS: 300.000</t>
  </si>
  <si>
    <t>C000019393</t>
  </si>
  <si>
    <t>Ắc quy xe máy - Ptx6hl - PINACO: 260.000</t>
  </si>
  <si>
    <t>C000041221</t>
  </si>
  <si>
    <t>Lê Út</t>
  </si>
  <si>
    <t>Ắc quy xe máy - ptz5L  - PINACO: 229.000, GLOBE: 240.000</t>
  </si>
  <si>
    <t>C000005116</t>
  </si>
  <si>
    <t>Quang Được</t>
  </si>
  <si>
    <t>C000028048</t>
  </si>
  <si>
    <t>Bay Tinh</t>
  </si>
  <si>
    <t>C000004128</t>
  </si>
  <si>
    <t>Lê Sơn</t>
  </si>
  <si>
    <t>Ắc quy xe máy - Ptz5l - PINACO: 290.000</t>
  </si>
  <si>
    <t>C000004014</t>
  </si>
  <si>
    <t>Thành Sơn</t>
  </si>
  <si>
    <t>25.400.000 VNĐ</t>
  </si>
  <si>
    <t>Ắc quy xe máy - Ptz6hl - PINACO: 270.000, GS: 300.000, OTHER: 215.000</t>
  </si>
  <si>
    <t>C000038591</t>
  </si>
  <si>
    <t>Hảo SX</t>
  </si>
  <si>
    <t>Ắc quy xe điện - PA1214 - PINACO: 410</t>
  </si>
  <si>
    <t>C000003787</t>
  </si>
  <si>
    <t>Ngôn GM</t>
  </si>
  <si>
    <t>6.498.000 VNĐ</t>
  </si>
  <si>
    <t>C000003788</t>
  </si>
  <si>
    <t>15.580.000 VNĐ</t>
  </si>
  <si>
    <t>Ắc quy xe máy - Ptx5l  - PINACO: 225, GS: 240, GLOBE: 228</t>
  </si>
  <si>
    <t>C000037105</t>
  </si>
  <si>
    <t>Tấn Đồng</t>
  </si>
  <si>
    <t>10.586.000 VNĐ</t>
  </si>
  <si>
    <t>C000028190</t>
  </si>
  <si>
    <t>Nhựt Thái GM</t>
  </si>
  <si>
    <t>230.000 VNĐ</t>
  </si>
  <si>
    <t>C000004621</t>
  </si>
  <si>
    <t>Thành Công- Hồng Ngự DD</t>
  </si>
  <si>
    <t>Ắc quy dân dụng - N120. N150.n200 - PINACO: 1.950, GLOBE: 1.900, GS: 1.950</t>
  </si>
  <si>
    <t>C000017895</t>
  </si>
  <si>
    <t>Tấn Thành Hồng Ngự GM</t>
  </si>
  <si>
    <t>Ắc quy xe máy - Ptz5l. Gtz6v. Wtz6v - PINACO: 230, GS: 247, GLOBE: 210</t>
  </si>
  <si>
    <t>C000004239</t>
  </si>
  <si>
    <t>Ngọc Mỹ gm</t>
  </si>
  <si>
    <t>15.155.000 VNĐ</t>
  </si>
  <si>
    <t>Ắc quy xe máy - Ptzz5l - PINACO: 245.000</t>
  </si>
  <si>
    <t>C000019030</t>
  </si>
  <si>
    <t>Trung Phong GM</t>
  </si>
  <si>
    <t>Ắc quy xe máy - PTZ5L. PTZ6HL. PTZ6L - PINACO: 230</t>
  </si>
  <si>
    <t>C000004236</t>
  </si>
  <si>
    <t>Anh Hưng</t>
  </si>
  <si>
    <t>2.750.000 VNĐ</t>
  </si>
  <si>
    <t>C000004240</t>
  </si>
  <si>
    <t>Tài Lũ gm</t>
  </si>
  <si>
    <t>480.000 VNĐ</t>
  </si>
  <si>
    <t>C000004238</t>
  </si>
  <si>
    <t>Hùng Vương gm</t>
  </si>
  <si>
    <t>16.820.000 VNĐ</t>
  </si>
  <si>
    <t>Ắc quy xe máy - Ptx6hl - PINACO: 300.000</t>
  </si>
  <si>
    <t>C000004237</t>
  </si>
  <si>
    <t>Huê Liên gm</t>
  </si>
  <si>
    <t>5.356.000 VNĐ</t>
  </si>
  <si>
    <t>Ắc quy xe máy - Ptx6hl - PINACO: 310.000</t>
  </si>
  <si>
    <t>C000004623</t>
  </si>
  <si>
    <t>Thanh Xuân DD</t>
  </si>
  <si>
    <t>Ắc quy dân dụng - N30.n50.n100.120.150 - PINACO: 1.693</t>
  </si>
  <si>
    <t>C000004235</t>
  </si>
  <si>
    <t>Anh Tuấn tp</t>
  </si>
  <si>
    <t>Ắc quy xe máy - Ptz5l - PINACO: 300.090</t>
  </si>
  <si>
    <t>C000018482</t>
  </si>
  <si>
    <t>Thành Long GM</t>
  </si>
  <si>
    <t>Ắc quy xe máy - Ptx5l - PINACO: 203, GS: 225, GLOBE: 210</t>
  </si>
  <si>
    <t>C000018080</t>
  </si>
  <si>
    <t>Hùng GM</t>
  </si>
  <si>
    <t>Ắc quy xe máy - Ptz6hl. Ptz5l - PINACO: 216.220</t>
  </si>
  <si>
    <t>C000037660</t>
  </si>
  <si>
    <t>Phước Trung GM</t>
  </si>
  <si>
    <t>230 VNĐ</t>
  </si>
  <si>
    <t>Ắc quy xe máy - ptz5l - PINACO: 230</t>
  </si>
  <si>
    <t>C000017852</t>
  </si>
  <si>
    <t>Tấn Sang GM</t>
  </si>
  <si>
    <t>350.000 VNĐ</t>
  </si>
  <si>
    <t>Ắc quy xe máy - Ptz5l ptz6hl - PINACO: 230</t>
  </si>
  <si>
    <t>C000033298</t>
  </si>
  <si>
    <t>Nguyển Duy GM</t>
  </si>
  <si>
    <t>2.657 VNĐ</t>
  </si>
  <si>
    <t>Ắc quy xe máy - Ptz6hl - PINACO: 241, GS: 257</t>
  </si>
  <si>
    <t>C000038587</t>
  </si>
  <si>
    <t>SX Minh Giàu</t>
  </si>
  <si>
    <t>440.000 VNĐ</t>
  </si>
  <si>
    <t>Ắc quy xe máy - Ptz6hl - GLOBE: 210, PINACO: 241</t>
  </si>
  <si>
    <t>C000035323</t>
  </si>
  <si>
    <t>Tư Cường SX</t>
  </si>
  <si>
    <t>Ắc quy xe điện - Pa1214 - PINACO: 366</t>
  </si>
  <si>
    <t>C000029279</t>
  </si>
  <si>
    <t>Dũng Trang GM</t>
  </si>
  <si>
    <t>Ắc quy xe máy - Ptz6hl - PINACO: 241, GS: 257, GLOBE: 230</t>
  </si>
  <si>
    <t>C000034862</t>
  </si>
  <si>
    <t>Hai Tấn GM</t>
  </si>
  <si>
    <t>200.000 VNĐ</t>
  </si>
  <si>
    <t>Ắc quy xe máy - Ptz5l. Ptz6l - PINACO: 241</t>
  </si>
  <si>
    <t>C000030312</t>
  </si>
  <si>
    <t>3 TB Mo Tor</t>
  </si>
  <si>
    <t>C000004218</t>
  </si>
  <si>
    <t>SX Sơn  bt</t>
  </si>
  <si>
    <t>C000038593</t>
  </si>
  <si>
    <t>Lành Nhẫn SX</t>
  </si>
  <si>
    <t>470 VNĐ</t>
  </si>
  <si>
    <t>C000004212</t>
  </si>
  <si>
    <t>Diệp Phát</t>
  </si>
  <si>
    <t>4.453.000 VNĐ</t>
  </si>
  <si>
    <t>C000003869</t>
  </si>
  <si>
    <t>Nguyễn Mười GM</t>
  </si>
  <si>
    <t>9.585.467 VNĐ</t>
  </si>
  <si>
    <t>C000019388</t>
  </si>
  <si>
    <t>Quốc Cường DD</t>
  </si>
  <si>
    <t>20.000 VNĐ</t>
  </si>
  <si>
    <t>Ắc quy dân dụng - N200.n220.n30 - PINACO: 4.100</t>
  </si>
  <si>
    <t>C000041220</t>
  </si>
  <si>
    <t>Trần Dũng</t>
  </si>
  <si>
    <t>2.379.867 VNĐ</t>
  </si>
  <si>
    <t>C000037363</t>
  </si>
  <si>
    <t>Tấn Đạt-Tân Thạnh GM</t>
  </si>
  <si>
    <t>1.000 VNĐ</t>
  </si>
  <si>
    <t>Ắc quy xe máy - Ptz5l - PINACO: 240</t>
  </si>
  <si>
    <t xml:space="preserve">0
</t>
  </si>
  <si>
    <t>C000004607</t>
  </si>
  <si>
    <t>Huy GM</t>
  </si>
  <si>
    <t>2.500 VNĐ</t>
  </si>
  <si>
    <t>Ắc quy xe máy - PTZ5L. PTZ6HL - GS: 270, PINACO: 250</t>
  </si>
  <si>
    <t>C000004191</t>
  </si>
  <si>
    <t>Cô Nga gm</t>
  </si>
  <si>
    <t>20.568.000 VNĐ</t>
  </si>
  <si>
    <t>C000017861</t>
  </si>
  <si>
    <t>Quân GM</t>
  </si>
  <si>
    <t>Ắc quy xe máy - PTZ5L. PTZ6HL ptz6l - PINACO: 250_x000D_
Ắc quy xe máy - Ptz5l - PINACO: 230</t>
  </si>
  <si>
    <t>C000004599</t>
  </si>
  <si>
    <t>Thanh Tùng DD</t>
  </si>
  <si>
    <t>14.000 VNĐ</t>
  </si>
  <si>
    <t>Ắc quy dân dụng - 31800 95d31 ns40.n30 - PINACO: 722, GLOBE: 700, GS: 750</t>
  </si>
  <si>
    <t>C000003968</t>
  </si>
  <si>
    <t>Minh Tài</t>
  </si>
  <si>
    <t>531.000.000 VNĐ</t>
  </si>
  <si>
    <t>Pinaco / Đồng Nai - 5_x000D_
GS - 3_x000D_
Enimac - 1_x000D_
Globe - 1</t>
  </si>
  <si>
    <t>Ắc quy oto - N150 - PINACO: 2.900.000, GS: 2.850.000, ENIMAC: 2.800.000, GLOBE: 2.900.000</t>
  </si>
  <si>
    <t>C000029510</t>
  </si>
  <si>
    <t>Bảy Thành Công</t>
  </si>
  <si>
    <t>Ắc quy xe máy - Pa 12.14 - PINACO: 430.000</t>
  </si>
  <si>
    <t>C000034000</t>
  </si>
  <si>
    <t>pt Ngoc Trăm</t>
  </si>
  <si>
    <t>C000037520</t>
  </si>
  <si>
    <t>vạn lộc</t>
  </si>
  <si>
    <t>201.000.000 VNĐ</t>
  </si>
  <si>
    <t>Không cho chụp</t>
  </si>
  <si>
    <t>Võ Nguyên Phong</t>
  </si>
  <si>
    <t>CTY TNHH MTV TM DV PIN - ẮC QUY THÁI BÌNH</t>
  </si>
  <si>
    <t>C000037679</t>
  </si>
  <si>
    <t>Hoàng</t>
  </si>
  <si>
    <t>Ắc quy xe tải - N100 - PINACO: 2.100.000</t>
  </si>
  <si>
    <t>Không cho</t>
  </si>
  <si>
    <t>C000036878</t>
  </si>
  <si>
    <t>Thanh Hải 2</t>
  </si>
  <si>
    <t>C000003926</t>
  </si>
  <si>
    <t>Phương Hà</t>
  </si>
  <si>
    <t>Ắc quy oto - N150 - PINACO: 2.900.000, GS: 2.900.000, ENIMAC: 2.900.000, NGOAI_NHAP: 3.150.000</t>
  </si>
  <si>
    <t>C000004031</t>
  </si>
  <si>
    <t>Ắc quy xe máy - Ptz6hl - PINACO: 270.000, GS: 290.000</t>
  </si>
  <si>
    <t>C000004132</t>
  </si>
  <si>
    <t>A Nghĩa</t>
  </si>
  <si>
    <t>229.000 VNĐ</t>
  </si>
  <si>
    <t>C000029081</t>
  </si>
  <si>
    <t>Phụ tùng Song Lam</t>
  </si>
  <si>
    <t>Pinaco / Đồng Nai - 2_x000D_
GS - 2_x000D_
Globe - 4_x000D_
Enimac - 2</t>
  </si>
  <si>
    <t>Ắc quy xe máy - Ptz6hl  - PINACO: 240.000, GS: 265.000, GLOBE: 250.000, ENIMAC: 240.000</t>
  </si>
  <si>
    <t>C000037950</t>
  </si>
  <si>
    <t>Thai Binh</t>
  </si>
  <si>
    <t>11.578.000 VNĐ</t>
  </si>
  <si>
    <t>Ắc quy xe máy - Ptz5l - PINACO: 285.000</t>
  </si>
  <si>
    <t>C000019719</t>
  </si>
  <si>
    <t xml:space="preserve">Cữa hàng không cho chụp ảnh </t>
  </si>
  <si>
    <t>C000004247</t>
  </si>
  <si>
    <t>475.000 VNĐ</t>
  </si>
  <si>
    <t>C000005274</t>
  </si>
  <si>
    <t>SX ngô Chấn</t>
  </si>
  <si>
    <t>C000003994</t>
  </si>
  <si>
    <t>Tám Lộc</t>
  </si>
  <si>
    <t>Ắc quy xe điện - 12-14 - PINACO: 420.000, THIEN_NANG: 400.000</t>
  </si>
  <si>
    <t>C000032232</t>
  </si>
  <si>
    <t>Năm Nghĩa</t>
  </si>
  <si>
    <t>Ắc quy xe máy - Ptz6hl - ENIMAC: 260.000, PINACO: 270.000</t>
  </si>
  <si>
    <t>C000019437</t>
  </si>
  <si>
    <t>PT Ba Trầm</t>
  </si>
  <si>
    <t>Ắc quy xe máy - Ptz6hl  - PINACO: 250.000, GS: 275.000, GLOBE: 255.000</t>
  </si>
  <si>
    <t>C000005245</t>
  </si>
  <si>
    <t>SX Tạ Tam</t>
  </si>
  <si>
    <t>C000004092</t>
  </si>
  <si>
    <t>Ắc quy xe máy - Pz6hl - PINACO: 270.000, GS: 300.000</t>
  </si>
  <si>
    <t>C000004211</t>
  </si>
  <si>
    <t>Anh Thọ gm</t>
  </si>
  <si>
    <t>Ắc quy xe máy - Ptx5l - PINACO: 225.000, GS: 0</t>
  </si>
  <si>
    <t>C000004208</t>
  </si>
  <si>
    <t>460.000 VNĐ</t>
  </si>
  <si>
    <t>C000028473</t>
  </si>
  <si>
    <t>THUY</t>
  </si>
  <si>
    <t>C000016511</t>
  </si>
  <si>
    <t>C000023806</t>
  </si>
  <si>
    <t>Hữu Tấn GM</t>
  </si>
  <si>
    <t>Ắc quy xe máy - Ptz5l - PINACO: 270.000, GS: 290.000</t>
  </si>
  <si>
    <t>C000018359</t>
  </si>
  <si>
    <t>53.800.000 VNĐ</t>
  </si>
  <si>
    <t>Ắc quy oto - 31800 - PINACO: 2.200.000, GS: 2.100.000, NGOAI_NHAP: 2.000.000</t>
  </si>
  <si>
    <t>C000028467</t>
  </si>
  <si>
    <t>Hiêp Phat</t>
  </si>
  <si>
    <t>C000037319</t>
  </si>
  <si>
    <t>Chú Dẫn</t>
  </si>
  <si>
    <t>12.133.600 VNĐ</t>
  </si>
  <si>
    <t>C000004072</t>
  </si>
  <si>
    <t>Tân Thịnh</t>
  </si>
  <si>
    <t>Ắc quy xe máy - Ptz6hl - PINACO: 280.000</t>
  </si>
  <si>
    <t>C000036010</t>
  </si>
  <si>
    <t>Thanh Tu</t>
  </si>
  <si>
    <t>Ắc quy xe máy - Ptz5l - PINACO: 260.000, GS: 285.000</t>
  </si>
  <si>
    <t>C000004185</t>
  </si>
  <si>
    <t>PT Hiếu gm</t>
  </si>
  <si>
    <t>3.567.000 VNĐ</t>
  </si>
  <si>
    <t>C000004184</t>
  </si>
  <si>
    <t>PT Mẫn gm</t>
  </si>
  <si>
    <t>C000038508</t>
  </si>
  <si>
    <t>cua hang Trung Hau</t>
  </si>
  <si>
    <t>Ắc quy xe điện - Pa 12- 14 - PINACO: 460.000</t>
  </si>
  <si>
    <t>C000027112</t>
  </si>
  <si>
    <t>Ngọc Minh</t>
  </si>
  <si>
    <t>721.000.000 VNĐ</t>
  </si>
  <si>
    <t>Pinaco / Đồng Nai - 7_x000D_
GS - 1_x000D_
Ắc quy ngoại nhập - 1_x000D_
Nhãn hiệu khác - 1</t>
  </si>
  <si>
    <t>Ắc quy xe tải - N200 - PINACO: 3.700.000, GS: 3.650.000, NGOAI_NHAP: 3.800.000, OTHER: 4.000.000</t>
  </si>
  <si>
    <t>C000038972</t>
  </si>
  <si>
    <t>Nguyen Hien</t>
  </si>
  <si>
    <t>2.576.000 VNĐ</t>
  </si>
  <si>
    <t>C000038288</t>
  </si>
  <si>
    <t>SX Giang</t>
  </si>
  <si>
    <t>C000023736</t>
  </si>
  <si>
    <t>1.150.000 VNĐ</t>
  </si>
  <si>
    <t>C000004290</t>
  </si>
  <si>
    <t>Tư Tiếu</t>
  </si>
  <si>
    <t>Không đồng ý chụp kho</t>
  </si>
  <si>
    <t>C000004175</t>
  </si>
  <si>
    <t>Út Hương gm</t>
  </si>
  <si>
    <t>4.523.000 VNĐ</t>
  </si>
  <si>
    <t>Ắc quy xe máy - Ptz5l - PINACO: 250.000, GS: 280.000</t>
  </si>
  <si>
    <t>C000005242</t>
  </si>
  <si>
    <t>SX Tài.3</t>
  </si>
  <si>
    <t xml:space="preserve">Ắc quy xe máy - Ptz5l  - PINACO: 229.000_x000D_
Ắc quy xe máy - Ptz6hl  - </t>
  </si>
  <si>
    <t>C000025501</t>
  </si>
  <si>
    <t>C000037397</t>
  </si>
  <si>
    <t>sx Dung</t>
  </si>
  <si>
    <t>C000003839</t>
  </si>
  <si>
    <t>Hoàng Vinh DD</t>
  </si>
  <si>
    <t>16.912.000 VNĐ</t>
  </si>
  <si>
    <t>Ắc quy dân dụng - N30  - PINACO: 750.000</t>
  </si>
  <si>
    <t>C000023849</t>
  </si>
  <si>
    <t>Lý Huỳnh</t>
  </si>
  <si>
    <t>C000004107</t>
  </si>
  <si>
    <t>Lưu Hoàng Phương</t>
  </si>
  <si>
    <t>Ắc quy xe máy - Ptz6hl - PINACO: 270.000, GS: 300.000</t>
  </si>
  <si>
    <t>C000039203</t>
  </si>
  <si>
    <t>C000003516</t>
  </si>
  <si>
    <t>Út Hai</t>
  </si>
  <si>
    <t>Không chụp được kho</t>
  </si>
  <si>
    <t>C000004243</t>
  </si>
  <si>
    <t>Tuấn Thành</t>
  </si>
  <si>
    <t>1.970.000 VNĐ</t>
  </si>
  <si>
    <t>C000004146</t>
  </si>
  <si>
    <t>Phi Hùng gm</t>
  </si>
  <si>
    <t>13.530.000 VNĐ</t>
  </si>
  <si>
    <t>Ắc quy xe máy - Ptz5l - PINACO: 248.000</t>
  </si>
  <si>
    <t>C000005092</t>
  </si>
  <si>
    <t>Dương</t>
  </si>
  <si>
    <t xml:space="preserve">Khach khó khong cho vao chup kệ trưng bay , và kho </t>
  </si>
  <si>
    <t>C000004512</t>
  </si>
  <si>
    <t>Hoàng Duy</t>
  </si>
  <si>
    <t>450.000 VNĐ</t>
  </si>
  <si>
    <t>Ắc quy xe máy - Ptz6l  - PINACO: 340.000</t>
  </si>
  <si>
    <t>C000037866</t>
  </si>
  <si>
    <t>Hưng Thịnh</t>
  </si>
  <si>
    <t>Ắc quy xe điện - Pa 12.14 - PINACO: 400.000, OTHER: 375.000</t>
  </si>
  <si>
    <t>C000031003</t>
  </si>
  <si>
    <t>Phụ tùng Trọng</t>
  </si>
  <si>
    <t>C000004032</t>
  </si>
  <si>
    <t>Ắc quy xe máy - Ptz6hl - GS: 250.000, PINACO: 240.000, OTHER: 180.000</t>
  </si>
  <si>
    <t>C000036242</t>
  </si>
  <si>
    <t>Kim Trân GM</t>
  </si>
  <si>
    <t>4.481.000 VNĐ</t>
  </si>
  <si>
    <t>Ắc quy xe máy - ptz5L  - PINACO: 245.000</t>
  </si>
  <si>
    <t>C000004130</t>
  </si>
  <si>
    <t>Anh Bảy</t>
  </si>
  <si>
    <t>6.791.000 VNĐ</t>
  </si>
  <si>
    <t>C000004540</t>
  </si>
  <si>
    <t>Quyến</t>
  </si>
  <si>
    <t>C000019440</t>
  </si>
  <si>
    <t>Ắc quy xe máy - Ptz6hl - PINACO: 260.000, GLOBE: 270.000</t>
  </si>
  <si>
    <t>C000004127</t>
  </si>
  <si>
    <t>SX Bảo Hân</t>
  </si>
  <si>
    <t>620.000 VNĐ</t>
  </si>
  <si>
    <t>C000004125</t>
  </si>
  <si>
    <t>Thanh Trọn</t>
  </si>
  <si>
    <t>5.600.000 VNĐ</t>
  </si>
  <si>
    <t>Ắc quy xe máy - Ptz5l - PINACO: 250.000, GS: 0</t>
  </si>
  <si>
    <t>C000005101</t>
  </si>
  <si>
    <t>C000004122</t>
  </si>
  <si>
    <t>Ắc quy xe máy - Ptz5l - PINACO: 250.000_x000D_
Ắc quy xe máy - Ptz5l - PINACO: 250.000</t>
  </si>
  <si>
    <t>C000019038</t>
  </si>
  <si>
    <t>Tấn Thành- Tân Hội Trung</t>
  </si>
  <si>
    <t>Ắc quy xe máy - Ptz5l  - PINACO: 235.000, GS: 255.000, GLOBE: 245.000</t>
  </si>
  <si>
    <t>C000004120</t>
  </si>
  <si>
    <t>Hải Nam</t>
  </si>
  <si>
    <t>13.653.000 VNĐ</t>
  </si>
  <si>
    <t>C000004641</t>
  </si>
  <si>
    <t>Hai Tâm DD</t>
  </si>
  <si>
    <t>Ắc quy dân dụng - N25.n28. N100 - PINACO: 660_x000D_
Ắc quy dân dụng - N100 - PINACO: 1.733</t>
  </si>
  <si>
    <t>C000037345</t>
  </si>
  <si>
    <t>kim ngân</t>
  </si>
  <si>
    <t>169.000.000 VNĐ</t>
  </si>
  <si>
    <t>C000035226</t>
  </si>
  <si>
    <t>Nguyên Võ GM</t>
  </si>
  <si>
    <t>10.980.000 VNĐ</t>
  </si>
  <si>
    <t>Pinaco / Đồng Nai - 6_x000D_
GS - 2_x000D_
Thiên Năng - 2</t>
  </si>
  <si>
    <t>Ắc quy xe máy - ptz5L  - PINACO: 229, GS: 240, THIEN_NANG: 450</t>
  </si>
  <si>
    <t>C000023864</t>
  </si>
  <si>
    <t>Tuyết Vân GM</t>
  </si>
  <si>
    <t>C000035227</t>
  </si>
  <si>
    <t>Hữu Tài GM</t>
  </si>
  <si>
    <t>17.270.000 VNĐ</t>
  </si>
  <si>
    <t>C000004234</t>
  </si>
  <si>
    <t>9.867.000 VNĐ</t>
  </si>
  <si>
    <t>Ắc quy xe máy - Ptz5l - PINACO: 240.000, GS: 0</t>
  </si>
  <si>
    <t>C000005121</t>
  </si>
  <si>
    <t>CH Mạnh</t>
  </si>
  <si>
    <t>C000036857</t>
  </si>
  <si>
    <t>CH MANH</t>
  </si>
  <si>
    <t>Ắc quy xe máy - Ptx6hl - PINACO: 230.000_x000D_
Ắc quy xe máy - Ptx5l  - PINACO: 190.000</t>
  </si>
  <si>
    <t>C000023863</t>
  </si>
  <si>
    <t>Chị Hằng</t>
  </si>
  <si>
    <t>10.700.000 VNĐ</t>
  </si>
  <si>
    <t>C000003528</t>
  </si>
  <si>
    <t>Sáu Thích</t>
  </si>
  <si>
    <t>Ắc quy xe máy - Ptx6hl  - PINACO: 240.000</t>
  </si>
  <si>
    <t xml:space="preserve">Không cho chụp ảnh </t>
  </si>
  <si>
    <t>C000005128</t>
  </si>
  <si>
    <t>448.000.000 VNĐ</t>
  </si>
  <si>
    <t>Ắc quy dân dụng - N30 - PINACO: 742.000</t>
  </si>
  <si>
    <t>C000036856</t>
  </si>
  <si>
    <t>CH TRUNG</t>
  </si>
  <si>
    <t>Ắc quy xe máy - Ptz5l  - PINACO: 229.000_x000D_
Ắc quy xe máy - Ptz6hl  - PINACO: 241.000_x000D_
Ắc quy xe máy - Ptz6l - PINACO: 281.000</t>
  </si>
  <si>
    <t>C000025813</t>
  </si>
  <si>
    <t>Út Gắp</t>
  </si>
  <si>
    <t>1.108.000 VNĐ</t>
  </si>
  <si>
    <t>C000037302</t>
  </si>
  <si>
    <t>SX Hào</t>
  </si>
  <si>
    <t>2.470.667 VNĐ</t>
  </si>
  <si>
    <t>C000003645</t>
  </si>
  <si>
    <t>SX Nhịn 444</t>
  </si>
  <si>
    <t>Ắc quy xe máy - Ptz5l  - PINACO: 300.000_x000D_
Ắc quy xe máy - Ptz6l iss  - PINACO: 350.000_x000D_
Ắc quy xe máy - Ptz6hl  - PINACO: 310.000</t>
  </si>
  <si>
    <t xml:space="preserve">Giá cao quá khó thay mong có sự thay đổi </t>
  </si>
  <si>
    <t>C000004222</t>
  </si>
  <si>
    <t>SX Lộc ct</t>
  </si>
  <si>
    <t>C000004221</t>
  </si>
  <si>
    <t>Tấn Tài bt</t>
  </si>
  <si>
    <t>C000004220</t>
  </si>
  <si>
    <t>Anh Dũng bt</t>
  </si>
  <si>
    <t>3.576.000 VNĐ</t>
  </si>
  <si>
    <t>C000004087</t>
  </si>
  <si>
    <t>SX Út</t>
  </si>
  <si>
    <t>C000019482</t>
  </si>
  <si>
    <t>PT Huy Dũng</t>
  </si>
  <si>
    <t>Ắc quy xe máy - Ptz5l - PINACO: 250.000, GS: 270.000, GLOBE: 250.000</t>
  </si>
  <si>
    <t>C000004090</t>
  </si>
  <si>
    <t>Chú Út</t>
  </si>
  <si>
    <t>Ắc quy xe điện - Pa 12.14 - PINACO: 400.000, XUPAI: 400.000</t>
  </si>
  <si>
    <t>C000019191</t>
  </si>
  <si>
    <t>568.000.000 VNĐ</t>
  </si>
  <si>
    <t>Ắc quy xe điện - N100 - PINACO: 2.100.000</t>
  </si>
  <si>
    <t>C000018498</t>
  </si>
  <si>
    <t>Trang Luân</t>
  </si>
  <si>
    <t>Ắc quy oto - 31800 - PINACO: 2.300.000, GS: 2.250.000, NGOAI_NHAP: 2</t>
  </si>
  <si>
    <t xml:space="preserve">Chương trình khuyến mãi còn nhiều rắc rối, hơi khó hiểu </t>
  </si>
  <si>
    <t>C000018811</t>
  </si>
  <si>
    <t>Tư Mai</t>
  </si>
  <si>
    <t>3.153.000 VNĐ</t>
  </si>
  <si>
    <t>C000004093</t>
  </si>
  <si>
    <t>Hiếu Tâm</t>
  </si>
  <si>
    <t>C000004219</t>
  </si>
  <si>
    <t>Phát Hưng</t>
  </si>
  <si>
    <t>C000017992</t>
  </si>
  <si>
    <t>PT Kim Ngân</t>
  </si>
  <si>
    <t xml:space="preserve">Khach la nguoi Hoa nến rất khó tín </t>
  </si>
  <si>
    <t>C000004566</t>
  </si>
  <si>
    <t>Hoàng Luân</t>
  </si>
  <si>
    <t>Ắc quy xe máy - Ptz6hl - PINACO: 270.000, ENIMAC: 270.000</t>
  </si>
  <si>
    <t>C000003508</t>
  </si>
  <si>
    <t>8 Tiên</t>
  </si>
  <si>
    <t>C000005138</t>
  </si>
  <si>
    <t>Muội</t>
  </si>
  <si>
    <t>Ắc quy dân dụng - N30 - PINACO: 740.000</t>
  </si>
  <si>
    <t>C000003495</t>
  </si>
  <si>
    <t>SX Tý</t>
  </si>
  <si>
    <t>Ắc quy xe máy - Ptz6l  - PINACO: 300.000</t>
  </si>
  <si>
    <t>C000023859</t>
  </si>
  <si>
    <t>Ắc quy xe máy - Ptz6l - PINACO: 330.000</t>
  </si>
  <si>
    <t>C000038586</t>
  </si>
  <si>
    <t>SX Huỳnh Long</t>
  </si>
  <si>
    <t>Ắc quy xe máy - Pt6hl ptz5l - PINACO: 230.240</t>
  </si>
  <si>
    <t>C000003496</t>
  </si>
  <si>
    <t>C000038585</t>
  </si>
  <si>
    <t>SX Trường Hận</t>
  </si>
  <si>
    <t>3.000 VNĐ</t>
  </si>
  <si>
    <t>Ắc quy xe máy - Ptz5l - PINACO: 230, GLOBE: 220</t>
  </si>
  <si>
    <t>C000027584</t>
  </si>
  <si>
    <t>Hoàng Thức</t>
  </si>
  <si>
    <t>Ắc quy oto - 90d26 - PINACO: 1.550.000, GS: 1.550.000</t>
  </si>
  <si>
    <t>C000003979</t>
  </si>
  <si>
    <t>Mai trang</t>
  </si>
  <si>
    <t>Ắc quy oto - 318000 - PINACO: 2.100.000, GS: 220.000</t>
  </si>
  <si>
    <t>C000004205</t>
  </si>
  <si>
    <t>Sĩ Hùng</t>
  </si>
  <si>
    <t>6.523.000 VNĐ</t>
  </si>
  <si>
    <t>C000037949</t>
  </si>
  <si>
    <t>Huynh Nhu</t>
  </si>
  <si>
    <t>13.570.000 VNĐ</t>
  </si>
  <si>
    <t>Ắc quy xe máy - Ptz5l - PINACO: 255.000</t>
  </si>
  <si>
    <t>C000019000</t>
  </si>
  <si>
    <t>SX Khanh</t>
  </si>
  <si>
    <t>C000004272</t>
  </si>
  <si>
    <t>Tài Phát</t>
  </si>
  <si>
    <t>Ắc quy xe tải - N70z - PINACO: 1.700.000</t>
  </si>
  <si>
    <t>C000004276</t>
  </si>
  <si>
    <t>Châu Tuyến</t>
  </si>
  <si>
    <t>Khong cho chup kho</t>
  </si>
  <si>
    <t>C000004275</t>
  </si>
  <si>
    <t>Hoàng Khải</t>
  </si>
  <si>
    <t>C000003722</t>
  </si>
  <si>
    <t>Sáu Huệ PT</t>
  </si>
  <si>
    <t>Ắc quy xe máy - Ptz6hl  - PINACO: 235.000, GS: 255.000</t>
  </si>
  <si>
    <t>C000003720</t>
  </si>
  <si>
    <t>Hoàng Dũng SX</t>
  </si>
  <si>
    <t>C000026997</t>
  </si>
  <si>
    <t>Dũng GM</t>
  </si>
  <si>
    <t>3.301.000 VNĐ</t>
  </si>
  <si>
    <t>Ắc quy xe máy - Ptz6hl  - PINACO: 245.000</t>
  </si>
  <si>
    <t>C000003440</t>
  </si>
  <si>
    <t>Minh 1</t>
  </si>
  <si>
    <t>Ắc quy xe máy - Ptx6hl  - PINACO: 240.000, GLOBE: 250.000</t>
  </si>
  <si>
    <t>C000018444</t>
  </si>
  <si>
    <t>Tân Phú Hòa</t>
  </si>
  <si>
    <t>Ắc quy xe tải - 90d26 - PINACO: 1.500.000, GS: 1.500.000</t>
  </si>
  <si>
    <t>C000003533</t>
  </si>
  <si>
    <t>Thành Việt</t>
  </si>
  <si>
    <t>2.555.000.009 VNĐ</t>
  </si>
  <si>
    <t>Ắc quy oto - N100 - PINACO: 1.800.000, GS: 1.740.000</t>
  </si>
  <si>
    <t>C000004192</t>
  </si>
  <si>
    <t>Phước Thành gm</t>
  </si>
  <si>
    <t>21.350.000 VNĐ</t>
  </si>
  <si>
    <t>C000003868</t>
  </si>
  <si>
    <t>Mười Hai DD</t>
  </si>
  <si>
    <t>48.664.000 VNĐ</t>
  </si>
  <si>
    <t>Ắc quy oto - N70 - PINACO: 1.550.000</t>
  </si>
  <si>
    <t>C000033997</t>
  </si>
  <si>
    <t>Sx Đen</t>
  </si>
  <si>
    <t>Ắc quy xe máy - Ptz6hl  - PINACO: 241.000_x000D_
Ắc quy xe máy - Ptz5l  - PINACO: 229.000_x000D_
Ắc quy xe máy - Ptz6l - PINACO: 281.000</t>
  </si>
  <si>
    <t>C000005090</t>
  </si>
  <si>
    <t>CH Bé</t>
  </si>
  <si>
    <t>Ắc quy oto - N100 - PINACO: 2.000.000, ENIMAC: 1.900.000</t>
  </si>
  <si>
    <t>C000005074</t>
  </si>
  <si>
    <t>Minh Dự</t>
  </si>
  <si>
    <t>Ắc quy xe máy - Ptz6hl - PINACO: 241.000_x000D_
Ắc quy xe máy - Ptz5l  - PINACO: 229.000, GS: 251.000</t>
  </si>
  <si>
    <t>Khong đuoc phep vô kho</t>
  </si>
  <si>
    <t>C000035398</t>
  </si>
  <si>
    <t>Mười Hai GM</t>
  </si>
  <si>
    <t>11.137.000 VNĐ</t>
  </si>
  <si>
    <t>Ắc quy xe máy - ptz5L  - PINACO: 235.000</t>
  </si>
  <si>
    <t>C000004190</t>
  </si>
  <si>
    <t>SX Thương</t>
  </si>
  <si>
    <t>C000003531</t>
  </si>
  <si>
    <t>94.000.009 VNĐ</t>
  </si>
  <si>
    <t>Pinaco / Đồng Nai - 6_x000D_
GS - 3_x000D_
Ắc quy ngoại nhập - 1</t>
  </si>
  <si>
    <t>Ắc quy xe tải - N100 - PINACO: 2.000.000, GS: 1.900.000</t>
  </si>
  <si>
    <t>C000028472</t>
  </si>
  <si>
    <t>HAI SAM</t>
  </si>
  <si>
    <t>Ắc quy xe máy - Ptz6l - PINACO: 350.000</t>
  </si>
  <si>
    <t>C000019571</t>
  </si>
  <si>
    <t>Quốc Hưng</t>
  </si>
  <si>
    <t>Ắc quy xe máy - Ptz6hl - PINACO: 250.000, GS: 270.000, GLOBE: 250.000</t>
  </si>
  <si>
    <t>C000037521</t>
  </si>
  <si>
    <t>Tam</t>
  </si>
  <si>
    <t>C000003863</t>
  </si>
  <si>
    <t>Thảo GM</t>
  </si>
  <si>
    <t>Ắc quy xe máy - Ptz5l - PINACO: 229.000, GS: 245.000</t>
  </si>
  <si>
    <t>C000029313</t>
  </si>
  <si>
    <t>PT Minh Hiếu</t>
  </si>
  <si>
    <t>Ắc quy xe máy - Ptz5l - PINACO: 240.000, GS: 270.000</t>
  </si>
  <si>
    <t>C000003625</t>
  </si>
  <si>
    <t>Thanh Hoa 444</t>
  </si>
  <si>
    <t>5.750.000 VNĐ</t>
  </si>
  <si>
    <t>Ắc quy xe máy - Ptz5l  - GS: 300.000, PINACO: 280.000_x000D_
Ắc quy xe máy - PTz6hl  - GS: 310.000, PINACO: 290.000_x000D_
Ắc quy xe máy - Ptz6l iss  - GS: 380.000, PINACO: 350.000</t>
  </si>
  <si>
    <t xml:space="preserve">Giá cao với sản phẩm khác khó thay được giá tốt cho khách hàng </t>
  </si>
  <si>
    <t>C000037871</t>
  </si>
  <si>
    <t>CH Trí</t>
  </si>
  <si>
    <t>Ắc quy xe máy - Ptz6hl - PINACO: 260.000, GS: 280.000</t>
  </si>
  <si>
    <t>C000004083</t>
  </si>
  <si>
    <t>Sáu Cao</t>
  </si>
  <si>
    <t>C000022793</t>
  </si>
  <si>
    <t>Ắc quy oto - N120 - PINACO: 2.400.000, GS: 2.450.000</t>
  </si>
  <si>
    <t>C000034725</t>
  </si>
  <si>
    <t>Phú Hòa 2</t>
  </si>
  <si>
    <t>Ắc quy xe máy - Ptz6hl - PINACO: 235.000, GS: 250.000, GLOBE: 245.000</t>
  </si>
  <si>
    <t>Khách khg cho chụp kho hàng .</t>
  </si>
  <si>
    <t>C000029306</t>
  </si>
  <si>
    <t>THE THANH</t>
  </si>
  <si>
    <t>C000004294</t>
  </si>
  <si>
    <t>Thế Tôn</t>
  </si>
  <si>
    <t>C000004181</t>
  </si>
  <si>
    <t>Vân Hà</t>
  </si>
  <si>
    <t>6.350.000 VNĐ</t>
  </si>
  <si>
    <t>C000004176</t>
  </si>
  <si>
    <t>468.000 VNĐ</t>
  </si>
  <si>
    <t>Bán lẻ: 27%; Bán sỉ: 73%</t>
  </si>
  <si>
    <t>Ắc quy xe máy - Ptz6hl - PINACO: 285.000</t>
  </si>
  <si>
    <t>C000003482</t>
  </si>
  <si>
    <t>SX Chơn</t>
  </si>
  <si>
    <t>Ắc quy xe máy - Ptz6L - PINACO: 300.000</t>
  </si>
  <si>
    <t>C000003618</t>
  </si>
  <si>
    <t>Văn Thành 444</t>
  </si>
  <si>
    <t>5.779.000 VNĐ</t>
  </si>
  <si>
    <t>Ắc quy xe máy - Ptz5l  - PINACO: 280.000, ENIMAC: 290.000_x000D_
Ắc quy xe máy - Ptz6hl  - PINACO: 290.000, ENIMAC: 300.000_x000D_
Ắc quy xe máy - Ptz6l iss  - PINACO: 360.000, ENIMAC: 370.000_x000D_
Ắc quy xe máy - PTZ7L  - PINACO: 500.000</t>
  </si>
  <si>
    <t xml:space="preserve">Khách hàng lâu năm 
Cũng có chê giá hơi cao
Từ lúc CTY lên giá 
Khó thay hơn lúc trước </t>
  </si>
  <si>
    <t>C000004173</t>
  </si>
  <si>
    <t>Thiên Tâm gm</t>
  </si>
  <si>
    <t>15.387.000 VNĐ</t>
  </si>
  <si>
    <t>Ắc quy xe máy - Ptz5l - PINACO: 245.000</t>
  </si>
  <si>
    <t>C000031006</t>
  </si>
  <si>
    <t>Dung Phúc DD</t>
  </si>
  <si>
    <t>11.282.000 VNĐ</t>
  </si>
  <si>
    <t>Ắc quy oto - 44b - PINACO: 1.044.000</t>
  </si>
  <si>
    <t>C000003483</t>
  </si>
  <si>
    <t>Mốt</t>
  </si>
  <si>
    <t>730.000 VNĐ</t>
  </si>
  <si>
    <t>C000003613</t>
  </si>
  <si>
    <t>Hai Thấy 444</t>
  </si>
  <si>
    <t>28.436.000 VNĐ</t>
  </si>
  <si>
    <t>Ắc quy xe máy - Ptz5l  - PINACO: 280.000_x000D_
Ắc quy xe máy - Ptz6hl  - PINACO: 290.000_x000D_
Ắc quy xe máy - Ptz6l iss  - PINACO: 340.000_x000D_
Ắc quy xe tải - PA 12-14 - PINACO: 1.700.000, OTHER: 1.600.000</t>
  </si>
  <si>
    <t xml:space="preserve">Giá cao quá khó thay cho khách hàng được giá tốt </t>
  </si>
  <si>
    <t>C000036859</t>
  </si>
  <si>
    <t>Pt SAVEN</t>
  </si>
  <si>
    <t>2.660.000 VNĐ</t>
  </si>
  <si>
    <t>Ắc quy xe điện - Pa  12-14 - PINACO: 457.000</t>
  </si>
  <si>
    <t>C000003556</t>
  </si>
  <si>
    <t>Văn Thà</t>
  </si>
  <si>
    <t>Ắc quy xe tải - N150 - PINACO: 3.100.000</t>
  </si>
  <si>
    <t>N100 sạc nước rất hôi, nóng binh, yêu cầu công ty kiểm tra lại</t>
  </si>
  <si>
    <t>C000019009</t>
  </si>
  <si>
    <t>C000005080</t>
  </si>
  <si>
    <t>Đặng</t>
  </si>
  <si>
    <t>C000035562</t>
  </si>
  <si>
    <t>CH Hieu</t>
  </si>
  <si>
    <t>C000004534</t>
  </si>
  <si>
    <t>Thanh Hải Trường Xuân</t>
  </si>
  <si>
    <t>C000003610</t>
  </si>
  <si>
    <t>A Tuấn 444</t>
  </si>
  <si>
    <t>2.780.000 VNĐ</t>
  </si>
  <si>
    <t>Ắc quy xe máy - Ptz5l  - PINACO: 300.000_x000D_
Ắc quy xe máy - Ptz6hl  - PINACO: 310.000_x000D_
Ắc quy xe máy - Ptz6l iss  - PINACO: 390.000</t>
  </si>
  <si>
    <t xml:space="preserve">Thị trường đang yếu nên thay cũng không nhiều 
</t>
  </si>
  <si>
    <t>C000004058</t>
  </si>
  <si>
    <t>Minh Hùng</t>
  </si>
  <si>
    <t>Ắc quy xe máy - Ptz6hl - PINACO: 225.000, GS: 260.000, GLOBE: 250.000</t>
  </si>
  <si>
    <t>C000004287</t>
  </si>
  <si>
    <t>5 Thưởng</t>
  </si>
  <si>
    <t>C000018396</t>
  </si>
  <si>
    <t>Ắc quy xe máy - Ptz5l  - PINACO: 230.000_x000D_
Ắc quy khác - Pa 12_14 - PINACO: 500.000</t>
  </si>
  <si>
    <t>C000005231</t>
  </si>
  <si>
    <t>Ắc quy xe máy - Ptz5l, ptz6hl, ptz6l - PINACO: 241.000_x000D_
Ắc quy xe máy - Ptz5l  - PINACO: 229.000_x000D_
Ắc quy xe máy - Ptz6l - PINACO: 381.000</t>
  </si>
  <si>
    <t>C000003609</t>
  </si>
  <si>
    <t>Anh Khánh 444</t>
  </si>
  <si>
    <t>34.796.000 VNĐ</t>
  </si>
  <si>
    <t>Pinaco / Đồng Nai - 5_x000D_
Xupai - 3_x000D_
Nhãn hiệu khác - 2</t>
  </si>
  <si>
    <t>Ắc quy xe máy - Ptz5l  - PINACO: 300.000, OTHER: 310.000_x000D_
Ắc quy xe máy - Ptz6hl  - PINACO: 310.000, OTHER: 300.000_x000D_
Ắc quy xe máy - Ptz6l iss  - PINACO: 380.000, XUPAI: 350.000_x000D_
Ắc quy xe điện - PA 12-14 - PINACO: 1.700.000, XUPAI: 1.600.000, OTHER: 1.500.000</t>
  </si>
  <si>
    <t xml:space="preserve">Giá bình 12-14 quá cao nên không bán hàng ra nhiều được mong CTY cho giá hợp lý hơn để tiêu thụ nhiều hơn </t>
  </si>
  <si>
    <t>C000005081</t>
  </si>
  <si>
    <t>CH Ngọc</t>
  </si>
  <si>
    <t>C000017990</t>
  </si>
  <si>
    <t>SX Việt</t>
  </si>
  <si>
    <t>Ắc quy xe máy - Ptz5l  - PINACO: 229.000</t>
  </si>
  <si>
    <t>C000023884</t>
  </si>
  <si>
    <t>Minh Tuấn</t>
  </si>
  <si>
    <t>Ắc quy xe máy - Ptz6hl - PINACO: 240.000, GS: 270.000, GLOBE: 240.000</t>
  </si>
  <si>
    <t>C000004171</t>
  </si>
  <si>
    <t>Bảy Chanh gm</t>
  </si>
  <si>
    <t>12.025.000 VNĐ</t>
  </si>
  <si>
    <t>C000005230</t>
  </si>
  <si>
    <t>SX Thanh Tâm</t>
  </si>
  <si>
    <t>Ắc quy xe máy - Ptz6hl, ptz5l  - PINACO: 241.000</t>
  </si>
  <si>
    <t>Kho khach khong cho vài</t>
  </si>
  <si>
    <t>C000004057</t>
  </si>
  <si>
    <t>Lê Vinh</t>
  </si>
  <si>
    <t>C000003491</t>
  </si>
  <si>
    <t>Tỷ Hiên</t>
  </si>
  <si>
    <t>C000005135</t>
  </si>
  <si>
    <t>C000003615</t>
  </si>
  <si>
    <t>Ngô Văn Mỹ 444</t>
  </si>
  <si>
    <t>7.306 VNĐ</t>
  </si>
  <si>
    <t>Ắc quy xe máy - Ptx5l  - PINACO: 300.000_x000D_
Ắc quy xe máy - Ptx6hl  - PINACO: 310.000_x000D_
Ắc quy xe máy - Ptz6l iss  - PINACO: 380.000_x000D_
Ắc quy xe máy - PTZ7L  - PINACO: 500.000_x000D_
Ắc quy xe máy - Ptz7A  - PINACO: 500.000_x000D_
Ắc quy xe điện - PA -12-14 - PINACO: 1.600.000</t>
  </si>
  <si>
    <t xml:space="preserve">Giá cao quá 
Mong muốn rẻ hơn để dễ thay cho khách hàng giá tốt </t>
  </si>
  <si>
    <t>C000004055</t>
  </si>
  <si>
    <t>Ngọc Châu_AB</t>
  </si>
  <si>
    <t>Pinaco / Đồng Nai - 2_x000D_
GS - 7_x000D_
Globe - 1</t>
  </si>
  <si>
    <t>Ắc quy xe máy - Ptz6hl - PINACO: 250.000, GS: 270.000, GLOBE: 255.000</t>
  </si>
  <si>
    <t>C000003619</t>
  </si>
  <si>
    <t>Lâm Vũ 444</t>
  </si>
  <si>
    <t>7.276.000 VNĐ</t>
  </si>
  <si>
    <t>Pinaco / Đồng Nai - 3_x000D_
GS - 3_x000D_
Globe - 3_x000D_
Nhãn hiệu khác - 1</t>
  </si>
  <si>
    <t>Ắc quy xe máy - Ptz5l  - GLOBE: 290.000, GS: 300.000, PINACO: 280.000, OTHER: 250.000_x000D_
Ắc quy xe máy - Ptz6hl  - PINACO: 280.000, GS: 310.000, GLOBE: 290.000, OTHER: 270.000_x000D_
Ắc quy xe máy - Ptz6l iss  - PINACO: 340.000, GS: 370.000, GLOBE: 350.000, OTHER: 300.000</t>
  </si>
  <si>
    <t xml:space="preserve">Giá cao khó thay được nhiều </t>
  </si>
  <si>
    <t>C000003620</t>
  </si>
  <si>
    <t>Tấn Liêm 444</t>
  </si>
  <si>
    <t>1.578.000 VNĐ</t>
  </si>
  <si>
    <t>Ắc quy xe máy - Ptx5l  - PINACO: 280.000_x000D_
Ắc quy xe máy - Ptx6hl  - PINACO: 290.000_x000D_
Ắc quy xe máy - Ptz6l iss  - PINACO: 350.000</t>
  </si>
  <si>
    <t xml:space="preserve">Sài lâu năm. Không quan trọng về giá </t>
  </si>
  <si>
    <t>C000003820</t>
  </si>
  <si>
    <t>Sáu Lai GM</t>
  </si>
  <si>
    <t>7.867.333 VNĐ</t>
  </si>
  <si>
    <t>Ắc quy xe máy - ptz5L  - PINACO: 229.000, GS: 240.000</t>
  </si>
  <si>
    <t>C000017756</t>
  </si>
  <si>
    <t>12.400.000 VNĐ</t>
  </si>
  <si>
    <t>C000023514</t>
  </si>
  <si>
    <t>Văn Ba</t>
  </si>
  <si>
    <t>Ắc quy xe máy - Ptz6hl - PINACO: 270.000, GS: 280.000</t>
  </si>
  <si>
    <t>C000035136</t>
  </si>
  <si>
    <t>Giang Hà GM</t>
  </si>
  <si>
    <t>52.773.132 VNĐ</t>
  </si>
  <si>
    <t>C000004054</t>
  </si>
  <si>
    <t>Tín nghĩa</t>
  </si>
  <si>
    <t>Ắc quy xe máy - Ptz5l - PINACO: 240, GLOBE: 245</t>
  </si>
  <si>
    <t>C000018361</t>
  </si>
  <si>
    <t>Hoàng Loan</t>
  </si>
  <si>
    <t>C000004041</t>
  </si>
  <si>
    <t>Ắc quy xe máy - Ptz6hl - GS: 270.000, PINACO: 240.000</t>
  </si>
  <si>
    <t>C000003546</t>
  </si>
  <si>
    <t>Tám 127</t>
  </si>
  <si>
    <t>Làm chương trình khiến mãi ( vé du lịch sao cho phù hợp khách hàng, khoảng 100t / 1 tháng, ) để cùng đồng hành cùng công ty</t>
  </si>
  <si>
    <t>C000038289</t>
  </si>
  <si>
    <t>Vinh Lê</t>
  </si>
  <si>
    <t>469.000 VNĐ</t>
  </si>
  <si>
    <t>C000004049</t>
  </si>
  <si>
    <t>SX Tuấn Khanh</t>
  </si>
  <si>
    <t>C000004264</t>
  </si>
  <si>
    <t>Tám Bé</t>
  </si>
  <si>
    <t>GS - 5_x000D_
Enimac - 3_x000D_
Globe - 2_x000D_
Nhãn hiệu khác - 0</t>
  </si>
  <si>
    <t>Ắc quy xe tải - N100 - GS: 2.100.000, ENIMAC: 2.000.000</t>
  </si>
  <si>
    <t>C000004050</t>
  </si>
  <si>
    <t>Phước Lộc_TH</t>
  </si>
  <si>
    <t>C000003465</t>
  </si>
  <si>
    <t>PT Dung</t>
  </si>
  <si>
    <t>C000037150</t>
  </si>
  <si>
    <t>CH Thanh Hải</t>
  </si>
  <si>
    <t>Ắc quy xe máy - Ptz5l  - PINACO: 230.000, GS: 250.000, GLOBE: 240.000</t>
  </si>
  <si>
    <t>C000019424</t>
  </si>
  <si>
    <t>Ba Thuận</t>
  </si>
  <si>
    <t>Ắc quy xe máy - Ptz6hl - PINACO: 245.000, GS: 270.000, GLOBE: 255.000</t>
  </si>
  <si>
    <t>C000003596</t>
  </si>
  <si>
    <t>Hoàng Nguyên 444</t>
  </si>
  <si>
    <t>10.426.000 VNĐ</t>
  </si>
  <si>
    <t>Ắc quy xe máy - Ptx5l  - PINACO: 230.000_x000D_
Ắc quy xe máy - Ptx6hl  - PINACO: 240.000_x000D_
Ắc quy xe máy - Ptz6l iss  - PINACO: 300.000_x000D_
Ắc quy xe máy - PTZ7L  - PINACO: 500.000_x000D_
Ắc quy xe máy - Ptz9 - PINACO: 550.000</t>
  </si>
  <si>
    <t xml:space="preserve">Muốn có tốt để bán sỉ cho những chỗ sửa xe khác </t>
  </si>
  <si>
    <t>C000003454</t>
  </si>
  <si>
    <t>Phương mai 2</t>
  </si>
  <si>
    <t>C000004506</t>
  </si>
  <si>
    <t>Lành</t>
  </si>
  <si>
    <t>Ắc quy xe máy - Ptz5l  - PINACO: 260.000, GS: 280.000, ENIMAC: 260.000</t>
  </si>
  <si>
    <t>C000003811</t>
  </si>
  <si>
    <t>Dũng Nga DD</t>
  </si>
  <si>
    <t>48.110.000 VNĐ</t>
  </si>
  <si>
    <t>Ắc quy oto - N100 - PINACO: 2.050.000, GS: 1.930.000</t>
  </si>
  <si>
    <t>C000003455</t>
  </si>
  <si>
    <t>C000027145</t>
  </si>
  <si>
    <t>751 VNĐ</t>
  </si>
  <si>
    <t>Ắc quy xe máy - Ptz6l iss  - PINACO: 320.000_x000D_
Ắc quy xe máy - Ptz5l  - PINACO: 280.000_x000D_
Ắc quy xe máy - Ptz6hl  - PINACO: 290.000</t>
  </si>
  <si>
    <t xml:space="preserve">Giá cao khó thay </t>
  </si>
  <si>
    <t>C000003457</t>
  </si>
  <si>
    <t>Giàu</t>
  </si>
  <si>
    <t>C000019141</t>
  </si>
  <si>
    <t>3.451.000 VNĐ</t>
  </si>
  <si>
    <t>Ắc quy xe máy - Ptz5l  - PINACO: 270.000, GLOBE: 280.000, GS: 290.000_x000D_
Ắc quy xe máy - PTZ6HL  - PINACO: 280.000, GS: 300.000, GLOBE: 290.000_x000D_
Ắc quy xe máy - Ptz6l iss  - PINACO: 320.000, GS: 380.000, GLOBE: 350.000</t>
  </si>
  <si>
    <t xml:space="preserve">Giá cao khó thay. </t>
  </si>
  <si>
    <t>C000021115</t>
  </si>
  <si>
    <t>Quang Vũ</t>
  </si>
  <si>
    <t>C000003458</t>
  </si>
  <si>
    <t>Tư Đỏ</t>
  </si>
  <si>
    <t>C000004257</t>
  </si>
  <si>
    <t>Nguyệt</t>
  </si>
  <si>
    <t>Khách không đồng ý chụp kho</t>
  </si>
  <si>
    <t>C000034727</t>
  </si>
  <si>
    <t>Hảo GM</t>
  </si>
  <si>
    <t>Ắc quy xe máy - Ptz6hl - PINACO: 240, GS: 347, GLOBE: 237</t>
  </si>
  <si>
    <t>O</t>
  </si>
  <si>
    <t>C000019483</t>
  </si>
  <si>
    <t>PT Hạnh</t>
  </si>
  <si>
    <t>65.400.000 VNĐ</t>
  </si>
  <si>
    <t>Ắc quy xe máy - Ptz6hl - PINACO: 240.000, GS: 270.000, GLOBE: 260.000</t>
  </si>
  <si>
    <t>C000003463</t>
  </si>
  <si>
    <t>Chơn</t>
  </si>
  <si>
    <t xml:space="preserve">Không chụp được kho </t>
  </si>
  <si>
    <t>C000004036</t>
  </si>
  <si>
    <t>Phát Triều</t>
  </si>
  <si>
    <t>Ắc quy xe máy - Prz6hl - PINACO: 240.000, GS: 260.000</t>
  </si>
  <si>
    <t>C000003464</t>
  </si>
  <si>
    <t>Tú</t>
  </si>
  <si>
    <t>C000003472</t>
  </si>
  <si>
    <t>Văn Nhân</t>
  </si>
  <si>
    <t>C000036379</t>
  </si>
  <si>
    <t>Thanh Tùng SX</t>
  </si>
  <si>
    <t>C000003606</t>
  </si>
  <si>
    <t>Lê Hùng 444</t>
  </si>
  <si>
    <t>5.908.000 VNĐ</t>
  </si>
  <si>
    <t>Ắc quy xe máy - Ptz5l  - PINACO: 280.000_x000D_
Ắc quy xe máy - Ptz6hl  - PINACO: 290.000_x000D_
Ắc quy xe máy - Ptz6l iss  - PINACO: 350.000_x000D_
Ắc quy xe máy - PTZ7L  - PINACO: 500.000_x000D_
Ắc quy xe máy - Ptz9 - PINACO: 550.000</t>
  </si>
  <si>
    <t xml:space="preserve">Không có í kiến nhiều 
Chủ yếu là thay ko bán sĩ ko quan trọng về giá cả </t>
  </si>
  <si>
    <t>C000003602</t>
  </si>
  <si>
    <t>Đồng Hưng 444</t>
  </si>
  <si>
    <t>Globe - 3_x000D_
GS - 4_x000D_
Pinaco / Đồng Nai - 2_x000D_
Xupai - 1</t>
  </si>
  <si>
    <t>Ắc quy xe máy - Ptz6l iss  - GLOBE: 300.000, GS: 330.000, PINACO: 280.000_x000D_
Ắc quy xe máy - Ptz6hl  - GLOBE: 235.000, GS: 240.000, PINACO: 230.000_x000D_
Ắc quy xe máy - Ptz5l  - GLOBE: 220.000, GS: 230.000, PINACO: 215.000_x000D_
Ắc quy xe điện - PA 12-14 - XUPAI: 1.600.000</t>
  </si>
  <si>
    <t>Giá cao quá nên bán không ra hàng được. Sợ bị troi date</t>
  </si>
  <si>
    <t>C000003601</t>
  </si>
  <si>
    <t>PT Dũng 444</t>
  </si>
  <si>
    <t>3.374.000 VNĐ</t>
  </si>
  <si>
    <t>Ắc quy xe máy - Ptx5l  - PINACO: 220.000_x000D_
Ắc quy xe máy - Ptx6hl  - PINACO: 230.000_x000D_
Ắc quy xe máy - ptz6l iss  - PINACO: 280.000</t>
  </si>
  <si>
    <t xml:space="preserve">Muốn bán nhiều nhưng khách hàng không chiệu mua. </t>
  </si>
  <si>
    <t>C000037849</t>
  </si>
  <si>
    <t>Thanh Xuân PA</t>
  </si>
  <si>
    <t>24.501.828 VNĐ</t>
  </si>
  <si>
    <t>Pinaco / Đồng Nai - 1_x000D_
Thiên Năng - 4_x000D_
Xupai - 3_x000D_
Nhãn hiệu khác - 2</t>
  </si>
  <si>
    <t>Ắc quy xe điện - PA 12-14 - PINACO: 1.700.000, THIEN_NANG: 1.600.000, XUPAI: 1.600.000, OTHER: 1.500.000</t>
  </si>
  <si>
    <t>Giá quá cao với những mặc hàng khác nên nhập hàng bán không ra</t>
  </si>
  <si>
    <t>C000035025</t>
  </si>
  <si>
    <t>Lê Khôi GM</t>
  </si>
  <si>
    <t>C000004022</t>
  </si>
  <si>
    <t>Duy Thanh</t>
  </si>
  <si>
    <t>Ắc quy xe máy - Ptz6hl - PINACO: 250.000, GS: 270.000</t>
  </si>
  <si>
    <t>C000004020</t>
  </si>
  <si>
    <t>Phú Quý</t>
  </si>
  <si>
    <t>Ắc quy xe máy - Ptz6hl - PINACO: 238.000, GS: 259.000, GLOBE: 246.000</t>
  </si>
  <si>
    <t>C000004028</t>
  </si>
  <si>
    <t>Lâm Cường</t>
  </si>
  <si>
    <t>Ắc quy xe máy - Ptz6hl - PINACO: 240.000, GS: 260.000</t>
  </si>
  <si>
    <t>C000038096</t>
  </si>
  <si>
    <t>Nguyễn Phong</t>
  </si>
  <si>
    <t>Ắc quy xe điện - 12_14 - PINACO: 400.000</t>
  </si>
  <si>
    <t>C000003933</t>
  </si>
  <si>
    <t>Kim Thành</t>
  </si>
  <si>
    <t>Pinaco / Đồng Nai - 4_x000D_
GS - 4_x000D_
Globe - 1_x000D_
Enimac - 1</t>
  </si>
  <si>
    <t>Ắc quy xe tải - N100 - PINACO: 1.900.000, GS: 1.900.000, GLOBE: 1.900.000, ENIMAC: 1.900.000</t>
  </si>
  <si>
    <t>C000037656</t>
  </si>
  <si>
    <t>PT Quyền</t>
  </si>
  <si>
    <t>Ắc quy xe máy - Ptz6hl - PINACO: 250.000, GS: 260.000, GLOBE: 245.000</t>
  </si>
  <si>
    <t>C000003535</t>
  </si>
  <si>
    <t>Pinaco / Đồng Nai - 4_x000D_
GS - 2_x000D_
Enimac - 1_x000D_
Ắc quy ngoại nhập - 3</t>
  </si>
  <si>
    <t>Ắc quy oto - N100 - PINACO: 190.000_x000D_
Ắc quy xe máy - Ptzl - GS: 280.000</t>
  </si>
  <si>
    <t>C000004016</t>
  </si>
  <si>
    <t>Thanh Xuân</t>
  </si>
  <si>
    <t>Ctkm .hạn chế thấy đổi</t>
  </si>
  <si>
    <t>C000004256</t>
  </si>
  <si>
    <t>Ba Cắt</t>
  </si>
  <si>
    <t>357.000.000 VNĐ</t>
  </si>
  <si>
    <t>Ắc quy xe tải - N150 - PINACO: 3.000.000</t>
  </si>
  <si>
    <t>C000003587</t>
  </si>
  <si>
    <t>SX Vũ 444</t>
  </si>
  <si>
    <t>7.886.000 VNĐ</t>
  </si>
  <si>
    <t>Ắc quy xe máy - Ptz5l  - PINACO: 290.000_x000D_
Ắc quy xe máy - PTz6hl  - PINACO: 300.000_x000D_
Ắc quy xe máy - Ptz6l iss  - PINACO: 370.000_x000D_
Ắc quy xe máy - PTZ7L  - PINACO: 450.000_x000D_
Ắc quy xe máy - Ptz7A - PINACO: 450.000_x000D_
Ắc quy xe máy - PTZ9  - PINACO: 500.000</t>
  </si>
  <si>
    <t xml:space="preserve">Cảm thấy rất tốt nhưng giá hơi cao </t>
  </si>
  <si>
    <t>C000019421</t>
  </si>
  <si>
    <t>Phú Hải</t>
  </si>
  <si>
    <t>Ctkm không nên thay đổi nhiều</t>
  </si>
  <si>
    <t>C000003586</t>
  </si>
  <si>
    <t>Phước Thành 444</t>
  </si>
  <si>
    <t>44.518.000 VNĐ</t>
  </si>
  <si>
    <t>Ắc quy xe máy - Ptz5l  - PINACO: 220.000, GS: 230.000, GLOBE: 225.000_x000D_
Ắc quy xe máy - Ptz6l iss  - PINACO: 280.000, GS: 300.000, GLOBE: 290.000_x000D_
Ắc quy xe máy - PTZ6HL  - PINACO: 230.000, GS: 240.000, GLOBE: 235.000_x000D_
Ắc quy xe điện - PA 12-14 - PINACO: 1.700.000_x000D_
Ắc quy xe máy - PA 12-23 - PINACO: 3.000.000</t>
  </si>
  <si>
    <t xml:space="preserve">Giá quá cao khó cạnh tranh 
</t>
  </si>
  <si>
    <t>C000035180</t>
  </si>
  <si>
    <t>sữa xe lợi</t>
  </si>
  <si>
    <t>C000003434</t>
  </si>
  <si>
    <t>Ắc quy oto - 31800 - PINACO: 2.250.000, GS: 2.000.000</t>
  </si>
  <si>
    <t>C000003579</t>
  </si>
  <si>
    <t>Quốc Thắng 444</t>
  </si>
  <si>
    <t>10.027.637 VNĐ</t>
  </si>
  <si>
    <t>Ắc quy xe máy - Ptx5l  - PINACO: 220.000, GLOBE: 230.000_x000D_
Ắc quy xe máy - Ptx6hl  - PINACO: 230.000, GLOBE: 240.000_x000D_
Ắc quy xe máy - Ptz6l iss  - PINACO: 280.000, GLOBE: 290.000_x000D_
Ắc quy xe máy - PTZ7L  - PINACO: 380.000_x000D_
Ắc quy xe máy - PTZ9  - PINACO: 420.000</t>
  </si>
  <si>
    <t xml:space="preserve">Mong muốn hợp tác dài lâu </t>
  </si>
  <si>
    <t>C000003435</t>
  </si>
  <si>
    <t>Rạng Đông</t>
  </si>
  <si>
    <t>C000037870</t>
  </si>
  <si>
    <t>Từ Huy PA</t>
  </si>
  <si>
    <t>45.240.000 VNĐ</t>
  </si>
  <si>
    <t>Pinaco / Đồng Nai - 3_x000D_
Yamato - 3_x000D_
Xupai - 4</t>
  </si>
  <si>
    <t>Ắc quy xe điện - PA 12-14 - PINACO: 1.700.000, YAMATO: 1.600.000, XUPAI: 1.600.000_x000D_
Ắc quy xe điện - PA 12-23 - YAMATO: 2.200.000, XUPAI: 3.200.000</t>
  </si>
  <si>
    <t xml:space="preserve">Giá cao với những hãng khác khó thay 
Bảo hành nhiều nên cũng e ngại </t>
  </si>
  <si>
    <t>C000003446</t>
  </si>
  <si>
    <t>Đông Phương</t>
  </si>
  <si>
    <t>C000003447</t>
  </si>
  <si>
    <t>Kim Hoàng</t>
  </si>
  <si>
    <t>Ắc quy xe máy - Ptx6hl  - PINACO: 240.000.000</t>
  </si>
  <si>
    <t>C000004469</t>
  </si>
  <si>
    <t>Thành Tính</t>
  </si>
  <si>
    <t>Ắc quy xe máy - Ptz6h - PINACO: 250.000, GS: 270.000, GLOBE: 260.000</t>
  </si>
  <si>
    <t>C000003580</t>
  </si>
  <si>
    <t>Hùng Cường 444</t>
  </si>
  <si>
    <t>18.571.000 VNĐ</t>
  </si>
  <si>
    <t>Globe - 7_x000D_
Pinaco / Đồng Nai - 3</t>
  </si>
  <si>
    <t>Ắc quy xe máy - Ptx5l  - GLOBE: 230.000, PINACO: 220.000_x000D_
Ắc quy xe máy - Ptx6hl  - GLOBE: 240.000, PINACO: 230.000_x000D_
Ắc quy xe máy - Ptz6l iss  - GLOBE: 300.000, PINACO: 280.000_x000D_
Ắc quy xe máy - PTZ7L  - PINACO: 420.000</t>
  </si>
  <si>
    <t xml:space="preserve">Mong muốn giá tốt để lấy nhiều hơn </t>
  </si>
  <si>
    <t>C000004467</t>
  </si>
  <si>
    <t>C000029912</t>
  </si>
  <si>
    <t>Sáu Nghĩa</t>
  </si>
  <si>
    <t>Ắc quy xe máy - Ptx5l  - PINACO: 270.000, GLOBE: 270.000_x000D_
Ắc quy xe máy - Ptx6hl  - PINACO: 280.000, GLOBE: 280.000_x000D_
Ắc quy xe máy - Ptz6l iss  - PINACO: 320.000, GLOBE: 320.000_x000D_
Ắc quy xe máy - PTZ7L  - PINACO: 420.000</t>
  </si>
  <si>
    <t>Chỗ vắng nên bán hàng hơi chậm</t>
  </si>
  <si>
    <t>C000003575</t>
  </si>
  <si>
    <t>Phú Hải 444</t>
  </si>
  <si>
    <t>50.997.000 VNĐ</t>
  </si>
  <si>
    <t>Ắc quy xe máy - Ptz5l  - PINACO: 220.000, GS: 230.000, GLOBE: 215.000_x000D_
Ắc quy xe máy - Ptz6l iss  - PINACO: 280.000, GS: 300.000, GLOBE: 290.000_x000D_
Ắc quy xe máy - PTz6hl  - PINACO: 240.000, GS: 250.000, GLOBE: 245.000</t>
  </si>
  <si>
    <t xml:space="preserve">Giá hơi cao mong giá ổn định </t>
  </si>
  <si>
    <t>C000003653</t>
  </si>
  <si>
    <t>Tám Khiêm 444</t>
  </si>
  <si>
    <t>20.201.828 VNĐ</t>
  </si>
  <si>
    <t>Ắc quy xe máy - Ptx5l  - PINACO: 220.000, GS: 250.000_x000D_
Ắc quy xe máy - Ptx6hl  - PINACO: 230.000, GS: 260.000_x000D_
Ắc quy xe máy - Ptz6l iss  - PINACO: 270.000, GS: 310.000_x000D_
Ắc quy xe điện - PA  - PINACO: 1.700.000</t>
  </si>
  <si>
    <t xml:space="preserve">Chê giá hơi cao </t>
  </si>
  <si>
    <t>C000004593</t>
  </si>
  <si>
    <t>Luyến</t>
  </si>
  <si>
    <t>Ắc quy xe máy - Ptz5l - PINACO: 220.000, GS: 235.000, GLOBE: 225.000</t>
  </si>
  <si>
    <t>C000019011</t>
  </si>
  <si>
    <t>Cường Vân</t>
  </si>
  <si>
    <t>Ắc quy xe máy - Ptz6hl - PINACO: 260.000, GS: 280.000, GLOBE: 270.000</t>
  </si>
  <si>
    <t>C000003647</t>
  </si>
  <si>
    <t>Hiệp Tâm 444</t>
  </si>
  <si>
    <t>23.735.000 VNĐ</t>
  </si>
  <si>
    <t>Ắc quy xe máy - Ptz5l  - PINACO: 230.000, GS: 240.000_x000D_
Ắc quy xe máy - Ptz6hl  - PINACO: 240.000, GS: 250.000_x000D_
Ắc quy xe máy - Ptz6l iss  - PINACO: 280.000, GS: 300.000_x000D_
Ắc quy xe máy - PTZ7L  - PINACO: 390.000_x000D_
Ắc quy xe máy - PTZ7A  - PINACO: 390.000_x000D_
Ắc quy xe máy - PTZ9  - PINACO: 420.000</t>
  </si>
  <si>
    <t xml:space="preserve">Đánh giá rất cao về pinaco 
Bảo hành để dàng
Chương trình khuyến mãi tốt 
Hợp tác trên 20 năm rất muốn hợp tác dài lâu </t>
  </si>
  <si>
    <t>C000003649</t>
  </si>
  <si>
    <t>Minh Trị 444</t>
  </si>
  <si>
    <t>36.899.000 VNĐ</t>
  </si>
  <si>
    <t>Ắc quy xe máy - Ptz5l  - PINACO: 250.000, GS: 270.000, GLOBE: 260.000_x000D_
Ắc quy xe máy - Ptz6hl - PINACO: 260.000, GS: 280.000, GLOBE: 270.000_x000D_
Ắc quy xe máy - Ptz6l iss  - PINACO: 280.000, GS: 300.000, GLOBE: 290.000_x000D_
Ắc quy xe máy - PTZ7L  - PINACO: 390.000_x000D_
Ắc quy xe máy - Ptz9 - PINACO: 420.000_x000D_
Ắc quy xe tải - PA 12-14 - PINACO: 1.800.000_x000D_
Ắc quy khác - PA 7.2 - PINACO: 260.000</t>
  </si>
  <si>
    <t xml:space="preserve">Rất muốn hợp tác lâu dài với pinaco </t>
  </si>
  <si>
    <t>C000003646</t>
  </si>
  <si>
    <t>Bé Tư 444</t>
  </si>
  <si>
    <t>19.816.000 VNĐ</t>
  </si>
  <si>
    <t>Ắc quy xe máy - Ptz5l  - PINACO: 300.000, GS: 330.000, GLOBE: 320.000_x000D_
Ắc quy xe máy - Ptz6hl - PINACO: 310.000, GS: 340.000, GLOBE: 330.000_x000D_
Ắc quy xe máy - Ptz6l iss  - PINACO: 420.000, GS: 460.000, GLOBE: 450.000</t>
  </si>
  <si>
    <t xml:space="preserve">Mong muốn có ctkm tốt hơn 
</t>
  </si>
  <si>
    <t>C000023831</t>
  </si>
  <si>
    <t>Nguyễn Chính GM</t>
  </si>
  <si>
    <t>Ắc quy xe máy - Ptz5l , ptz6hl  - PINACO: 250, GLOBE: 255</t>
  </si>
  <si>
    <t>C000023815</t>
  </si>
  <si>
    <t>Sáu Beo GM</t>
  </si>
  <si>
    <t>Ắc quy xe điện - PA 12.14 - PINACO: 450.000, YAMATO: 375.000</t>
  </si>
  <si>
    <t>C000003638</t>
  </si>
  <si>
    <t>Anh Cường 444</t>
  </si>
  <si>
    <t>15.023.828 VNĐ</t>
  </si>
  <si>
    <t>Ắc quy xe máy - Ptz6l iss  - PINACO: 420.000, GS: 450.000_x000D_
Ắc quy xe máy - PTZ6HL  - GS: 320.000, PINACO: 290.000_x000D_
Ắc quy xe máy - Ptz5l - GS: 300.000, PINACO: 280.000_x000D_
Ắc quy xe điện - PA 12 -14 - PINACO: 1.600.000_x000D_
Ắc quy xe máy - ptz7L  - PINACO: 500.000</t>
  </si>
  <si>
    <t xml:space="preserve">Mong có nhiều chương trình khuyến mãi tốt 
Để việc bán hàng tốt hơn </t>
  </si>
  <si>
    <t>C000003637</t>
  </si>
  <si>
    <t>Minh Đức 444</t>
  </si>
  <si>
    <t>15.774.000 VNĐ</t>
  </si>
  <si>
    <t>Ắc quy xe điện - PA. 12-14 - PINACO: 1.600.000_x000D_
Ắc quy xe máy - Ptz5l - PINACO: 280.000, GS: 300.000_x000D_
Ắc quy xe máy - PTz6hl  - PINACO: 290.000, GS: 310.000_x000D_
Ắc quy xe máy - Ptz6l iss  - PINACO: 420.000, GS: 450.000</t>
  </si>
  <si>
    <t>Rất hài lòng với pinaco</t>
  </si>
  <si>
    <t>C000003644</t>
  </si>
  <si>
    <t>SX Tình 444</t>
  </si>
  <si>
    <t xml:space="preserve">Rất tốt </t>
  </si>
  <si>
    <t>Mtay 2_Phân công Khảo sát thị phần 24.09.26..xlsx</t>
  </si>
  <si>
    <t>C000016417</t>
  </si>
  <si>
    <t>Ắc Quy Cát Lâm</t>
  </si>
  <si>
    <t>Ắc quy dân dụng - N30 - GS: 700.000, PINACO: 810.000</t>
  </si>
  <si>
    <t>Lâm Minh Nhựt</t>
  </si>
  <si>
    <t>CÔNG TY TNHH AN TÙNG</t>
  </si>
  <si>
    <t>MIỀN TÂY 2</t>
  </si>
  <si>
    <t>CẦN THƠ</t>
  </si>
  <si>
    <t>C000004862</t>
  </si>
  <si>
    <t>Phụ Tùng Nông Ngư Cơ Tô Hồng</t>
  </si>
  <si>
    <t>Cần có chiết khấu tốt để bán được nhiều hàng hơn, có chương trình tích lũy hấp dẫn.</t>
  </si>
  <si>
    <t>Huỳnh Thanh Phong</t>
  </si>
  <si>
    <t>C000004863</t>
  </si>
  <si>
    <t>Tiệm Điện Thanh Phương</t>
  </si>
  <si>
    <t>Ắc quy dân dụng - N30 - PINACO: 800.000, GS: 800.000</t>
  </si>
  <si>
    <t>Đề nghị chương trình khuyến mãi cho dân dụng để có giá tốt bán cho khách hàng</t>
  </si>
  <si>
    <t>C000004772</t>
  </si>
  <si>
    <t>An Lộc Phát</t>
  </si>
  <si>
    <t>Giá hiện tại quá cao nhất là N30 bán ra rất chậm</t>
  </si>
  <si>
    <t>C000004767</t>
  </si>
  <si>
    <t>Tiệm Điện Hòa Long</t>
  </si>
  <si>
    <t>Ắc quy dân dụng - N30 - PINACO: 800.000, ENIMAC: 700.000, GLOBE: 700.000, GS: 700.000</t>
  </si>
  <si>
    <t>Giá dân dụng quá cao bán khá chậm. Cần hỗ trợ khuyến mãi cao để có giá tốt bán cho khách hàng.</t>
  </si>
  <si>
    <t>C000005870</t>
  </si>
  <si>
    <t>Ngọc Diễm</t>
  </si>
  <si>
    <t>Ắc quy xe tải - N150 - PINACO: 3.010.000</t>
  </si>
  <si>
    <t>Không có ý kiến.</t>
  </si>
  <si>
    <t>Trần Quang Vinh</t>
  </si>
  <si>
    <t>C000004806</t>
  </si>
  <si>
    <t>Tiệm Điện Huỳnh Tố</t>
  </si>
  <si>
    <t>Giá hiện tại cao quá</t>
  </si>
  <si>
    <t>C000004785</t>
  </si>
  <si>
    <t>Tiệm Điện Minh</t>
  </si>
  <si>
    <t>Pinaco / Đồng Nai - 7_x000D_
GS - 2_x000D_
Globe - 1_x000D_
Nhãn hiệu khác - 0_x000D_
Thiên Năng - 0</t>
  </si>
  <si>
    <t>Ắc quy dân dụng - N30 - PINACO: 800.000, GS: 700.000, GLOBE: 700.000, THIEN_NANG: 550.000</t>
  </si>
  <si>
    <t>Giá mắc cần hỗ trợ thêm khuyến mãi để bán cho người tiêu dùng.</t>
  </si>
  <si>
    <t>HẬU GIANG</t>
  </si>
  <si>
    <t>C000004778</t>
  </si>
  <si>
    <t>Ắc Quy Hùng Nhung</t>
  </si>
  <si>
    <t>239.000.000 VNĐ</t>
  </si>
  <si>
    <t>Pinaco / Đồng Nai - 6_x000D_
GS - 2_x000D_
Enimac - 1_x000D_
Globe - 1</t>
  </si>
  <si>
    <t>Ắc quy dân dụng - N30 - PINACO: 800.000, GS: 700.000, ENIMAC: 650.000, GLOBE: 670.000</t>
  </si>
  <si>
    <t>Giá N30 hiện tại quá cao nên bán rất chậm cần hỗ trợ ctkm tốt để có nhanh hơn.</t>
  </si>
  <si>
    <t>C000004783</t>
  </si>
  <si>
    <t>Ô Tô Thành Long</t>
  </si>
  <si>
    <t>Ắc quy dân dụng - N30 - PINACO: 800.000, GS: 700.000</t>
  </si>
  <si>
    <t>Cần giá cả ổn định để kinh doanh.</t>
  </si>
  <si>
    <t>C000004840</t>
  </si>
  <si>
    <t>Tiệm Điện Tệt Ý</t>
  </si>
  <si>
    <t>Ắc quy xe tải - 90D26 - PINACO: 1.700.000, OTHER: 1.500.000</t>
  </si>
  <si>
    <t xml:space="preserve">Cửa hàng chuyên bán troy </t>
  </si>
  <si>
    <t>C000004837</t>
  </si>
  <si>
    <t>Cửa Hàng Kía</t>
  </si>
  <si>
    <t>C000005831</t>
  </si>
  <si>
    <t>Trung Trung</t>
  </si>
  <si>
    <t>Ắc quy xe tải - N100 - PINACO: 19.500.000, GS: 1.900.000</t>
  </si>
  <si>
    <t>Trần Thanh Phong</t>
  </si>
  <si>
    <t>CTY TNHH THƯƠNG MẠI DỊCH VỤ DŨNG PHƯỢNG</t>
  </si>
  <si>
    <t>AN GIANG</t>
  </si>
  <si>
    <t>Phan Thanh Hùng</t>
  </si>
  <si>
    <t>C000033593</t>
  </si>
  <si>
    <t>Sx Trung Mai</t>
  </si>
  <si>
    <t>Ắc quy xe máy - Ptz5l  - PINACO: 240.000, GLOBE: 240.000, GS: 260.000</t>
  </si>
  <si>
    <t>Phạm Quang Khang</t>
  </si>
  <si>
    <t>CÔNG TY TNHH THƯƠNG MẠI HATACO</t>
  </si>
  <si>
    <t>C000005736</t>
  </si>
  <si>
    <t>CH. Chen</t>
  </si>
  <si>
    <t>Ắc quy oto - Ns40 - GS: 970.000, PINACO: 870.000_x000D_
Ắc quy xe tải - N120 - PINACO: 2.400.000, GS: 2.350.000</t>
  </si>
  <si>
    <t>Nguyễn Hoàng Tuấn</t>
  </si>
  <si>
    <t>C000004816</t>
  </si>
  <si>
    <t>Tiệm Điện Thuận Thành</t>
  </si>
  <si>
    <t>Ắc quy oto - 31800 - PINACO: 2.400.000, GS: 2.200.000</t>
  </si>
  <si>
    <t>C000005393</t>
  </si>
  <si>
    <t>Gia Thái</t>
  </si>
  <si>
    <t>2.680.000.000 VNĐ</t>
  </si>
  <si>
    <t>Ắc quy oto - N100 - PINACO: 1.774.000, GS: 1.650.000, GLOBE: 1.565.000</t>
  </si>
  <si>
    <t>Phạm Hoài Linh</t>
  </si>
  <si>
    <t>KIÊN GIANG</t>
  </si>
  <si>
    <t xml:space="preserve">Phan Thanh  </t>
  </si>
  <si>
    <t>C000005296</t>
  </si>
  <si>
    <t>Mạnh Huệ</t>
  </si>
  <si>
    <t>24.240.000 VNĐ</t>
  </si>
  <si>
    <t>Pinaco / Đồng Nai - 10_x000D_
Globe - 0</t>
  </si>
  <si>
    <t>Ắc quy xe điện - PA 12-23 - PINACO: 721.000</t>
  </si>
  <si>
    <t>C000016958</t>
  </si>
  <si>
    <t>Ắc Quy Quang Trưởng</t>
  </si>
  <si>
    <t>GS - 3_x000D_
Globe - 2_x000D_
Pinaco / Đồng Nai - 5</t>
  </si>
  <si>
    <t>Ắc quy oto - N100 - GS: 1.800.000, GLOBE: 1.750.000, PINACO: 1.900.000</t>
  </si>
  <si>
    <t>C000005776</t>
  </si>
  <si>
    <t>Tuấn Kiều</t>
  </si>
  <si>
    <t>184.000.000 VNĐ</t>
  </si>
  <si>
    <t>Ắc quy khác - N220 - PINACO: 4.100.000, NGOAI_NHAP: 4.250.000_x000D_
Ắc quy xe tải - N150 - PINACO: 2.950.000, NGOAI_NHAP: 3.100.000</t>
  </si>
  <si>
    <t>C000030626</t>
  </si>
  <si>
    <t>Bảo Trâm (Chặc)</t>
  </si>
  <si>
    <t>Ắc quy xe tải - N120 - PINACO: 2.550.000, GS: 2.500.000_x000D_
Ắc quy oto - Cmf90d26 - NGOAI_NHAP: 2.000.000, PINACO: 1.650.000_x000D_
Ắc quy oto - Cmf105d31 - PINACO: 1.950.000, GS: 2.080.000, NGOAI_NHAP: 2.180.000</t>
  </si>
  <si>
    <t>C000005766</t>
  </si>
  <si>
    <t>CH. Khóa</t>
  </si>
  <si>
    <t>Ắc quy dân dụng - N30 - PINACO: 810.000, GLOBE: 700.000_x000D_
Ắc quy oto - N100 - PINACO: 1.950.000, GS: 1.800.000</t>
  </si>
  <si>
    <t>C000005842</t>
  </si>
  <si>
    <t>An Diệu</t>
  </si>
  <si>
    <t>1.350.000.000 VNĐ</t>
  </si>
  <si>
    <t>Ắc quy oto - N100 - PINACO: 1.950.000, GS: 1.900.000, ENIMAC: 1.850.000</t>
  </si>
  <si>
    <t>C000005843</t>
  </si>
  <si>
    <t>295.000.000 VNĐ</t>
  </si>
  <si>
    <t>C000005844</t>
  </si>
  <si>
    <t>Công Lý</t>
  </si>
  <si>
    <t>Ắc quy oto - N100 - PINACO: 1.900.000, GS: 1.800.000</t>
  </si>
  <si>
    <t>C000005653</t>
  </si>
  <si>
    <t>Ắc quy dân dụng - N50 - PINACO: 1.200.000, GS: 1.200.000</t>
  </si>
  <si>
    <t>Ong Minh Nhựt</t>
  </si>
  <si>
    <t>CÔNG TY TNHH LƯƠNG HÙNG KIỆT</t>
  </si>
  <si>
    <t>SÓC TRĂNG</t>
  </si>
  <si>
    <t>C000005735</t>
  </si>
  <si>
    <t>Chú Lâm</t>
  </si>
  <si>
    <t>Ắc quy xe tải - CMF 31-800 - PINACO: 2.150.000, GS: 2.100.000</t>
  </si>
  <si>
    <t>Khách hàng không cho chụp ảnh kho</t>
  </si>
  <si>
    <t>C000005796</t>
  </si>
  <si>
    <t>Dũng Thu</t>
  </si>
  <si>
    <t>131.050.000 VNĐ</t>
  </si>
  <si>
    <t>Pinaco / Đồng Nai - 5_x000D_
GS - 2_x000D_
Enimac - 2_x000D_
Globe - 1</t>
  </si>
  <si>
    <t>Ắc quy dân dụng - N30 - PINACO: 800.000, GS: 730.000, GLOBE: 710.000_x000D_
Ắc quy oto - N100 - GS: 1.800.000, ENIMAC: 1.800.000, PINACO: 1.950.000</t>
  </si>
  <si>
    <t>C000027417</t>
  </si>
  <si>
    <t>Nghĩa Thành</t>
  </si>
  <si>
    <t>Ắc quy xe tải - CMF 31-800 - PINACO: 2.150.000</t>
  </si>
  <si>
    <t>C000005782</t>
  </si>
  <si>
    <t>CH Hằng</t>
  </si>
  <si>
    <t>Ắc quy xe tải - N100 - GS: 1.800.000, PINACO: 1.950.000</t>
  </si>
  <si>
    <t>C000004872</t>
  </si>
  <si>
    <t>Anh Bằng</t>
  </si>
  <si>
    <t>Ắc quy xe máy - Ptx5l  - PINACO: 260.000, GS: 280.000</t>
  </si>
  <si>
    <t>Mai Chí Dũng</t>
  </si>
  <si>
    <t>CÔNG TY TNHH THƯƠNG MẠI DỊCH VỤ VẠN THÀNH AN</t>
  </si>
  <si>
    <t>CÀ MAU</t>
  </si>
  <si>
    <t>C000018293</t>
  </si>
  <si>
    <t>Chị Bé</t>
  </si>
  <si>
    <t>Ắc quy xe máy - Bình cao - PINACO: 240.000</t>
  </si>
  <si>
    <t>Ngô Thanh Vũ</t>
  </si>
  <si>
    <t>CÔNG TY TNHH MTV TRÍ VINH NHÂN</t>
  </si>
  <si>
    <t>C000027429</t>
  </si>
  <si>
    <t>Bửu GM</t>
  </si>
  <si>
    <t>Ắc quy xe máy - PTZ5L  - PINACO: 255.000, GS: 265.000, GLOBE: 250.000</t>
  </si>
  <si>
    <t>Khách không cho vào kho, vì tận sau nhà</t>
  </si>
  <si>
    <t>Trần Minh Văn</t>
  </si>
  <si>
    <t>CÔNG TY TNHH BP HƯNG PHÚ</t>
  </si>
  <si>
    <t>C000035524</t>
  </si>
  <si>
    <t>HIẾU LONG</t>
  </si>
  <si>
    <t>GS - 4_x000D_
Globe - 3_x000D_
Pinaco / Đồng Nai - 3</t>
  </si>
  <si>
    <t>Ắc quy xe máy - Bình lùn - GS: 220.000, GLOBE: 210.000, PINACO: 210.000</t>
  </si>
  <si>
    <t>C000027421</t>
  </si>
  <si>
    <t>Tường Long</t>
  </si>
  <si>
    <t>Ắc quy xe máy - PTZ5L  - PINACO: 250.000, GS: 260.000, GLOBE: 250.000</t>
  </si>
  <si>
    <t>Không cho vào kho vì thuộc khu vực nhà ở</t>
  </si>
  <si>
    <t>C000004743</t>
  </si>
  <si>
    <t>PT Ngọc Thy</t>
  </si>
  <si>
    <t>Ắc quy xe máy - PTZ6ISS - PINACO: 258.000, GS: 272.000, GLOBE: 253.000</t>
  </si>
  <si>
    <t>La Hoàng Tuấn</t>
  </si>
  <si>
    <t>CÔNG TY TNHH PHÂN PHỐI THUẬN TIẾN</t>
  </si>
  <si>
    <t>Nguyễn Vũ Phúc</t>
  </si>
  <si>
    <t>C000004668</t>
  </si>
  <si>
    <t>Phụ Tùng Tân Thành Lợi</t>
  </si>
  <si>
    <t>Ắc quy xe máy - PTX5L - PINACO: 220.000, OTHER: 210.000_x000D_
Ắc quy xe máy - PTX6HL - PINACO: 240.000, OTHER: 230.000_x000D_
Ắc quy xe máy - PTZ6L ISS - PINACO: 290.000_x000D_
Ắc quy xe máy - PTZ7A - PINACO: 390.000_x000D_
Ắc quy xe máy - PTZ7L - PINACO: 390.000</t>
  </si>
  <si>
    <t>Không ý kiến.</t>
  </si>
  <si>
    <t>Trịnh Kiến Luân</t>
  </si>
  <si>
    <t>C000033596</t>
  </si>
  <si>
    <t>PT Tuấn Linh</t>
  </si>
  <si>
    <t>Ắc quy xe máy - Ptz5l - PINACO: 240.000, GS: 260.000, GLOBE: 240.000</t>
  </si>
  <si>
    <t>C000005589</t>
  </si>
  <si>
    <t>Honda Trực</t>
  </si>
  <si>
    <t>Ắc quy xe máy - 240 - PINACO: 240.000, GS: 250.000, GLOBE: 240.000</t>
  </si>
  <si>
    <t>C000005588</t>
  </si>
  <si>
    <t>Honda Khoa</t>
  </si>
  <si>
    <t>Ắc quy xe máy - Ptx5l - PINACO: 230, GS: 240</t>
  </si>
  <si>
    <t>C000005410</t>
  </si>
  <si>
    <t>Chín Triệu</t>
  </si>
  <si>
    <t>Ắc quy xe máy - Z6hl - PINACO: 240, GS: 250, OTHER: 220</t>
  </si>
  <si>
    <t>Date bình hơi củ so với thời điểm nhập</t>
  </si>
  <si>
    <t>C000018102</t>
  </si>
  <si>
    <t>SX Lâm Thành</t>
  </si>
  <si>
    <t>58.280.000 VNĐ</t>
  </si>
  <si>
    <t>Pinaco / Đồng Nai - 3_x000D_
Globe - 2_x000D_
GS - 5</t>
  </si>
  <si>
    <t>Ắc quy xe máy - PTX5L - PINACO: 220.000, GLOBE: 235.000, GS: 250.000_x000D_
Ắc quy xe máy - PTX6HL - PINACO: 245.000, GLOBE: 260.000, GS: 250.000_x000D_
Ắc quy xe máy - PTZ6L ISS - PINACO: 280.000, GLOBE: 295.000, GS: 310.000_x000D_
Ắc quy xe tải - PTZ7A - PINACO: 380.000, GLOBE: 390.000_x000D_
Ắc quy xe máy - PTZ7L - PINACO: 390.000, GS: 415.000_x000D_
Ắc quy xe điện - PA 12 - 14 - GLOBE: 450.000, PINACO: 425.000</t>
  </si>
  <si>
    <t xml:space="preserve">Chương trình khuyến mãi quay số, nên có những sản phẩm trúng thưởng cho các giải được nhiều hơn và giá trị giải thuỏng không chênh lệch nhiều. </t>
  </si>
  <si>
    <t>C000019549</t>
  </si>
  <si>
    <t>PT Thành Đạt</t>
  </si>
  <si>
    <t>Ắc quy xe máy - PTX5L - PINACO: 220.000, GS: 245.000_x000D_
Ắc quy xe máy - PTX6HL - PINACO: 235.000, GS: 255.000_x000D_
Ắc quy xe máy - PTZ6L ISS - PINACO: 290.000, GS: 320.000_x000D_
Ắc quy xe máy - PTZ7A - PINACO: 390.000_x000D_
Ắc quy xe máy - PTZ7L - PINACO: 390.000_x000D_
Ắc quy xe máy - PTZ9 - PINACO: 420.000</t>
  </si>
  <si>
    <t>C000018129</t>
  </si>
  <si>
    <t>SX Tiến</t>
  </si>
  <si>
    <t>32.160.000 VNĐ</t>
  </si>
  <si>
    <t>Ắc quy xe máy - PTZ5L - PINACO: 245.000, GLOBE: 250.000_x000D_
Ắc quy xe máy - PTZ6HL - PINACO: 255.000, GLOBE: 260.000_x000D_
Ắc quy xe máy - PTZ6L ISS - PINACO: 300.000_x000D_
Ắc quy xe máy - PTZ7A - PINACO: 395.000_x000D_
Ắc quy xe điện - Pa 12-14 - PINACO: 1.800.000</t>
  </si>
  <si>
    <t>C000037872</t>
  </si>
  <si>
    <t>Điện Máy Ngọc Toàn</t>
  </si>
  <si>
    <t>18.484.000 VNĐ</t>
  </si>
  <si>
    <t>Ắc quy xe điện - PA 12-14 - PINACO: 400.000_x000D_
Ắc quy xe điện - PA 12- 23 - PINACO: 650.000</t>
  </si>
  <si>
    <t xml:space="preserve">Những tháng trong Tết khi giao bình Date thường hay bị hút 2 tháng ( mua bình tháng 2/2026 nhưng date bình tháng 12/2025 ). Thời gian sau này đã thấy khắc phục giao đúng Date tháng nhập hàng. Mong quý Công Ty sẽ duy trì được tình trạng này, để tránh trường hợp bảo hành phù 9 tháng không bị xê dịch nhiều khi của hàng bán ra cho khách sử dụng. </t>
  </si>
  <si>
    <t>C000005572</t>
  </si>
  <si>
    <t>Ắc quy xe máy - Z6hl - PINACO: 240.000, GS: 250.000</t>
  </si>
  <si>
    <t>C000040641</t>
  </si>
  <si>
    <t>XE ĐIỆN SÀI GÒN KIÊN LƯƠN</t>
  </si>
  <si>
    <t>Ắc quy xe điện - Xe đạp điện 12 14 - PINACO: 500.000, NGOAI_NHAP: 400.000</t>
  </si>
  <si>
    <t>C000005886</t>
  </si>
  <si>
    <t>SX Hồng Phát</t>
  </si>
  <si>
    <t>80.290.200 VNĐ</t>
  </si>
  <si>
    <t>Ắc quy xe máy - PTZ6ISS - PINACO: 260.000, GS: 278.000, GLOBE: 253.000</t>
  </si>
  <si>
    <t>C000039121</t>
  </si>
  <si>
    <t>Xe Điện Tám Nhì</t>
  </si>
  <si>
    <t>51.228.000 VNĐ</t>
  </si>
  <si>
    <t>Ắc quy xe điện - PA 12-23ah  - PINACO: 606.000, OTHER: 525.000</t>
  </si>
  <si>
    <t>C000005527</t>
  </si>
  <si>
    <t>Tinh Quyên</t>
  </si>
  <si>
    <t>Ắc quy xe máy - Bình cao x6hl - PINACO: 230, GS: 250</t>
  </si>
  <si>
    <t>C000039707</t>
  </si>
  <si>
    <t>SÀI GÒN 8</t>
  </si>
  <si>
    <t>Ắc quy xe điện - Pa 12 14 - PINACO: 500.000, NGOAI_NHAP: 450.000</t>
  </si>
  <si>
    <t>C000004812</t>
  </si>
  <si>
    <t>SX-PT Thúy</t>
  </si>
  <si>
    <t>15.464.000 VNĐ</t>
  </si>
  <si>
    <t>Ắc quy xe máy - PTZ6ISS - PINACO: 258.000, GS: 278.000</t>
  </si>
  <si>
    <t>C000004813</t>
  </si>
  <si>
    <t>SX-PT Hùng</t>
  </si>
  <si>
    <t>57.687.900 VNĐ</t>
  </si>
  <si>
    <t>Ắc quy xe máy - PZ7L PTZ9A  - PINACO: 345.000, GS: 396.000, GLOBE: 378.000</t>
  </si>
  <si>
    <t>C000037864</t>
  </si>
  <si>
    <t>Xe Đạp Điện - Xe Điện Thầy Hinh</t>
  </si>
  <si>
    <t>Ắc quy xe điện - PA 12-14 - PINACO: 1.900.000, OTHER: 1.800.000_x000D_
Ắc quy xe điện - PA 12-7.2 - PINACO: 300.000</t>
  </si>
  <si>
    <t>C000037678</t>
  </si>
  <si>
    <t>Tiệm Xe Phát Thịnh</t>
  </si>
  <si>
    <t>5.056.000 VNĐ</t>
  </si>
  <si>
    <t>Ắc quy xe điện - PA 12-23Ah  - PINACO: 606.000, OTHER: 485.000</t>
  </si>
  <si>
    <t>C000005465</t>
  </si>
  <si>
    <t>Ắc quy xe máy - Bình cao - PINACO: 300.000</t>
  </si>
  <si>
    <t>C000005468</t>
  </si>
  <si>
    <t>Phước sang</t>
  </si>
  <si>
    <t>Ắc quy xe máy - Bình cao - GS: 250.000, PINACO: 230.000</t>
  </si>
  <si>
    <t>C000005042</t>
  </si>
  <si>
    <t>HD Tú</t>
  </si>
  <si>
    <t>Ắc quy xe máy - Ptx5 - PINACO: 230, GS: 250, OTHER: 230</t>
  </si>
  <si>
    <t>Trịnh Trường Chinh</t>
  </si>
  <si>
    <t>C000018718</t>
  </si>
  <si>
    <t>Sx Minh Châu</t>
  </si>
  <si>
    <t>C000004878</t>
  </si>
  <si>
    <t>HD Hợi</t>
  </si>
  <si>
    <t>Ắc quy xe máy - Ptz5l  - PINACO: 260, GLOBE: 260</t>
  </si>
  <si>
    <t>C000018789</t>
  </si>
  <si>
    <t>Đại lý Quang Huệ</t>
  </si>
  <si>
    <t>750.000.000 VNĐ</t>
  </si>
  <si>
    <t>Ắc quy xe máy - Ptz5l - PINACO: 250.000, GS: 280.000, GLOBE: 260.000</t>
  </si>
  <si>
    <t>C000004724</t>
  </si>
  <si>
    <t>SX Trạng</t>
  </si>
  <si>
    <t>37.700.000 VNĐ</t>
  </si>
  <si>
    <t>Ắc quy xe máy - PTX5L - PINACO: 220.000, GS: 250.000_x000D_
Ắc quy xe máy - PTX6HL - PINACO: 230.000, GS: 250.000_x000D_
Ắc quy xe máy - PTZ6L ISS - PINACO: 280.000, GS: 320.000_x000D_
Ắc quy xe máy - PTZ7A - PINACO: 380.000_x000D_
Ắc quy xe máy - PTZ7 - PINACO: 380.000</t>
  </si>
  <si>
    <t>Không ý kiến!</t>
  </si>
  <si>
    <t>C000004701</t>
  </si>
  <si>
    <t>PTHĐ Phong</t>
  </si>
  <si>
    <t>Ắc quy xe máy - PTZ5L - PINACO: 211.000, OTHER: 185.000</t>
  </si>
  <si>
    <t>C000005435</t>
  </si>
  <si>
    <t>Song Hiệp</t>
  </si>
  <si>
    <t>GS - 3_x000D_
Pinaco / Đồng Nai - 4_x000D_
Globe - 3</t>
  </si>
  <si>
    <t>Ắc quy xe máy - Binh cao - GS: 250, PINACO: 240, GLOBE: 240</t>
  </si>
  <si>
    <t>C000004857</t>
  </si>
  <si>
    <t>SX Ẩn</t>
  </si>
  <si>
    <t>13.865.500 VNĐ</t>
  </si>
  <si>
    <t>Ắc quy xe máy - PTZ9A  - PINACO: 382.000</t>
  </si>
  <si>
    <t>C000004781</t>
  </si>
  <si>
    <t>Hon Đa Hoàng</t>
  </si>
  <si>
    <t>15.620.000 VNĐ</t>
  </si>
  <si>
    <t>Ắc quy xe máy - PTZ5L - PINACO: 245.000, XUPAI: 0_x000D_
Ắc quy xe máy - PTZ6HL - PINACO: 255.000_x000D_
Ắc quy xe máy - PTZ6L ISS - PINACO: 290.000_x000D_
Ắc quy xe máy - PTZ7A - PINACO: 400.000_x000D_
Ắc quy xe máy - PTZ7 - PINACO: 400.000_x000D_
Ắc quy xe điện - PA 12 - 14 - PINACO: 1.750.000, XUPAI: 1.500.000</t>
  </si>
  <si>
    <t>C000005590</t>
  </si>
  <si>
    <t>Honda Trường</t>
  </si>
  <si>
    <t>Ắc quy xe máy - Bình cao - GS: 240, PINACO: 230, OTHER: 210</t>
  </si>
  <si>
    <t>C000038153</t>
  </si>
  <si>
    <t>MINH CHÂU</t>
  </si>
  <si>
    <t>Ắc quy xe máy - Ptx5l  - PINACO: 202, GS: 260</t>
  </si>
  <si>
    <t>C000004931</t>
  </si>
  <si>
    <t>HD Đức Thái</t>
  </si>
  <si>
    <t>Ắc quy xe máy - Ptx5l  - PINACO: 230, GS: 250, GLOBE: 240</t>
  </si>
  <si>
    <t>C000004660</t>
  </si>
  <si>
    <t>SX Trường</t>
  </si>
  <si>
    <t>23.796.000 VNĐ</t>
  </si>
  <si>
    <t>Ắc quy xe máy - PTX5L  - PINACO: 199.000, GS: 211.000</t>
  </si>
  <si>
    <t>C000004661</t>
  </si>
  <si>
    <t>SX PT Dũ Minh</t>
  </si>
  <si>
    <t>114.040.000 VNĐ</t>
  </si>
  <si>
    <t>Ắc quy xe máy - PTX5L ,PTX6HL , PTZ6ISS - PINACO: 199.000, GS: 215.000, GLOBE: 197.000</t>
  </si>
  <si>
    <t>C000004900</t>
  </si>
  <si>
    <t>Anh Nam</t>
  </si>
  <si>
    <t>Ắc quy xe tải - N150 - PINACO: 3.050.000</t>
  </si>
  <si>
    <t>Trương Thanh Quí</t>
  </si>
  <si>
    <t>CÔNG TY CỔ PHẦN THƯƠNG NGHIỆP CÀ MAU</t>
  </si>
  <si>
    <t>C000018790</t>
  </si>
  <si>
    <t>NPP Dũng Phượng</t>
  </si>
  <si>
    <t>2.510.000.000 VNĐ</t>
  </si>
  <si>
    <t>C000037903</t>
  </si>
  <si>
    <t>CH Hùng Bình</t>
  </si>
  <si>
    <t>1.379.000.000 VNĐ</t>
  </si>
  <si>
    <t>Pinaco / Đồng Nai - 2_x000D_
GS - 5_x000D_
Globe - 2_x000D_
Nhãn hiệu khác - 1</t>
  </si>
  <si>
    <t>Ắc quy xe máy - PTX5L  - PINACO: 230.000, GS: 260.000, GLOBE: 230.000, OTHER: 160.000</t>
  </si>
  <si>
    <t>C000018260</t>
  </si>
  <si>
    <t>Phụ Tùng Ron</t>
  </si>
  <si>
    <t>Ắc quy xe máy - PTX6HL - PINACO: 260.000_x000D_
Ắc quy xe máy - PTX5L - PINACO: 250.000_x000D_
Ắc quy xe máy - PTZ6L ISS - PINACO: 290.000_x000D_
Ắc quy xe máy - PTZ7L - PINACO: 410.000_x000D_
Ắc quy xe máy - PTZ7A - PINACO: 410.000_x000D_
Ắc quy xe điện - PA 12 - 14 ĐN - PINACO: 412.500</t>
  </si>
  <si>
    <t>C000017628</t>
  </si>
  <si>
    <t>Hải</t>
  </si>
  <si>
    <t>Ắc quy xe máy - PTZ5L  - PINACO: 260.000, GS: 290.000, GLOBE: 250.000</t>
  </si>
  <si>
    <t xml:space="preserve">Khách không cho phép vào kho, vì thuộc phạm vi nhà </t>
  </si>
  <si>
    <t>C000027396</t>
  </si>
  <si>
    <t>Phu GM</t>
  </si>
  <si>
    <t>Pinaco / Đồng Nai - 6_x000D_
GS - 1_x000D_
Globe - 2_x000D_
Nhãn hiệu khác - 1</t>
  </si>
  <si>
    <t>Ắc quy xe máy - PTX5L  - PINACO: 260.000, GS: 290.000, GLOBE: 250.000, OTHER: 220.000</t>
  </si>
  <si>
    <t xml:space="preserve">Khu vực nhà nên khách không cho </t>
  </si>
  <si>
    <t>C000005574</t>
  </si>
  <si>
    <t>Ắc quy xe máy - Bình cao x6hl - PINACO: 240, GS: 245, OTHER: 220</t>
  </si>
  <si>
    <t>C000005633</t>
  </si>
  <si>
    <t>Thầy Cường</t>
  </si>
  <si>
    <t>38.200.000 VNĐ</t>
  </si>
  <si>
    <t>Ắc quy xe máy - PTZ5L  - PINACO: 250.000, GS: 290.000, GLOBE: 250.000, OTHER: 190.000</t>
  </si>
  <si>
    <t>C000024200</t>
  </si>
  <si>
    <t>Ắc quy xe máy - Bình lùn ptx5l - PINACO: 240.000, GS: 240.000, GLOBE: 240.000</t>
  </si>
  <si>
    <t>C000040089</t>
  </si>
  <si>
    <t>XE ĐIỆN THANH KHIẾT</t>
  </si>
  <si>
    <t>Pinaco / Đồng Nai - 3_x000D_
GS - 3_x000D_
Thiên Năng - 2_x000D_
Yamato - 2</t>
  </si>
  <si>
    <t>Ắc quy xe máy - Bình cao - PINACO: 250, GS: 250</t>
  </si>
  <si>
    <t>C000018172</t>
  </si>
  <si>
    <t>Sx Hoàng Anh</t>
  </si>
  <si>
    <t>40.828.000 VNĐ</t>
  </si>
  <si>
    <t>Pinaco / Đồng Nai - 7_x000D_
GS - 1_x000D_
Globe - 1_x000D_
Nhãn hiệu khác - 1</t>
  </si>
  <si>
    <t>Ắc quy xe máy - PTZ9A  - PINACO: 374.000, GS: 386.000, GLOBE: 372.000</t>
  </si>
  <si>
    <t>C000005612</t>
  </si>
  <si>
    <t>Thành Công</t>
  </si>
  <si>
    <t>73.120.000 VNĐ</t>
  </si>
  <si>
    <t>Ắc quy dân dụng - N30 - PINACO: 780.000, GS: 780.000, ENIMAC: 750.000</t>
  </si>
  <si>
    <t>Đề xuất cấp bảng hiệu mới, do bảng hiệu củ bị hư.</t>
  </si>
  <si>
    <t>C000035293</t>
  </si>
  <si>
    <t>PT Hoàng Thảo</t>
  </si>
  <si>
    <t>Pinaco / Đồng Nai - 6_x000D_
GS - 2_x000D_
Globe - 1_x000D_
Nhãn hiệu khác - 1</t>
  </si>
  <si>
    <t>Ắc quy xe điện - PA 12-14 - PINACO: 2.000.000, OTHER: 1.600.000_x000D_
Ắc quy xe máy - PTZ5L  - PINACO: 250.000, GS: 265.000, GLOBE: 250.000, OTHER: 210.000</t>
  </si>
  <si>
    <t>Khách không cho phép vô kho vì thuộc phạm vi nhà , không gian cá nhân</t>
  </si>
  <si>
    <t>C000033067</t>
  </si>
  <si>
    <t>Hai Hòn</t>
  </si>
  <si>
    <t>20.312.000 VNĐ</t>
  </si>
  <si>
    <t>Ắc quy xe máy - PTZ6HL - PINACO: 222.000, GS: 215.000, GLOBE: 221.000</t>
  </si>
  <si>
    <t>C000005538</t>
  </si>
  <si>
    <t>Trần Cáp</t>
  </si>
  <si>
    <t>Ắc quy xe máy - Bình cao - PINACO: 240, GS: 250, GLOBE: 240</t>
  </si>
  <si>
    <t>C000005014</t>
  </si>
  <si>
    <t>Út Long</t>
  </si>
  <si>
    <t>Ắc quy oto - CFM 90d26 - PINACO: 1.650.000, GS: 1.700.000</t>
  </si>
  <si>
    <t>C000039849</t>
  </si>
  <si>
    <t>Sửa Xe Hoài</t>
  </si>
  <si>
    <t>60.732.000 VNĐ</t>
  </si>
  <si>
    <t>Ắc quy xe máy - PTX5L  - PINACO: 199.000, GS: 210.000, OTHER: 0</t>
  </si>
  <si>
    <t>C000004883</t>
  </si>
  <si>
    <t>GM Tín Tân Tiến</t>
  </si>
  <si>
    <t>Ắc quy oto - N100 - PINACO: 2.200.000, GS: 2.300.000, ENIMAC: 1.950.000</t>
  </si>
  <si>
    <t>C000037889</t>
  </si>
  <si>
    <t>Cửa Hàng Đức Quang</t>
  </si>
  <si>
    <t>tặng phẩm áo mưa để dễ bán kèm các dịp tựu trường và mùa mưa bão</t>
  </si>
  <si>
    <t>C000005484</t>
  </si>
  <si>
    <t>11.600.000 VNĐ</t>
  </si>
  <si>
    <t>Ắc quy xe máy - Bình cao - PINACO: 240, GS: 250</t>
  </si>
  <si>
    <t>C000004699</t>
  </si>
  <si>
    <t>PTHĐ Hoàng</t>
  </si>
  <si>
    <t>Pinaco / Đồng Nai - 2_x000D_
GS - 2_x000D_
Globe - 3_x000D_
Nhãn hiệu khác - 3</t>
  </si>
  <si>
    <t>Ắc quy xe máy - PTZ5L,PTZ6HL - PINACO: 211.000, GS: 213.000, GLOBE: 208.000, OTHER: 185.000</t>
  </si>
  <si>
    <t>C000016825</t>
  </si>
  <si>
    <t>Ắc quy xe máy - Bình lùn - GS: 240, PINACO: 240</t>
  </si>
  <si>
    <t>C000004853</t>
  </si>
  <si>
    <t>SX Hùng</t>
  </si>
  <si>
    <t>Ắc quy xe máy - PTX5L , PTX6HL  - PINACO: 199.000, GS: 213.000, GLOBE: 199.000</t>
  </si>
  <si>
    <t>C000004852</t>
  </si>
  <si>
    <t>Phụ Tùng Cường</t>
  </si>
  <si>
    <t>Pinaco / Đồng Nai - 4_x000D_
GS - 1_x000D_
Globe - 5</t>
  </si>
  <si>
    <t>Ắc quy xe máy - PTZ5L,PTZ6HL - PINACO: 211.000, GS: 213.000, GLOBE: 211.000</t>
  </si>
  <si>
    <t>C000018014</t>
  </si>
  <si>
    <t>SX Thám</t>
  </si>
  <si>
    <t>Ắc quy xe máy - PTX5L - GS: 245.000, PINACO: 215.000_x000D_
Ắc quy xe máy - PTX6HL - GS: 245.000, PINACO: 225.000_x000D_
Ắc quy xe máy - PTZ6L - GS: 300.000, PINACO: 270.000</t>
  </si>
  <si>
    <t>C000018531</t>
  </si>
  <si>
    <t>Phụ Tùng SX Hoàng Sơn 1</t>
  </si>
  <si>
    <t>Pinaco / Đồng Nai - 3_x000D_
GS - 2_x000D_
Globe - 3_x000D_
Nhãn hiệu khác - 2</t>
  </si>
  <si>
    <t>Ắc quy xe máy - PTZ5L , PTZ6HL  - PINACO: 211.000, GS: 213.000, GLOBE: 210.000, OTHER: 200.000</t>
  </si>
  <si>
    <t>C000005437</t>
  </si>
  <si>
    <t>Duy Thái</t>
  </si>
  <si>
    <t>Ắc quy xe máy - Bình lùn - PINACO: 250, GS: 260, OTHER: 220</t>
  </si>
  <si>
    <t>C000005438</t>
  </si>
  <si>
    <t>Nam Thông</t>
  </si>
  <si>
    <t>Globe - 3_x000D_
GS - 3_x000D_
Pinaco / Đồng Nai - 3_x000D_
Nhãn hiệu khác - 1</t>
  </si>
  <si>
    <t>Ắc quy xe máy - Bình lùn - GLOBE: 250.000, GS: 260.000, PINACO: 250.000, OTHER: 220.000</t>
  </si>
  <si>
    <t>C000019027</t>
  </si>
  <si>
    <t>28.110.000 VNĐ</t>
  </si>
  <si>
    <t>Ắc quy dân dụng - PA 7.2ah  - PINACO: 244.772, GLOBE: 228.000</t>
  </si>
  <si>
    <t>C000004998</t>
  </si>
  <si>
    <t>Hưu Tín</t>
  </si>
  <si>
    <t>35.500.000 VNĐ</t>
  </si>
  <si>
    <t>Ắc quy oto - N100 - PINACO: 2.100.000, GLOBE: 2.000.000, GS: 2.200.000</t>
  </si>
  <si>
    <t>C000005408</t>
  </si>
  <si>
    <t>Chung Kiện</t>
  </si>
  <si>
    <t>Ắc quy xe máy - Bình cao ptx6hl - PINACO: 230</t>
  </si>
  <si>
    <t>C000005407</t>
  </si>
  <si>
    <t>Huy Hà</t>
  </si>
  <si>
    <t>Globe - 2_x000D_
GS - 4_x000D_
Pinaco / Đồng Nai - 4</t>
  </si>
  <si>
    <t>Ắc quy xe máy - Bình cao - GLOBE: 240, GS: 240, PINACO: 240</t>
  </si>
  <si>
    <t>C000028377</t>
  </si>
  <si>
    <t>NĂM ĐÀI</t>
  </si>
  <si>
    <t>Ắc quy xe máy - Ptx6 hl - GS: 240, PINACO: 230</t>
  </si>
  <si>
    <t>Hiện tại giá mua vào tăng nhiều quá</t>
  </si>
  <si>
    <t>C000004723</t>
  </si>
  <si>
    <t>PT HĐ&amp;XĐ Khanh</t>
  </si>
  <si>
    <t>43.640.000 VNĐ</t>
  </si>
  <si>
    <t>Ắc quy xe máy - PTZ5L , PTZ6HL - PINACO: 210.000, GS: 215.000, GLOBE: 210.000</t>
  </si>
  <si>
    <t>C000037126</t>
  </si>
  <si>
    <t>TÂM NGUYỄN</t>
  </si>
  <si>
    <t>103.600.000 VNĐ</t>
  </si>
  <si>
    <t>Ắc quy xe máy - Z6hl  - PINACO: 260, GS: 260</t>
  </si>
  <si>
    <t>C000004669</t>
  </si>
  <si>
    <t>Phụ Tùng Minh Trí</t>
  </si>
  <si>
    <t>26.680.000 VNĐ</t>
  </si>
  <si>
    <t>Ắc quy xe máy - PTX5L - PINACO: 199.000, GS: 241.000, GLOBE: 215.000_x000D_
Ắc quy xe máy - PTX6HL - PINACO: 215.000, GS: 251.000, GLOBE: 225.000</t>
  </si>
  <si>
    <t>Cửa hàng không đề xuất gì thêm.</t>
  </si>
  <si>
    <t>Số điểm bán</t>
  </si>
  <si>
    <t>Khảo sát tốt</t>
  </si>
  <si>
    <t>Bỏ khảo sát</t>
  </si>
  <si>
    <t>Khảo sát lại</t>
  </si>
  <si>
    <t>CNHN- TÙNG.xlsx</t>
  </si>
  <si>
    <t>Cột1</t>
  </si>
  <si>
    <t>mã NVBH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</si>
</sst>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12">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0" fillId="0" borderId="2" xfId="0" applyBorder="1"/>
    <xf numFmtId="0" fontId="0" fillId="3" borderId="2" xfId="0" applyFill="1" applyBorder="1"/>
    <xf numFmtId="0" fontId="0" fillId="3" borderId="1" xfId="0" applyFill="1" applyBorder="1"/>
    <xf numFmtId="0" fontId="0" fillId="3" borderId="3" xfId="0" applyFill="1" applyBorder="1"/>
    <xf numFmtId="0" fontId="0" fillId="0" borderId="1" xfId="0" applyBorder="1"/>
    <xf numFmtId="0" fontId="0" fillId="0" borderId="3" xfId="0" applyBorder="1"/>
    <xf numFmtId="0" fontId="0" fillId="0" borderId="0" xfId="0" applyAlignment="1">
      <alignment horizontal="center"/>
    </xf>
    <xf numFmtId="0" fontId="1" fillId="2" borderId="0" xfId="0" applyFont="1" applyFill="1" applyBorder="1"/>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ZENBOOK\Downloads\danh_sach_nhan_su_2026-10-02.xlsx" TargetMode="External"/><Relationship Id="rId1" Type="http://schemas.openxmlformats.org/officeDocument/2006/relationships/externalLinkPath" Target="file:///C:\Users\ZENBOOK\Downloads\danh_sach_nhan_su_2026-10-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hanSu"/>
    </sheetNames>
    <sheetDataSet>
      <sheetData sheetId="0">
        <row r="5">
          <cell r="C5" t="str">
            <v>Nguyễn Hùng Phi</v>
          </cell>
          <cell r="D5" t="str">
            <v>phinguyen1009@gmail.com</v>
          </cell>
          <cell r="E5" t="str">
            <v>0903075807</v>
          </cell>
          <cell r="F5" t="str">
            <v>Nhân viên bán hàng</v>
          </cell>
          <cell r="G5" t="str">
            <v>Hoạt động</v>
          </cell>
          <cell r="H5" t="str">
            <v>2/3/2026</v>
          </cell>
          <cell r="I5" t="str">
            <v>Email</v>
          </cell>
          <cell r="J5" t="str">
            <v>Không</v>
          </cell>
          <cell r="K5" t="str">
            <v>Không</v>
          </cell>
          <cell r="L5" t="str">
            <v>2/3/2026</v>
          </cell>
          <cell r="M5" t="str">
            <v>ADMIN001</v>
          </cell>
        </row>
        <row r="6">
          <cell r="C6" t="str">
            <v>T.N.Long</v>
          </cell>
          <cell r="D6" t="str">
            <v>tnlong@example.com</v>
          </cell>
          <cell r="E6" t="str">
            <v>0978227146</v>
          </cell>
          <cell r="F6" t="str">
            <v>Quản trị viên</v>
          </cell>
          <cell r="G6" t="str">
            <v>Hoạt động</v>
          </cell>
          <cell r="H6" t="str">
            <v>1/1/1984</v>
          </cell>
          <cell r="I6" t="str">
            <v>Email</v>
          </cell>
          <cell r="J6" t="str">
            <v>Không</v>
          </cell>
          <cell r="K6" t="str">
            <v>Không</v>
          </cell>
          <cell r="L6" t="str">
            <v>4/3/2026</v>
          </cell>
          <cell r="M6" t="str">
            <v>SM9191770</v>
          </cell>
        </row>
        <row r="7">
          <cell r="C7" t="str">
            <v>Test User</v>
          </cell>
          <cell r="D7" t="str">
            <v>test@example.com</v>
          </cell>
          <cell r="E7" t="str">
            <v/>
          </cell>
          <cell r="F7" t="str">
            <v>Nhân viên bán hàng</v>
          </cell>
          <cell r="G7" t="str">
            <v>Hoạt động</v>
          </cell>
          <cell r="H7" t="str">
            <v>9/6/2026</v>
          </cell>
          <cell r="I7" t="str">
            <v>Email</v>
          </cell>
          <cell r="J7" t="str">
            <v>Không</v>
          </cell>
          <cell r="K7" t="str">
            <v>Không</v>
          </cell>
          <cell r="L7" t="str">
            <v>9/6/2026</v>
          </cell>
          <cell r="M7" t="str">
            <v>SM0739994</v>
          </cell>
        </row>
        <row r="8">
          <cell r="C8" t="str">
            <v>Test User</v>
          </cell>
          <cell r="D8" t="str">
            <v>test17420@example.com</v>
          </cell>
          <cell r="E8" t="str">
            <v/>
          </cell>
          <cell r="F8" t="str">
            <v>Nhân viên bán hàng</v>
          </cell>
          <cell r="G8" t="str">
            <v>Hoạt động</v>
          </cell>
          <cell r="H8" t="str">
            <v>9/6/2026</v>
          </cell>
          <cell r="I8" t="str">
            <v>Email</v>
          </cell>
          <cell r="J8" t="str">
            <v>Không</v>
          </cell>
          <cell r="K8" t="str">
            <v>Không</v>
          </cell>
          <cell r="L8" t="str">
            <v>9/6/2026</v>
          </cell>
          <cell r="M8" t="str">
            <v>SM0428319</v>
          </cell>
        </row>
        <row r="9">
          <cell r="C9" t="str">
            <v>Võ Nguyên Phong</v>
          </cell>
          <cell r="D9" t="str">
            <v>vonguyenphong75@gmail.com</v>
          </cell>
          <cell r="E9" t="str">
            <v>0983367761</v>
          </cell>
          <cell r="F9" t="str">
            <v>Nhân viên bán hàng</v>
          </cell>
          <cell r="G9" t="str">
            <v>Hoạt động</v>
          </cell>
          <cell r="H9" t="str">
            <v>20/1/1995</v>
          </cell>
          <cell r="I9" t="str">
            <v>Email</v>
          </cell>
          <cell r="J9" t="str">
            <v>Không</v>
          </cell>
          <cell r="K9" t="str">
            <v>Không</v>
          </cell>
          <cell r="L9" t="str">
            <v>10/6/2026</v>
          </cell>
          <cell r="M9" t="str">
            <v>SM0000049</v>
          </cell>
        </row>
        <row r="10">
          <cell r="C10" t="str">
            <v>Lê Chí Phương</v>
          </cell>
          <cell r="D10" t="str">
            <v>lechiphuong79733@gmail.com</v>
          </cell>
          <cell r="E10" t="str">
            <v>0847537879</v>
          </cell>
          <cell r="F10" t="str">
            <v>Nhân viên bán hàng</v>
          </cell>
          <cell r="G10" t="str">
            <v>Hoạt động</v>
          </cell>
          <cell r="H10" t="str">
            <v>10/6/2026</v>
          </cell>
          <cell r="I10" t="str">
            <v>Email</v>
          </cell>
          <cell r="J10" t="str">
            <v>Không</v>
          </cell>
          <cell r="K10" t="str">
            <v>Không</v>
          </cell>
          <cell r="L10" t="str">
            <v>10/6/2026</v>
          </cell>
          <cell r="M10" t="str">
            <v>SM0000171</v>
          </cell>
        </row>
        <row r="11">
          <cell r="C11" t="str">
            <v>Đàm Nghĩa</v>
          </cell>
          <cell r="D11" t="str">
            <v>damquoc2014@gmail.com</v>
          </cell>
          <cell r="E11" t="str">
            <v>0943343304</v>
          </cell>
          <cell r="F11" t="str">
            <v>Nhân viên bán hàng</v>
          </cell>
          <cell r="G11" t="str">
            <v>Hoạt động</v>
          </cell>
          <cell r="H11" t="str">
            <v>10/6/2026</v>
          </cell>
          <cell r="I11" t="str">
            <v>Email</v>
          </cell>
          <cell r="J11" t="str">
            <v>Không</v>
          </cell>
          <cell r="K11" t="str">
            <v>Không</v>
          </cell>
          <cell r="L11" t="str">
            <v>10/6/2026</v>
          </cell>
          <cell r="M11" t="str">
            <v>SM0000162</v>
          </cell>
        </row>
        <row r="12">
          <cell r="C12" t="str">
            <v>Đoàn Thanh Sang</v>
          </cell>
          <cell r="D12" t="str">
            <v>sangpinaco@gmail.com</v>
          </cell>
          <cell r="E12" t="str">
            <v>0948858830</v>
          </cell>
          <cell r="F12" t="str">
            <v>Nhân viên bán hàng</v>
          </cell>
          <cell r="G12" t="str">
            <v>Hoạt động</v>
          </cell>
          <cell r="H12" t="str">
            <v>10/6/2026</v>
          </cell>
          <cell r="I12" t="str">
            <v>Email</v>
          </cell>
          <cell r="J12" t="str">
            <v>Không</v>
          </cell>
          <cell r="K12" t="str">
            <v>Không</v>
          </cell>
          <cell r="L12" t="str">
            <v>10/6/2026</v>
          </cell>
          <cell r="M12" t="str">
            <v>SM0000050</v>
          </cell>
        </row>
        <row r="13">
          <cell r="C13" t="str">
            <v>Nguyễn Võ Thái Phong</v>
          </cell>
          <cell r="D13" t="str">
            <v>phongpinaco@gmail.com</v>
          </cell>
          <cell r="E13" t="str">
            <v>0937632879</v>
          </cell>
          <cell r="F13" t="str">
            <v>Nhân viên bán hàng</v>
          </cell>
          <cell r="G13" t="str">
            <v>Hoạt động</v>
          </cell>
          <cell r="H13" t="str">
            <v>10/6/2026</v>
          </cell>
          <cell r="I13" t="str">
            <v>Email</v>
          </cell>
          <cell r="J13" t="str">
            <v>Không</v>
          </cell>
          <cell r="K13" t="str">
            <v>Không</v>
          </cell>
          <cell r="L13" t="str">
            <v>10/6/2026</v>
          </cell>
          <cell r="M13" t="str">
            <v>SM0000051</v>
          </cell>
        </row>
        <row r="14">
          <cell r="C14" t="str">
            <v>Lê Minh Trưởng</v>
          </cell>
          <cell r="D14" t="str">
            <v>minhtruongle379@gmail.com</v>
          </cell>
          <cell r="E14" t="str">
            <v>0945647379</v>
          </cell>
          <cell r="F14" t="str">
            <v>Nhân viên bán hàng</v>
          </cell>
          <cell r="G14" t="str">
            <v>Hoạt động</v>
          </cell>
          <cell r="H14" t="str">
            <v>10/6/2026</v>
          </cell>
          <cell r="I14" t="str">
            <v>Email</v>
          </cell>
          <cell r="J14" t="str">
            <v>Không</v>
          </cell>
          <cell r="K14" t="str">
            <v>Không</v>
          </cell>
          <cell r="L14" t="str">
            <v>10/6/2026</v>
          </cell>
          <cell r="M14" t="str">
            <v>SM0000039</v>
          </cell>
        </row>
        <row r="15">
          <cell r="C15" t="str">
            <v>Nguyễn Thanh Liêm</v>
          </cell>
          <cell r="D15" t="str">
            <v>thanhliemtv1976@gmail.com</v>
          </cell>
          <cell r="E15" t="str">
            <v>0917917484</v>
          </cell>
          <cell r="F15" t="str">
            <v>Nhân viên bán hàng</v>
          </cell>
          <cell r="G15" t="str">
            <v>Hoạt động</v>
          </cell>
          <cell r="H15" t="str">
            <v>10/6/2026</v>
          </cell>
          <cell r="I15" t="str">
            <v>Email</v>
          </cell>
          <cell r="J15" t="str">
            <v>Không</v>
          </cell>
          <cell r="K15" t="str">
            <v>Không</v>
          </cell>
          <cell r="L15" t="str">
            <v>10/6/2026</v>
          </cell>
          <cell r="M15" t="str">
            <v>SM0000046</v>
          </cell>
        </row>
        <row r="16">
          <cell r="C16" t="str">
            <v>Dương Hoàng Tân</v>
          </cell>
          <cell r="D16" t="str">
            <v>htan5002@gmail.com</v>
          </cell>
          <cell r="E16" t="str">
            <v>0932824879</v>
          </cell>
          <cell r="F16" t="str">
            <v>Nhân viên bán hàng</v>
          </cell>
          <cell r="G16" t="str">
            <v>Hoạt động</v>
          </cell>
          <cell r="H16" t="str">
            <v>10/6/2026</v>
          </cell>
          <cell r="I16" t="str">
            <v>Email</v>
          </cell>
          <cell r="J16" t="str">
            <v>Không</v>
          </cell>
          <cell r="K16" t="str">
            <v>Không</v>
          </cell>
          <cell r="L16" t="str">
            <v>10/6/2026</v>
          </cell>
          <cell r="M16" t="str">
            <v>SM0000044</v>
          </cell>
        </row>
        <row r="17">
          <cell r="C17" t="str">
            <v>Võ Trung Hải</v>
          </cell>
          <cell r="D17" t="str">
            <v>hainhu9999@gmail.com</v>
          </cell>
          <cell r="E17" t="str">
            <v>0795503568</v>
          </cell>
          <cell r="F17" t="str">
            <v>Nhân viên bán hàng</v>
          </cell>
          <cell r="G17" t="str">
            <v>Hoạt động</v>
          </cell>
          <cell r="H17" t="str">
            <v>10/6/2026</v>
          </cell>
          <cell r="I17" t="str">
            <v>Email</v>
          </cell>
          <cell r="J17" t="str">
            <v>Không</v>
          </cell>
          <cell r="K17" t="str">
            <v>Không</v>
          </cell>
          <cell r="L17" t="str">
            <v>10/6/2026</v>
          </cell>
          <cell r="M17" t="str">
            <v>SM0000048</v>
          </cell>
        </row>
        <row r="18">
          <cell r="C18" t="str">
            <v>Trần Công Tân</v>
          </cell>
          <cell r="D18" t="str">
            <v>trancongtanpinaco@gmail.com</v>
          </cell>
          <cell r="E18" t="str">
            <v>0949343363</v>
          </cell>
          <cell r="F18" t="str">
            <v>Nhân viên bán hàng</v>
          </cell>
          <cell r="G18" t="str">
            <v>Hoạt động</v>
          </cell>
          <cell r="H18" t="str">
            <v>10/6/2026</v>
          </cell>
          <cell r="I18" t="str">
            <v>Email</v>
          </cell>
          <cell r="J18" t="str">
            <v>Không</v>
          </cell>
          <cell r="K18" t="str">
            <v>Không</v>
          </cell>
          <cell r="L18" t="str">
            <v>10/6/2026</v>
          </cell>
          <cell r="M18" t="str">
            <v>SM0000040</v>
          </cell>
        </row>
        <row r="19">
          <cell r="C19" t="str">
            <v>Nguyễn Hoài Bảo</v>
          </cell>
          <cell r="D19" t="str">
            <v>baonguyen767080@gmail.com</v>
          </cell>
          <cell r="E19" t="str">
            <v>0823005738</v>
          </cell>
          <cell r="F19" t="str">
            <v>Nhân viên bán hàng</v>
          </cell>
          <cell r="G19" t="str">
            <v>Hoạt động</v>
          </cell>
          <cell r="H19" t="str">
            <v>10/6/2026</v>
          </cell>
          <cell r="I19" t="str">
            <v>Email</v>
          </cell>
          <cell r="J19" t="str">
            <v>Không</v>
          </cell>
          <cell r="K19" t="str">
            <v>Không</v>
          </cell>
          <cell r="L19" t="str">
            <v>10/6/2026</v>
          </cell>
          <cell r="M19" t="str">
            <v>SM0000189</v>
          </cell>
        </row>
        <row r="20">
          <cell r="C20" t="str">
            <v>Dương Thanh Tú</v>
          </cell>
          <cell r="D20" t="str">
            <v>duongtu99930@gmail.com</v>
          </cell>
          <cell r="E20" t="str">
            <v>0394499930</v>
          </cell>
          <cell r="F20" t="str">
            <v>Nhân viên bán hàng</v>
          </cell>
          <cell r="G20" t="str">
            <v>Hoạt động</v>
          </cell>
          <cell r="H20" t="str">
            <v>10/6/2026</v>
          </cell>
          <cell r="I20" t="str">
            <v>Email</v>
          </cell>
          <cell r="J20" t="str">
            <v>Không</v>
          </cell>
          <cell r="K20" t="str">
            <v>Không</v>
          </cell>
          <cell r="L20" t="str">
            <v>10/6/2026</v>
          </cell>
          <cell r="M20" t="str">
            <v>SM0000045</v>
          </cell>
        </row>
        <row r="21">
          <cell r="C21" t="str">
            <v>Nguyễn Văn Đoàn</v>
          </cell>
          <cell r="D21" t="str">
            <v>doannguyentv1207@gmail.com</v>
          </cell>
          <cell r="E21" t="str">
            <v>0356680249</v>
          </cell>
          <cell r="F21" t="str">
            <v>Nhân viên bán hàng</v>
          </cell>
          <cell r="G21" t="str">
            <v>Hoạt động</v>
          </cell>
          <cell r="H21" t="str">
            <v>10/6/2026</v>
          </cell>
          <cell r="I21" t="str">
            <v>Email</v>
          </cell>
          <cell r="J21" t="str">
            <v>Không</v>
          </cell>
          <cell r="K21" t="str">
            <v>Không</v>
          </cell>
          <cell r="L21" t="str">
            <v>10/6/2026</v>
          </cell>
          <cell r="M21" t="str">
            <v>SM0000047</v>
          </cell>
        </row>
        <row r="22">
          <cell r="C22" t="str">
            <v>Nguyễn Quốc Phương</v>
          </cell>
          <cell r="D22" t="str">
            <v>nguyenquocphuong3482@gmail.com</v>
          </cell>
          <cell r="E22" t="str">
            <v>0918695960</v>
          </cell>
          <cell r="F22" t="str">
            <v>Nhân viên bán hàng</v>
          </cell>
          <cell r="G22" t="str">
            <v>Hoạt động</v>
          </cell>
          <cell r="H22" t="str">
            <v>10/6/2026</v>
          </cell>
          <cell r="I22" t="str">
            <v>Email</v>
          </cell>
          <cell r="J22" t="str">
            <v>Không</v>
          </cell>
          <cell r="K22" t="str">
            <v>Không</v>
          </cell>
          <cell r="L22" t="str">
            <v>10/6/2026</v>
          </cell>
          <cell r="M22" t="str">
            <v>SM0000042</v>
          </cell>
        </row>
        <row r="23">
          <cell r="C23" t="str">
            <v>Phạm Quang Khang</v>
          </cell>
          <cell r="D23" t="str">
            <v>khangthontrang@gmail.com</v>
          </cell>
          <cell r="E23" t="str">
            <v>0769317102</v>
          </cell>
          <cell r="F23" t="str">
            <v>Nhân viên bán hàng</v>
          </cell>
          <cell r="G23" t="str">
            <v>Hoạt động</v>
          </cell>
          <cell r="H23" t="str">
            <v>10/6/2026</v>
          </cell>
          <cell r="I23" t="str">
            <v>Email</v>
          </cell>
          <cell r="J23" t="str">
            <v>Không</v>
          </cell>
          <cell r="K23" t="str">
            <v>Không</v>
          </cell>
          <cell r="L23" t="str">
            <v>10/6/2026</v>
          </cell>
          <cell r="M23" t="str">
            <v>SM0000053</v>
          </cell>
        </row>
        <row r="24">
          <cell r="C24" t="str">
            <v>Mai Chí Dũng</v>
          </cell>
          <cell r="D24" t="str">
            <v>maichidungcm86@gmail.com</v>
          </cell>
          <cell r="E24" t="str">
            <v>0949880299</v>
          </cell>
          <cell r="F24" t="str">
            <v>Nhân viên bán hàng</v>
          </cell>
          <cell r="G24" t="str">
            <v>Hoạt động</v>
          </cell>
          <cell r="H24" t="str">
            <v>10/6/2026</v>
          </cell>
          <cell r="I24" t="str">
            <v>Email</v>
          </cell>
          <cell r="J24" t="str">
            <v>Không</v>
          </cell>
          <cell r="K24" t="str">
            <v>Không</v>
          </cell>
          <cell r="L24" t="str">
            <v>10/6/2026</v>
          </cell>
          <cell r="M24" t="str">
            <v>SM0000063</v>
          </cell>
        </row>
        <row r="25">
          <cell r="C25" t="str">
            <v>Trương Thanh Quí</v>
          </cell>
          <cell r="D25" t="str">
            <v>thanhqui5s2016@gmail.com</v>
          </cell>
          <cell r="E25" t="str">
            <v>0942863386</v>
          </cell>
          <cell r="F25" t="str">
            <v>Nhân viên bán hàng</v>
          </cell>
          <cell r="G25" t="str">
            <v>Hoạt động</v>
          </cell>
          <cell r="H25" t="str">
            <v>10/6/2026</v>
          </cell>
          <cell r="I25" t="str">
            <v>Email</v>
          </cell>
          <cell r="J25" t="str">
            <v>Không</v>
          </cell>
          <cell r="K25" t="str">
            <v>Không</v>
          </cell>
          <cell r="L25" t="str">
            <v>10/6/2026</v>
          </cell>
          <cell r="M25" t="str">
            <v>SM0000156</v>
          </cell>
        </row>
        <row r="26">
          <cell r="C26" t="str">
            <v>La Hoàng Tuấn</v>
          </cell>
          <cell r="D26" t="str">
            <v>duongquoc00123679@gmail.com</v>
          </cell>
          <cell r="E26" t="str">
            <v>0769337339</v>
          </cell>
          <cell r="F26" t="str">
            <v>Nhân viên bán hàng</v>
          </cell>
          <cell r="G26" t="str">
            <v>Hoạt động</v>
          </cell>
          <cell r="H26" t="str">
            <v>10/6/2026</v>
          </cell>
          <cell r="I26" t="str">
            <v>Email</v>
          </cell>
          <cell r="J26" t="str">
            <v>Không</v>
          </cell>
          <cell r="K26" t="str">
            <v>Không</v>
          </cell>
          <cell r="L26" t="str">
            <v>10/6/2026</v>
          </cell>
          <cell r="M26" t="str">
            <v>SM0000172</v>
          </cell>
        </row>
        <row r="27">
          <cell r="C27" t="str">
            <v>Trịnh Kiến Luân</v>
          </cell>
          <cell r="D27" t="str">
            <v>luantrinh2207@gmail.com</v>
          </cell>
          <cell r="E27" t="str">
            <v>0935503002</v>
          </cell>
          <cell r="F27" t="str">
            <v>Nhân viên bán hàng</v>
          </cell>
          <cell r="G27" t="str">
            <v>Hoạt động</v>
          </cell>
          <cell r="H27" t="str">
            <v>10/6/2026</v>
          </cell>
          <cell r="I27" t="str">
            <v>Email</v>
          </cell>
          <cell r="J27" t="str">
            <v>Không</v>
          </cell>
          <cell r="K27" t="str">
            <v>Không</v>
          </cell>
          <cell r="L27" t="str">
            <v>10/6/2026</v>
          </cell>
          <cell r="M27" t="str">
            <v>SM0000173</v>
          </cell>
        </row>
        <row r="28">
          <cell r="C28" t="str">
            <v>Ngô Thanh Vũ</v>
          </cell>
          <cell r="D28" t="str">
            <v>thanhvu211992@gmail.com</v>
          </cell>
          <cell r="E28" t="str">
            <v>0855033643</v>
          </cell>
          <cell r="F28" t="str">
            <v>Nhân viên bán hàng</v>
          </cell>
          <cell r="G28" t="str">
            <v>Hoạt động</v>
          </cell>
          <cell r="H28" t="str">
            <v>10/6/2026</v>
          </cell>
          <cell r="I28" t="str">
            <v>Email</v>
          </cell>
          <cell r="J28" t="str">
            <v>Không</v>
          </cell>
          <cell r="K28" t="str">
            <v>Không</v>
          </cell>
          <cell r="L28" t="str">
            <v>10/6/2026</v>
          </cell>
          <cell r="M28" t="str">
            <v>SM0000061</v>
          </cell>
        </row>
        <row r="29">
          <cell r="C29" t="str">
            <v>Trần Minh Văn</v>
          </cell>
          <cell r="D29" t="str">
            <v>minhvan2020@gmail.com</v>
          </cell>
          <cell r="E29" t="str">
            <v>0396042323</v>
          </cell>
          <cell r="F29" t="str">
            <v>Nhân viên bán hàng</v>
          </cell>
          <cell r="G29" t="str">
            <v>Hoạt động</v>
          </cell>
          <cell r="H29" t="str">
            <v>10/6/2026</v>
          </cell>
          <cell r="I29" t="str">
            <v>Email</v>
          </cell>
          <cell r="J29" t="str">
            <v>Không</v>
          </cell>
          <cell r="K29" t="str">
            <v>Không</v>
          </cell>
          <cell r="L29" t="str">
            <v>10/6/2026</v>
          </cell>
          <cell r="M29" t="str">
            <v>SM0000169</v>
          </cell>
        </row>
        <row r="30">
          <cell r="C30" t="str">
            <v>Ong Minh Nhựt</v>
          </cell>
          <cell r="D30" t="str">
            <v>ongnhutnhut1999@gmail.com</v>
          </cell>
          <cell r="E30" t="str">
            <v>0973727409</v>
          </cell>
          <cell r="F30" t="str">
            <v>Nhân viên bán hàng</v>
          </cell>
          <cell r="G30" t="str">
            <v>Hoạt động</v>
          </cell>
          <cell r="H30" t="str">
            <v>10/6/2026</v>
          </cell>
          <cell r="I30" t="str">
            <v>Email</v>
          </cell>
          <cell r="J30" t="str">
            <v>Không</v>
          </cell>
          <cell r="K30" t="str">
            <v>Không</v>
          </cell>
          <cell r="L30" t="str">
            <v>10/6/2026</v>
          </cell>
          <cell r="M30" t="str">
            <v>SM0000059</v>
          </cell>
        </row>
        <row r="31">
          <cell r="C31" t="str">
            <v>Lê Nguyễn Minh Trí</v>
          </cell>
          <cell r="D31" t="str">
            <v>nguyentri80bp@gmail.com</v>
          </cell>
          <cell r="E31" t="str">
            <v>0988611662</v>
          </cell>
          <cell r="F31" t="str">
            <v>Nhân viên bán hàng</v>
          </cell>
          <cell r="G31" t="str">
            <v>Hoạt động</v>
          </cell>
          <cell r="H31" t="str">
            <v>10/6/2026</v>
          </cell>
          <cell r="I31" t="str">
            <v>Email</v>
          </cell>
          <cell r="J31" t="str">
            <v>Không</v>
          </cell>
          <cell r="K31" t="str">
            <v>Không</v>
          </cell>
          <cell r="L31" t="str">
            <v>10/6/2026</v>
          </cell>
          <cell r="M31" t="str">
            <v>SM0000036</v>
          </cell>
        </row>
        <row r="32">
          <cell r="C32" t="str">
            <v>Võ Thành Công</v>
          </cell>
          <cell r="D32" t="str">
            <v>vothanhcong465@gmail.com</v>
          </cell>
          <cell r="E32" t="str">
            <v>0937465303</v>
          </cell>
          <cell r="F32" t="str">
            <v>Nhân viên bán hàng</v>
          </cell>
          <cell r="G32" t="str">
            <v>Hoạt động</v>
          </cell>
          <cell r="H32" t="str">
            <v>10/6/2026</v>
          </cell>
          <cell r="I32" t="str">
            <v>Email</v>
          </cell>
          <cell r="J32" t="str">
            <v>Không</v>
          </cell>
          <cell r="K32" t="str">
            <v>Không</v>
          </cell>
          <cell r="L32" t="str">
            <v>10/6/2026</v>
          </cell>
          <cell r="M32" t="str">
            <v>SM0000165</v>
          </cell>
        </row>
        <row r="33">
          <cell r="C33" t="str">
            <v>Bùi Thanh Lộc</v>
          </cell>
          <cell r="D33" t="str">
            <v>builoc1019@gmail.com</v>
          </cell>
          <cell r="E33" t="str">
            <v>0357752857</v>
          </cell>
          <cell r="F33" t="str">
            <v>Nhân viên bán hàng</v>
          </cell>
          <cell r="G33" t="str">
            <v>Hoạt động</v>
          </cell>
          <cell r="H33" t="str">
            <v>10/6/2026</v>
          </cell>
          <cell r="I33" t="str">
            <v>Email</v>
          </cell>
          <cell r="J33" t="str">
            <v>Không</v>
          </cell>
          <cell r="K33" t="str">
            <v>Không</v>
          </cell>
          <cell r="L33" t="str">
            <v>10/6/2026</v>
          </cell>
          <cell r="M33" t="str">
            <v>SM0000163</v>
          </cell>
        </row>
        <row r="34">
          <cell r="C34" t="str">
            <v>Nguyễn Thị Thuyên</v>
          </cell>
          <cell r="D34" t="str">
            <v>thuyen.otc172@gmail.com</v>
          </cell>
          <cell r="E34" t="str">
            <v>0868000803</v>
          </cell>
          <cell r="F34" t="str">
            <v>Nhân viên bán hàng</v>
          </cell>
          <cell r="G34" t="str">
            <v>Hoạt động</v>
          </cell>
          <cell r="H34" t="str">
            <v>10/6/2026</v>
          </cell>
          <cell r="I34" t="str">
            <v>Email</v>
          </cell>
          <cell r="J34" t="str">
            <v>Không</v>
          </cell>
          <cell r="K34" t="str">
            <v>Không</v>
          </cell>
          <cell r="L34" t="str">
            <v>10/6/2026</v>
          </cell>
          <cell r="M34" t="str">
            <v>SM0000158</v>
          </cell>
        </row>
        <row r="35">
          <cell r="C35" t="str">
            <v>Trần Hữu Cường</v>
          </cell>
          <cell r="D35" t="str">
            <v>tranhuucuong.nk@gmail.com</v>
          </cell>
          <cell r="E35" t="str">
            <v>0812767767</v>
          </cell>
          <cell r="F35" t="str">
            <v>Nhân viên bán hàng</v>
          </cell>
          <cell r="G35" t="str">
            <v>Hoạt động</v>
          </cell>
          <cell r="H35" t="str">
            <v>10/6/2026</v>
          </cell>
          <cell r="I35" t="str">
            <v>Email</v>
          </cell>
          <cell r="J35" t="str">
            <v>Không</v>
          </cell>
          <cell r="K35" t="str">
            <v>Không</v>
          </cell>
          <cell r="L35" t="str">
            <v>10/6/2026</v>
          </cell>
          <cell r="M35" t="str">
            <v>SM0000177</v>
          </cell>
        </row>
        <row r="36">
          <cell r="C36" t="str">
            <v>Vũ Hữu Chiến</v>
          </cell>
          <cell r="D36" t="str">
            <v>vuhuuchien88@gmail.com</v>
          </cell>
          <cell r="E36" t="str">
            <v>0976228283</v>
          </cell>
          <cell r="F36" t="str">
            <v>Nhân viên bán hàng</v>
          </cell>
          <cell r="G36" t="str">
            <v>Hoạt động</v>
          </cell>
          <cell r="H36" t="str">
            <v>10/6/2026</v>
          </cell>
          <cell r="I36" t="str">
            <v>Email</v>
          </cell>
          <cell r="J36" t="str">
            <v>Không</v>
          </cell>
          <cell r="K36" t="str">
            <v>Không</v>
          </cell>
          <cell r="L36" t="str">
            <v>10/6/2026</v>
          </cell>
          <cell r="M36" t="str">
            <v>SM0000178</v>
          </cell>
        </row>
        <row r="37">
          <cell r="C37" t="str">
            <v>Nguyễn Đức Nhạ</v>
          </cell>
          <cell r="D37" t="str">
            <v>congnha77@gmail.com</v>
          </cell>
          <cell r="E37" t="str">
            <v>0918662936</v>
          </cell>
          <cell r="F37" t="str">
            <v>Nhân viên bán hàng</v>
          </cell>
          <cell r="G37" t="str">
            <v>Hoạt động</v>
          </cell>
          <cell r="H37" t="str">
            <v>10/6/2026</v>
          </cell>
          <cell r="I37" t="str">
            <v>Email</v>
          </cell>
          <cell r="J37" t="str">
            <v>Không</v>
          </cell>
          <cell r="K37" t="str">
            <v>Không</v>
          </cell>
          <cell r="L37" t="str">
            <v>10/6/2026</v>
          </cell>
          <cell r="M37" t="str">
            <v>SM0000159</v>
          </cell>
        </row>
        <row r="38">
          <cell r="C38" t="str">
            <v>Nguyễn Văn Toàn</v>
          </cell>
          <cell r="D38" t="str">
            <v>nguyenvantoank17th@gmail.com</v>
          </cell>
          <cell r="E38" t="str">
            <v>0966716261</v>
          </cell>
          <cell r="F38" t="str">
            <v>Nhân viên bán hàng</v>
          </cell>
          <cell r="G38" t="str">
            <v>Hoạt động</v>
          </cell>
          <cell r="H38" t="str">
            <v>10/6/2026</v>
          </cell>
          <cell r="I38" t="str">
            <v>Email</v>
          </cell>
          <cell r="J38" t="str">
            <v>Không</v>
          </cell>
          <cell r="K38" t="str">
            <v>Không</v>
          </cell>
          <cell r="L38" t="str">
            <v>10/6/2026</v>
          </cell>
          <cell r="M38" t="str">
            <v>SM0000187</v>
          </cell>
        </row>
        <row r="39">
          <cell r="C39" t="str">
            <v>Nguyễn Tấn Phát</v>
          </cell>
          <cell r="D39" t="str">
            <v>tanphatnguyen2084@gmail.com</v>
          </cell>
          <cell r="E39" t="str">
            <v>0972161391</v>
          </cell>
          <cell r="F39" t="str">
            <v>Nhân viên bán hàng</v>
          </cell>
          <cell r="G39" t="str">
            <v>Hoạt động</v>
          </cell>
          <cell r="H39" t="str">
            <v>10/6/2026</v>
          </cell>
          <cell r="I39" t="str">
            <v>Email</v>
          </cell>
          <cell r="J39" t="str">
            <v>Không</v>
          </cell>
          <cell r="K39" t="str">
            <v>Không</v>
          </cell>
          <cell r="L39" t="str">
            <v>10/6/2026</v>
          </cell>
          <cell r="M39" t="str">
            <v>SM0000183</v>
          </cell>
        </row>
        <row r="40">
          <cell r="C40" t="str">
            <v>Lê Công Tiến</v>
          </cell>
          <cell r="D40" t="str">
            <v>tienle8925@gmail.com</v>
          </cell>
          <cell r="E40" t="str">
            <v>0908725515</v>
          </cell>
          <cell r="F40" t="str">
            <v>Nhân viên bán hàng</v>
          </cell>
          <cell r="G40" t="str">
            <v>Hoạt động</v>
          </cell>
          <cell r="H40" t="str">
            <v>10/6/2026</v>
          </cell>
          <cell r="I40" t="str">
            <v>Email</v>
          </cell>
          <cell r="J40" t="str">
            <v>Không</v>
          </cell>
          <cell r="K40" t="str">
            <v>Không</v>
          </cell>
          <cell r="L40" t="str">
            <v>10/6/2026</v>
          </cell>
          <cell r="M40" t="str">
            <v>SM0000031</v>
          </cell>
        </row>
        <row r="41">
          <cell r="C41" t="str">
            <v>Nguyễn Đức Thuận</v>
          </cell>
          <cell r="D41" t="str">
            <v>nguyenducthuan9090@gmail.com</v>
          </cell>
          <cell r="E41" t="str">
            <v>0393556336</v>
          </cell>
          <cell r="F41" t="str">
            <v>Nhân viên bán hàng</v>
          </cell>
          <cell r="G41" t="str">
            <v>Hoạt động</v>
          </cell>
          <cell r="H41" t="str">
            <v>10/6/2026</v>
          </cell>
          <cell r="I41" t="str">
            <v>Email</v>
          </cell>
          <cell r="J41" t="str">
            <v>Không</v>
          </cell>
          <cell r="K41" t="str">
            <v>Không</v>
          </cell>
          <cell r="L41" t="str">
            <v>10/6/2026</v>
          </cell>
          <cell r="M41" t="str">
            <v>SM0000030</v>
          </cell>
        </row>
        <row r="42">
          <cell r="C42" t="str">
            <v>Nguyễn Hữu Lộc</v>
          </cell>
          <cell r="D42" t="str">
            <v>nguyenhuuloc77@gmail.com</v>
          </cell>
          <cell r="E42" t="str">
            <v>0946702277</v>
          </cell>
          <cell r="F42" t="str">
            <v>Nhân viên bán hàng</v>
          </cell>
          <cell r="G42" t="str">
            <v>Hoạt động</v>
          </cell>
          <cell r="H42" t="str">
            <v>10/6/2026</v>
          </cell>
          <cell r="I42" t="str">
            <v>Email</v>
          </cell>
          <cell r="J42" t="str">
            <v>Không</v>
          </cell>
          <cell r="K42" t="str">
            <v>Không</v>
          </cell>
          <cell r="L42" t="str">
            <v>10/6/2026</v>
          </cell>
          <cell r="M42" t="str">
            <v>SM0000181</v>
          </cell>
        </row>
        <row r="43">
          <cell r="C43" t="str">
            <v>Nguyễn Quốc Tân</v>
          </cell>
          <cell r="D43" t="str">
            <v>nguyenquoctan616@gmail.com</v>
          </cell>
          <cell r="E43" t="str">
            <v>0908164054</v>
          </cell>
          <cell r="F43" t="str">
            <v>Nhân viên bán hàng</v>
          </cell>
          <cell r="G43" t="str">
            <v>Hoạt động</v>
          </cell>
          <cell r="H43" t="str">
            <v>10/6/2026</v>
          </cell>
          <cell r="I43" t="str">
            <v>Email</v>
          </cell>
          <cell r="J43" t="str">
            <v>Không</v>
          </cell>
          <cell r="K43" t="str">
            <v>Không</v>
          </cell>
          <cell r="L43" t="str">
            <v>10/6/2026</v>
          </cell>
          <cell r="M43" t="str">
            <v>SM0000009</v>
          </cell>
        </row>
        <row r="44">
          <cell r="C44" t="str">
            <v>Phan Văn Đán</v>
          </cell>
          <cell r="D44" t="str">
            <v>phanvandan2114@gmail.com</v>
          </cell>
          <cell r="E44" t="str">
            <v>0989717031</v>
          </cell>
          <cell r="F44" t="str">
            <v>Nhân viên bán hàng</v>
          </cell>
          <cell r="G44" t="str">
            <v>Hoạt động</v>
          </cell>
          <cell r="H44" t="str">
            <v>10/6/2026</v>
          </cell>
          <cell r="I44" t="str">
            <v>Email</v>
          </cell>
          <cell r="J44" t="str">
            <v>Không</v>
          </cell>
          <cell r="K44" t="str">
            <v>Không</v>
          </cell>
          <cell r="L44" t="str">
            <v>10/6/2026</v>
          </cell>
          <cell r="M44" t="str">
            <v>SM0000006</v>
          </cell>
        </row>
        <row r="45">
          <cell r="C45" t="str">
            <v>Lê Tuấn Vũ</v>
          </cell>
          <cell r="D45" t="str">
            <v>ltuanvu251095@gmail.com</v>
          </cell>
          <cell r="E45" t="str">
            <v>0329955434</v>
          </cell>
          <cell r="F45" t="str">
            <v>Nhân viên bán hàng</v>
          </cell>
          <cell r="G45" t="str">
            <v>Hoạt động</v>
          </cell>
          <cell r="H45" t="str">
            <v>10/6/2026</v>
          </cell>
          <cell r="I45" t="str">
            <v>Email</v>
          </cell>
          <cell r="J45" t="str">
            <v>Không</v>
          </cell>
          <cell r="K45" t="str">
            <v>Không</v>
          </cell>
          <cell r="L45" t="str">
            <v>10/6/2026</v>
          </cell>
          <cell r="M45" t="str">
            <v>SM0000012</v>
          </cell>
        </row>
        <row r="46">
          <cell r="C46" t="str">
            <v>Hồ Trọng Toàn</v>
          </cell>
          <cell r="D46" t="str">
            <v>toanho19952@gmail.com</v>
          </cell>
          <cell r="E46" t="str">
            <v>0868617704</v>
          </cell>
          <cell r="F46" t="str">
            <v>Nhân viên bán hàng</v>
          </cell>
          <cell r="G46" t="str">
            <v>Hoạt động</v>
          </cell>
          <cell r="H46" t="str">
            <v>10/6/2026</v>
          </cell>
          <cell r="I46" t="str">
            <v>Email</v>
          </cell>
          <cell r="J46" t="str">
            <v>Không</v>
          </cell>
          <cell r="K46" t="str">
            <v>Không</v>
          </cell>
          <cell r="L46" t="str">
            <v>10/6/2026</v>
          </cell>
          <cell r="M46" t="str">
            <v>SM0000164</v>
          </cell>
        </row>
        <row r="47">
          <cell r="C47" t="str">
            <v>Nguyễn Phạm Phương Thùy</v>
          </cell>
          <cell r="D47" t="str">
            <v>nguyenphamphuongthuy1982@gmail.com</v>
          </cell>
          <cell r="E47" t="str">
            <v>0901315952</v>
          </cell>
          <cell r="F47" t="str">
            <v>Nhân viên bán hàng</v>
          </cell>
          <cell r="G47" t="str">
            <v>Hoạt động</v>
          </cell>
          <cell r="H47" t="str">
            <v>10/6/2026</v>
          </cell>
          <cell r="I47" t="str">
            <v>Email</v>
          </cell>
          <cell r="J47" t="str">
            <v>Không</v>
          </cell>
          <cell r="K47" t="str">
            <v>Không</v>
          </cell>
          <cell r="L47" t="str">
            <v>10/6/2026</v>
          </cell>
          <cell r="M47" t="str">
            <v>SM0000008</v>
          </cell>
        </row>
        <row r="48">
          <cell r="C48" t="str">
            <v>Nguyễn Trí Dũng</v>
          </cell>
          <cell r="D48" t="str">
            <v>nguyendungsg1970@gmail.com</v>
          </cell>
          <cell r="E48" t="str">
            <v>0907140424</v>
          </cell>
          <cell r="F48" t="str">
            <v>Nhân viên bán hàng</v>
          </cell>
          <cell r="G48" t="str">
            <v>Hoạt động</v>
          </cell>
          <cell r="H48" t="str">
            <v>10/6/2026</v>
          </cell>
          <cell r="I48" t="str">
            <v>Email</v>
          </cell>
          <cell r="J48" t="str">
            <v>Không</v>
          </cell>
          <cell r="K48" t="str">
            <v>Không</v>
          </cell>
          <cell r="L48" t="str">
            <v>10/6/2026</v>
          </cell>
          <cell r="M48" t="str">
            <v>SM0000018</v>
          </cell>
        </row>
        <row r="49">
          <cell r="C49" t="str">
            <v>Phan Thị Vân</v>
          </cell>
          <cell r="D49" t="str">
            <v>phanvan.rv@gmail.com</v>
          </cell>
          <cell r="E49" t="str">
            <v>0983219376</v>
          </cell>
          <cell r="F49" t="str">
            <v>Nhân viên bán hàng</v>
          </cell>
          <cell r="G49" t="str">
            <v>Hoạt động</v>
          </cell>
          <cell r="H49" t="str">
            <v>10/6/2026</v>
          </cell>
          <cell r="I49" t="str">
            <v>Email</v>
          </cell>
          <cell r="J49" t="str">
            <v>Không</v>
          </cell>
          <cell r="K49" t="str">
            <v>Không</v>
          </cell>
          <cell r="L49" t="str">
            <v>10/6/2026</v>
          </cell>
          <cell r="M49" t="str">
            <v>SM0000016</v>
          </cell>
        </row>
        <row r="50">
          <cell r="C50" t="str">
            <v>Nguyễn Chí Trường</v>
          </cell>
          <cell r="D50" t="str">
            <v>chitruongn44@gmail.com</v>
          </cell>
          <cell r="E50" t="str">
            <v>0933992044</v>
          </cell>
          <cell r="F50" t="str">
            <v>Nhân viên bán hàng</v>
          </cell>
          <cell r="G50" t="str">
            <v>Hoạt động</v>
          </cell>
          <cell r="H50" t="str">
            <v>10/6/2026</v>
          </cell>
          <cell r="I50" t="str">
            <v>Email</v>
          </cell>
          <cell r="J50" t="str">
            <v>Không</v>
          </cell>
          <cell r="K50" t="str">
            <v>Không</v>
          </cell>
          <cell r="L50" t="str">
            <v>10/6/2026</v>
          </cell>
          <cell r="M50" t="str">
            <v>SM0000007</v>
          </cell>
        </row>
        <row r="51">
          <cell r="C51" t="str">
            <v>Lê Thanh Phong</v>
          </cell>
          <cell r="D51" t="str">
            <v>lephong.pinaco@gmail.com</v>
          </cell>
          <cell r="E51" t="str">
            <v>0903088798</v>
          </cell>
          <cell r="F51" t="str">
            <v>Nhân viên bán hàng</v>
          </cell>
          <cell r="G51" t="str">
            <v>Hoạt động</v>
          </cell>
          <cell r="H51" t="str">
            <v>10/6/2026</v>
          </cell>
          <cell r="I51" t="str">
            <v>Email</v>
          </cell>
          <cell r="J51" t="str">
            <v>Không</v>
          </cell>
          <cell r="K51" t="str">
            <v>Không</v>
          </cell>
          <cell r="L51" t="str">
            <v>10/6/2026</v>
          </cell>
          <cell r="M51" t="str">
            <v>SM0000011</v>
          </cell>
        </row>
        <row r="52">
          <cell r="C52" t="str">
            <v>Ngô Quốc Trung</v>
          </cell>
          <cell r="D52" t="str">
            <v>quoctrungpinaco@gmail.com</v>
          </cell>
          <cell r="E52" t="str">
            <v>0903993558</v>
          </cell>
          <cell r="F52" t="str">
            <v>Nhân viên bán hàng</v>
          </cell>
          <cell r="G52" t="str">
            <v>Hoạt động</v>
          </cell>
          <cell r="H52" t="str">
            <v>10/6/2026</v>
          </cell>
          <cell r="I52" t="str">
            <v>Email</v>
          </cell>
          <cell r="J52" t="str">
            <v>Không</v>
          </cell>
          <cell r="K52" t="str">
            <v>Không</v>
          </cell>
          <cell r="L52" t="str">
            <v>10/6/2026</v>
          </cell>
          <cell r="M52" t="str">
            <v>SM0000005</v>
          </cell>
        </row>
        <row r="53">
          <cell r="C53" t="str">
            <v>Trần Đức Quang</v>
          </cell>
          <cell r="D53" t="str">
            <v>ducquang.rv@gmail.com</v>
          </cell>
          <cell r="E53" t="str">
            <v>0939809535</v>
          </cell>
          <cell r="F53" t="str">
            <v>Nhân viên bán hàng</v>
          </cell>
          <cell r="G53" t="str">
            <v>Hoạt động</v>
          </cell>
          <cell r="H53" t="str">
            <v>10/6/2026</v>
          </cell>
          <cell r="I53" t="str">
            <v>Email</v>
          </cell>
          <cell r="J53" t="str">
            <v>Không</v>
          </cell>
          <cell r="K53" t="str">
            <v>Không</v>
          </cell>
          <cell r="L53" t="str">
            <v>10/6/2026</v>
          </cell>
          <cell r="M53" t="str">
            <v>SM0000019</v>
          </cell>
        </row>
        <row r="54">
          <cell r="C54" t="str">
            <v>Trần Thị Kiều Lan</v>
          </cell>
          <cell r="D54" t="str">
            <v>tranthikieulan2611@gmail.com</v>
          </cell>
          <cell r="E54" t="str">
            <v>0946484476</v>
          </cell>
          <cell r="F54" t="str">
            <v>Nhân viên bán hàng</v>
          </cell>
          <cell r="G54" t="str">
            <v>Hoạt động</v>
          </cell>
          <cell r="H54" t="str">
            <v>10/6/2026</v>
          </cell>
          <cell r="I54" t="str">
            <v>Email</v>
          </cell>
          <cell r="J54" t="str">
            <v>Không</v>
          </cell>
          <cell r="K54" t="str">
            <v>Không</v>
          </cell>
          <cell r="L54" t="str">
            <v>10/6/2026</v>
          </cell>
          <cell r="M54" t="str">
            <v>SM0000001</v>
          </cell>
        </row>
        <row r="55">
          <cell r="C55" t="str">
            <v>Lâm Minh Tân</v>
          </cell>
          <cell r="D55" t="str">
            <v>lamminhtan0787@gmail.com</v>
          </cell>
          <cell r="E55" t="str">
            <v>0338023559</v>
          </cell>
          <cell r="F55" t="str">
            <v>Nhân viên bán hàng</v>
          </cell>
          <cell r="G55" t="str">
            <v>Hoạt động</v>
          </cell>
          <cell r="H55" t="str">
            <v>10/6/2026</v>
          </cell>
          <cell r="I55" t="str">
            <v>Email</v>
          </cell>
          <cell r="J55" t="str">
            <v>Không</v>
          </cell>
          <cell r="K55" t="str">
            <v>Không</v>
          </cell>
          <cell r="L55" t="str">
            <v>10/6/2026</v>
          </cell>
          <cell r="M55" t="str">
            <v>SM0000015</v>
          </cell>
        </row>
        <row r="56">
          <cell r="C56" t="str">
            <v>Nguyễn Anh Tài</v>
          </cell>
          <cell r="D56" t="str">
            <v>nguyenanhtaipt17@gmail.com</v>
          </cell>
          <cell r="E56" t="str">
            <v>0334640447</v>
          </cell>
          <cell r="F56" t="str">
            <v>Nhân viên bán hàng</v>
          </cell>
          <cell r="G56" t="str">
            <v>Hoạt động</v>
          </cell>
          <cell r="H56" t="str">
            <v>10/6/2026</v>
          </cell>
          <cell r="I56" t="str">
            <v>Email</v>
          </cell>
          <cell r="J56" t="str">
            <v>Không</v>
          </cell>
          <cell r="K56" t="str">
            <v>Không</v>
          </cell>
          <cell r="L56" t="str">
            <v>10/6/2026</v>
          </cell>
          <cell r="M56" t="str">
            <v>SM0000032</v>
          </cell>
        </row>
        <row r="57">
          <cell r="C57" t="str">
            <v>Phạm Ngọc Giàu</v>
          </cell>
          <cell r="D57" t="str">
            <v>giaupinaco@gmail.com</v>
          </cell>
          <cell r="E57" t="str">
            <v>0937339713</v>
          </cell>
          <cell r="F57" t="str">
            <v>Nhân viên bán hàng</v>
          </cell>
          <cell r="G57" t="str">
            <v>Hoạt động</v>
          </cell>
          <cell r="H57" t="str">
            <v>10/6/2026</v>
          </cell>
          <cell r="I57" t="str">
            <v>Email</v>
          </cell>
          <cell r="J57" t="str">
            <v>Không</v>
          </cell>
          <cell r="K57" t="str">
            <v>Không</v>
          </cell>
          <cell r="L57" t="str">
            <v>10/6/2026</v>
          </cell>
          <cell r="M57" t="str">
            <v>SM0000020</v>
          </cell>
        </row>
        <row r="58">
          <cell r="C58" t="str">
            <v>Trương Minh Huy</v>
          </cell>
          <cell r="D58" t="str">
            <v>truongminhhuy9456@gmail.com</v>
          </cell>
          <cell r="E58" t="str">
            <v>0989219456</v>
          </cell>
          <cell r="F58" t="str">
            <v>Nhân viên bán hàng</v>
          </cell>
          <cell r="G58" t="str">
            <v>Hoạt động</v>
          </cell>
          <cell r="H58" t="str">
            <v>10/6/2026</v>
          </cell>
          <cell r="I58" t="str">
            <v>Email</v>
          </cell>
          <cell r="J58" t="str">
            <v>Không</v>
          </cell>
          <cell r="K58" t="str">
            <v>Không</v>
          </cell>
          <cell r="L58" t="str">
            <v>10/6/2026</v>
          </cell>
          <cell r="M58" t="str">
            <v>SM0000021</v>
          </cell>
        </row>
        <row r="59">
          <cell r="C59" t="str">
            <v>Lương Văn Nam</v>
          </cell>
          <cell r="D59" t="str">
            <v>luongvannam82@gmail.com</v>
          </cell>
          <cell r="E59" t="str">
            <v>0978519668</v>
          </cell>
          <cell r="F59" t="str">
            <v>Nhân viên bán hàng</v>
          </cell>
          <cell r="G59" t="str">
            <v>Hoạt động</v>
          </cell>
          <cell r="H59" t="str">
            <v>10/6/2026</v>
          </cell>
          <cell r="I59" t="str">
            <v>Email</v>
          </cell>
          <cell r="J59" t="str">
            <v>Không</v>
          </cell>
          <cell r="K59" t="str">
            <v>Không</v>
          </cell>
          <cell r="L59" t="str">
            <v>10/6/2026</v>
          </cell>
          <cell r="M59" t="str">
            <v>SM0000155</v>
          </cell>
        </row>
        <row r="60">
          <cell r="C60" t="str">
            <v>Phạm Khánh Hồng</v>
          </cell>
          <cell r="D60" t="str">
            <v>hongpinaco@yahoo.com</v>
          </cell>
          <cell r="E60" t="str">
            <v>0935190665</v>
          </cell>
          <cell r="F60" t="str">
            <v>Nhân viên bán hàng</v>
          </cell>
          <cell r="G60" t="str">
            <v>Hoạt động</v>
          </cell>
          <cell r="H60" t="str">
            <v>10/6/2026</v>
          </cell>
          <cell r="I60" t="str">
            <v>Email</v>
          </cell>
          <cell r="J60" t="str">
            <v>Không</v>
          </cell>
          <cell r="K60" t="str">
            <v>Không</v>
          </cell>
          <cell r="L60" t="str">
            <v>10/6/2026</v>
          </cell>
          <cell r="M60" t="str">
            <v>SM0000025</v>
          </cell>
        </row>
        <row r="61">
          <cell r="C61" t="str">
            <v>Nguyễn Cảnh Tuấn</v>
          </cell>
          <cell r="D61" t="str">
            <v>canhtuan.viendong@gmail.com</v>
          </cell>
          <cell r="E61" t="str">
            <v>0364057957</v>
          </cell>
          <cell r="F61" t="str">
            <v>Nhân viên bán hàng</v>
          </cell>
          <cell r="G61" t="str">
            <v>Hoạt động</v>
          </cell>
          <cell r="H61" t="str">
            <v>10/6/2026</v>
          </cell>
          <cell r="I61" t="str">
            <v>Email</v>
          </cell>
          <cell r="J61" t="str">
            <v>Không</v>
          </cell>
          <cell r="K61" t="str">
            <v>Không</v>
          </cell>
          <cell r="L61" t="str">
            <v>10/6/2026</v>
          </cell>
          <cell r="M61" t="str">
            <v>SM0000024</v>
          </cell>
        </row>
        <row r="62">
          <cell r="C62" t="str">
            <v>Đỗ Trọng Nghĩa</v>
          </cell>
          <cell r="D62" t="str">
            <v>dotrongnghia250@gmail.com</v>
          </cell>
          <cell r="E62" t="str">
            <v>0941678080</v>
          </cell>
          <cell r="F62" t="str">
            <v>Nhân viên bán hàng</v>
          </cell>
          <cell r="G62" t="str">
            <v>Hoạt động</v>
          </cell>
          <cell r="H62" t="str">
            <v>10/6/2026</v>
          </cell>
          <cell r="I62" t="str">
            <v>Email</v>
          </cell>
          <cell r="J62" t="str">
            <v>Không</v>
          </cell>
          <cell r="K62" t="str">
            <v>Không</v>
          </cell>
          <cell r="L62" t="str">
            <v>10/6/2026</v>
          </cell>
          <cell r="M62" t="str">
            <v>SM0000026</v>
          </cell>
        </row>
        <row r="63">
          <cell r="C63" t="str">
            <v>Nguyễn Phạm Liêm</v>
          </cell>
          <cell r="D63" t="str">
            <v>phamliem92@gmail.com</v>
          </cell>
          <cell r="E63" t="str">
            <v>0933609812</v>
          </cell>
          <cell r="F63" t="str">
            <v>Nhân viên bán hàng</v>
          </cell>
          <cell r="G63" t="str">
            <v>Hoạt động</v>
          </cell>
          <cell r="H63" t="str">
            <v>10/6/2026</v>
          </cell>
          <cell r="I63" t="str">
            <v>Email</v>
          </cell>
          <cell r="J63" t="str">
            <v>Không</v>
          </cell>
          <cell r="K63" t="str">
            <v>Không</v>
          </cell>
          <cell r="L63" t="str">
            <v>10/6/2026</v>
          </cell>
          <cell r="M63" t="str">
            <v>SM0000028</v>
          </cell>
        </row>
        <row r="64">
          <cell r="C64" t="str">
            <v>Kiều Ngọc Hảo</v>
          </cell>
          <cell r="D64" t="str">
            <v>haokieungoc640@gmail.com</v>
          </cell>
          <cell r="E64" t="str">
            <v>0818311183</v>
          </cell>
          <cell r="F64" t="str">
            <v>Nhân viên bán hàng</v>
          </cell>
          <cell r="G64" t="str">
            <v>Hoạt động</v>
          </cell>
          <cell r="H64" t="str">
            <v>10/6/2026</v>
          </cell>
          <cell r="I64" t="str">
            <v>Email</v>
          </cell>
          <cell r="J64" t="str">
            <v>Không</v>
          </cell>
          <cell r="K64" t="str">
            <v>Không</v>
          </cell>
          <cell r="L64" t="str">
            <v>10/6/2026</v>
          </cell>
          <cell r="M64" t="str">
            <v>SM0000027</v>
          </cell>
        </row>
        <row r="65">
          <cell r="C65" t="str">
            <v>Phan Huy Cường</v>
          </cell>
          <cell r="D65" t="str">
            <v>phanhuycuongpinaco@gmail.com</v>
          </cell>
          <cell r="E65" t="str">
            <v>0901640981</v>
          </cell>
          <cell r="F65" t="str">
            <v>Nhân viên bán hàng</v>
          </cell>
          <cell r="G65" t="str">
            <v>Hoạt động</v>
          </cell>
          <cell r="H65" t="str">
            <v>10/6/2026</v>
          </cell>
          <cell r="I65" t="str">
            <v>Email</v>
          </cell>
          <cell r="J65" t="str">
            <v>Không</v>
          </cell>
          <cell r="K65" t="str">
            <v>Không</v>
          </cell>
          <cell r="L65" t="str">
            <v>10/6/2026</v>
          </cell>
          <cell r="M65" t="str">
            <v>SM0000022</v>
          </cell>
        </row>
        <row r="66">
          <cell r="C66" t="str">
            <v>Phạm Văn Hải</v>
          </cell>
          <cell r="D66" t="str">
            <v>haipham85bh@gmail.com</v>
          </cell>
          <cell r="E66" t="str">
            <v>0937751660</v>
          </cell>
          <cell r="F66" t="str">
            <v>Nhân viên bán hàng</v>
          </cell>
          <cell r="G66" t="str">
            <v>Hoạt động</v>
          </cell>
          <cell r="H66" t="str">
            <v>10/6/2026</v>
          </cell>
          <cell r="I66" t="str">
            <v>Email</v>
          </cell>
          <cell r="J66" t="str">
            <v>Không</v>
          </cell>
          <cell r="K66" t="str">
            <v>Không</v>
          </cell>
          <cell r="L66" t="str">
            <v>10/6/2026</v>
          </cell>
          <cell r="M66" t="str">
            <v>SM0000023</v>
          </cell>
        </row>
        <row r="67">
          <cell r="C67" t="str">
            <v>Trần Văn Việt</v>
          </cell>
          <cell r="D67" t="str">
            <v>tranviet161988@gmail.com</v>
          </cell>
          <cell r="E67" t="str">
            <v>0774840616</v>
          </cell>
          <cell r="F67" t="str">
            <v>Nhân viên bán hàng</v>
          </cell>
          <cell r="G67" t="str">
            <v>Hoạt động</v>
          </cell>
          <cell r="H67" t="str">
            <v>10/6/2026</v>
          </cell>
          <cell r="I67" t="str">
            <v>Email</v>
          </cell>
          <cell r="J67" t="str">
            <v>Không</v>
          </cell>
          <cell r="K67" t="str">
            <v>Không</v>
          </cell>
          <cell r="L67" t="str">
            <v>10/6/2026</v>
          </cell>
          <cell r="M67" t="str">
            <v>SM0000033</v>
          </cell>
        </row>
        <row r="68">
          <cell r="C68" t="str">
            <v>Huỳnh Lê Ngọc Tân</v>
          </cell>
          <cell r="D68" t="str">
            <v>tanqt96@gmail.com</v>
          </cell>
          <cell r="E68" t="str">
            <v>0379925444</v>
          </cell>
          <cell r="F68" t="str">
            <v>Nhân viên bán hàng</v>
          </cell>
          <cell r="G68" t="str">
            <v>Hoạt động</v>
          </cell>
          <cell r="H68" t="str">
            <v>10/6/2026</v>
          </cell>
          <cell r="I68" t="str">
            <v>Email</v>
          </cell>
          <cell r="J68" t="str">
            <v>Không</v>
          </cell>
          <cell r="K68" t="str">
            <v>Không</v>
          </cell>
          <cell r="L68" t="str">
            <v>10/6/2026</v>
          </cell>
          <cell r="M68" t="str">
            <v>SM0000125</v>
          </cell>
        </row>
        <row r="69">
          <cell r="C69" t="str">
            <v>Hồ Văn Trung</v>
          </cell>
          <cell r="D69" t="str">
            <v>trungkun1804@gmail.com</v>
          </cell>
          <cell r="E69" t="str">
            <v>0899868946</v>
          </cell>
          <cell r="F69" t="str">
            <v>Nhân viên bán hàng</v>
          </cell>
          <cell r="G69" t="str">
            <v>Hoạt động</v>
          </cell>
          <cell r="H69" t="str">
            <v>10/6/2026</v>
          </cell>
          <cell r="I69" t="str">
            <v>Email</v>
          </cell>
          <cell r="J69" t="str">
            <v>Không</v>
          </cell>
          <cell r="K69" t="str">
            <v>Không</v>
          </cell>
          <cell r="L69" t="str">
            <v>10/6/2026</v>
          </cell>
          <cell r="M69" t="str">
            <v>SM0000124</v>
          </cell>
        </row>
        <row r="70">
          <cell r="C70" t="str">
            <v>Ngô Văn Tân</v>
          </cell>
          <cell r="D70" t="str">
            <v>tanngo1986@gmail.com</v>
          </cell>
          <cell r="E70" t="str">
            <v>0905006819</v>
          </cell>
          <cell r="F70" t="str">
            <v>Nhân viên bán hàng</v>
          </cell>
          <cell r="G70" t="str">
            <v>Hoạt động</v>
          </cell>
          <cell r="H70" t="str">
            <v>10/6/2026</v>
          </cell>
          <cell r="I70" t="str">
            <v>Email</v>
          </cell>
          <cell r="J70" t="str">
            <v>Không</v>
          </cell>
          <cell r="K70" t="str">
            <v>Không</v>
          </cell>
          <cell r="L70" t="str">
            <v>10/6/2026</v>
          </cell>
          <cell r="M70" t="str">
            <v>SM0000126</v>
          </cell>
        </row>
        <row r="71">
          <cell r="C71" t="str">
            <v>Hoàng Đình Thảo</v>
          </cell>
          <cell r="D71" t="str">
            <v>lyhaonguyen@gmail.com</v>
          </cell>
          <cell r="E71" t="str">
            <v>0902341157</v>
          </cell>
          <cell r="F71" t="str">
            <v>Nhân viên bán hàng</v>
          </cell>
          <cell r="G71" t="str">
            <v>Hoạt động</v>
          </cell>
          <cell r="H71" t="str">
            <v>10/6/2026</v>
          </cell>
          <cell r="I71" t="str">
            <v>Email</v>
          </cell>
          <cell r="J71" t="str">
            <v>Không</v>
          </cell>
          <cell r="K71" t="str">
            <v>Không</v>
          </cell>
          <cell r="L71" t="str">
            <v>10/6/2026</v>
          </cell>
          <cell r="M71" t="str">
            <v>SM0000143</v>
          </cell>
        </row>
        <row r="72">
          <cell r="C72" t="str">
            <v>HOÀNG CÔNG BÌNH NGUYÊN</v>
          </cell>
          <cell r="D72" t="str">
            <v>nguyenhoang11052002@gmail.com</v>
          </cell>
          <cell r="E72" t="str">
            <v>0702456711</v>
          </cell>
          <cell r="F72" t="str">
            <v>Nhân viên bán hàng</v>
          </cell>
          <cell r="G72" t="str">
            <v>Hoạt động</v>
          </cell>
          <cell r="H72" t="str">
            <v>10/6/2026</v>
          </cell>
          <cell r="I72" t="str">
            <v>Email</v>
          </cell>
          <cell r="J72" t="str">
            <v>Không</v>
          </cell>
          <cell r="K72" t="str">
            <v>Không</v>
          </cell>
          <cell r="L72" t="str">
            <v>10/6/2026</v>
          </cell>
          <cell r="M72" t="str">
            <v>SM0000142</v>
          </cell>
        </row>
        <row r="73">
          <cell r="C73" t="str">
            <v>NGUYỄN THANH PHONG</v>
          </cell>
          <cell r="D73" t="str">
            <v>nguyenthanhphong051296@gmail.com</v>
          </cell>
          <cell r="E73" t="str">
            <v>0766562767</v>
          </cell>
          <cell r="F73" t="str">
            <v>Nhân viên bán hàng</v>
          </cell>
          <cell r="G73" t="str">
            <v>Hoạt động</v>
          </cell>
          <cell r="H73" t="str">
            <v>10/6/2026</v>
          </cell>
          <cell r="I73" t="str">
            <v>Email</v>
          </cell>
          <cell r="J73" t="str">
            <v>Không</v>
          </cell>
          <cell r="K73" t="str">
            <v>Không</v>
          </cell>
          <cell r="L73" t="str">
            <v>10/6/2026</v>
          </cell>
          <cell r="M73" t="str">
            <v>SM0000141</v>
          </cell>
        </row>
        <row r="74">
          <cell r="C74" t="str">
            <v>Nguyễn Văn Hai</v>
          </cell>
          <cell r="D74" t="str">
            <v>hainv.qt.1108@gmail.com</v>
          </cell>
          <cell r="E74" t="str">
            <v>0935499855</v>
          </cell>
          <cell r="F74" t="str">
            <v>Nhân viên bán hàng</v>
          </cell>
          <cell r="G74" t="str">
            <v>Hoạt động</v>
          </cell>
          <cell r="H74" t="str">
            <v>10/6/2026</v>
          </cell>
          <cell r="I74" t="str">
            <v>Email</v>
          </cell>
          <cell r="J74" t="str">
            <v>Không</v>
          </cell>
          <cell r="K74" t="str">
            <v>Không</v>
          </cell>
          <cell r="L74" t="str">
            <v>10/6/2026</v>
          </cell>
          <cell r="M74" t="str">
            <v>SM0000108</v>
          </cell>
        </row>
        <row r="75">
          <cell r="C75" t="str">
            <v>PHAN VĂN QUÝ</v>
          </cell>
          <cell r="D75" t="str">
            <v>phanphanquyquy1@gmail.com</v>
          </cell>
          <cell r="E75" t="str">
            <v>0911422599</v>
          </cell>
          <cell r="F75" t="str">
            <v>Nhân viên bán hàng</v>
          </cell>
          <cell r="G75" t="str">
            <v>Hoạt động</v>
          </cell>
          <cell r="H75" t="str">
            <v>10/6/2026</v>
          </cell>
          <cell r="I75" t="str">
            <v>Email</v>
          </cell>
          <cell r="J75" t="str">
            <v>Không</v>
          </cell>
          <cell r="K75" t="str">
            <v>Không</v>
          </cell>
          <cell r="L75" t="str">
            <v>10/6/2026</v>
          </cell>
          <cell r="M75" t="str">
            <v>SM0000107</v>
          </cell>
        </row>
        <row r="76">
          <cell r="C76" t="str">
            <v>Phan Duy Hải</v>
          </cell>
          <cell r="D76" t="str">
            <v>haiphanduymb@gmail.com</v>
          </cell>
          <cell r="E76" t="str">
            <v>0886711690</v>
          </cell>
          <cell r="F76" t="str">
            <v>Nhân viên bán hàng</v>
          </cell>
          <cell r="G76" t="str">
            <v>Hoạt động</v>
          </cell>
          <cell r="H76" t="str">
            <v>10/6/2026</v>
          </cell>
          <cell r="I76" t="str">
            <v>Email</v>
          </cell>
          <cell r="J76" t="str">
            <v>Không</v>
          </cell>
          <cell r="K76" t="str">
            <v>Không</v>
          </cell>
          <cell r="L76" t="str">
            <v>10/6/2026</v>
          </cell>
          <cell r="M76" t="str">
            <v>SM0000145</v>
          </cell>
        </row>
        <row r="77">
          <cell r="C77" t="str">
            <v>Hoàng Xuân Quế</v>
          </cell>
          <cell r="D77" t="str">
            <v>hoangque2525@gmail.com</v>
          </cell>
          <cell r="E77" t="str">
            <v>0395699682</v>
          </cell>
          <cell r="F77" t="str">
            <v>Nhân viên bán hàng</v>
          </cell>
          <cell r="G77" t="str">
            <v>Hoạt động</v>
          </cell>
          <cell r="H77" t="str">
            <v>10/6/2026</v>
          </cell>
          <cell r="I77" t="str">
            <v>Email</v>
          </cell>
          <cell r="J77" t="str">
            <v>Không</v>
          </cell>
          <cell r="K77" t="str">
            <v>Không</v>
          </cell>
          <cell r="L77" t="str">
            <v>10/6/2026</v>
          </cell>
          <cell r="M77" t="str">
            <v>SM0000224</v>
          </cell>
        </row>
        <row r="78">
          <cell r="C78" t="str">
            <v>Võ Cát Hào</v>
          </cell>
          <cell r="D78" t="str">
            <v>cathaovo@gmail.com</v>
          </cell>
          <cell r="E78" t="str">
            <v>0844261580</v>
          </cell>
          <cell r="F78" t="str">
            <v>Nhân viên bán hàng</v>
          </cell>
          <cell r="G78" t="str">
            <v>Hoạt động</v>
          </cell>
          <cell r="H78" t="str">
            <v>10/6/2026</v>
          </cell>
          <cell r="I78" t="str">
            <v>Email</v>
          </cell>
          <cell r="J78" t="str">
            <v>Không</v>
          </cell>
          <cell r="K78" t="str">
            <v>Không</v>
          </cell>
          <cell r="L78" t="str">
            <v>10/6/2026</v>
          </cell>
          <cell r="M78" t="str">
            <v>SM0000147</v>
          </cell>
        </row>
        <row r="79">
          <cell r="C79" t="str">
            <v>Nguyễn Đình Đức</v>
          </cell>
          <cell r="D79" t="str">
            <v>nguyendinhduc021292@gmail.com</v>
          </cell>
          <cell r="E79" t="str">
            <v>0967821292</v>
          </cell>
          <cell r="F79" t="str">
            <v>Nhân viên bán hàng</v>
          </cell>
          <cell r="G79" t="str">
            <v>Hoạt động</v>
          </cell>
          <cell r="H79" t="str">
            <v>10/6/2026</v>
          </cell>
          <cell r="I79" t="str">
            <v>Email</v>
          </cell>
          <cell r="J79" t="str">
            <v>Không</v>
          </cell>
          <cell r="K79" t="str">
            <v>Không</v>
          </cell>
          <cell r="L79" t="str">
            <v>10/6/2026</v>
          </cell>
          <cell r="M79" t="str">
            <v>SM0000137</v>
          </cell>
        </row>
        <row r="80">
          <cell r="C80" t="str">
            <v>Nguyễn Văn Hòa</v>
          </cell>
          <cell r="D80" t="str">
            <v>hoanguyen922016@gmail.com</v>
          </cell>
          <cell r="E80" t="str">
            <v>0976639579</v>
          </cell>
          <cell r="F80" t="str">
            <v>Nhân viên bán hàng</v>
          </cell>
          <cell r="G80" t="str">
            <v>Hoạt động</v>
          </cell>
          <cell r="H80" t="str">
            <v>10/6/2026</v>
          </cell>
          <cell r="I80" t="str">
            <v>Email</v>
          </cell>
          <cell r="J80" t="str">
            <v>Không</v>
          </cell>
          <cell r="K80" t="str">
            <v>Không</v>
          </cell>
          <cell r="L80" t="str">
            <v>10/6/2026</v>
          </cell>
          <cell r="M80" t="str">
            <v>SM0000139</v>
          </cell>
        </row>
        <row r="81">
          <cell r="C81" t="str">
            <v>Nguyễn Tấn Dậu</v>
          </cell>
          <cell r="D81" t="str">
            <v>nguyentandau@gmail.com</v>
          </cell>
          <cell r="E81" t="str">
            <v>0905706548</v>
          </cell>
          <cell r="F81" t="str">
            <v>Nhân viên bán hàng</v>
          </cell>
          <cell r="G81" t="str">
            <v>Hoạt động</v>
          </cell>
          <cell r="H81" t="str">
            <v>10/6/2026</v>
          </cell>
          <cell r="I81" t="str">
            <v>Email</v>
          </cell>
          <cell r="J81" t="str">
            <v>Không</v>
          </cell>
          <cell r="K81" t="str">
            <v>Không</v>
          </cell>
          <cell r="L81" t="str">
            <v>10/6/2026</v>
          </cell>
          <cell r="M81" t="str">
            <v>SM0000112</v>
          </cell>
        </row>
        <row r="82">
          <cell r="C82" t="str">
            <v>Hồ Tấn Việt</v>
          </cell>
          <cell r="D82" t="str">
            <v>vietpinaco@gmail.com</v>
          </cell>
          <cell r="E82" t="str">
            <v>0979156702</v>
          </cell>
          <cell r="F82" t="str">
            <v>Nhân viên bán hàng</v>
          </cell>
          <cell r="G82" t="str">
            <v>Hoạt động</v>
          </cell>
          <cell r="H82" t="str">
            <v>10/6/2026</v>
          </cell>
          <cell r="I82" t="str">
            <v>Email</v>
          </cell>
          <cell r="J82" t="str">
            <v>Không</v>
          </cell>
          <cell r="K82" t="str">
            <v>Không</v>
          </cell>
          <cell r="L82" t="str">
            <v>10/6/2026</v>
          </cell>
          <cell r="M82" t="str">
            <v>SM0000113</v>
          </cell>
        </row>
        <row r="83">
          <cell r="C83" t="str">
            <v>Nguyễn Đức Mỹ</v>
          </cell>
          <cell r="D83" t="str">
            <v>nguyenducmy817@gmail.com</v>
          </cell>
          <cell r="E83" t="str">
            <v>0905298660</v>
          </cell>
          <cell r="F83" t="str">
            <v>Nhân viên bán hàng</v>
          </cell>
          <cell r="G83" t="str">
            <v>Hoạt động</v>
          </cell>
          <cell r="H83" t="str">
            <v>10/6/2026</v>
          </cell>
          <cell r="I83" t="str">
            <v>Email</v>
          </cell>
          <cell r="J83" t="str">
            <v>Không</v>
          </cell>
          <cell r="K83" t="str">
            <v>Không</v>
          </cell>
          <cell r="L83" t="str">
            <v>10/6/2026</v>
          </cell>
          <cell r="M83" t="str">
            <v>SM0000111</v>
          </cell>
        </row>
        <row r="84">
          <cell r="C84" t="str">
            <v>Đặng Minh Quân</v>
          </cell>
          <cell r="D84" t="str">
            <v>dangminhquan29@gmail.com</v>
          </cell>
          <cell r="E84" t="str">
            <v>0947157007</v>
          </cell>
          <cell r="F84" t="str">
            <v>Nhân viên bán hàng</v>
          </cell>
          <cell r="G84" t="str">
            <v>Hoạt động</v>
          </cell>
          <cell r="H84" t="str">
            <v>10/6/2026</v>
          </cell>
          <cell r="I84" t="str">
            <v>Email</v>
          </cell>
          <cell r="J84" t="str">
            <v>Không</v>
          </cell>
          <cell r="K84" t="str">
            <v>Không</v>
          </cell>
          <cell r="L84" t="str">
            <v>10/6/2026</v>
          </cell>
          <cell r="M84" t="str">
            <v>SM0000186</v>
          </cell>
        </row>
        <row r="85">
          <cell r="C85" t="str">
            <v>Nguyễn Đình Chính</v>
          </cell>
          <cell r="D85" t="str">
            <v>chinhnguyen055@gmai.com</v>
          </cell>
          <cell r="E85" t="str">
            <v>0948259367</v>
          </cell>
          <cell r="F85" t="str">
            <v>Nhân viên bán hàng</v>
          </cell>
          <cell r="G85" t="str">
            <v>Hoạt động</v>
          </cell>
          <cell r="H85" t="str">
            <v>10/6/2026</v>
          </cell>
          <cell r="I85" t="str">
            <v>Email</v>
          </cell>
          <cell r="J85" t="str">
            <v>Không</v>
          </cell>
          <cell r="K85" t="str">
            <v>Không</v>
          </cell>
          <cell r="L85" t="str">
            <v>10/6/2026</v>
          </cell>
          <cell r="M85" t="str">
            <v>SM0000128</v>
          </cell>
        </row>
        <row r="86">
          <cell r="C86" t="str">
            <v>Nguyễn Thành Trung</v>
          </cell>
          <cell r="D86" t="str">
            <v>nguyenthanhtrung26021970@gmail.com</v>
          </cell>
          <cell r="E86" t="str">
            <v>0903654601</v>
          </cell>
          <cell r="F86" t="str">
            <v>Nhân viên bán hàng</v>
          </cell>
          <cell r="G86" t="str">
            <v>Hoạt động</v>
          </cell>
          <cell r="H86" t="str">
            <v>10/6/2026</v>
          </cell>
          <cell r="I86" t="str">
            <v>Email</v>
          </cell>
          <cell r="J86" t="str">
            <v>Không</v>
          </cell>
          <cell r="K86" t="str">
            <v>Không</v>
          </cell>
          <cell r="L86" t="str">
            <v>10/6/2026</v>
          </cell>
          <cell r="M86" t="str">
            <v>SM0000127</v>
          </cell>
        </row>
        <row r="87">
          <cell r="C87" t="str">
            <v>Lê Anh Khoa</v>
          </cell>
          <cell r="D87" t="str">
            <v>khoaphongdang@gmail.com</v>
          </cell>
          <cell r="E87" t="str">
            <v>0935943649</v>
          </cell>
          <cell r="F87" t="str">
            <v>Nhân viên bán hàng</v>
          </cell>
          <cell r="G87" t="str">
            <v>Hoạt động</v>
          </cell>
          <cell r="H87" t="str">
            <v>10/6/2026</v>
          </cell>
          <cell r="I87" t="str">
            <v>Email</v>
          </cell>
          <cell r="J87" t="str">
            <v>Không</v>
          </cell>
          <cell r="K87" t="str">
            <v>Không</v>
          </cell>
          <cell r="L87" t="str">
            <v>10/6/2026</v>
          </cell>
          <cell r="M87" t="str">
            <v>SM0000129</v>
          </cell>
        </row>
        <row r="88">
          <cell r="C88" t="str">
            <v>Lê Đức Chỉnh</v>
          </cell>
          <cell r="D88" t="str">
            <v>leducchinh0412@gmail.com</v>
          </cell>
          <cell r="E88" t="str">
            <v>0398618984</v>
          </cell>
          <cell r="F88" t="str">
            <v>Nhân viên bán hàng</v>
          </cell>
          <cell r="G88" t="str">
            <v>Hoạt động</v>
          </cell>
          <cell r="H88" t="str">
            <v>10/6/2026</v>
          </cell>
          <cell r="I88" t="str">
            <v>Email</v>
          </cell>
          <cell r="J88" t="str">
            <v>Không</v>
          </cell>
          <cell r="K88" t="str">
            <v>Không</v>
          </cell>
          <cell r="L88" t="str">
            <v>10/6/2026</v>
          </cell>
          <cell r="M88" t="str">
            <v>SM0000188</v>
          </cell>
        </row>
        <row r="89">
          <cell r="C89" t="str">
            <v>Lê Mạnh Hùng</v>
          </cell>
          <cell r="D89" t="str">
            <v>hungvankt8892@gmail.com</v>
          </cell>
          <cell r="E89" t="str">
            <v>0345378879</v>
          </cell>
          <cell r="F89" t="str">
            <v>Nhân viên bán hàng</v>
          </cell>
          <cell r="G89" t="str">
            <v>Hoạt động</v>
          </cell>
          <cell r="H89" t="str">
            <v>10/6/2026</v>
          </cell>
          <cell r="I89" t="str">
            <v>Email</v>
          </cell>
          <cell r="J89" t="str">
            <v>Không</v>
          </cell>
          <cell r="K89" t="str">
            <v>Không</v>
          </cell>
          <cell r="L89" t="str">
            <v>10/6/2026</v>
          </cell>
          <cell r="M89" t="str">
            <v>SM0000138</v>
          </cell>
        </row>
        <row r="90">
          <cell r="C90" t="str">
            <v>Phan Nhật Tiến</v>
          </cell>
          <cell r="D90" t="str">
            <v>nhattienpinaco@gmail.com</v>
          </cell>
          <cell r="E90" t="str">
            <v>0917629239</v>
          </cell>
          <cell r="F90" t="str">
            <v>Nhân viên bán hàng</v>
          </cell>
          <cell r="G90" t="str">
            <v>Hoạt động</v>
          </cell>
          <cell r="H90" t="str">
            <v>10/6/2026</v>
          </cell>
          <cell r="I90" t="str">
            <v>Email</v>
          </cell>
          <cell r="J90" t="str">
            <v>Không</v>
          </cell>
          <cell r="K90" t="str">
            <v>Không</v>
          </cell>
          <cell r="L90" t="str">
            <v>10/6/2026</v>
          </cell>
          <cell r="M90" t="str">
            <v>SM0000119</v>
          </cell>
        </row>
        <row r="91">
          <cell r="C91" t="str">
            <v>Trương Minh Hoàng</v>
          </cell>
          <cell r="D91" t="str">
            <v>hoangtruong030280@gmail.com</v>
          </cell>
          <cell r="E91" t="str">
            <v>0945818861</v>
          </cell>
          <cell r="F91" t="str">
            <v>Nhân viên bán hàng</v>
          </cell>
          <cell r="G91" t="str">
            <v>Hoạt động</v>
          </cell>
          <cell r="H91" t="str">
            <v>10/6/2026</v>
          </cell>
          <cell r="I91" t="str">
            <v>Email</v>
          </cell>
          <cell r="J91" t="str">
            <v>Không</v>
          </cell>
          <cell r="K91" t="str">
            <v>Không</v>
          </cell>
          <cell r="L91" t="str">
            <v>10/6/2026</v>
          </cell>
          <cell r="M91" t="str">
            <v>SM0000120</v>
          </cell>
        </row>
        <row r="92">
          <cell r="C92" t="str">
            <v>Hà Trung Hiếu</v>
          </cell>
          <cell r="D92" t="str">
            <v>hatrunghieu90@gmail.com</v>
          </cell>
          <cell r="E92" t="str">
            <v>0986775424</v>
          </cell>
          <cell r="F92" t="str">
            <v>Nhân viên bán hàng</v>
          </cell>
          <cell r="G92" t="str">
            <v>Hoạt động</v>
          </cell>
          <cell r="H92" t="str">
            <v>10/6/2026</v>
          </cell>
          <cell r="I92" t="str">
            <v>Email</v>
          </cell>
          <cell r="J92" t="str">
            <v>Không</v>
          </cell>
          <cell r="K92" t="str">
            <v>Không</v>
          </cell>
          <cell r="L92" t="str">
            <v>10/6/2026</v>
          </cell>
          <cell r="M92" t="str">
            <v>SM0000121</v>
          </cell>
        </row>
        <row r="93">
          <cell r="C93" t="str">
            <v>Võ Xuân Phước</v>
          </cell>
          <cell r="D93" t="str">
            <v>xphuoc86@gmail.com</v>
          </cell>
          <cell r="E93" t="str">
            <v>0902043642</v>
          </cell>
          <cell r="F93" t="str">
            <v>Nhân viên bán hàng</v>
          </cell>
          <cell r="G93" t="str">
            <v>Hoạt động</v>
          </cell>
          <cell r="H93" t="str">
            <v>10/6/2026</v>
          </cell>
          <cell r="I93" t="str">
            <v>Email</v>
          </cell>
          <cell r="J93" t="str">
            <v>Không</v>
          </cell>
          <cell r="K93" t="str">
            <v>Không</v>
          </cell>
          <cell r="L93" t="str">
            <v>10/6/2026</v>
          </cell>
          <cell r="M93" t="str">
            <v>SM0000122</v>
          </cell>
        </row>
        <row r="94">
          <cell r="C94" t="str">
            <v>Trần Sơn Vỵ</v>
          </cell>
          <cell r="D94" t="str">
            <v>sonvytran5@gmail.com</v>
          </cell>
          <cell r="E94" t="str">
            <v>0967840049</v>
          </cell>
          <cell r="F94" t="str">
            <v>Nhân viên bán hàng</v>
          </cell>
          <cell r="G94" t="str">
            <v>Hoạt động</v>
          </cell>
          <cell r="H94" t="str">
            <v>10/6/2026</v>
          </cell>
          <cell r="I94" t="str">
            <v>Email</v>
          </cell>
          <cell r="J94" t="str">
            <v>Không</v>
          </cell>
          <cell r="K94" t="str">
            <v>Không</v>
          </cell>
          <cell r="L94" t="str">
            <v>10/6/2026</v>
          </cell>
          <cell r="M94" t="str">
            <v>SM0000175</v>
          </cell>
        </row>
        <row r="95">
          <cell r="C95" t="str">
            <v>Hồ Quốc Viễn</v>
          </cell>
          <cell r="D95" t="str">
            <v>hoquocvien1909@gmail.com</v>
          </cell>
          <cell r="E95" t="str">
            <v>0868585138</v>
          </cell>
          <cell r="F95" t="str">
            <v>Nhân viên bán hàng</v>
          </cell>
          <cell r="G95" t="str">
            <v>Hoạt động</v>
          </cell>
          <cell r="H95" t="str">
            <v>10/6/2026</v>
          </cell>
          <cell r="I95" t="str">
            <v>Email</v>
          </cell>
          <cell r="J95" t="str">
            <v>Không</v>
          </cell>
          <cell r="K95" t="str">
            <v>Không</v>
          </cell>
          <cell r="L95" t="str">
            <v>10/6/2026</v>
          </cell>
          <cell r="M95" t="str">
            <v>SM0000132</v>
          </cell>
        </row>
        <row r="96">
          <cell r="C96" t="str">
            <v>Lê Hữu Đa</v>
          </cell>
          <cell r="D96" t="str">
            <v>leeda0902@gmail.com</v>
          </cell>
          <cell r="E96" t="str">
            <v>0915665795</v>
          </cell>
          <cell r="F96" t="str">
            <v>Nhân viên bán hàng</v>
          </cell>
          <cell r="G96" t="str">
            <v>Hoạt động</v>
          </cell>
          <cell r="H96" t="str">
            <v>10/6/2026</v>
          </cell>
          <cell r="I96" t="str">
            <v>Email</v>
          </cell>
          <cell r="J96" t="str">
            <v>Không</v>
          </cell>
          <cell r="K96" t="str">
            <v>Không</v>
          </cell>
          <cell r="L96" t="str">
            <v>10/6/2026</v>
          </cell>
          <cell r="M96" t="str">
            <v>SM0000099</v>
          </cell>
        </row>
        <row r="97">
          <cell r="C97" t="str">
            <v>Trần Văn Cường</v>
          </cell>
          <cell r="D97" t="str">
            <v>trancuong0276@gmail.com</v>
          </cell>
          <cell r="E97" t="str">
            <v>0965858976</v>
          </cell>
          <cell r="F97" t="str">
            <v>Nhân viên bán hàng</v>
          </cell>
          <cell r="G97" t="str">
            <v>Hoạt động</v>
          </cell>
          <cell r="H97" t="str">
            <v>10/6/2026</v>
          </cell>
          <cell r="I97" t="str">
            <v>Email</v>
          </cell>
          <cell r="J97" t="str">
            <v>Không</v>
          </cell>
          <cell r="K97" t="str">
            <v>Không</v>
          </cell>
          <cell r="L97" t="str">
            <v>10/6/2026</v>
          </cell>
          <cell r="M97" t="str">
            <v>SM0000100</v>
          </cell>
        </row>
        <row r="98">
          <cell r="C98" t="str">
            <v>Nguyễn Văn Chiến</v>
          </cell>
          <cell r="D98" t="str">
            <v>chiennguyen.pinaco@gmail.com</v>
          </cell>
          <cell r="E98" t="str">
            <v>0979565540</v>
          </cell>
          <cell r="F98" t="str">
            <v>Nhân viên bán hàng</v>
          </cell>
          <cell r="G98" t="str">
            <v>Hoạt động</v>
          </cell>
          <cell r="H98" t="str">
            <v>10/6/2026</v>
          </cell>
          <cell r="I98" t="str">
            <v>Email</v>
          </cell>
          <cell r="J98" t="str">
            <v>Không</v>
          </cell>
          <cell r="K98" t="str">
            <v>Không</v>
          </cell>
          <cell r="L98" t="str">
            <v>10/6/2026</v>
          </cell>
          <cell r="M98" t="str">
            <v>SM0000109</v>
          </cell>
        </row>
        <row r="99">
          <cell r="C99" t="str">
            <v>Nguyễn Văn Sơn</v>
          </cell>
          <cell r="D99" t="str">
            <v>ailienqt210696@gmail.com</v>
          </cell>
          <cell r="E99" t="str">
            <v>0888053035</v>
          </cell>
          <cell r="F99" t="str">
            <v>Nhân viên bán hàng</v>
          </cell>
          <cell r="G99" t="str">
            <v>Hoạt động</v>
          </cell>
          <cell r="H99" t="str">
            <v>10/6/2026</v>
          </cell>
          <cell r="I99" t="str">
            <v>Email</v>
          </cell>
          <cell r="J99" t="str">
            <v>Không</v>
          </cell>
          <cell r="K99" t="str">
            <v>Không</v>
          </cell>
          <cell r="L99" t="str">
            <v>10/6/2026</v>
          </cell>
          <cell r="M99" t="str">
            <v>SM0000110</v>
          </cell>
        </row>
        <row r="100">
          <cell r="C100" t="str">
            <v>Hà Văn Hiệp</v>
          </cell>
          <cell r="D100" t="str">
            <v>hhiep2511@gmail.com</v>
          </cell>
          <cell r="E100" t="str">
            <v>0779474969</v>
          </cell>
          <cell r="F100" t="str">
            <v>Nhân viên bán hàng</v>
          </cell>
          <cell r="G100" t="str">
            <v>Hoạt động</v>
          </cell>
          <cell r="H100" t="str">
            <v>10/6/2026</v>
          </cell>
          <cell r="I100" t="str">
            <v>Email</v>
          </cell>
          <cell r="J100" t="str">
            <v>Không</v>
          </cell>
          <cell r="K100" t="str">
            <v>Không</v>
          </cell>
          <cell r="L100" t="str">
            <v>10/6/2026</v>
          </cell>
          <cell r="M100" t="str">
            <v>SM0000176</v>
          </cell>
        </row>
        <row r="101">
          <cell r="C101" t="str">
            <v>Trần Kim Mẫn</v>
          </cell>
          <cell r="D101" t="str">
            <v>mantk.pinaco@gmail.com</v>
          </cell>
          <cell r="E101" t="str">
            <v>0935174616</v>
          </cell>
          <cell r="F101" t="str">
            <v>Nhân viên bán hàng</v>
          </cell>
          <cell r="G101" t="str">
            <v>Hoạt động</v>
          </cell>
          <cell r="H101" t="str">
            <v>10/6/2026</v>
          </cell>
          <cell r="I101" t="str">
            <v>Email</v>
          </cell>
          <cell r="J101" t="str">
            <v>Không</v>
          </cell>
          <cell r="K101" t="str">
            <v>Không</v>
          </cell>
          <cell r="L101" t="str">
            <v>10/6/2026</v>
          </cell>
          <cell r="M101" t="str">
            <v>SM0000123</v>
          </cell>
        </row>
        <row r="102">
          <cell r="C102" t="str">
            <v>Nguyễn Xuân Điệp</v>
          </cell>
          <cell r="D102" t="str">
            <v>hathitam888@gmail.com</v>
          </cell>
          <cell r="E102" t="str">
            <v>0973878346</v>
          </cell>
          <cell r="F102" t="str">
            <v>Nhân viên bán hàng</v>
          </cell>
          <cell r="G102" t="str">
            <v>Hoạt động</v>
          </cell>
          <cell r="H102" t="str">
            <v>10/6/2026</v>
          </cell>
          <cell r="I102" t="str">
            <v>Email</v>
          </cell>
          <cell r="J102" t="str">
            <v>Không</v>
          </cell>
          <cell r="K102" t="str">
            <v>Không</v>
          </cell>
          <cell r="L102" t="str">
            <v>10/6/2026</v>
          </cell>
          <cell r="M102" t="str">
            <v>SM0000174</v>
          </cell>
        </row>
        <row r="103">
          <cell r="C103" t="str">
            <v>Nguyễn Hoành Sơn</v>
          </cell>
          <cell r="D103" t="str">
            <v>nguyenhoanhson23081988@gmail.com</v>
          </cell>
          <cell r="E103" t="str">
            <v>0978821063</v>
          </cell>
          <cell r="F103" t="str">
            <v>Nhân viên bán hàng</v>
          </cell>
          <cell r="G103" t="str">
            <v>Hoạt động</v>
          </cell>
          <cell r="H103" t="str">
            <v>10/6/2026</v>
          </cell>
          <cell r="I103" t="str">
            <v>Email</v>
          </cell>
          <cell r="J103" t="str">
            <v>Không</v>
          </cell>
          <cell r="K103" t="str">
            <v>Không</v>
          </cell>
          <cell r="L103" t="str">
            <v>10/6/2026</v>
          </cell>
          <cell r="M103" t="str">
            <v>SM0000075</v>
          </cell>
        </row>
        <row r="104">
          <cell r="C104" t="str">
            <v>Phạm Văn Ngân</v>
          </cell>
          <cell r="D104" t="str">
            <v>pvngan1978@gmail.com</v>
          </cell>
          <cell r="E104" t="str">
            <v>0377181868</v>
          </cell>
          <cell r="F104" t="str">
            <v>Nhân viên bán hàng</v>
          </cell>
          <cell r="G104" t="str">
            <v>Hoạt động</v>
          </cell>
          <cell r="H104" t="str">
            <v>10/6/2026</v>
          </cell>
          <cell r="I104" t="str">
            <v>Email</v>
          </cell>
          <cell r="J104" t="str">
            <v>Không</v>
          </cell>
          <cell r="K104" t="str">
            <v>Không</v>
          </cell>
          <cell r="L104" t="str">
            <v>10/6/2026</v>
          </cell>
          <cell r="M104" t="str">
            <v>SM0000076</v>
          </cell>
        </row>
        <row r="105">
          <cell r="C105" t="str">
            <v>Dương Thanh Trà</v>
          </cell>
          <cell r="D105" t="str">
            <v>trapinaco@gmail.com</v>
          </cell>
          <cell r="E105" t="str">
            <v>0971111828</v>
          </cell>
          <cell r="F105" t="str">
            <v>Nhân viên bán hàng</v>
          </cell>
          <cell r="G105" t="str">
            <v>Hoạt động</v>
          </cell>
          <cell r="H105" t="str">
            <v>10/6/2026</v>
          </cell>
          <cell r="I105" t="str">
            <v>Email</v>
          </cell>
          <cell r="J105" t="str">
            <v>Không</v>
          </cell>
          <cell r="K105" t="str">
            <v>Không</v>
          </cell>
          <cell r="L105" t="str">
            <v>10/6/2026</v>
          </cell>
          <cell r="M105" t="str">
            <v>SM0000223</v>
          </cell>
        </row>
        <row r="106">
          <cell r="C106" t="str">
            <v>Mai Thị Bình</v>
          </cell>
          <cell r="D106" t="str">
            <v>binhmai02121980@gmail.com</v>
          </cell>
          <cell r="E106" t="str">
            <v>0982805909</v>
          </cell>
          <cell r="F106" t="str">
            <v>Nhân viên bán hàng</v>
          </cell>
          <cell r="G106" t="str">
            <v>Hoạt động</v>
          </cell>
          <cell r="H106" t="str">
            <v>10/6/2026</v>
          </cell>
          <cell r="I106" t="str">
            <v>Email</v>
          </cell>
          <cell r="J106" t="str">
            <v>Không</v>
          </cell>
          <cell r="K106" t="str">
            <v>Không</v>
          </cell>
          <cell r="L106" t="str">
            <v>10/6/2026</v>
          </cell>
          <cell r="M106" t="str">
            <v>SM0000079</v>
          </cell>
        </row>
        <row r="107">
          <cell r="C107" t="str">
            <v>Trần Đăng Khánh</v>
          </cell>
          <cell r="D107" t="str">
            <v>khanhtran8185@gmail.com</v>
          </cell>
          <cell r="E107" t="str">
            <v>0988417666</v>
          </cell>
          <cell r="F107" t="str">
            <v>Nhân viên bán hàng</v>
          </cell>
          <cell r="G107" t="str">
            <v>Hoạt động</v>
          </cell>
          <cell r="H107" t="str">
            <v>10/6/2026</v>
          </cell>
          <cell r="I107" t="str">
            <v>Email</v>
          </cell>
          <cell r="J107" t="str">
            <v>Không</v>
          </cell>
          <cell r="K107" t="str">
            <v>Không</v>
          </cell>
          <cell r="L107" t="str">
            <v>10/6/2026</v>
          </cell>
          <cell r="M107" t="str">
            <v>SM0000193</v>
          </cell>
        </row>
        <row r="108">
          <cell r="C108" t="str">
            <v>Phùng Thị Minh</v>
          </cell>
          <cell r="D108" t="str">
            <v>phungminhminhvp@gmail.com</v>
          </cell>
          <cell r="E108" t="str">
            <v>0944292285</v>
          </cell>
          <cell r="F108" t="str">
            <v>Nhân viên bán hàng</v>
          </cell>
          <cell r="G108" t="str">
            <v>Hoạt động</v>
          </cell>
          <cell r="H108" t="str">
            <v>10/6/2026</v>
          </cell>
          <cell r="I108" t="str">
            <v>Email</v>
          </cell>
          <cell r="J108" t="str">
            <v>Không</v>
          </cell>
          <cell r="K108" t="str">
            <v>Không</v>
          </cell>
          <cell r="L108" t="str">
            <v>10/6/2026</v>
          </cell>
          <cell r="M108" t="str">
            <v>SM0000222</v>
          </cell>
        </row>
        <row r="109">
          <cell r="C109" t="str">
            <v>Hoàng Văn Mùi</v>
          </cell>
          <cell r="D109" t="str">
            <v>hoangmui29081991@gmail.com</v>
          </cell>
          <cell r="E109" t="str">
            <v>0985233638</v>
          </cell>
          <cell r="F109" t="str">
            <v>Nhân viên bán hàng</v>
          </cell>
          <cell r="G109" t="str">
            <v>Hoạt động</v>
          </cell>
          <cell r="H109" t="str">
            <v>10/6/2026</v>
          </cell>
          <cell r="I109" t="str">
            <v>Email</v>
          </cell>
          <cell r="J109" t="str">
            <v>Không</v>
          </cell>
          <cell r="K109" t="str">
            <v>Không</v>
          </cell>
          <cell r="L109" t="str">
            <v>10/6/2026</v>
          </cell>
          <cell r="M109" t="str">
            <v>SM0000194</v>
          </cell>
        </row>
        <row r="110">
          <cell r="C110" t="str">
            <v>Phạm Ngọc Khôi</v>
          </cell>
          <cell r="D110" t="str">
            <v>ngockhoi02102000@gmail.com</v>
          </cell>
          <cell r="E110" t="str">
            <v>0568873053</v>
          </cell>
          <cell r="F110" t="str">
            <v>Nhân viên bán hàng</v>
          </cell>
          <cell r="G110" t="str">
            <v>Hoạt động</v>
          </cell>
          <cell r="H110" t="str">
            <v>10/6/2026</v>
          </cell>
          <cell r="I110" t="str">
            <v>Email</v>
          </cell>
          <cell r="J110" t="str">
            <v>Không</v>
          </cell>
          <cell r="K110" t="str">
            <v>Không</v>
          </cell>
          <cell r="L110" t="str">
            <v>10/6/2026</v>
          </cell>
          <cell r="M110" t="str">
            <v>SM0000195</v>
          </cell>
        </row>
        <row r="111">
          <cell r="C111" t="str">
            <v>Trịnh Quang Nhã</v>
          </cell>
          <cell r="D111" t="str">
            <v>trinhquangnha.dlk@gmail.com</v>
          </cell>
          <cell r="E111" t="str">
            <v>0352606363</v>
          </cell>
          <cell r="F111" t="str">
            <v>Nhân viên bán hàng</v>
          </cell>
          <cell r="G111" t="str">
            <v>Hoạt động</v>
          </cell>
          <cell r="H111" t="str">
            <v>10/6/2026</v>
          </cell>
          <cell r="I111" t="str">
            <v>Email</v>
          </cell>
          <cell r="J111" t="str">
            <v>Không</v>
          </cell>
          <cell r="K111" t="str">
            <v>Không</v>
          </cell>
          <cell r="L111" t="str">
            <v>10/6/2026</v>
          </cell>
          <cell r="M111" t="str">
            <v>SM0000196</v>
          </cell>
        </row>
        <row r="112">
          <cell r="C112" t="str">
            <v>Đỗ Nguyễn Tuân</v>
          </cell>
          <cell r="D112" t="str">
            <v>donguyentuan150@icloud.com</v>
          </cell>
          <cell r="E112" t="str">
            <v>0942379855</v>
          </cell>
          <cell r="F112" t="str">
            <v>Nhân viên bán hàng</v>
          </cell>
          <cell r="G112" t="str">
            <v>Hoạt động</v>
          </cell>
          <cell r="H112" t="str">
            <v>10/6/2026</v>
          </cell>
          <cell r="I112" t="str">
            <v>Email</v>
          </cell>
          <cell r="J112" t="str">
            <v>Không</v>
          </cell>
          <cell r="K112" t="str">
            <v>Không</v>
          </cell>
          <cell r="L112" t="str">
            <v>10/6/2026</v>
          </cell>
          <cell r="M112" t="str">
            <v>SM0000198</v>
          </cell>
        </row>
        <row r="113">
          <cell r="C113" t="str">
            <v>Nguyễn Đức Hoàng</v>
          </cell>
          <cell r="D113" t="str">
            <v>duchoangnb8989@gmail.com</v>
          </cell>
          <cell r="E113" t="str">
            <v>0842921234</v>
          </cell>
          <cell r="F113" t="str">
            <v>Nhân viên bán hàng</v>
          </cell>
          <cell r="G113" t="str">
            <v>Hoạt động</v>
          </cell>
          <cell r="H113" t="str">
            <v>10/6/2026</v>
          </cell>
          <cell r="I113" t="str">
            <v>Email</v>
          </cell>
          <cell r="J113" t="str">
            <v>Không</v>
          </cell>
          <cell r="K113" t="str">
            <v>Không</v>
          </cell>
          <cell r="L113" t="str">
            <v>10/6/2026</v>
          </cell>
          <cell r="M113" t="str">
            <v>SM0000166</v>
          </cell>
        </row>
        <row r="114">
          <cell r="C114" t="str">
            <v>Nguyễn Đức Long</v>
          </cell>
          <cell r="D114" t="str">
            <v>longbp88nd@gmail.com</v>
          </cell>
          <cell r="E114" t="str">
            <v>0837411988</v>
          </cell>
          <cell r="F114" t="str">
            <v>Nhân viên bán hàng</v>
          </cell>
          <cell r="G114" t="str">
            <v>Hoạt động</v>
          </cell>
          <cell r="H114" t="str">
            <v>10/6/2026</v>
          </cell>
          <cell r="I114" t="str">
            <v>Email</v>
          </cell>
          <cell r="J114" t="str">
            <v>Không</v>
          </cell>
          <cell r="K114" t="str">
            <v>Không</v>
          </cell>
          <cell r="L114" t="str">
            <v>10/6/2026</v>
          </cell>
          <cell r="M114" t="str">
            <v>SM0000197</v>
          </cell>
        </row>
        <row r="115">
          <cell r="C115" t="str">
            <v>Nguyễn Anh Quý</v>
          </cell>
          <cell r="D115" t="str">
            <v>quynaq@gmail.com</v>
          </cell>
          <cell r="E115" t="str">
            <v>0398237028</v>
          </cell>
          <cell r="F115" t="str">
            <v>Nhân viên bán hàng</v>
          </cell>
          <cell r="G115" t="str">
            <v>Hoạt động</v>
          </cell>
          <cell r="H115" t="str">
            <v>10/6/2026</v>
          </cell>
          <cell r="I115" t="str">
            <v>Email</v>
          </cell>
          <cell r="J115" t="str">
            <v>Không</v>
          </cell>
          <cell r="K115" t="str">
            <v>Không</v>
          </cell>
          <cell r="L115" t="str">
            <v>10/6/2026</v>
          </cell>
          <cell r="M115" t="str">
            <v>SM0000199</v>
          </cell>
        </row>
        <row r="116">
          <cell r="C116" t="str">
            <v>Nguyễn Viết Linh</v>
          </cell>
          <cell r="D116" t="str">
            <v>nguyenvietlinh2261987@gmail.com</v>
          </cell>
          <cell r="E116" t="str">
            <v>0328638439</v>
          </cell>
          <cell r="F116" t="str">
            <v>Nhân viên bán hàng</v>
          </cell>
          <cell r="G116" t="str">
            <v>Hoạt động</v>
          </cell>
          <cell r="H116" t="str">
            <v>10/6/2026</v>
          </cell>
          <cell r="I116" t="str">
            <v>Email</v>
          </cell>
          <cell r="J116" t="str">
            <v>Không</v>
          </cell>
          <cell r="K116" t="str">
            <v>Không</v>
          </cell>
          <cell r="L116" t="str">
            <v>10/6/2026</v>
          </cell>
          <cell r="M116" t="str">
            <v>SM0000200</v>
          </cell>
        </row>
        <row r="117">
          <cell r="C117" t="str">
            <v>Nguyễn Viết Cảnh</v>
          </cell>
          <cell r="D117" t="str">
            <v>nguyencanh.thiennhientinhhoa@gmail.com</v>
          </cell>
          <cell r="E117" t="str">
            <v>0985197499</v>
          </cell>
          <cell r="F117" t="str">
            <v>Nhân viên bán hàng</v>
          </cell>
          <cell r="G117" t="str">
            <v>Hoạt động</v>
          </cell>
          <cell r="H117" t="str">
            <v>10/6/2026</v>
          </cell>
          <cell r="I117" t="str">
            <v>Email</v>
          </cell>
          <cell r="J117" t="str">
            <v>Không</v>
          </cell>
          <cell r="K117" t="str">
            <v>Không</v>
          </cell>
          <cell r="L117" t="str">
            <v>10/6/2026</v>
          </cell>
          <cell r="M117" t="str">
            <v>SM0000214</v>
          </cell>
        </row>
        <row r="118">
          <cell r="C118" t="str">
            <v>Lê Viết Dụng</v>
          </cell>
          <cell r="D118" t="str">
            <v>leanhdhq@gmail.com</v>
          </cell>
          <cell r="E118" t="str">
            <v>0363670538</v>
          </cell>
          <cell r="F118" t="str">
            <v>Nhân viên bán hàng</v>
          </cell>
          <cell r="G118" t="str">
            <v>Hoạt động</v>
          </cell>
          <cell r="H118" t="str">
            <v>10/6/2026</v>
          </cell>
          <cell r="I118" t="str">
            <v>Email</v>
          </cell>
          <cell r="J118" t="str">
            <v>Không</v>
          </cell>
          <cell r="K118" t="str">
            <v>Không</v>
          </cell>
          <cell r="L118" t="str">
            <v>10/6/2026</v>
          </cell>
          <cell r="M118" t="str">
            <v>SM0000229</v>
          </cell>
        </row>
        <row r="119">
          <cell r="C119" t="str">
            <v>Lê Quang Tú</v>
          </cell>
          <cell r="D119" t="str">
            <v>let537095@gmail.com</v>
          </cell>
          <cell r="E119" t="str">
            <v>0829414698</v>
          </cell>
          <cell r="F119" t="str">
            <v>Nhân viên bán hàng</v>
          </cell>
          <cell r="G119" t="str">
            <v>Hoạt động</v>
          </cell>
          <cell r="H119" t="str">
            <v>10/6/2026</v>
          </cell>
          <cell r="I119" t="str">
            <v>Email</v>
          </cell>
          <cell r="J119" t="str">
            <v>Không</v>
          </cell>
          <cell r="K119" t="str">
            <v>Không</v>
          </cell>
          <cell r="L119" t="str">
            <v>10/6/2026</v>
          </cell>
          <cell r="M119" t="str">
            <v>SM0000227</v>
          </cell>
        </row>
        <row r="120">
          <cell r="C120" t="str">
            <v>Nguyễn Như Thắng</v>
          </cell>
          <cell r="D120" t="str">
            <v>thangsales.th@gmail.com</v>
          </cell>
          <cell r="E120" t="str">
            <v>0888313383</v>
          </cell>
          <cell r="F120" t="str">
            <v>Nhân viên bán hàng</v>
          </cell>
          <cell r="G120" t="str">
            <v>Hoạt động</v>
          </cell>
          <cell r="H120" t="str">
            <v>10/6/2026</v>
          </cell>
          <cell r="I120" t="str">
            <v>Email</v>
          </cell>
          <cell r="J120" t="str">
            <v>Không</v>
          </cell>
          <cell r="K120" t="str">
            <v>Không</v>
          </cell>
          <cell r="L120" t="str">
            <v>10/6/2026</v>
          </cell>
          <cell r="M120" t="str">
            <v>SM0000228</v>
          </cell>
        </row>
        <row r="121">
          <cell r="C121" t="str">
            <v>Phạm Hoàng Vương</v>
          </cell>
          <cell r="D121" t="str">
            <v>hoangvuong109@gmail.com</v>
          </cell>
          <cell r="E121" t="str">
            <v>0944868328</v>
          </cell>
          <cell r="F121" t="str">
            <v>Nhân viên bán hàng</v>
          </cell>
          <cell r="G121" t="str">
            <v>Hoạt động</v>
          </cell>
          <cell r="H121" t="str">
            <v>10/6/2026</v>
          </cell>
          <cell r="I121" t="str">
            <v>Email</v>
          </cell>
          <cell r="J121" t="str">
            <v>Không</v>
          </cell>
          <cell r="K121" t="str">
            <v>Không</v>
          </cell>
          <cell r="L121" t="str">
            <v>10/6/2026</v>
          </cell>
          <cell r="M121" t="str">
            <v>SM0000096</v>
          </cell>
        </row>
        <row r="122">
          <cell r="C122" t="str">
            <v>Ngô Quang Giang</v>
          </cell>
          <cell r="D122" t="str">
            <v>hoangnhan.hp@gmail.com</v>
          </cell>
          <cell r="E122" t="str">
            <v>0914951816</v>
          </cell>
          <cell r="F122" t="str">
            <v>Nhân viên bán hàng</v>
          </cell>
          <cell r="G122" t="str">
            <v>Hoạt động</v>
          </cell>
          <cell r="H122" t="str">
            <v>10/6/2026</v>
          </cell>
          <cell r="I122" t="str">
            <v>Email</v>
          </cell>
          <cell r="J122" t="str">
            <v>Không</v>
          </cell>
          <cell r="K122" t="str">
            <v>Không</v>
          </cell>
          <cell r="L122" t="str">
            <v>10/6/2026</v>
          </cell>
          <cell r="M122" t="str">
            <v>SM0000191</v>
          </cell>
        </row>
        <row r="123">
          <cell r="C123" t="str">
            <v>Trần Văn Nãm</v>
          </cell>
          <cell r="D123" t="str">
            <v>namtranvan94hp@gmail.com</v>
          </cell>
          <cell r="E123" t="str">
            <v>0357389198</v>
          </cell>
          <cell r="F123" t="str">
            <v>Nhân viên bán hàng</v>
          </cell>
          <cell r="G123" t="str">
            <v>Hoạt động</v>
          </cell>
          <cell r="H123" t="str">
            <v>10/6/2026</v>
          </cell>
          <cell r="I123" t="str">
            <v>Email</v>
          </cell>
          <cell r="J123" t="str">
            <v>Không</v>
          </cell>
          <cell r="K123" t="str">
            <v>Không</v>
          </cell>
          <cell r="L123" t="str">
            <v>10/6/2026</v>
          </cell>
          <cell r="M123" t="str">
            <v>SM0000218</v>
          </cell>
        </row>
        <row r="124">
          <cell r="C124" t="str">
            <v>Nguyễn Trọng Dũng</v>
          </cell>
          <cell r="D124" t="str">
            <v>dungtrong.hy@gmail.com</v>
          </cell>
          <cell r="E124" t="str">
            <v>0886063630</v>
          </cell>
          <cell r="F124" t="str">
            <v>Nhân viên bán hàng</v>
          </cell>
          <cell r="G124" t="str">
            <v>Hoạt động</v>
          </cell>
          <cell r="H124" t="str">
            <v>10/6/2026</v>
          </cell>
          <cell r="I124" t="str">
            <v>Email</v>
          </cell>
          <cell r="J124" t="str">
            <v>Không</v>
          </cell>
          <cell r="K124" t="str">
            <v>Không</v>
          </cell>
          <cell r="L124" t="str">
            <v>10/6/2026</v>
          </cell>
          <cell r="M124" t="str">
            <v>SM0000144</v>
          </cell>
        </row>
        <row r="125">
          <cell r="C125" t="str">
            <v>Nguyễn Duy Hiếu</v>
          </cell>
          <cell r="D125" t="str">
            <v>nguyenduyhieu190481@gmail.com</v>
          </cell>
          <cell r="E125" t="str">
            <v>0927830999</v>
          </cell>
          <cell r="F125" t="str">
            <v>Nhân viên bán hàng</v>
          </cell>
          <cell r="G125" t="str">
            <v>Hoạt động</v>
          </cell>
          <cell r="H125" t="str">
            <v>10/6/2026</v>
          </cell>
          <cell r="I125" t="str">
            <v>Email</v>
          </cell>
          <cell r="J125" t="str">
            <v>Không</v>
          </cell>
          <cell r="K125" t="str">
            <v>Không</v>
          </cell>
          <cell r="L125" t="str">
            <v>10/6/2026</v>
          </cell>
          <cell r="M125" t="str">
            <v>SM0000184</v>
          </cell>
        </row>
        <row r="126">
          <cell r="C126" t="str">
            <v>Dương Thanh Tùng</v>
          </cell>
          <cell r="D126" t="str">
            <v>duongthanhtungbgii@gmail.com</v>
          </cell>
          <cell r="E126" t="str">
            <v>0859891900</v>
          </cell>
          <cell r="F126" t="str">
            <v>Nhân viên bán hàng</v>
          </cell>
          <cell r="G126" t="str">
            <v>Hoạt động</v>
          </cell>
          <cell r="H126" t="str">
            <v>10/6/2026</v>
          </cell>
          <cell r="I126" t="str">
            <v>Email</v>
          </cell>
          <cell r="J126" t="str">
            <v>Không</v>
          </cell>
          <cell r="K126" t="str">
            <v>Không</v>
          </cell>
          <cell r="L126" t="str">
            <v>10/6/2026</v>
          </cell>
          <cell r="M126" t="str">
            <v>SM0000211</v>
          </cell>
        </row>
        <row r="127">
          <cell r="C127" t="str">
            <v>Nguyễn Hữu Tuyến</v>
          </cell>
          <cell r="D127" t="str">
            <v>nguyenhuutuyenbn82@gmail.com</v>
          </cell>
          <cell r="E127" t="str">
            <v>0987559477</v>
          </cell>
          <cell r="F127" t="str">
            <v>Nhân viên bán hàng</v>
          </cell>
          <cell r="G127" t="str">
            <v>Hoạt động</v>
          </cell>
          <cell r="H127" t="str">
            <v>10/6/2026</v>
          </cell>
          <cell r="I127" t="str">
            <v>Email</v>
          </cell>
          <cell r="J127" t="str">
            <v>Không</v>
          </cell>
          <cell r="K127" t="str">
            <v>Không</v>
          </cell>
          <cell r="L127" t="str">
            <v>10/6/2026</v>
          </cell>
          <cell r="M127" t="str">
            <v>SM0000090</v>
          </cell>
        </row>
        <row r="128">
          <cell r="C128" t="str">
            <v>Nguyễn Tiến Thịnh</v>
          </cell>
          <cell r="D128" t="str">
            <v>nguyenthinh170187@gmail.com</v>
          </cell>
          <cell r="E128" t="str">
            <v>0988716219</v>
          </cell>
          <cell r="F128" t="str">
            <v>Nhân viên bán hàng</v>
          </cell>
          <cell r="G128" t="str">
            <v>Hoạt động</v>
          </cell>
          <cell r="H128" t="str">
            <v>10/6/2026</v>
          </cell>
          <cell r="I128" t="str">
            <v>Email</v>
          </cell>
          <cell r="J128" t="str">
            <v>Không</v>
          </cell>
          <cell r="K128" t="str">
            <v>Không</v>
          </cell>
          <cell r="L128" t="str">
            <v>10/6/2026</v>
          </cell>
          <cell r="M128" t="str">
            <v>SM0000209</v>
          </cell>
        </row>
        <row r="129">
          <cell r="C129" t="str">
            <v>Đỗ Quốc Việt</v>
          </cell>
          <cell r="D129" t="str">
            <v>vietdq6789@gmail.com</v>
          </cell>
          <cell r="E129" t="str">
            <v>0972211562</v>
          </cell>
          <cell r="F129" t="str">
            <v>Nhân viên bán hàng</v>
          </cell>
          <cell r="G129" t="str">
            <v>Hoạt động</v>
          </cell>
          <cell r="H129" t="str">
            <v>10/6/2026</v>
          </cell>
          <cell r="I129" t="str">
            <v>Email</v>
          </cell>
          <cell r="J129" t="str">
            <v>Không</v>
          </cell>
          <cell r="K129" t="str">
            <v>Không</v>
          </cell>
          <cell r="L129" t="str">
            <v>10/6/2026</v>
          </cell>
          <cell r="M129" t="str">
            <v>SM0000225</v>
          </cell>
        </row>
        <row r="130">
          <cell r="C130" t="str">
            <v>Bùi Sỹ Hiệp</v>
          </cell>
          <cell r="D130" t="str">
            <v>hiepbui061983@gmail.com</v>
          </cell>
          <cell r="E130" t="str">
            <v>0963760338</v>
          </cell>
          <cell r="F130" t="str">
            <v>Nhân viên bán hàng</v>
          </cell>
          <cell r="G130" t="str">
            <v>Hoạt động</v>
          </cell>
          <cell r="H130" t="str">
            <v>10/6/2026</v>
          </cell>
          <cell r="I130" t="str">
            <v>Email</v>
          </cell>
          <cell r="J130" t="str">
            <v>Không</v>
          </cell>
          <cell r="K130" t="str">
            <v>Không</v>
          </cell>
          <cell r="L130" t="str">
            <v>10/6/2026</v>
          </cell>
          <cell r="M130" t="str">
            <v>SM0000210</v>
          </cell>
        </row>
        <row r="131">
          <cell r="C131" t="str">
            <v>Nguyễn Văn Đạt</v>
          </cell>
          <cell r="D131" t="str">
            <v>nguyendat210320@gmail.com</v>
          </cell>
          <cell r="E131" t="str">
            <v>0378556783</v>
          </cell>
          <cell r="F131" t="str">
            <v>Nhân viên bán hàng</v>
          </cell>
          <cell r="G131" t="str">
            <v>Hoạt động</v>
          </cell>
          <cell r="H131" t="str">
            <v>10/6/2026</v>
          </cell>
          <cell r="I131" t="str">
            <v>Email</v>
          </cell>
          <cell r="J131" t="str">
            <v>Không</v>
          </cell>
          <cell r="K131" t="str">
            <v>Không</v>
          </cell>
          <cell r="L131" t="str">
            <v>10/6/2026</v>
          </cell>
          <cell r="M131" t="str">
            <v>SM0000213</v>
          </cell>
        </row>
        <row r="132">
          <cell r="C132" t="str">
            <v>Ngô Hoàng Long</v>
          </cell>
          <cell r="D132" t="str">
            <v>bboy.embassy@gmail.com</v>
          </cell>
          <cell r="E132" t="str">
            <v>0387495957</v>
          </cell>
          <cell r="F132" t="str">
            <v>Nhân viên bán hàng</v>
          </cell>
          <cell r="G132" t="str">
            <v>Hoạt động</v>
          </cell>
          <cell r="H132" t="str">
            <v>10/6/2026</v>
          </cell>
          <cell r="I132" t="str">
            <v>Email</v>
          </cell>
          <cell r="J132" t="str">
            <v>Không</v>
          </cell>
          <cell r="K132" t="str">
            <v>Không</v>
          </cell>
          <cell r="L132" t="str">
            <v>10/6/2026</v>
          </cell>
          <cell r="M132" t="str">
            <v>SM0000216</v>
          </cell>
        </row>
        <row r="133">
          <cell r="C133" t="str">
            <v>Đinh Văn Thương</v>
          </cell>
          <cell r="D133" t="str">
            <v>djnhthuong85@gmail.com</v>
          </cell>
          <cell r="E133" t="str">
            <v>0943469678</v>
          </cell>
          <cell r="F133" t="str">
            <v>Nhân viên bán hàng</v>
          </cell>
          <cell r="G133" t="str">
            <v>Hoạt động</v>
          </cell>
          <cell r="H133" t="str">
            <v>10/6/2026</v>
          </cell>
          <cell r="I133" t="str">
            <v>Email</v>
          </cell>
          <cell r="J133" t="str">
            <v>Không</v>
          </cell>
          <cell r="K133" t="str">
            <v>Không</v>
          </cell>
          <cell r="L133" t="str">
            <v>10/6/2026</v>
          </cell>
          <cell r="M133" t="str">
            <v>SM0000215</v>
          </cell>
        </row>
        <row r="134">
          <cell r="C134" t="str">
            <v>Trịnh Thế Đạt</v>
          </cell>
          <cell r="D134" t="str">
            <v>jisuogod@gmail.com</v>
          </cell>
          <cell r="E134" t="str">
            <v>0814314899</v>
          </cell>
          <cell r="F134" t="str">
            <v>Nhân viên bán hàng</v>
          </cell>
          <cell r="G134" t="str">
            <v>Hoạt động</v>
          </cell>
          <cell r="H134" t="str">
            <v>10/6/2026</v>
          </cell>
          <cell r="I134" t="str">
            <v>Email</v>
          </cell>
          <cell r="J134" t="str">
            <v>Không</v>
          </cell>
          <cell r="K134" t="str">
            <v>Không</v>
          </cell>
          <cell r="L134" t="str">
            <v>10/6/2026</v>
          </cell>
          <cell r="M134" t="str">
            <v>SM0000221</v>
          </cell>
        </row>
        <row r="135">
          <cell r="C135" t="str">
            <v>Hà Đình Khởi</v>
          </cell>
          <cell r="D135" t="str">
            <v>hadinhkhoi9x@gmail.com</v>
          </cell>
          <cell r="E135" t="str">
            <v>0969590101</v>
          </cell>
          <cell r="F135" t="str">
            <v>Nhân viên bán hàng</v>
          </cell>
          <cell r="G135" t="str">
            <v>Hoạt động</v>
          </cell>
          <cell r="H135" t="str">
            <v>10/6/2026</v>
          </cell>
          <cell r="I135" t="str">
            <v>Email</v>
          </cell>
          <cell r="J135" t="str">
            <v>Không</v>
          </cell>
          <cell r="K135" t="str">
            <v>Không</v>
          </cell>
          <cell r="L135" t="str">
            <v>10/6/2026</v>
          </cell>
          <cell r="M135" t="str">
            <v>SM0000192</v>
          </cell>
        </row>
        <row r="136">
          <cell r="C136" t="str">
            <v>Ngô Mạnh Tùng</v>
          </cell>
          <cell r="D136" t="str">
            <v>tungngo.tq90@gmail.com</v>
          </cell>
          <cell r="E136" t="str">
            <v>0868639683</v>
          </cell>
          <cell r="F136" t="str">
            <v>Nhân viên bán hàng</v>
          </cell>
          <cell r="G136" t="str">
            <v>Hoạt động</v>
          </cell>
          <cell r="H136" t="str">
            <v>10/6/2026</v>
          </cell>
          <cell r="I136" t="str">
            <v>Email</v>
          </cell>
          <cell r="J136" t="str">
            <v>Không</v>
          </cell>
          <cell r="K136" t="str">
            <v>Không</v>
          </cell>
          <cell r="L136" t="str">
            <v>10/6/2026</v>
          </cell>
          <cell r="M136" t="str">
            <v>SM0000168</v>
          </cell>
        </row>
        <row r="137">
          <cell r="C137" t="str">
            <v>Vũ Công Hải</v>
          </cell>
          <cell r="D137" t="str">
            <v>haivc1993@gmail.com</v>
          </cell>
          <cell r="E137" t="str">
            <v>0868450050</v>
          </cell>
          <cell r="F137" t="str">
            <v>Nhân viên bán hàng</v>
          </cell>
          <cell r="G137" t="str">
            <v>Hoạt động</v>
          </cell>
          <cell r="H137" t="str">
            <v>10/6/2026</v>
          </cell>
          <cell r="I137" t="str">
            <v>Email</v>
          </cell>
          <cell r="J137" t="str">
            <v>Không</v>
          </cell>
          <cell r="K137" t="str">
            <v>Không</v>
          </cell>
          <cell r="L137" t="str">
            <v>10/6/2026</v>
          </cell>
          <cell r="M137" t="str">
            <v>SM0000231</v>
          </cell>
        </row>
        <row r="138">
          <cell r="C138" t="str">
            <v>Phạm Ngọc Hoàn</v>
          </cell>
          <cell r="D138" t="str">
            <v>phamhoan9598@gmail.com</v>
          </cell>
          <cell r="E138" t="str">
            <v>0962569598</v>
          </cell>
          <cell r="F138" t="str">
            <v>Nhân viên bán hàng</v>
          </cell>
          <cell r="G138" t="str">
            <v>Hoạt động</v>
          </cell>
          <cell r="H138" t="str">
            <v>10/6/2026</v>
          </cell>
          <cell r="I138" t="str">
            <v>Email</v>
          </cell>
          <cell r="J138" t="str">
            <v>Không</v>
          </cell>
          <cell r="K138" t="str">
            <v>Không</v>
          </cell>
          <cell r="L138" t="str">
            <v>10/6/2026</v>
          </cell>
          <cell r="M138" t="str">
            <v>SM0000074</v>
          </cell>
        </row>
        <row r="139">
          <cell r="C139" t="str">
            <v>Phạm Quang Dương</v>
          </cell>
          <cell r="D139" t="str">
            <v>duongsm201@gmail.com</v>
          </cell>
          <cell r="E139" t="str">
            <v>0364249555</v>
          </cell>
          <cell r="F139" t="str">
            <v>Nhân viên bán hàng</v>
          </cell>
          <cell r="G139" t="str">
            <v>Hoạt động</v>
          </cell>
          <cell r="H139" t="str">
            <v>10/6/2026</v>
          </cell>
          <cell r="I139" t="str">
            <v>Email</v>
          </cell>
          <cell r="J139" t="str">
            <v>Không</v>
          </cell>
          <cell r="K139" t="str">
            <v>Không</v>
          </cell>
          <cell r="L139" t="str">
            <v>10/6/2026</v>
          </cell>
          <cell r="M139" t="str">
            <v>SM0000086</v>
          </cell>
        </row>
        <row r="140">
          <cell r="C140" t="str">
            <v>Trần Thị Hường</v>
          </cell>
          <cell r="D140" t="str">
            <v>tranthihuong16031992@gmail.com</v>
          </cell>
          <cell r="E140" t="str">
            <v>0868263722</v>
          </cell>
          <cell r="F140" t="str">
            <v>Nhân viên bán hàng</v>
          </cell>
          <cell r="G140" t="str">
            <v>Hoạt động</v>
          </cell>
          <cell r="H140" t="str">
            <v>10/6/2026</v>
          </cell>
          <cell r="I140" t="str">
            <v>Email</v>
          </cell>
          <cell r="J140" t="str">
            <v>Không</v>
          </cell>
          <cell r="K140" t="str">
            <v>Không</v>
          </cell>
          <cell r="L140" t="str">
            <v>10/6/2026</v>
          </cell>
          <cell r="M140" t="str">
            <v>SM0000201</v>
          </cell>
        </row>
        <row r="141">
          <cell r="C141" t="str">
            <v>Nguyễn Ngọc Cường</v>
          </cell>
          <cell r="D141" t="str">
            <v>nhutuanh1221@gmail.com</v>
          </cell>
          <cell r="E141" t="str">
            <v>0961076760</v>
          </cell>
          <cell r="F141" t="str">
            <v>Nhân viên bán hàng</v>
          </cell>
          <cell r="G141" t="str">
            <v>Hoạt động</v>
          </cell>
          <cell r="H141" t="str">
            <v>10/6/2026</v>
          </cell>
          <cell r="I141" t="str">
            <v>Email</v>
          </cell>
          <cell r="J141" t="str">
            <v>Không</v>
          </cell>
          <cell r="K141" t="str">
            <v>Không</v>
          </cell>
          <cell r="L141" t="str">
            <v>10/6/2026</v>
          </cell>
          <cell r="M141" t="str">
            <v>SM0000217</v>
          </cell>
        </row>
        <row r="142">
          <cell r="C142" t="str">
            <v>Phạm Ngọc Thảo</v>
          </cell>
          <cell r="D142" t="str">
            <v>thaopham17051968@gmail.com</v>
          </cell>
          <cell r="E142" t="str">
            <v>0947921875</v>
          </cell>
          <cell r="F142" t="str">
            <v>Nhân viên bán hàng</v>
          </cell>
          <cell r="G142" t="str">
            <v>Hoạt động</v>
          </cell>
          <cell r="H142" t="str">
            <v>10/6/2026</v>
          </cell>
          <cell r="I142" t="str">
            <v>Email</v>
          </cell>
          <cell r="J142" t="str">
            <v>Không</v>
          </cell>
          <cell r="K142" t="str">
            <v>Không</v>
          </cell>
          <cell r="L142" t="str">
            <v>10/6/2026</v>
          </cell>
          <cell r="M142" t="str">
            <v>SM0000072</v>
          </cell>
        </row>
        <row r="143">
          <cell r="C143" t="str">
            <v>Vũ Ngọc Việt</v>
          </cell>
          <cell r="D143" t="str">
            <v>vungocviet.1982@gmail.com</v>
          </cell>
          <cell r="E143" t="str">
            <v>0936112717</v>
          </cell>
          <cell r="F143" t="str">
            <v>Nhân viên bán hàng</v>
          </cell>
          <cell r="G143" t="str">
            <v>Hoạt động</v>
          </cell>
          <cell r="H143" t="str">
            <v>10/6/2026</v>
          </cell>
          <cell r="I143" t="str">
            <v>Email</v>
          </cell>
          <cell r="J143" t="str">
            <v>Không</v>
          </cell>
          <cell r="K143" t="str">
            <v>Không</v>
          </cell>
          <cell r="L143" t="str">
            <v>10/6/2026</v>
          </cell>
          <cell r="M143" t="str">
            <v>SM0000073</v>
          </cell>
        </row>
        <row r="144">
          <cell r="C144" t="str">
            <v>Phan Anh Tài</v>
          </cell>
          <cell r="D144" t="str">
            <v>anhtai.tmcnnd@gmail.com</v>
          </cell>
          <cell r="E144" t="str">
            <v>0904556856</v>
          </cell>
          <cell r="F144" t="str">
            <v>Nhân viên bán hàng</v>
          </cell>
          <cell r="G144" t="str">
            <v>Hoạt động</v>
          </cell>
          <cell r="H144" t="str">
            <v>10/6/2026</v>
          </cell>
          <cell r="I144" t="str">
            <v>Email</v>
          </cell>
          <cell r="J144" t="str">
            <v>Không</v>
          </cell>
          <cell r="K144" t="str">
            <v>Không</v>
          </cell>
          <cell r="L144" t="str">
            <v>10/6/2026</v>
          </cell>
          <cell r="M144" t="str">
            <v>SM0000068</v>
          </cell>
        </row>
        <row r="145">
          <cell r="C145" t="str">
            <v>Đào Văn Tình</v>
          </cell>
          <cell r="D145" t="str">
            <v>baoanh19217@gmail.com</v>
          </cell>
          <cell r="E145" t="str">
            <v>0985840056</v>
          </cell>
          <cell r="F145" t="str">
            <v>Nhân viên bán hàng</v>
          </cell>
          <cell r="G145" t="str">
            <v>Hoạt động</v>
          </cell>
          <cell r="H145" t="str">
            <v>10/6/2026</v>
          </cell>
          <cell r="I145" t="str">
            <v>Email</v>
          </cell>
          <cell r="J145" t="str">
            <v>Không</v>
          </cell>
          <cell r="K145" t="str">
            <v>Không</v>
          </cell>
          <cell r="L145" t="str">
            <v>10/6/2026</v>
          </cell>
          <cell r="M145" t="str">
            <v>SM0000071</v>
          </cell>
        </row>
        <row r="146">
          <cell r="C146" t="str">
            <v>Nguyễn Thế Hà</v>
          </cell>
          <cell r="D146" t="str">
            <v>nguyentheha02091972@gmail.com</v>
          </cell>
          <cell r="E146" t="str">
            <v>0968510106</v>
          </cell>
          <cell r="F146" t="str">
            <v>Nhân viên bán hàng</v>
          </cell>
          <cell r="G146" t="str">
            <v>Hoạt động</v>
          </cell>
          <cell r="H146" t="str">
            <v>10/6/2026</v>
          </cell>
          <cell r="I146" t="str">
            <v>Email</v>
          </cell>
          <cell r="J146" t="str">
            <v>Không</v>
          </cell>
          <cell r="K146" t="str">
            <v>Không</v>
          </cell>
          <cell r="L146" t="str">
            <v>10/6/2026</v>
          </cell>
          <cell r="M146" t="str">
            <v>SM0000146</v>
          </cell>
        </row>
        <row r="147">
          <cell r="C147" t="str">
            <v>Phí Văn Đông</v>
          </cell>
          <cell r="D147" t="str">
            <v>dongphi30061976@gmail.com</v>
          </cell>
          <cell r="E147" t="str">
            <v>0945826690</v>
          </cell>
          <cell r="F147" t="str">
            <v>Nhân viên bán hàng</v>
          </cell>
          <cell r="G147" t="str">
            <v>Hoạt động</v>
          </cell>
          <cell r="H147" t="str">
            <v>10/6/2026</v>
          </cell>
          <cell r="I147" t="str">
            <v>Email</v>
          </cell>
          <cell r="J147" t="str">
            <v>Không</v>
          </cell>
          <cell r="K147" t="str">
            <v>Không</v>
          </cell>
          <cell r="L147" t="str">
            <v>10/6/2026</v>
          </cell>
          <cell r="M147" t="str">
            <v>SM0000067</v>
          </cell>
        </row>
        <row r="148">
          <cell r="C148" t="str">
            <v>Nguyễn Thế Sáng</v>
          </cell>
          <cell r="D148" t="str">
            <v>contact@lts.vn</v>
          </cell>
          <cell r="E148" t="str">
            <v>0979869658</v>
          </cell>
          <cell r="F148" t="str">
            <v>Nhân viên bán hàng</v>
          </cell>
          <cell r="G148" t="str">
            <v>Hoạt động</v>
          </cell>
          <cell r="H148" t="str">
            <v>10/6/2026</v>
          </cell>
          <cell r="I148" t="str">
            <v>Email</v>
          </cell>
          <cell r="J148" t="str">
            <v>Không</v>
          </cell>
          <cell r="K148" t="str">
            <v>Không</v>
          </cell>
          <cell r="L148" t="str">
            <v>10/6/2026</v>
          </cell>
          <cell r="M148" t="str">
            <v>SM0000190</v>
          </cell>
        </row>
        <row r="149">
          <cell r="C149" t="str">
            <v>Đặng Quốc Huy</v>
          </cell>
          <cell r="D149" t="str">
            <v>quochuy.acquyhp@gmail.com</v>
          </cell>
          <cell r="E149" t="str">
            <v>0906125466</v>
          </cell>
          <cell r="F149" t="str">
            <v>Nhân viên bán hàng</v>
          </cell>
          <cell r="G149" t="str">
            <v>Hoạt động</v>
          </cell>
          <cell r="H149" t="str">
            <v>10/6/2026</v>
          </cell>
          <cell r="I149" t="str">
            <v>Email</v>
          </cell>
          <cell r="J149" t="str">
            <v>Không</v>
          </cell>
          <cell r="K149" t="str">
            <v>Không</v>
          </cell>
          <cell r="L149" t="str">
            <v>10/6/2026</v>
          </cell>
          <cell r="M149" t="str">
            <v>SM0000161</v>
          </cell>
        </row>
        <row r="150">
          <cell r="C150" t="str">
            <v>Diêm Trọng Vũ</v>
          </cell>
          <cell r="D150" t="str">
            <v>diemvu2609@gmail.com</v>
          </cell>
          <cell r="E150" t="str">
            <v>0349528621</v>
          </cell>
          <cell r="F150" t="str">
            <v>Nhân viên bán hàng</v>
          </cell>
          <cell r="G150" t="str">
            <v>Hoạt động</v>
          </cell>
          <cell r="H150" t="str">
            <v>10/6/2026</v>
          </cell>
          <cell r="I150" t="str">
            <v>Email</v>
          </cell>
          <cell r="J150" t="str">
            <v>Không</v>
          </cell>
          <cell r="K150" t="str">
            <v>Không</v>
          </cell>
          <cell r="L150" t="str">
            <v>10/6/2026</v>
          </cell>
          <cell r="M150" t="str">
            <v>SM0000185</v>
          </cell>
        </row>
        <row r="151">
          <cell r="C151" t="str">
            <v>Nguyễn Công Chuẩn</v>
          </cell>
          <cell r="D151" t="str">
            <v>congchuan.omi@gmail.com</v>
          </cell>
          <cell r="E151" t="str">
            <v>0902893216</v>
          </cell>
          <cell r="F151" t="str">
            <v>Nhân viên bán hàng</v>
          </cell>
          <cell r="G151" t="str">
            <v>Hoạt động</v>
          </cell>
          <cell r="H151" t="str">
            <v>10/6/2026</v>
          </cell>
          <cell r="I151" t="str">
            <v>Email</v>
          </cell>
          <cell r="J151" t="str">
            <v>Không</v>
          </cell>
          <cell r="K151" t="str">
            <v>Không</v>
          </cell>
          <cell r="L151" t="str">
            <v>10/6/2026</v>
          </cell>
          <cell r="M151" t="str">
            <v>SM0000207</v>
          </cell>
        </row>
        <row r="152">
          <cell r="C152" t="str">
            <v>Huỳnh Ngọc Tuấn</v>
          </cell>
          <cell r="D152" t="str">
            <v>tuanluc21101999@gmail.com</v>
          </cell>
          <cell r="E152" t="str">
            <v>0978500526</v>
          </cell>
          <cell r="F152" t="str">
            <v>Nhân viên bán hàng</v>
          </cell>
          <cell r="G152" t="str">
            <v>Hoạt động</v>
          </cell>
          <cell r="H152" t="str">
            <v>10/6/2026</v>
          </cell>
          <cell r="I152" t="str">
            <v>Email</v>
          </cell>
          <cell r="J152" t="str">
            <v>Không</v>
          </cell>
          <cell r="K152" t="str">
            <v>Không</v>
          </cell>
          <cell r="L152" t="str">
            <v>10/6/2026</v>
          </cell>
          <cell r="M152" t="str">
            <v>SM0000208</v>
          </cell>
        </row>
        <row r="153">
          <cell r="C153" t="str">
            <v>Nguyễn Văn Quý</v>
          </cell>
          <cell r="D153" t="str">
            <v>quynguyentn89@gmail.com</v>
          </cell>
          <cell r="E153" t="str">
            <v>0986218916</v>
          </cell>
          <cell r="F153" t="str">
            <v>Nhân viên bán hàng</v>
          </cell>
          <cell r="G153" t="str">
            <v>Hoạt động</v>
          </cell>
          <cell r="H153" t="str">
            <v>10/6/2026</v>
          </cell>
          <cell r="I153" t="str">
            <v>Email</v>
          </cell>
          <cell r="J153" t="str">
            <v>Không</v>
          </cell>
          <cell r="K153" t="str">
            <v>Không</v>
          </cell>
          <cell r="L153" t="str">
            <v>10/6/2026</v>
          </cell>
          <cell r="M153" t="str">
            <v>SM0000087</v>
          </cell>
        </row>
        <row r="154">
          <cell r="C154" t="str">
            <v>Hà Như Long</v>
          </cell>
          <cell r="D154" t="str">
            <v>hachimai2015@gmail.com</v>
          </cell>
          <cell r="E154" t="str">
            <v>0977171787</v>
          </cell>
          <cell r="F154" t="str">
            <v>Nhân viên bán hàng</v>
          </cell>
          <cell r="G154" t="str">
            <v>Hoạt động</v>
          </cell>
          <cell r="H154" t="str">
            <v>10/6/2026</v>
          </cell>
          <cell r="I154" t="str">
            <v>Email</v>
          </cell>
          <cell r="J154" t="str">
            <v>Không</v>
          </cell>
          <cell r="K154" t="str">
            <v>Không</v>
          </cell>
          <cell r="L154" t="str">
            <v>10/6/2026</v>
          </cell>
          <cell r="M154" t="str">
            <v>SM0000226</v>
          </cell>
        </row>
        <row r="155">
          <cell r="C155" t="str">
            <v>Vũ Văn Hiếu</v>
          </cell>
          <cell r="D155" t="str">
            <v>vuhieunay@gmail.com</v>
          </cell>
          <cell r="E155" t="str">
            <v>0833310952</v>
          </cell>
          <cell r="F155" t="str">
            <v>Nhân viên bán hàng</v>
          </cell>
          <cell r="G155" t="str">
            <v>Hoạt động</v>
          </cell>
          <cell r="H155" t="str">
            <v>10/6/2026</v>
          </cell>
          <cell r="I155" t="str">
            <v>Email</v>
          </cell>
          <cell r="J155" t="str">
            <v>Không</v>
          </cell>
          <cell r="K155" t="str">
            <v>Không</v>
          </cell>
          <cell r="L155" t="str">
            <v>10/6/2026</v>
          </cell>
          <cell r="M155" t="str">
            <v>SM0000219</v>
          </cell>
        </row>
        <row r="156">
          <cell r="C156" t="str">
            <v>Trần Phú Sơn</v>
          </cell>
          <cell r="D156" t="str">
            <v>sontran3939@gmail.com</v>
          </cell>
          <cell r="E156" t="str">
            <v>0941801629</v>
          </cell>
          <cell r="F156" t="str">
            <v>Nhân viên bán hàng</v>
          </cell>
          <cell r="G156" t="str">
            <v>Hoạt động</v>
          </cell>
          <cell r="H156" t="str">
            <v>10/6/2026</v>
          </cell>
          <cell r="I156" t="str">
            <v>Email</v>
          </cell>
          <cell r="J156" t="str">
            <v>Không</v>
          </cell>
          <cell r="K156" t="str">
            <v>Không</v>
          </cell>
          <cell r="L156" t="str">
            <v>10/6/2026</v>
          </cell>
          <cell r="M156" t="str">
            <v>SM0000088</v>
          </cell>
        </row>
        <row r="157">
          <cell r="C157" t="str">
            <v>Nguyễn Hà Phương</v>
          </cell>
          <cell r="D157" t="str">
            <v>haphuong.nguyen.777@gmail.com</v>
          </cell>
          <cell r="E157" t="str">
            <v>0787188444</v>
          </cell>
          <cell r="F157" t="str">
            <v>Nhân viên bán hàng</v>
          </cell>
          <cell r="G157" t="str">
            <v>Hoạt động</v>
          </cell>
          <cell r="H157" t="str">
            <v>10/6/2026</v>
          </cell>
          <cell r="I157" t="str">
            <v>Email</v>
          </cell>
          <cell r="J157" t="str">
            <v>Không</v>
          </cell>
          <cell r="K157" t="str">
            <v>Không</v>
          </cell>
          <cell r="L157" t="str">
            <v>10/6/2026</v>
          </cell>
          <cell r="M157" t="str">
            <v>SM0000203</v>
          </cell>
        </row>
        <row r="158">
          <cell r="C158" t="str">
            <v>Đỗ Thị Thanh Hằng</v>
          </cell>
          <cell r="D158" t="str">
            <v>dothanhhuyen20011984@gmail.com</v>
          </cell>
          <cell r="E158" t="str">
            <v>0984628058</v>
          </cell>
          <cell r="F158" t="str">
            <v>Nhân viên bán hàng</v>
          </cell>
          <cell r="G158" t="str">
            <v>Hoạt động</v>
          </cell>
          <cell r="H158" t="str">
            <v>10/6/2026</v>
          </cell>
          <cell r="I158" t="str">
            <v>Email</v>
          </cell>
          <cell r="J158" t="str">
            <v>Không</v>
          </cell>
          <cell r="K158" t="str">
            <v>Không</v>
          </cell>
          <cell r="L158" t="str">
            <v>10/6/2026</v>
          </cell>
          <cell r="M158" t="str">
            <v>SM0000204</v>
          </cell>
        </row>
        <row r="159">
          <cell r="C159" t="str">
            <v>Nguyễn Trọng Cường</v>
          </cell>
          <cell r="D159" t="str">
            <v>nguyentrongcuong.tb@gmail.com</v>
          </cell>
          <cell r="E159" t="str">
            <v>0396487657</v>
          </cell>
          <cell r="F159" t="str">
            <v>Nhân viên bán hàng</v>
          </cell>
          <cell r="G159" t="str">
            <v>Hoạt động</v>
          </cell>
          <cell r="H159" t="str">
            <v>10/6/2026</v>
          </cell>
          <cell r="I159" t="str">
            <v>Email</v>
          </cell>
          <cell r="J159" t="str">
            <v>Không</v>
          </cell>
          <cell r="K159" t="str">
            <v>Không</v>
          </cell>
          <cell r="L159" t="str">
            <v>10/6/2026</v>
          </cell>
          <cell r="M159" t="str">
            <v>SM0000206</v>
          </cell>
        </row>
        <row r="160">
          <cell r="C160" t="str">
            <v>HOÀNG MINH HẢI</v>
          </cell>
          <cell r="D160" t="str">
            <v>hoanghaipinaco86@gmail.com</v>
          </cell>
          <cell r="E160" t="str">
            <v>0987821541</v>
          </cell>
          <cell r="F160" t="str">
            <v>Quản lý bán hàng</v>
          </cell>
          <cell r="G160" t="str">
            <v>Hoạt động</v>
          </cell>
          <cell r="H160" t="str">
            <v>10/6/2026</v>
          </cell>
          <cell r="I160" t="str">
            <v>Email</v>
          </cell>
          <cell r="J160" t="str">
            <v>Không</v>
          </cell>
          <cell r="K160" t="str">
            <v>Không</v>
          </cell>
          <cell r="L160" t="str">
            <v>10/6/2026</v>
          </cell>
          <cell r="M160" t="str">
            <v>HAIHM</v>
          </cell>
        </row>
        <row r="161">
          <cell r="C161" t="str">
            <v>BÙI VĂN THẮNG</v>
          </cell>
          <cell r="D161" t="str">
            <v>thangbvpinaco@gmail.com</v>
          </cell>
          <cell r="E161" t="str">
            <v>0987079784</v>
          </cell>
          <cell r="F161" t="str">
            <v>Quản lý bán hàng</v>
          </cell>
          <cell r="G161" t="str">
            <v>Hoạt động</v>
          </cell>
          <cell r="H161" t="str">
            <v>10/6/2026</v>
          </cell>
          <cell r="I161" t="str">
            <v>Email</v>
          </cell>
          <cell r="J161" t="str">
            <v>Không</v>
          </cell>
          <cell r="K161" t="str">
            <v>Không</v>
          </cell>
          <cell r="L161" t="str">
            <v>10/6/2026</v>
          </cell>
          <cell r="M161" t="str">
            <v>THANGBV</v>
          </cell>
        </row>
        <row r="162">
          <cell r="C162" t="str">
            <v>DƯƠNG ÁNH DƯƠNG</v>
          </cell>
          <cell r="D162" t="str">
            <v>duonghp8@gmail.com</v>
          </cell>
          <cell r="E162" t="str">
            <v>0982768786</v>
          </cell>
          <cell r="F162" t="str">
            <v>Quản lý bán hàng</v>
          </cell>
          <cell r="G162" t="str">
            <v>Hoạt động</v>
          </cell>
          <cell r="H162" t="str">
            <v>10/6/2026</v>
          </cell>
          <cell r="I162" t="str">
            <v>Email</v>
          </cell>
          <cell r="J162" t="str">
            <v>Không</v>
          </cell>
          <cell r="K162" t="str">
            <v>Không</v>
          </cell>
          <cell r="L162" t="str">
            <v>10/6/2026</v>
          </cell>
          <cell r="M162" t="str">
            <v>DUONGDA</v>
          </cell>
        </row>
        <row r="163">
          <cell r="C163" t="str">
            <v>NGUYỄN NGỌC QUỲNH</v>
          </cell>
          <cell r="D163" t="str">
            <v>quynhpinaco@gmail.com</v>
          </cell>
          <cell r="E163" t="str">
            <v>0936308346</v>
          </cell>
          <cell r="F163" t="str">
            <v>Quản lý bán hàng</v>
          </cell>
          <cell r="G163" t="str">
            <v>Hoạt động</v>
          </cell>
          <cell r="H163" t="str">
            <v>10/6/2026</v>
          </cell>
          <cell r="I163" t="str">
            <v>Email</v>
          </cell>
          <cell r="J163" t="str">
            <v>Không</v>
          </cell>
          <cell r="K163" t="str">
            <v>Không</v>
          </cell>
          <cell r="L163" t="str">
            <v>10/6/2026</v>
          </cell>
          <cell r="M163" t="str">
            <v>QUYNHNN</v>
          </cell>
        </row>
        <row r="164">
          <cell r="C164" t="str">
            <v>LƯƠNG QUỐC DŨNG</v>
          </cell>
          <cell r="D164" t="str">
            <v>qdungpinaco@gmail.com</v>
          </cell>
          <cell r="E164" t="str">
            <v>0919041728</v>
          </cell>
          <cell r="F164" t="str">
            <v>Quản lý bán hàng</v>
          </cell>
          <cell r="G164" t="str">
            <v>Hoạt động</v>
          </cell>
          <cell r="H164" t="str">
            <v>10/6/2026</v>
          </cell>
          <cell r="I164" t="str">
            <v>Email</v>
          </cell>
          <cell r="J164" t="str">
            <v>Không</v>
          </cell>
          <cell r="K164" t="str">
            <v>Không</v>
          </cell>
          <cell r="L164" t="str">
            <v>10/6/2026</v>
          </cell>
          <cell r="M164" t="str">
            <v>SS1359</v>
          </cell>
        </row>
        <row r="165">
          <cell r="C165" t="str">
            <v>ĐOÀN THANH TÙNG</v>
          </cell>
          <cell r="D165" t="str">
            <v>tungdt.pinaco@gmail.com</v>
          </cell>
          <cell r="E165" t="str">
            <v>0972314789</v>
          </cell>
          <cell r="F165" t="str">
            <v>Quản lý bán hàng</v>
          </cell>
          <cell r="G165" t="str">
            <v>Hoạt động</v>
          </cell>
          <cell r="H165" t="str">
            <v>10/6/2026</v>
          </cell>
          <cell r="I165" t="str">
            <v>Email</v>
          </cell>
          <cell r="J165" t="str">
            <v>Không</v>
          </cell>
          <cell r="K165" t="str">
            <v>Không</v>
          </cell>
          <cell r="L165" t="str">
            <v>10/6/2026</v>
          </cell>
          <cell r="M165" t="str">
            <v>SS1591</v>
          </cell>
        </row>
        <row r="166">
          <cell r="C166" t="str">
            <v>NGÔ VĂN QUYỀN</v>
          </cell>
          <cell r="D166" t="str">
            <v>quyen.vn09@gmail.com</v>
          </cell>
          <cell r="E166" t="str">
            <v>0962885158</v>
          </cell>
          <cell r="F166" t="str">
            <v>Quản lý bán hàng</v>
          </cell>
          <cell r="G166" t="str">
            <v>Hoạt động</v>
          </cell>
          <cell r="H166" t="str">
            <v>10/6/2026</v>
          </cell>
          <cell r="I166" t="str">
            <v>Email</v>
          </cell>
          <cell r="J166" t="str">
            <v>Không</v>
          </cell>
          <cell r="K166" t="str">
            <v>Không</v>
          </cell>
          <cell r="L166" t="str">
            <v>10/6/2026</v>
          </cell>
          <cell r="M166" t="str">
            <v>QUYENNV</v>
          </cell>
        </row>
        <row r="167">
          <cell r="C167" t="str">
            <v>TRẦN VĂN HƯNG</v>
          </cell>
          <cell r="D167" t="str">
            <v>hungtv.pinaco@gmail.com</v>
          </cell>
          <cell r="E167" t="str">
            <v>0986268115</v>
          </cell>
          <cell r="F167" t="str">
            <v>Quản lý bán hàng</v>
          </cell>
          <cell r="G167" t="str">
            <v>Hoạt động</v>
          </cell>
          <cell r="H167" t="str">
            <v>10/6/2026</v>
          </cell>
          <cell r="I167" t="str">
            <v>Email</v>
          </cell>
          <cell r="J167" t="str">
            <v>Không</v>
          </cell>
          <cell r="K167" t="str">
            <v>Không</v>
          </cell>
          <cell r="L167" t="str">
            <v>10/6/2026</v>
          </cell>
          <cell r="M167" t="str">
            <v>HUNGTRAN</v>
          </cell>
        </row>
        <row r="168">
          <cell r="C168" t="str">
            <v>Nguyễn Văn Hiếu</v>
          </cell>
          <cell r="D168" t="str">
            <v>nguyenphuchieulc@gmail.com</v>
          </cell>
          <cell r="E168" t="str">
            <v>0963699365</v>
          </cell>
          <cell r="F168" t="str">
            <v>Quản lý bán hàng</v>
          </cell>
          <cell r="G168" t="str">
            <v>Hoạt động</v>
          </cell>
          <cell r="H168" t="str">
            <v>10/6/2026</v>
          </cell>
          <cell r="I168" t="str">
            <v>Email</v>
          </cell>
          <cell r="J168" t="str">
            <v>Không</v>
          </cell>
          <cell r="K168" t="str">
            <v>Không</v>
          </cell>
          <cell r="L168" t="str">
            <v>10/6/2026</v>
          </cell>
          <cell r="M168" t="str">
            <v>SS1561</v>
          </cell>
        </row>
        <row r="169">
          <cell r="C169" t="str">
            <v>NGUYỄN VĂN CHINH</v>
          </cell>
          <cell r="D169" t="str">
            <v>nguyenchinhdhtm@gmail.com</v>
          </cell>
          <cell r="E169" t="str">
            <v>0977563054</v>
          </cell>
          <cell r="F169" t="str">
            <v>Quản lý bán hàng</v>
          </cell>
          <cell r="G169" t="str">
            <v>Hoạt động</v>
          </cell>
          <cell r="H169" t="str">
            <v>10/6/2026</v>
          </cell>
          <cell r="I169" t="str">
            <v>Email</v>
          </cell>
          <cell r="J169" t="str">
            <v>Không</v>
          </cell>
          <cell r="K169" t="str">
            <v>Không</v>
          </cell>
          <cell r="L169" t="str">
            <v>10/6/2026</v>
          </cell>
          <cell r="M169" t="str">
            <v>CHINHNV</v>
          </cell>
        </row>
        <row r="170">
          <cell r="C170" t="str">
            <v>NGUYỄN VIẾT QUANG</v>
          </cell>
          <cell r="D170" t="str">
            <v>quangnv.pinaco@gmail.com</v>
          </cell>
          <cell r="E170" t="str">
            <v>0986806026</v>
          </cell>
          <cell r="F170" t="str">
            <v>Quản lý bán hàng</v>
          </cell>
          <cell r="G170" t="str">
            <v>Hoạt động</v>
          </cell>
          <cell r="H170" t="str">
            <v>10/6/2026</v>
          </cell>
          <cell r="I170" t="str">
            <v>Email</v>
          </cell>
          <cell r="J170" t="str">
            <v>Không</v>
          </cell>
          <cell r="K170" t="str">
            <v>Không</v>
          </cell>
          <cell r="L170" t="str">
            <v>10/6/2026</v>
          </cell>
          <cell r="M170" t="str">
            <v>SS0841</v>
          </cell>
        </row>
        <row r="171">
          <cell r="C171" t="str">
            <v>ĐÀO VĂN GIÁP</v>
          </cell>
          <cell r="D171" t="str">
            <v>daovangiap.hd@gmail.com</v>
          </cell>
          <cell r="E171" t="str">
            <v>0979879228</v>
          </cell>
          <cell r="F171" t="str">
            <v>Quản lý bán hàng</v>
          </cell>
          <cell r="G171" t="str">
            <v>Hoạt động</v>
          </cell>
          <cell r="H171" t="str">
            <v>10/6/2026</v>
          </cell>
          <cell r="I171" t="str">
            <v>Email</v>
          </cell>
          <cell r="J171" t="str">
            <v>Không</v>
          </cell>
          <cell r="K171" t="str">
            <v>Không</v>
          </cell>
          <cell r="L171" t="str">
            <v>10/6/2026</v>
          </cell>
          <cell r="M171" t="str">
            <v>GIAPDV</v>
          </cell>
        </row>
        <row r="172">
          <cell r="C172" t="str">
            <v>VŨ NGỌC LIÊM</v>
          </cell>
          <cell r="D172" t="str">
            <v>ngoc.liem.pl@gmail.com</v>
          </cell>
          <cell r="E172" t="str">
            <v>0978768520</v>
          </cell>
          <cell r="F172" t="str">
            <v>Quản lý bán hàng</v>
          </cell>
          <cell r="G172" t="str">
            <v>Hoạt động</v>
          </cell>
          <cell r="H172" t="str">
            <v>10/6/2026</v>
          </cell>
          <cell r="I172" t="str">
            <v>Email</v>
          </cell>
          <cell r="J172" t="str">
            <v>Không</v>
          </cell>
          <cell r="K172" t="str">
            <v>Không</v>
          </cell>
          <cell r="L172" t="str">
            <v>10/6/2026</v>
          </cell>
          <cell r="M172" t="str">
            <v>LIEMVN</v>
          </cell>
        </row>
        <row r="173">
          <cell r="C173" t="str">
            <v>NGUYỄN VIẾT CƯỜNG</v>
          </cell>
          <cell r="D173" t="str">
            <v>cuongnv.pinaco@gmail.com</v>
          </cell>
          <cell r="E173" t="str">
            <v>0902668989</v>
          </cell>
          <cell r="F173" t="str">
            <v>Quản lý bán hàng</v>
          </cell>
          <cell r="G173" t="str">
            <v>Hoạt động</v>
          </cell>
          <cell r="H173" t="str">
            <v>10/6/2026</v>
          </cell>
          <cell r="I173" t="str">
            <v>Email</v>
          </cell>
          <cell r="J173" t="str">
            <v>Không</v>
          </cell>
          <cell r="K173" t="str">
            <v>Không</v>
          </cell>
          <cell r="L173" t="str">
            <v>10/6/2026</v>
          </cell>
          <cell r="M173" t="str">
            <v>SS0831</v>
          </cell>
        </row>
        <row r="174">
          <cell r="C174" t="str">
            <v>LỤC VĂN DƯỠNG</v>
          </cell>
          <cell r="D174" t="str">
            <v>lucvanduong0305@gmail.com</v>
          </cell>
          <cell r="E174" t="str">
            <v>0977331783</v>
          </cell>
          <cell r="F174" t="str">
            <v>Quản lý bán hàng</v>
          </cell>
          <cell r="G174" t="str">
            <v>Hoạt động</v>
          </cell>
          <cell r="H174" t="str">
            <v>10/6/2026</v>
          </cell>
          <cell r="I174" t="str">
            <v>Email</v>
          </cell>
          <cell r="J174" t="str">
            <v>Không</v>
          </cell>
          <cell r="K174" t="str">
            <v>Không</v>
          </cell>
          <cell r="L174" t="str">
            <v>10/6/2026</v>
          </cell>
          <cell r="M174" t="str">
            <v>DUONGLV</v>
          </cell>
        </row>
        <row r="175">
          <cell r="C175" t="str">
            <v>VŨ VĂN KHẢI</v>
          </cell>
          <cell r="D175" t="str">
            <v>khaivv.pinaco@gmail.com</v>
          </cell>
          <cell r="E175" t="str">
            <v>0915378911</v>
          </cell>
          <cell r="F175" t="str">
            <v>Quản lý bán hàng</v>
          </cell>
          <cell r="G175" t="str">
            <v>Hoạt động</v>
          </cell>
          <cell r="H175" t="str">
            <v>10/6/2026</v>
          </cell>
          <cell r="I175" t="str">
            <v>Email</v>
          </cell>
          <cell r="J175" t="str">
            <v>Không</v>
          </cell>
          <cell r="K175" t="str">
            <v>Không</v>
          </cell>
          <cell r="L175" t="str">
            <v>10/6/2026</v>
          </cell>
          <cell r="M175" t="str">
            <v>SS1325</v>
          </cell>
        </row>
        <row r="176">
          <cell r="C176" t="str">
            <v>HÀ GIANG THANH</v>
          </cell>
          <cell r="D176" t="str">
            <v>giangthanhpinaco@gmail.com</v>
          </cell>
          <cell r="E176" t="str">
            <v>0978858312</v>
          </cell>
          <cell r="F176" t="str">
            <v>Quản lý bán hàng</v>
          </cell>
          <cell r="G176" t="str">
            <v>Hoạt động</v>
          </cell>
          <cell r="H176" t="str">
            <v>10/6/2026</v>
          </cell>
          <cell r="I176" t="str">
            <v>Email</v>
          </cell>
          <cell r="J176" t="str">
            <v>Không</v>
          </cell>
          <cell r="K176" t="str">
            <v>Không</v>
          </cell>
          <cell r="L176" t="str">
            <v>10/6/2026</v>
          </cell>
          <cell r="M176" t="str">
            <v>SS0881</v>
          </cell>
        </row>
        <row r="177">
          <cell r="C177" t="str">
            <v>TRẦN ÁNH DƯƠNG</v>
          </cell>
          <cell r="D177" t="str">
            <v>tranduongtq85@gmail.com</v>
          </cell>
          <cell r="E177" t="str">
            <v>0973790088</v>
          </cell>
          <cell r="F177" t="str">
            <v>Quản lý bán hàng</v>
          </cell>
          <cell r="G177" t="str">
            <v>Hoạt động</v>
          </cell>
          <cell r="H177" t="str">
            <v>10/6/2026</v>
          </cell>
          <cell r="I177" t="str">
            <v>Email</v>
          </cell>
          <cell r="J177" t="str">
            <v>Không</v>
          </cell>
          <cell r="K177" t="str">
            <v>Không</v>
          </cell>
          <cell r="L177" t="str">
            <v>10/6/2026</v>
          </cell>
          <cell r="M177" t="str">
            <v>SS1571</v>
          </cell>
        </row>
        <row r="178">
          <cell r="C178" t="str">
            <v>HOÀNG ĐÌNH TÙNG</v>
          </cell>
          <cell r="D178" t="str">
            <v>hoangtungpinaco@gmail.com</v>
          </cell>
          <cell r="E178" t="str">
            <v>0941801103</v>
          </cell>
          <cell r="F178" t="str">
            <v>Quản lý bán hàng</v>
          </cell>
          <cell r="G178" t="str">
            <v>Hoạt động</v>
          </cell>
          <cell r="H178" t="str">
            <v>10/6/2026</v>
          </cell>
          <cell r="I178" t="str">
            <v>Email</v>
          </cell>
          <cell r="J178" t="str">
            <v>Không</v>
          </cell>
          <cell r="K178" t="str">
            <v>Không</v>
          </cell>
          <cell r="L178" t="str">
            <v>10/6/2026</v>
          </cell>
          <cell r="M178" t="str">
            <v>SS1341</v>
          </cell>
        </row>
        <row r="179">
          <cell r="C179" t="str">
            <v>Lê Văn Huy</v>
          </cell>
          <cell r="D179" t="str">
            <v>levanhuy84@gmail.com</v>
          </cell>
          <cell r="E179" t="str">
            <v>0913078567</v>
          </cell>
          <cell r="F179" t="str">
            <v>Quản lý bán hàng</v>
          </cell>
          <cell r="G179" t="str">
            <v>Hoạt động</v>
          </cell>
          <cell r="H179" t="str">
            <v>10/6/2026</v>
          </cell>
          <cell r="I179" t="str">
            <v>Email</v>
          </cell>
          <cell r="J179" t="str">
            <v>Không</v>
          </cell>
          <cell r="K179" t="str">
            <v>Không</v>
          </cell>
          <cell r="L179" t="str">
            <v>10/6/2026</v>
          </cell>
          <cell r="M179" t="str">
            <v>HUYLV</v>
          </cell>
        </row>
        <row r="180">
          <cell r="C180" t="str">
            <v>MAI VĂN HOÀNG</v>
          </cell>
          <cell r="D180" t="str">
            <v>hoangpinaco321@gmail.com</v>
          </cell>
          <cell r="E180" t="str">
            <v>0983410255</v>
          </cell>
          <cell r="F180" t="str">
            <v>Quản lý bán hàng</v>
          </cell>
          <cell r="G180" t="str">
            <v>Hoạt động</v>
          </cell>
          <cell r="H180" t="str">
            <v>10/6/2026</v>
          </cell>
          <cell r="I180" t="str">
            <v>Email</v>
          </cell>
          <cell r="J180" t="str">
            <v>Không</v>
          </cell>
          <cell r="K180" t="str">
            <v>Không</v>
          </cell>
          <cell r="L180" t="str">
            <v>10/6/2026</v>
          </cell>
          <cell r="M180" t="str">
            <v>SM0000002</v>
          </cell>
        </row>
        <row r="181">
          <cell r="C181" t="str">
            <v>Nguyễn Duy Ái</v>
          </cell>
          <cell r="D181" t="str">
            <v>aind.pinaco.qt@gmail.com</v>
          </cell>
          <cell r="E181" t="str">
            <v>0935399164</v>
          </cell>
          <cell r="F181" t="str">
            <v>Quản lý bán hàng</v>
          </cell>
          <cell r="G181" t="str">
            <v>Hoạt động</v>
          </cell>
          <cell r="H181" t="str">
            <v>10/6/2026</v>
          </cell>
          <cell r="I181" t="str">
            <v>Email</v>
          </cell>
          <cell r="J181" t="str">
            <v>Không</v>
          </cell>
          <cell r="K181" t="str">
            <v>Không</v>
          </cell>
          <cell r="L181" t="str">
            <v>10/6/2026</v>
          </cell>
          <cell r="M181" t="str">
            <v>SS1181</v>
          </cell>
        </row>
        <row r="182">
          <cell r="C182" t="str">
            <v>NGUYỄN VĂN KHÁNH</v>
          </cell>
          <cell r="D182" t="str">
            <v>khanhnguyenvan0605@gmail.com</v>
          </cell>
          <cell r="E182" t="str">
            <v>0966532244</v>
          </cell>
          <cell r="F182" t="str">
            <v>Quản lý bán hàng</v>
          </cell>
          <cell r="G182" t="str">
            <v>Hoạt động</v>
          </cell>
          <cell r="H182" t="str">
            <v>10/6/2026</v>
          </cell>
          <cell r="I182" t="str">
            <v>Email</v>
          </cell>
          <cell r="J182" t="str">
            <v>Không</v>
          </cell>
          <cell r="K182" t="str">
            <v>Không</v>
          </cell>
          <cell r="L182" t="str">
            <v>10/6/2026</v>
          </cell>
          <cell r="M182" t="str">
            <v>SM0000089</v>
          </cell>
        </row>
        <row r="183">
          <cell r="C183" t="str">
            <v>Đặng Văn Nẵm</v>
          </cell>
          <cell r="D183" t="str">
            <v>namdangqb@gmail.com</v>
          </cell>
          <cell r="E183" t="str">
            <v>0919365878</v>
          </cell>
          <cell r="F183" t="str">
            <v>Quản lý bán hàng</v>
          </cell>
          <cell r="G183" t="str">
            <v>Hoạt động</v>
          </cell>
          <cell r="H183" t="str">
            <v>10/6/2026</v>
          </cell>
          <cell r="I183" t="str">
            <v>Email</v>
          </cell>
          <cell r="J183" t="str">
            <v>Không</v>
          </cell>
          <cell r="K183" t="str">
            <v>Không</v>
          </cell>
          <cell r="L183" t="str">
            <v>10/6/2026</v>
          </cell>
          <cell r="M183" t="str">
            <v>SS1171</v>
          </cell>
        </row>
        <row r="184">
          <cell r="C184" t="str">
            <v>Võ Nguyên Bảo</v>
          </cell>
          <cell r="D184" t="str">
            <v>vonguyenbao1@gmail.com</v>
          </cell>
          <cell r="E184" t="str">
            <v>0983140774</v>
          </cell>
          <cell r="F184" t="str">
            <v>Quản lý bán hàng</v>
          </cell>
          <cell r="G184" t="str">
            <v>Hoạt động</v>
          </cell>
          <cell r="H184" t="str">
            <v>10/6/2026</v>
          </cell>
          <cell r="I184" t="str">
            <v>Email</v>
          </cell>
          <cell r="J184" t="str">
            <v>Không</v>
          </cell>
          <cell r="K184" t="str">
            <v>Không</v>
          </cell>
          <cell r="L184" t="str">
            <v>10/6/2026</v>
          </cell>
          <cell r="M184" t="str">
            <v>SS0581</v>
          </cell>
        </row>
        <row r="185">
          <cell r="C185" t="str">
            <v>Trần Đình Tiên</v>
          </cell>
          <cell r="D185" t="str">
            <v>dinhtien0602@gmail.com</v>
          </cell>
          <cell r="E185" t="str">
            <v>0967637579</v>
          </cell>
          <cell r="F185" t="str">
            <v>Quản lý bán hàng</v>
          </cell>
          <cell r="G185" t="str">
            <v>Hoạt động</v>
          </cell>
          <cell r="H185" t="str">
            <v>10/6/2026</v>
          </cell>
          <cell r="I185" t="str">
            <v>Email</v>
          </cell>
          <cell r="J185" t="str">
            <v>Không</v>
          </cell>
          <cell r="K185" t="str">
            <v>Không</v>
          </cell>
          <cell r="L185" t="str">
            <v>10/6/2026</v>
          </cell>
          <cell r="M185" t="str">
            <v>SS1261</v>
          </cell>
        </row>
        <row r="186">
          <cell r="C186" t="str">
            <v>NGUYỄN MINH KHAI</v>
          </cell>
          <cell r="D186" t="str">
            <v>khaipinaco@gmail.com</v>
          </cell>
          <cell r="E186" t="str">
            <v>0769577377</v>
          </cell>
          <cell r="F186" t="str">
            <v>Quản lý bán hàng</v>
          </cell>
          <cell r="G186" t="str">
            <v>Hoạt động</v>
          </cell>
          <cell r="H186" t="str">
            <v>10/6/2026</v>
          </cell>
          <cell r="I186" t="str">
            <v>Email</v>
          </cell>
          <cell r="J186" t="str">
            <v>Không</v>
          </cell>
          <cell r="K186" t="str">
            <v>Không</v>
          </cell>
          <cell r="L186" t="str">
            <v>10/6/2026</v>
          </cell>
          <cell r="M186" t="str">
            <v>KHAINM</v>
          </cell>
        </row>
        <row r="187">
          <cell r="C187" t="str">
            <v>Phan Tấn Tiến</v>
          </cell>
          <cell r="D187" t="str">
            <v>tantien.hoanmy@gmail.com</v>
          </cell>
          <cell r="E187" t="str">
            <v>0972232786</v>
          </cell>
          <cell r="F187" t="str">
            <v>Quản lý bán hàng</v>
          </cell>
          <cell r="G187" t="str">
            <v>Hoạt động</v>
          </cell>
          <cell r="H187" t="str">
            <v>10/6/2026</v>
          </cell>
          <cell r="I187" t="str">
            <v>Email</v>
          </cell>
          <cell r="J187" t="str">
            <v>Không</v>
          </cell>
          <cell r="K187" t="str">
            <v>Không</v>
          </cell>
          <cell r="L187" t="str">
            <v>10/6/2026</v>
          </cell>
          <cell r="M187" t="str">
            <v>SS1632</v>
          </cell>
        </row>
        <row r="188">
          <cell r="C188" t="str">
            <v>VÕ ANH ĐUA</v>
          </cell>
          <cell r="D188" t="str">
            <v>anhdua86@gmail.com</v>
          </cell>
          <cell r="E188" t="str">
            <v>0935664339</v>
          </cell>
          <cell r="F188" t="str">
            <v>Quản lý bán hàng</v>
          </cell>
          <cell r="G188" t="str">
            <v>Hoạt động</v>
          </cell>
          <cell r="H188" t="str">
            <v>10/6/2026</v>
          </cell>
          <cell r="I188" t="str">
            <v>Email</v>
          </cell>
          <cell r="J188" t="str">
            <v>Không</v>
          </cell>
          <cell r="K188" t="str">
            <v>Không</v>
          </cell>
          <cell r="L188" t="str">
            <v>10/6/2026</v>
          </cell>
          <cell r="M188" t="str">
            <v>DUAVA</v>
          </cell>
        </row>
        <row r="189">
          <cell r="C189" t="str">
            <v>Trần Mạnh Linh</v>
          </cell>
          <cell r="D189" t="str">
            <v>linhtn2013@gmail.com</v>
          </cell>
          <cell r="E189" t="str">
            <v>0908247686</v>
          </cell>
          <cell r="F189" t="str">
            <v>Quản lý bán hàng</v>
          </cell>
          <cell r="G189" t="str">
            <v>Hoạt động</v>
          </cell>
          <cell r="H189" t="str">
            <v>10/6/2026</v>
          </cell>
          <cell r="I189" t="str">
            <v>Email</v>
          </cell>
          <cell r="J189" t="str">
            <v>Không</v>
          </cell>
          <cell r="K189" t="str">
            <v>Không</v>
          </cell>
          <cell r="L189" t="str">
            <v>10/6/2026</v>
          </cell>
          <cell r="M189" t="str">
            <v>SS1060</v>
          </cell>
        </row>
        <row r="190">
          <cell r="C190" t="str">
            <v>NGUYỄN LÊ CHÂU</v>
          </cell>
          <cell r="D190" t="str">
            <v>chaunguyen496@gmail.com</v>
          </cell>
          <cell r="E190" t="str">
            <v>0973643938</v>
          </cell>
          <cell r="F190" t="str">
            <v>Quản lý bán hàng</v>
          </cell>
          <cell r="G190" t="str">
            <v>Hoạt động</v>
          </cell>
          <cell r="H190" t="str">
            <v>10/6/2026</v>
          </cell>
          <cell r="I190" t="str">
            <v>Email</v>
          </cell>
          <cell r="J190" t="str">
            <v>Không</v>
          </cell>
          <cell r="K190" t="str">
            <v>Không</v>
          </cell>
          <cell r="L190" t="str">
            <v>10/6/2026</v>
          </cell>
          <cell r="M190" t="str">
            <v>CHAUNL</v>
          </cell>
        </row>
        <row r="191">
          <cell r="C191" t="str">
            <v>TRƯƠNG NAM THÁI</v>
          </cell>
          <cell r="D191" t="str">
            <v>namthai.tnt@gmail.com</v>
          </cell>
          <cell r="E191" t="str">
            <v>0916635166</v>
          </cell>
          <cell r="F191" t="str">
            <v>Quản lý bán hàng</v>
          </cell>
          <cell r="G191" t="str">
            <v>Hoạt động</v>
          </cell>
          <cell r="H191" t="str">
            <v>10/6/2026</v>
          </cell>
          <cell r="I191" t="str">
            <v>Email</v>
          </cell>
          <cell r="J191" t="str">
            <v>Không</v>
          </cell>
          <cell r="K191" t="str">
            <v>Không</v>
          </cell>
          <cell r="L191" t="str">
            <v>10/6/2026</v>
          </cell>
          <cell r="M191" t="str">
            <v>THAITN</v>
          </cell>
        </row>
        <row r="192">
          <cell r="C192" t="str">
            <v>NGUYỄN QUỐC DUY</v>
          </cell>
          <cell r="D192" t="str">
            <v>duyquocnguyen@live.com</v>
          </cell>
          <cell r="E192" t="str">
            <v>0909803830</v>
          </cell>
          <cell r="F192" t="str">
            <v>Quản lý bán hàng</v>
          </cell>
          <cell r="G192" t="str">
            <v>Hoạt động</v>
          </cell>
          <cell r="H192" t="str">
            <v>10/6/2026</v>
          </cell>
          <cell r="I192" t="str">
            <v>Email</v>
          </cell>
          <cell r="J192" t="str">
            <v>Không</v>
          </cell>
          <cell r="K192" t="str">
            <v>Không</v>
          </cell>
          <cell r="L192" t="str">
            <v>10/6/2026</v>
          </cell>
          <cell r="M192" t="str">
            <v>SS0912</v>
          </cell>
        </row>
        <row r="193">
          <cell r="C193" t="str">
            <v>Nguyễn Chánh Hào</v>
          </cell>
          <cell r="D193" t="str">
            <v>nguyenchanhhao95@gmail.com</v>
          </cell>
          <cell r="E193" t="str">
            <v>0907129966</v>
          </cell>
          <cell r="F193" t="str">
            <v>Quản lý bán hàng</v>
          </cell>
          <cell r="G193" t="str">
            <v>Hoạt động</v>
          </cell>
          <cell r="H193" t="str">
            <v>10/6/2026</v>
          </cell>
          <cell r="I193" t="str">
            <v>Email</v>
          </cell>
          <cell r="J193" t="str">
            <v>Không</v>
          </cell>
          <cell r="K193" t="str">
            <v>Không</v>
          </cell>
          <cell r="L193" t="str">
            <v>10/6/2026</v>
          </cell>
          <cell r="M193" t="str">
            <v>SS0310</v>
          </cell>
        </row>
        <row r="194">
          <cell r="C194" t="str">
            <v>Nguyễn Trọng Phú</v>
          </cell>
          <cell r="D194" t="str">
            <v>trongphu0684@gmail.com</v>
          </cell>
          <cell r="E194" t="str">
            <v>0974658967</v>
          </cell>
          <cell r="F194" t="str">
            <v>Quản lý bán hàng</v>
          </cell>
          <cell r="G194" t="str">
            <v>Hoạt động</v>
          </cell>
          <cell r="H194" t="str">
            <v>10/6/2026</v>
          </cell>
          <cell r="I194" t="str">
            <v>Email</v>
          </cell>
          <cell r="J194" t="str">
            <v>Không</v>
          </cell>
          <cell r="K194" t="str">
            <v>Không</v>
          </cell>
          <cell r="L194" t="str">
            <v>10/6/2026</v>
          </cell>
          <cell r="M194" t="str">
            <v>SS0331</v>
          </cell>
        </row>
        <row r="195">
          <cell r="C195" t="str">
            <v>Đào Quang Phú</v>
          </cell>
          <cell r="D195" t="str">
            <v>duyquangthf@gmail.com</v>
          </cell>
          <cell r="E195" t="str">
            <v>0933550268</v>
          </cell>
          <cell r="F195" t="str">
            <v>Quản lý bán hàng</v>
          </cell>
          <cell r="G195" t="str">
            <v>Hoạt động</v>
          </cell>
          <cell r="H195" t="str">
            <v>10/6/2026</v>
          </cell>
          <cell r="I195" t="str">
            <v>Email</v>
          </cell>
          <cell r="J195" t="str">
            <v>Không</v>
          </cell>
          <cell r="K195" t="str">
            <v>Không</v>
          </cell>
          <cell r="L195" t="str">
            <v>10/6/2026</v>
          </cell>
          <cell r="M195" t="str">
            <v>QUANGBD</v>
          </cell>
        </row>
        <row r="196">
          <cell r="C196" t="str">
            <v>Đặng Thanh Trà</v>
          </cell>
          <cell r="D196" t="str">
            <v>thanhtra7907129@gmail.com</v>
          </cell>
          <cell r="E196" t="str">
            <v>0869074417</v>
          </cell>
          <cell r="F196" t="str">
            <v>Quản lý bán hàng</v>
          </cell>
          <cell r="G196" t="str">
            <v>Hoạt động</v>
          </cell>
          <cell r="H196" t="str">
            <v>10/6/2026</v>
          </cell>
          <cell r="I196" t="str">
            <v>Email</v>
          </cell>
          <cell r="J196" t="str">
            <v>Không</v>
          </cell>
          <cell r="K196" t="str">
            <v>Không</v>
          </cell>
          <cell r="L196" t="str">
            <v>10/6/2026</v>
          </cell>
          <cell r="M196" t="str">
            <v>SS0380</v>
          </cell>
        </row>
        <row r="197">
          <cell r="C197" t="str">
            <v>Phạm Huy Cường</v>
          </cell>
          <cell r="D197" t="str">
            <v>phamhuycuong1011985@gmail.com</v>
          </cell>
          <cell r="E197" t="str">
            <v>0932649439</v>
          </cell>
          <cell r="F197" t="str">
            <v>Quản lý bán hàng</v>
          </cell>
          <cell r="G197" t="str">
            <v>Hoạt động</v>
          </cell>
          <cell r="H197" t="str">
            <v>10/6/2026</v>
          </cell>
          <cell r="I197" t="str">
            <v>Email</v>
          </cell>
          <cell r="J197" t="str">
            <v>Không</v>
          </cell>
          <cell r="K197" t="str">
            <v>Không</v>
          </cell>
          <cell r="L197" t="str">
            <v>10/6/2026</v>
          </cell>
          <cell r="M197" t="str">
            <v>CUONGPH</v>
          </cell>
        </row>
        <row r="198">
          <cell r="C198" t="str">
            <v>VÕ NGỌC THANH VŨ</v>
          </cell>
          <cell r="D198" t="str">
            <v>vongocthanhvu@gmail.com</v>
          </cell>
          <cell r="E198" t="str">
            <v>0939564699</v>
          </cell>
          <cell r="F198" t="str">
            <v>Quản lý bán hàng</v>
          </cell>
          <cell r="G198" t="str">
            <v>Hoạt động</v>
          </cell>
          <cell r="H198" t="str">
            <v>10/6/2026</v>
          </cell>
          <cell r="I198" t="str">
            <v>Email</v>
          </cell>
          <cell r="J198" t="str">
            <v>Không</v>
          </cell>
          <cell r="K198" t="str">
            <v>Không</v>
          </cell>
          <cell r="L198" t="str">
            <v>10/6/2026</v>
          </cell>
          <cell r="M198" t="str">
            <v>SS0131</v>
          </cell>
        </row>
        <row r="199">
          <cell r="C199" t="str">
            <v>NGUYỄN PHƯỚC THÀNH</v>
          </cell>
          <cell r="D199" t="str">
            <v>nguyenphuocthanh90@gmail.com</v>
          </cell>
          <cell r="E199" t="str">
            <v>0964700239</v>
          </cell>
          <cell r="F199" t="str">
            <v>Quản lý bán hàng</v>
          </cell>
          <cell r="G199" t="str">
            <v>Hoạt động</v>
          </cell>
          <cell r="H199" t="str">
            <v>10/6/2026</v>
          </cell>
          <cell r="I199" t="str">
            <v>Email</v>
          </cell>
          <cell r="J199" t="str">
            <v>Không</v>
          </cell>
          <cell r="K199" t="str">
            <v>Không</v>
          </cell>
          <cell r="L199" t="str">
            <v>10/6/2026</v>
          </cell>
          <cell r="M199" t="str">
            <v>SS0120</v>
          </cell>
        </row>
        <row r="200">
          <cell r="C200" t="str">
            <v>NGUYỄN TRUNG HIẾU</v>
          </cell>
          <cell r="D200" t="str">
            <v>nguyentrunghieu1101@gmail.com</v>
          </cell>
          <cell r="E200" t="str">
            <v>0933447890</v>
          </cell>
          <cell r="F200" t="str">
            <v>Quản lý bán hàng</v>
          </cell>
          <cell r="G200" t="str">
            <v>Hoạt động</v>
          </cell>
          <cell r="H200" t="str">
            <v>10/6/2026</v>
          </cell>
          <cell r="I200" t="str">
            <v>Email</v>
          </cell>
          <cell r="J200" t="str">
            <v>Không</v>
          </cell>
          <cell r="K200" t="str">
            <v>Không</v>
          </cell>
          <cell r="L200" t="str">
            <v>10/6/2026</v>
          </cell>
          <cell r="M200" t="str">
            <v>SS0193</v>
          </cell>
        </row>
        <row r="201">
          <cell r="C201" t="str">
            <v>Phan Thanh Hùng</v>
          </cell>
          <cell r="D201" t="str">
            <v>pthung170390@gmail.com</v>
          </cell>
          <cell r="E201" t="str">
            <v>0939529677</v>
          </cell>
          <cell r="F201" t="str">
            <v>Quản lý bán hàng</v>
          </cell>
          <cell r="G201" t="str">
            <v>Hoạt động</v>
          </cell>
          <cell r="H201" t="str">
            <v>10/6/2026</v>
          </cell>
          <cell r="I201" t="str">
            <v>Email</v>
          </cell>
          <cell r="J201" t="str">
            <v>Không</v>
          </cell>
          <cell r="K201" t="str">
            <v>Không</v>
          </cell>
          <cell r="L201" t="str">
            <v>10/6/2026</v>
          </cell>
          <cell r="M201" t="str">
            <v>HUNGPT</v>
          </cell>
        </row>
        <row r="202">
          <cell r="C202" t="str">
            <v>Nguyễn Vũ Phúc</v>
          </cell>
          <cell r="D202" t="str">
            <v>phucvunguyen84@gmail.com</v>
          </cell>
          <cell r="E202" t="str">
            <v>0909919704</v>
          </cell>
          <cell r="F202" t="str">
            <v>Quản lý bán hàng</v>
          </cell>
          <cell r="G202" t="str">
            <v>Hoạt động</v>
          </cell>
          <cell r="H202" t="str">
            <v>10/6/2026</v>
          </cell>
          <cell r="I202" t="str">
            <v>Email</v>
          </cell>
          <cell r="J202" t="str">
            <v>Không</v>
          </cell>
          <cell r="K202" t="str">
            <v>Không</v>
          </cell>
          <cell r="L202" t="str">
            <v>10/6/2026</v>
          </cell>
          <cell r="M202" t="str">
            <v>SS0280</v>
          </cell>
        </row>
        <row r="203">
          <cell r="C203" t="str">
            <v>NGUYỄN THẾ ĐỒNG</v>
          </cell>
          <cell r="D203" t="str">
            <v>nguyenthedong888@gmail.com</v>
          </cell>
          <cell r="E203" t="str">
            <v>0947762226</v>
          </cell>
          <cell r="F203" t="str">
            <v>Quản lý bán hàng</v>
          </cell>
          <cell r="G203" t="str">
            <v>Hoạt động</v>
          </cell>
          <cell r="H203" t="str">
            <v>10/6/2026</v>
          </cell>
          <cell r="I203" t="str">
            <v>Email</v>
          </cell>
          <cell r="J203" t="str">
            <v>Không</v>
          </cell>
          <cell r="K203" t="str">
            <v>Không</v>
          </cell>
          <cell r="L203" t="str">
            <v>10/6/2026</v>
          </cell>
          <cell r="M203" t="str">
            <v>SS0240</v>
          </cell>
        </row>
        <row r="204">
          <cell r="C204" t="str">
            <v>TRỊNH TRƯỜNG CHINH</v>
          </cell>
          <cell r="D204" t="str">
            <v>trinhtruongchinh@gmail.com</v>
          </cell>
          <cell r="E204" t="str">
            <v>0913767737</v>
          </cell>
          <cell r="F204" t="str">
            <v>Quản lý bán hàng</v>
          </cell>
          <cell r="G204" t="str">
            <v>Hoạt động</v>
          </cell>
          <cell r="H204" t="str">
            <v>10/6/2026</v>
          </cell>
          <cell r="I204" t="str">
            <v>Email</v>
          </cell>
          <cell r="J204" t="str">
            <v>Không</v>
          </cell>
          <cell r="K204" t="str">
            <v>Không</v>
          </cell>
          <cell r="L204" t="str">
            <v>10/6/2026</v>
          </cell>
          <cell r="M204" t="str">
            <v>SS0260</v>
          </cell>
        </row>
        <row r="205">
          <cell r="C205" t="str">
            <v>HOÀNG VĂN NGHĨA</v>
          </cell>
          <cell r="D205" t="str">
            <v>hvnghiapinaco@gmail.com</v>
          </cell>
          <cell r="E205" t="str">
            <v>0912395474</v>
          </cell>
          <cell r="F205" t="str">
            <v>Quản lý khu vực</v>
          </cell>
          <cell r="G205" t="str">
            <v>Hoạt động</v>
          </cell>
          <cell r="H205" t="str">
            <v>10/6/2026</v>
          </cell>
          <cell r="I205" t="str">
            <v>Email</v>
          </cell>
          <cell r="J205" t="str">
            <v>Không</v>
          </cell>
          <cell r="K205" t="str">
            <v>Không</v>
          </cell>
          <cell r="L205" t="str">
            <v>10/6/2026</v>
          </cell>
          <cell r="M205" t="str">
            <v>NGHIAHV</v>
          </cell>
        </row>
        <row r="206">
          <cell r="C206" t="str">
            <v>THÂN VĂN HƯNG</v>
          </cell>
          <cell r="D206" t="str">
            <v>hungpinaco82@gmail.com</v>
          </cell>
          <cell r="E206" t="str">
            <v>0986854234</v>
          </cell>
          <cell r="F206" t="str">
            <v>Quản lý khu vực</v>
          </cell>
          <cell r="G206" t="str">
            <v>Hoạt động</v>
          </cell>
          <cell r="H206" t="str">
            <v>10/6/2026</v>
          </cell>
          <cell r="I206" t="str">
            <v>Email</v>
          </cell>
          <cell r="J206" t="str">
            <v>Không</v>
          </cell>
          <cell r="K206" t="str">
            <v>Không</v>
          </cell>
          <cell r="L206" t="str">
            <v>10/6/2026</v>
          </cell>
          <cell r="M206" t="str">
            <v>HUNGTV</v>
          </cell>
        </row>
        <row r="207">
          <cell r="C207" t="str">
            <v>TRẦN THẾ ANH</v>
          </cell>
          <cell r="D207" t="str">
            <v>anhtt.pinaco@gmail.com</v>
          </cell>
          <cell r="E207" t="str">
            <v>0918366689</v>
          </cell>
          <cell r="F207" t="str">
            <v>Quản lý khu vực</v>
          </cell>
          <cell r="G207" t="str">
            <v>Hoạt động</v>
          </cell>
          <cell r="H207" t="str">
            <v>10/6/2026</v>
          </cell>
          <cell r="I207" t="str">
            <v>Email</v>
          </cell>
          <cell r="J207" t="str">
            <v>Không</v>
          </cell>
          <cell r="K207" t="str">
            <v>Không</v>
          </cell>
          <cell r="L207" t="str">
            <v>10/6/2026</v>
          </cell>
          <cell r="M207" t="str">
            <v>SS0870</v>
          </cell>
        </row>
        <row r="208">
          <cell r="C208" t="str">
            <v>TẠ HOÀNG HIỆP</v>
          </cell>
          <cell r="D208" t="str">
            <v>hoanghieppinaco@gmail.com</v>
          </cell>
          <cell r="E208" t="str">
            <v>0974345348</v>
          </cell>
          <cell r="F208" t="str">
            <v>Quản lý khu vực</v>
          </cell>
          <cell r="G208" t="str">
            <v>Hoạt động</v>
          </cell>
          <cell r="H208" t="str">
            <v>10/6/2026</v>
          </cell>
          <cell r="I208" t="str">
            <v>Email</v>
          </cell>
          <cell r="J208" t="str">
            <v>Không</v>
          </cell>
          <cell r="K208" t="str">
            <v>Không</v>
          </cell>
          <cell r="L208" t="str">
            <v>10/6/2026</v>
          </cell>
          <cell r="M208" t="str">
            <v>HIEPTH</v>
          </cell>
        </row>
        <row r="209">
          <cell r="C209" t="str">
            <v>NGUYỄN NGỌC BÌNH</v>
          </cell>
          <cell r="D209" t="str">
            <v>binhpinaco@gmail.com</v>
          </cell>
          <cell r="E209" t="str">
            <v>0905224122</v>
          </cell>
          <cell r="F209" t="str">
            <v>Quản lý khu vực</v>
          </cell>
          <cell r="G209" t="str">
            <v>Hoạt động</v>
          </cell>
          <cell r="H209" t="str">
            <v>10/6/2026</v>
          </cell>
          <cell r="I209" t="str">
            <v>Email</v>
          </cell>
          <cell r="J209" t="str">
            <v>Không</v>
          </cell>
          <cell r="K209" t="str">
            <v>Không</v>
          </cell>
          <cell r="L209" t="str">
            <v>10/6/2026</v>
          </cell>
          <cell r="M209" t="str">
            <v>BINHNN</v>
          </cell>
        </row>
        <row r="210">
          <cell r="C210" t="str">
            <v>ĐOÀN VĂN VỸ</v>
          </cell>
          <cell r="D210" t="str">
            <v>vypinaco@gmail.com</v>
          </cell>
          <cell r="E210" t="str">
            <v>0979808393</v>
          </cell>
          <cell r="F210" t="str">
            <v>Quản lý khu vực</v>
          </cell>
          <cell r="G210" t="str">
            <v>Hoạt động</v>
          </cell>
          <cell r="H210" t="str">
            <v>10/6/2026</v>
          </cell>
          <cell r="I210" t="str">
            <v>Email</v>
          </cell>
          <cell r="J210" t="str">
            <v>Không</v>
          </cell>
          <cell r="K210" t="str">
            <v>Không</v>
          </cell>
          <cell r="L210" t="str">
            <v>10/6/2026</v>
          </cell>
          <cell r="M210" t="str">
            <v>VYDV</v>
          </cell>
        </row>
        <row r="211">
          <cell r="C211" t="str">
            <v>THÁI VŨ HÀ</v>
          </cell>
          <cell r="D211" t="str">
            <v>thaivuha.tac@gmail.com</v>
          </cell>
          <cell r="E211" t="str">
            <v>0945919499</v>
          </cell>
          <cell r="F211" t="str">
            <v>Quản lý khu vực</v>
          </cell>
          <cell r="G211" t="str">
            <v>Hoạt động</v>
          </cell>
          <cell r="H211" t="str">
            <v>10/6/2026</v>
          </cell>
          <cell r="I211" t="str">
            <v>Email</v>
          </cell>
          <cell r="J211" t="str">
            <v>Không</v>
          </cell>
          <cell r="K211" t="str">
            <v>Không</v>
          </cell>
          <cell r="L211" t="str">
            <v>10/6/2026</v>
          </cell>
          <cell r="M211" t="str">
            <v>HATV</v>
          </cell>
        </row>
        <row r="212">
          <cell r="C212" t="str">
            <v>Lê Tuấn Vũ</v>
          </cell>
          <cell r="D212" t="str">
            <v>vutuanle_90@yahoo.com.vn</v>
          </cell>
          <cell r="E212" t="str">
            <v>0933832264</v>
          </cell>
          <cell r="F212" t="str">
            <v>Quản lý khu vực</v>
          </cell>
          <cell r="G212" t="str">
            <v>Hoạt động</v>
          </cell>
          <cell r="H212" t="str">
            <v>10/6/2026</v>
          </cell>
          <cell r="I212" t="str">
            <v>Email</v>
          </cell>
          <cell r="J212" t="str">
            <v>Không</v>
          </cell>
          <cell r="K212" t="str">
            <v>Không</v>
          </cell>
          <cell r="L212" t="str">
            <v>10/6/2026</v>
          </cell>
          <cell r="M212" t="str">
            <v>ASM1009</v>
          </cell>
        </row>
        <row r="213">
          <cell r="C213" t="str">
            <v>PHAN THANH</v>
          </cell>
          <cell r="D213" t="str">
            <v>fanthanh@gmail.com</v>
          </cell>
          <cell r="E213" t="str">
            <v>0902436665</v>
          </cell>
          <cell r="F213" t="str">
            <v>Quản lý khu vực</v>
          </cell>
          <cell r="G213" t="str">
            <v>Hoạt động</v>
          </cell>
          <cell r="H213" t="str">
            <v>10/6/2026</v>
          </cell>
          <cell r="I213" t="str">
            <v>Email</v>
          </cell>
          <cell r="J213" t="str">
            <v>Không</v>
          </cell>
          <cell r="K213" t="str">
            <v>Không</v>
          </cell>
          <cell r="L213" t="str">
            <v>10/6/2026</v>
          </cell>
          <cell r="M213" t="str">
            <v>PHANTHANH</v>
          </cell>
        </row>
        <row r="214">
          <cell r="C214" t="str">
            <v>NGUYỄN TRẦN THƯƠNG</v>
          </cell>
          <cell r="D214" t="str">
            <v>nguyentranthuong433@gmail.com</v>
          </cell>
          <cell r="E214" t="str">
            <v>0932263273</v>
          </cell>
          <cell r="F214" t="str">
            <v>Quản lý khu vực</v>
          </cell>
          <cell r="G214" t="str">
            <v>Hoạt động</v>
          </cell>
          <cell r="H214" t="str">
            <v>10/6/2026</v>
          </cell>
          <cell r="I214" t="str">
            <v>Email</v>
          </cell>
          <cell r="J214" t="str">
            <v>Không</v>
          </cell>
          <cell r="K214" t="str">
            <v>Không</v>
          </cell>
          <cell r="L214" t="str">
            <v>10/6/2026</v>
          </cell>
          <cell r="M214" t="str">
            <v>THUONGNT</v>
          </cell>
        </row>
        <row r="215">
          <cell r="C215" t="str">
            <v>TRẦN QUANG VINH</v>
          </cell>
          <cell r="D215" t="str">
            <v>tranvinh152@gmail.com</v>
          </cell>
          <cell r="E215" t="str">
            <v>0939719252</v>
          </cell>
          <cell r="F215" t="str">
            <v>Quản lý khu vực</v>
          </cell>
          <cell r="G215" t="str">
            <v>Hoạt động</v>
          </cell>
          <cell r="H215" t="str">
            <v>10/6/2026</v>
          </cell>
          <cell r="I215" t="str">
            <v>Email</v>
          </cell>
          <cell r="J215" t="str">
            <v>Không</v>
          </cell>
          <cell r="K215" t="str">
            <v>Không</v>
          </cell>
          <cell r="L215" t="str">
            <v>10/6/2026</v>
          </cell>
          <cell r="M215" t="str">
            <v>ASM1002</v>
          </cell>
        </row>
        <row r="216">
          <cell r="C216" t="str">
            <v>TRẦN QUỐC VƯƠNG</v>
          </cell>
          <cell r="D216" t="str">
            <v>vuongtq.pinaco@gmail.com</v>
          </cell>
          <cell r="E216" t="str">
            <v>0948459968</v>
          </cell>
          <cell r="F216" t="str">
            <v>Giám đốc vùng</v>
          </cell>
          <cell r="G216" t="str">
            <v>Hoạt động</v>
          </cell>
          <cell r="H216" t="str">
            <v>10/6/2026</v>
          </cell>
          <cell r="I216" t="str">
            <v>Email</v>
          </cell>
          <cell r="J216" t="str">
            <v>Không</v>
          </cell>
          <cell r="K216" t="str">
            <v>Không</v>
          </cell>
          <cell r="L216" t="str">
            <v>10/6/2026</v>
          </cell>
          <cell r="M216" t="str">
            <v>VUONGTQ</v>
          </cell>
        </row>
        <row r="217">
          <cell r="C217" t="str">
            <v>NGUYỄN VĂN AN</v>
          </cell>
          <cell r="D217" t="str">
            <v>vananpinaco@gmail.com</v>
          </cell>
          <cell r="E217" t="str">
            <v>0905226151</v>
          </cell>
          <cell r="F217" t="str">
            <v>Giám đốc vùng</v>
          </cell>
          <cell r="G217" t="str">
            <v>Hoạt động</v>
          </cell>
          <cell r="H217" t="str">
            <v>10/6/2026</v>
          </cell>
          <cell r="I217" t="str">
            <v>Email</v>
          </cell>
          <cell r="J217" t="str">
            <v>Không</v>
          </cell>
          <cell r="K217" t="str">
            <v>Không</v>
          </cell>
          <cell r="L217" t="str">
            <v>10/6/2026</v>
          </cell>
          <cell r="M217" t="str">
            <v>ANNV</v>
          </cell>
        </row>
        <row r="218">
          <cell r="C218" t="str">
            <v>LÂM CẨM TOÀN</v>
          </cell>
          <cell r="D218" t="str">
            <v>camtoan90@yahoo.com.vn</v>
          </cell>
          <cell r="E218" t="str">
            <v>0932825758</v>
          </cell>
          <cell r="F218" t="str">
            <v>Giám đốc vùng</v>
          </cell>
          <cell r="G218" t="str">
            <v>Hoạt động</v>
          </cell>
          <cell r="H218" t="str">
            <v>10/6/2026</v>
          </cell>
          <cell r="I218" t="str">
            <v>Email</v>
          </cell>
          <cell r="J218" t="str">
            <v>Không</v>
          </cell>
          <cell r="K218" t="str">
            <v>Không</v>
          </cell>
          <cell r="L218" t="str">
            <v>10/6/2026</v>
          </cell>
          <cell r="M218" t="str">
            <v>PNC005</v>
          </cell>
        </row>
        <row r="219">
          <cell r="C219" t="str">
            <v>NGUYỄN HUỲNH BẢO QUỐC</v>
          </cell>
          <cell r="D219" t="str">
            <v>quoccp@gmail.com</v>
          </cell>
          <cell r="E219" t="str">
            <v>0845137676</v>
          </cell>
          <cell r="F219" t="str">
            <v>Giám đốc vùng</v>
          </cell>
          <cell r="G219" t="str">
            <v>Hoạt động</v>
          </cell>
          <cell r="H219" t="str">
            <v>10/6/2026</v>
          </cell>
          <cell r="I219" t="str">
            <v>Email</v>
          </cell>
          <cell r="J219" t="str">
            <v>Không</v>
          </cell>
          <cell r="K219" t="str">
            <v>Không</v>
          </cell>
          <cell r="L219" t="str">
            <v>10/6/2026</v>
          </cell>
          <cell r="M219" t="str">
            <v>RSM9001</v>
          </cell>
        </row>
        <row r="220">
          <cell r="C220" t="str">
            <v>PHẠM VĂN HIỂN</v>
          </cell>
          <cell r="D220" t="str">
            <v>minhhien2288@gmail.com</v>
          </cell>
          <cell r="E220" t="str">
            <v>0974095257</v>
          </cell>
          <cell r="F220" t="str">
            <v>Quản lý bán hàng</v>
          </cell>
          <cell r="G220" t="str">
            <v>Hoạt động</v>
          </cell>
          <cell r="H220" t="str">
            <v>10/6/2026</v>
          </cell>
          <cell r="I220" t="str">
            <v>Email</v>
          </cell>
          <cell r="J220" t="str">
            <v>Không</v>
          </cell>
          <cell r="K220" t="str">
            <v>Không</v>
          </cell>
          <cell r="L220" t="str">
            <v>10/6/2026</v>
          </cell>
          <cell r="M220" t="str">
            <v>HIENPV</v>
          </cell>
        </row>
        <row r="221">
          <cell r="C221" t="str">
            <v>Hoàng Hữu Lộc</v>
          </cell>
          <cell r="D221" t="str">
            <v>lochh@pinaco.com</v>
          </cell>
          <cell r="E221" t="str">
            <v>0915007577</v>
          </cell>
          <cell r="F221" t="str">
            <v>Quản trị viên</v>
          </cell>
          <cell r="G221" t="str">
            <v>Hoạt động</v>
          </cell>
          <cell r="H221" t="str">
            <v>10/6/2026</v>
          </cell>
          <cell r="I221" t="str">
            <v>Email</v>
          </cell>
          <cell r="J221" t="str">
            <v>Không</v>
          </cell>
          <cell r="K221" t="str">
            <v>Không</v>
          </cell>
          <cell r="L221" t="str">
            <v>10/6/2026</v>
          </cell>
          <cell r="M221" t="str">
            <v>GDBHTQ</v>
          </cell>
        </row>
        <row r="222">
          <cell r="C222" t="str">
            <v>Nguyễn Trọng Cường</v>
          </cell>
          <cell r="D222" t="str">
            <v>cuong.tourguide.cm@gmail.com</v>
          </cell>
          <cell r="E222" t="str">
            <v>0978739858</v>
          </cell>
          <cell r="F222" t="str">
            <v>Nhân viên bán hàng</v>
          </cell>
          <cell r="G222" t="str">
            <v>Hoạt động</v>
          </cell>
          <cell r="H222" t="str">
            <v>16/6/2026</v>
          </cell>
          <cell r="I222" t="str">
            <v>Email</v>
          </cell>
          <cell r="J222" t="str">
            <v>Không</v>
          </cell>
          <cell r="K222" t="str">
            <v>Không</v>
          </cell>
          <cell r="L222" t="str">
            <v>16/6/2026</v>
          </cell>
          <cell r="M222" t="str">
            <v>SM0000235</v>
          </cell>
        </row>
        <row r="223">
          <cell r="C223" t="str">
            <v>Lâm Minh Nhựt</v>
          </cell>
          <cell r="D223" t="str">
            <v>lamnhut.neptune@gmail.com</v>
          </cell>
          <cell r="E223" t="str">
            <v>0918714186</v>
          </cell>
          <cell r="F223" t="str">
            <v>Nhân viên bán hàng</v>
          </cell>
          <cell r="G223" t="str">
            <v>Hoạt động</v>
          </cell>
          <cell r="H223" t="str">
            <v>17/6/2026</v>
          </cell>
          <cell r="I223" t="str">
            <v>Email</v>
          </cell>
          <cell r="J223" t="str">
            <v>Không</v>
          </cell>
          <cell r="K223" t="str">
            <v>Không</v>
          </cell>
          <cell r="L223" t="str">
            <v>17/6/2026</v>
          </cell>
          <cell r="M223" t="str">
            <v>SM0000055</v>
          </cell>
        </row>
        <row r="224">
          <cell r="C224" t="str">
            <v>Huỳnh Thanh Phong</v>
          </cell>
          <cell r="D224" t="str">
            <v>hthanhphong2011@gmail.com</v>
          </cell>
          <cell r="E224" t="str">
            <v>0947343151</v>
          </cell>
          <cell r="F224" t="str">
            <v>Nhân viên bán hàng</v>
          </cell>
          <cell r="G224" t="str">
            <v>Hoạt động</v>
          </cell>
          <cell r="H224" t="str">
            <v>17/6/2026</v>
          </cell>
          <cell r="I224" t="str">
            <v>Email</v>
          </cell>
          <cell r="J224" t="str">
            <v>Không</v>
          </cell>
          <cell r="K224" t="str">
            <v>Không</v>
          </cell>
          <cell r="L224" t="str">
            <v>17/6/2026</v>
          </cell>
          <cell r="M224" t="str">
            <v>SM0000056</v>
          </cell>
        </row>
        <row r="225">
          <cell r="C225" t="str">
            <v>Đỗ Thanh Nam</v>
          </cell>
          <cell r="D225" t="str">
            <v>dothanhnam03061983@gmail.com</v>
          </cell>
          <cell r="E225" t="str">
            <v>0934144387</v>
          </cell>
          <cell r="F225" t="str">
            <v>Nhân viên bán hàng</v>
          </cell>
          <cell r="G225" t="str">
            <v>Hoạt động</v>
          </cell>
          <cell r="H225" t="str">
            <v>17/6/2026</v>
          </cell>
          <cell r="I225" t="str">
            <v>Email</v>
          </cell>
          <cell r="J225" t="str">
            <v>Không</v>
          </cell>
          <cell r="K225" t="str">
            <v>Không</v>
          </cell>
          <cell r="L225" t="str">
            <v>17/6/2026</v>
          </cell>
          <cell r="M225" t="str">
            <v>SM0000054</v>
          </cell>
        </row>
        <row r="226">
          <cell r="C226" t="str">
            <v>Phạm Hoài Linh</v>
          </cell>
          <cell r="D226" t="str">
            <v>phamhoailinh.fpt159@gmail.com</v>
          </cell>
          <cell r="E226" t="str">
            <v>0775902404</v>
          </cell>
          <cell r="F226" t="str">
            <v>Nhân viên bán hàng</v>
          </cell>
          <cell r="G226" t="str">
            <v>Hoạt động</v>
          </cell>
          <cell r="H226" t="str">
            <v>17/6/2026</v>
          </cell>
          <cell r="I226" t="str">
            <v>Email</v>
          </cell>
          <cell r="J226" t="str">
            <v>Không</v>
          </cell>
          <cell r="K226" t="str">
            <v>Không</v>
          </cell>
          <cell r="L226" t="str">
            <v>17/6/2026</v>
          </cell>
          <cell r="M226" t="str">
            <v>SM0000064</v>
          </cell>
        </row>
        <row r="227">
          <cell r="C227" t="str">
            <v>Nguyễn Thị Kim Hạnh</v>
          </cell>
          <cell r="D227" t="str">
            <v>hanh06112018kg@gmail.com</v>
          </cell>
          <cell r="E227" t="str">
            <v>0918689030</v>
          </cell>
          <cell r="F227" t="str">
            <v>Nhân viên bán hàng</v>
          </cell>
          <cell r="G227" t="str">
            <v>Hoạt động</v>
          </cell>
          <cell r="H227" t="str">
            <v>17/6/2026</v>
          </cell>
          <cell r="I227" t="str">
            <v>Email</v>
          </cell>
          <cell r="J227" t="str">
            <v>Không</v>
          </cell>
          <cell r="K227" t="str">
            <v>Không</v>
          </cell>
          <cell r="L227" t="str">
            <v>17/6/2026</v>
          </cell>
          <cell r="M227" t="str">
            <v>SM0000062</v>
          </cell>
        </row>
        <row r="228">
          <cell r="C228" t="str">
            <v>Trần Thanh Phong</v>
          </cell>
          <cell r="D228" t="str">
            <v>tranthanhphong1972ttp@gmail.com</v>
          </cell>
          <cell r="E228" t="str">
            <v>0979846472</v>
          </cell>
          <cell r="F228" t="str">
            <v>Nhân viên bán hàng</v>
          </cell>
          <cell r="G228" t="str">
            <v>Hoạt động</v>
          </cell>
          <cell r="H228" t="str">
            <v>17/6/2026</v>
          </cell>
          <cell r="I228" t="str">
            <v>Email</v>
          </cell>
          <cell r="J228" t="str">
            <v>Không</v>
          </cell>
          <cell r="K228" t="str">
            <v>Không</v>
          </cell>
          <cell r="L228" t="str">
            <v>17/6/2026</v>
          </cell>
          <cell r="M228" t="str">
            <v>SM0000170</v>
          </cell>
        </row>
        <row r="229">
          <cell r="C229" t="str">
            <v>Nguyễn Hoàng Tuấn</v>
          </cell>
          <cell r="D229" t="str">
            <v>tuan.nguyen.160992@gmail.com</v>
          </cell>
          <cell r="E229" t="str">
            <v>0939020992</v>
          </cell>
          <cell r="F229" t="str">
            <v>Nhân viên bán hàng</v>
          </cell>
          <cell r="G229" t="str">
            <v>Hoạt động</v>
          </cell>
          <cell r="H229" t="str">
            <v>17/6/2026</v>
          </cell>
          <cell r="I229" t="str">
            <v>Email</v>
          </cell>
          <cell r="J229" t="str">
            <v>Không</v>
          </cell>
          <cell r="K229" t="str">
            <v>Không</v>
          </cell>
          <cell r="L229" t="str">
            <v>17/6/2026</v>
          </cell>
          <cell r="M229" t="str">
            <v>SM0000052</v>
          </cell>
        </row>
      </sheetData>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ữ_liệu_Bên_ngoài_1" connectionId="3" xr16:uid="{F9D8DF73-6B61-463E-8053-3C42ED52F852}" autoFormatId="16" applyNumberFormats="0" applyBorderFormats="0" applyFontFormats="0" applyPatternFormats="0" applyAlignmentFormats="0" applyWidthHeightFormats="0">
  <queryTableRefresh nextId="48" unboundColumnsRight="1">
    <queryTableFields count="29">
      <queryTableField id="1" name="Source.Name" tableColumnId="1"/>
      <queryTableField id="2" name="STT" tableColumnId="2"/>
      <queryTableField id="3" name="Mã điểm bán" tableColumnId="3"/>
      <queryTableField id="4" name="Tên điểm bán" tableColumnId="4"/>
      <queryTableField id="22" name="Anh/Chị vui lòng kiểm tra và cho biết giá trị tồn kho thực tế tại cửa hàng của các mã hàng Ắc quy (Xe máy/Ô tô, xe tải) sau: - Tổng cộng" tableColumnId="22"/>
      <queryTableField id="23" name="Tổng 10 bình bán ra thì có bao nhiêu bình Ắc quy thuộc các thương hiệu trên?" tableColumnId="23"/>
      <queryTableField id="24" name="Vui lòng chụp 2-3 bức ảnh cho khu vực trưng bày/tồn kho ắc quy chính thức tại cửa hàng, ảnh phải rõ nét." tableColumnId="24"/>
      <queryTableField id="25" name="Tỷ trọng doanh số của Bán lẻ / Bán sỉ là như thế nào?" tableColumnId="25"/>
      <queryTableField id="26" name="Anh/Chị vui lòng cho biết giá bán THỰC TẾ (giá cuối cùng bán cho khách hàng) của các mã hàng sau:" tableColumnId="26"/>
      <queryTableField id="27" name="Vấn đề xác định lỗi sản phẩm bảo hành của PINACO/ĐỒNG NAI có khó khăn không?" tableColumnId="27"/>
      <queryTableField id="28" name="Thời gian đổi trả sản phẩm bảo hành của PINACO/ĐỒNG NAI có nhanh hay không? (chất lượng dịch vụ của NPP liên quan đến bảo hành)" tableColumnId="28"/>
      <queryTableField id="29" name="Chính sách bảo hành của PINACO/ĐỒNG NAI so với công ty khác như thế nào?" tableColumnId="29"/>
      <queryTableField id="30" name="CHƯƠNG TRÌNH KHUYẾN MÃI của PINACO/ĐỒNG NAI có dễ hiểu, dễ tính toán hay không?" tableColumnId="30"/>
      <queryTableField id="31" name="Tần suất CTKM của PINACO/ĐỒNG NAI vậy có phù hợp hay không?" tableColumnId="31"/>
      <queryTableField id="32" name="Chương trình khuyến mãi của PINACO/ĐỒNG NAI so với công ty khác tốt hơn hay tệ hơn?" tableColumnId="32"/>
      <queryTableField id="33" name="Anh/Chị có tốn chi phí vận chuyển khi mua hàng từ Nhà phân phối của PINACO/ĐỒNG NAI không?" tableColumnId="33"/>
      <queryTableField id="34" name="Mức độ hài lòng của Anh/Chị về công tác vận chuyển của Nhà Phân Phối của PINACO/ĐỒNG NAI" tableColumnId="34"/>
      <queryTableField id="35" name="Anh/Chị thấy về dịch vụ vận chuyển của Pinaco so với các công ty khác như thế nào?" tableColumnId="35"/>
      <queryTableField id="36" name="Anh/Chị có đề xuất ý kiến góp ý hoặc kiến nghị cho Pinaco không?" tableColumnId="36"/>
      <queryTableField id="37" name="Họ tên (assignee)" tableColumnId="37"/>
      <queryTableField id="38" name="NPP" tableColumnId="38"/>
      <queryTableField id="39" name="Khu vực" tableColumnId="39"/>
      <queryTableField id="40" name="Tỉnh thành" tableColumnId="40"/>
      <queryTableField id="41" name="Xác định kết quả tốt (đánh dấu x)" tableColumnId="41"/>
      <queryTableField id="42" name="Bỏ khỏi khảo sát (đánh dấu x)" tableColumnId="42"/>
      <queryTableField id="43" name="Yêu cầu khảo sát lại ( đánh dấu x)" tableColumnId="43"/>
      <queryTableField id="44" name="Chỉ định người khảo sát lại (ghi tên người khảo sát)" tableColumnId="44"/>
      <queryTableField id="45" name="Gợi ý QC" tableColumnId="45"/>
      <queryTableField id="47" dataBound="0"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7285AC-5333-4556-9041-6320615113BE}" name="QLKV_gui_ket_qua_ra_soat" displayName="QLKV_gui_ket_qua_ra_soat" ref="A1:AC3033" tableType="queryTable" totalsRowShown="0">
  <autoFilter ref="A1:AC3033" xr:uid="{787285AC-5333-4556-9041-6320615113BE}"/>
  <tableColumns count="29">
    <tableColumn id="1" xr3:uid="{54873D3C-F0C8-49C2-BEA4-096A989F17C2}" uniqueName="1" name="Source.Name" queryTableFieldId="1" dataDxfId="4"/>
    <tableColumn id="2" xr3:uid="{93FE0BA8-7B02-4B2A-AF19-0C6984220F90}" uniqueName="2" name="STT" queryTableFieldId="2"/>
    <tableColumn id="3" xr3:uid="{A3F37FBE-6515-4BC9-B6CB-6E2B2DE4E12C}" uniqueName="3" name="Mã điểm bán" queryTableFieldId="3"/>
    <tableColumn id="4" xr3:uid="{9FA9FDAD-F8E5-4845-B6BA-25553D236FAE}" uniqueName="4" name="Tên điểm bán" queryTableFieldId="4"/>
    <tableColumn id="22" xr3:uid="{82DC045F-5F61-4534-AEE6-8F2FB50BFE62}" uniqueName="22" name="Anh/Chị vui lòng kiểm tra và cho biết giá trị tồn kho thực tế tại cửa hàng của các mã hàng Ắc quy (Xe máy/Ô tô, xe tải) sau: - Tổng cộng" queryTableFieldId="22"/>
    <tableColumn id="23" xr3:uid="{9D8EAFD3-99C4-4A1B-B0E9-DF5E05CBBB5F}" uniqueName="23" name="Tổng 10 bình bán ra thì có bao nhiêu bình Ắc quy thuộc các thương hiệu trên?" queryTableFieldId="23"/>
    <tableColumn id="24" xr3:uid="{D3DAC2C1-C345-4879-9F3F-28D91AC8A25D}" uniqueName="24" name="Vui lòng chụp 2-3 bức ảnh cho khu vực trưng bày/tồn kho ắc quy chính thức tại cửa hàng, ảnh phải rõ nét." queryTableFieldId="24"/>
    <tableColumn id="25" xr3:uid="{71947040-682E-4067-ABCF-70E573A9CD42}" uniqueName="25" name="Tỷ trọng doanh số của Bán lẻ / Bán sỉ là như thế nào?" queryTableFieldId="25"/>
    <tableColumn id="26" xr3:uid="{E70171FC-FBF2-4DFE-8624-C34E25ECD4AB}" uniqueName="26" name="Anh/Chị vui lòng cho biết giá bán THỰC TẾ (giá cuối cùng bán cho khách hàng) của các mã hàng sau:" queryTableFieldId="26"/>
    <tableColumn id="27" xr3:uid="{471F8BDB-B62C-40A0-9418-83ED0EAA7F29}" uniqueName="27" name="Vấn đề xác định lỗi sản phẩm bảo hành của PINACO/ĐỒNG NAI có khó khăn không?" queryTableFieldId="27"/>
    <tableColumn id="28" xr3:uid="{8C76749C-F567-45B7-9D7B-BCBCC464B423}" uniqueName="28" name="Thời gian đổi trả sản phẩm bảo hành của PINACO/ĐỒNG NAI có nhanh hay không? (chất lượng dịch vụ của NPP liên quan đến bảo hành)" queryTableFieldId="28"/>
    <tableColumn id="29" xr3:uid="{08920BD3-A278-4A0E-B75E-C82B4AE105F2}" uniqueName="29" name="Chính sách bảo hành của PINACO/ĐỒNG NAI so với công ty khác như thế nào?" queryTableFieldId="29"/>
    <tableColumn id="30" xr3:uid="{5B458BE4-0475-44A7-BD91-99E152FD54FF}" uniqueName="30" name="CHƯƠNG TRÌNH KHUYẾN MÃI của PINACO/ĐỒNG NAI có dễ hiểu, dễ tính toán hay không?" queryTableFieldId="30"/>
    <tableColumn id="31" xr3:uid="{49662DAE-E07B-4443-AF97-65FB4DDD76B9}" uniqueName="31" name="Tần suất CTKM của PINACO/ĐỒNG NAI vậy có phù hợp hay không?" queryTableFieldId="31"/>
    <tableColumn id="32" xr3:uid="{EC5C40CE-4839-45FE-B2FA-7E6190A1A9D7}" uniqueName="32" name="Chương trình khuyến mãi của PINACO/ĐỒNG NAI so với công ty khác tốt hơn hay tệ hơn?" queryTableFieldId="32"/>
    <tableColumn id="33" xr3:uid="{DFCF68D4-D0CE-4FF5-B771-B00127ED0A2F}" uniqueName="33" name="Anh/Chị có tốn chi phí vận chuyển khi mua hàng từ Nhà phân phối của PINACO/ĐỒNG NAI không?" queryTableFieldId="33"/>
    <tableColumn id="34" xr3:uid="{7FDD1680-B3B0-40FB-BB77-84B8CEC69745}" uniqueName="34" name="Mức độ hài lòng của Anh/Chị về công tác vận chuyển của Nhà Phân Phối của PINACO/ĐỒNG NAI" queryTableFieldId="34"/>
    <tableColumn id="35" xr3:uid="{5E107954-8060-420C-AA48-043C3B4BD25C}" uniqueName="35" name="Anh/Chị thấy về dịch vụ vận chuyển của Pinaco so với các công ty khác như thế nào?" queryTableFieldId="35"/>
    <tableColumn id="36" xr3:uid="{E5B760F9-1A44-4FDF-A158-81ABE98D7966}" uniqueName="36" name="Anh/Chị có đề xuất ý kiến góp ý hoặc kiến nghị cho Pinaco không?" queryTableFieldId="36"/>
    <tableColumn id="37" xr3:uid="{8170BB2B-6BDD-4660-8D45-C50769D9AF44}" uniqueName="37" name="Họ tên (assignee)" queryTableFieldId="37"/>
    <tableColumn id="38" xr3:uid="{771298F2-B11E-4B93-999A-2DE1214C7E79}" uniqueName="38" name="NPP" queryTableFieldId="38"/>
    <tableColumn id="39" xr3:uid="{C58FC713-FAD5-493F-B412-78C608853695}" uniqueName="39" name="Khu vực" queryTableFieldId="39"/>
    <tableColumn id="40" xr3:uid="{F228F176-DF80-4A04-86CE-2252FCB0B780}" uniqueName="40" name="Tỉnh thành" queryTableFieldId="40"/>
    <tableColumn id="41" xr3:uid="{37A7C80B-666F-4D5B-B639-27354359A6E2}" uniqueName="41" name="Xác định kết quả tốt (đánh dấu x)" queryTableFieldId="41" dataDxfId="3"/>
    <tableColumn id="42" xr3:uid="{7B93FCC8-DF60-41C2-9CC8-C4204C77B8DF}" uniqueName="42" name="Bỏ khỏi khảo sát (đánh dấu x)" queryTableFieldId="42" dataDxfId="2"/>
    <tableColumn id="43" xr3:uid="{A563AD20-A0D5-4520-B9A0-891F9847B4A2}" uniqueName="43" name="Yêu cầu khảo sát lại ( đánh dấu x)" queryTableFieldId="43" dataDxfId="1"/>
    <tableColumn id="44" xr3:uid="{ED01294D-AD20-4593-BB6E-4DF2C07B4A3F}" uniqueName="44" name="Chỉ định người khảo sát lại (ghi tên người khảo sát)" queryTableFieldId="44"/>
    <tableColumn id="45" xr3:uid="{0AB4E09B-7AB4-4DB4-8ED5-8BBA3F27DFD0}" uniqueName="45" name="Gợi ý QC" queryTableFieldId="45"/>
    <tableColumn id="5" xr3:uid="{8C4B0119-AF40-479B-99FB-2C72D2504CD0}" uniqueName="5" name="Cột1" queryTableFieldId="47" dataDxfId="0">
      <calculatedColumnFormula>COUNTIF(C:C,QLKV_gui_ket_qua_ra_soat[[#This Row],[Mã điểm bán]])</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1BE3E-A6C3-47A9-BE1B-06301EFB8FD1}">
  <dimension ref="A1:AC3033"/>
  <sheetViews>
    <sheetView topLeftCell="A1413" workbookViewId="0">
      <selection activeCell="C1427" sqref="C1:C1048576"/>
    </sheetView>
  </sheetViews>
  <sheetFormatPr defaultRowHeight="14.25" x14ac:dyDescent="0.45"/>
  <cols>
    <col min="1" max="1" width="43.53125" bestFit="1" customWidth="1"/>
    <col min="2" max="2" width="6.06640625" bestFit="1" customWidth="1"/>
    <col min="3" max="3" width="14.265625" bestFit="1" customWidth="1"/>
    <col min="4" max="4" width="29.9296875" bestFit="1" customWidth="1"/>
    <col min="5" max="7" width="80.73046875" bestFit="1" customWidth="1"/>
    <col min="8" max="8" width="48.265625" bestFit="1" customWidth="1"/>
    <col min="9" max="9" width="80.73046875" bestFit="1" customWidth="1"/>
    <col min="10" max="10" width="74.33203125" bestFit="1" customWidth="1"/>
    <col min="11" max="11" width="80.73046875" bestFit="1" customWidth="1"/>
    <col min="12" max="12" width="69.59765625" bestFit="1" customWidth="1"/>
    <col min="13" max="13" width="79.59765625" bestFit="1" customWidth="1"/>
    <col min="14" max="14" width="59.796875" bestFit="1" customWidth="1"/>
    <col min="15" max="15" width="79.53125" bestFit="1" customWidth="1"/>
    <col min="16" max="17" width="80.73046875" bestFit="1" customWidth="1"/>
    <col min="18" max="18" width="74.59765625" bestFit="1" customWidth="1"/>
    <col min="19" max="19" width="80.73046875" bestFit="1" customWidth="1"/>
    <col min="20" max="20" width="25.265625" bestFit="1" customWidth="1"/>
    <col min="21" max="21" width="61.46484375" bestFit="1" customWidth="1"/>
    <col min="22" max="22" width="20.19921875" bestFit="1" customWidth="1"/>
    <col min="23" max="23" width="16.9296875" bestFit="1" customWidth="1"/>
    <col min="24" max="24" width="31.73046875" bestFit="1" customWidth="1"/>
    <col min="25" max="25" width="28.53125" bestFit="1" customWidth="1"/>
    <col min="26" max="26" width="31.59765625" bestFit="1" customWidth="1"/>
    <col min="27" max="27" width="46.796875" bestFit="1" customWidth="1"/>
    <col min="28" max="28" width="15.53125" bestFit="1" customWidth="1"/>
    <col min="29" max="29" width="24" customWidth="1"/>
    <col min="30" max="30" width="79.53125" bestFit="1" customWidth="1"/>
    <col min="31" max="31" width="59.73046875" bestFit="1" customWidth="1"/>
    <col min="32" max="32" width="79.46484375" bestFit="1" customWidth="1"/>
    <col min="33" max="34" width="80.73046875" bestFit="1" customWidth="1"/>
    <col min="35" max="35" width="74.53125" bestFit="1" customWidth="1"/>
    <col min="36" max="36" width="80.73046875" bestFit="1" customWidth="1"/>
    <col min="37" max="37" width="25.19921875" bestFit="1" customWidth="1"/>
    <col min="38" max="38" width="61.33203125" bestFit="1" customWidth="1"/>
    <col min="39" max="39" width="20.06640625" bestFit="1" customWidth="1"/>
    <col min="40" max="40" width="16.796875" bestFit="1" customWidth="1"/>
    <col min="41" max="41" width="31.59765625" bestFit="1" customWidth="1"/>
    <col min="42" max="42" width="28.46484375" bestFit="1" customWidth="1"/>
    <col min="43" max="43" width="31.53125" bestFit="1" customWidth="1"/>
    <col min="44" max="44" width="46.73046875" bestFit="1" customWidth="1"/>
    <col min="45" max="45" width="15.46484375" bestFit="1" customWidth="1"/>
  </cols>
  <sheetData>
    <row r="1" spans="1:29"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10784</v>
      </c>
    </row>
    <row r="2" spans="1:29" x14ac:dyDescent="0.45">
      <c r="A2" t="s">
        <v>10783</v>
      </c>
      <c r="B2">
        <v>1</v>
      </c>
      <c r="C2" t="s">
        <v>2161</v>
      </c>
      <c r="D2" t="s">
        <v>2162</v>
      </c>
      <c r="E2" t="s">
        <v>113</v>
      </c>
      <c r="F2" t="s">
        <v>166</v>
      </c>
      <c r="G2" t="s">
        <v>34</v>
      </c>
      <c r="H2" t="s">
        <v>1188</v>
      </c>
      <c r="I2" t="s">
        <v>2163</v>
      </c>
      <c r="J2" t="s">
        <v>38</v>
      </c>
      <c r="K2" t="s">
        <v>38</v>
      </c>
      <c r="L2" t="s">
        <v>40</v>
      </c>
      <c r="M2" t="s">
        <v>38</v>
      </c>
      <c r="N2" t="s">
        <v>38</v>
      </c>
      <c r="O2" t="s">
        <v>40</v>
      </c>
      <c r="P2" t="s">
        <v>38</v>
      </c>
      <c r="Q2" t="s">
        <v>38</v>
      </c>
      <c r="R2" t="s">
        <v>40</v>
      </c>
      <c r="S2" t="s">
        <v>2164</v>
      </c>
      <c r="T2" t="s">
        <v>2165</v>
      </c>
      <c r="U2" t="s">
        <v>2166</v>
      </c>
      <c r="V2" t="s">
        <v>2052</v>
      </c>
      <c r="W2" t="s">
        <v>2167</v>
      </c>
      <c r="X2" t="s">
        <v>46</v>
      </c>
      <c r="AC2">
        <f>COUNTIF(C:C,QLKV_gui_ket_qua_ra_soat[[#This Row],[Mã điểm bán]])</f>
        <v>1</v>
      </c>
    </row>
    <row r="3" spans="1:29" x14ac:dyDescent="0.45">
      <c r="A3" t="s">
        <v>10783</v>
      </c>
      <c r="B3">
        <v>2</v>
      </c>
      <c r="C3" t="s">
        <v>2194</v>
      </c>
      <c r="D3" t="s">
        <v>2195</v>
      </c>
      <c r="E3" t="s">
        <v>128</v>
      </c>
      <c r="F3" t="s">
        <v>2196</v>
      </c>
      <c r="G3" t="s">
        <v>34</v>
      </c>
      <c r="H3" t="s">
        <v>2197</v>
      </c>
      <c r="I3" t="s">
        <v>2198</v>
      </c>
      <c r="J3" t="s">
        <v>38</v>
      </c>
      <c r="K3" t="s">
        <v>38</v>
      </c>
      <c r="L3" t="s">
        <v>40</v>
      </c>
      <c r="M3" t="s">
        <v>37</v>
      </c>
      <c r="N3" t="s">
        <v>37</v>
      </c>
      <c r="O3" t="s">
        <v>39</v>
      </c>
      <c r="P3" t="s">
        <v>38</v>
      </c>
      <c r="Q3" t="s">
        <v>38</v>
      </c>
      <c r="R3" t="s">
        <v>40</v>
      </c>
      <c r="S3" t="s">
        <v>2199</v>
      </c>
      <c r="T3" t="s">
        <v>2165</v>
      </c>
      <c r="U3" t="s">
        <v>2166</v>
      </c>
      <c r="V3" t="s">
        <v>2052</v>
      </c>
      <c r="W3" t="s">
        <v>2167</v>
      </c>
      <c r="X3" t="s">
        <v>46</v>
      </c>
      <c r="AC3">
        <f>COUNTIF(C:C,QLKV_gui_ket_qua_ra_soat[[#This Row],[Mã điểm bán]])</f>
        <v>1</v>
      </c>
    </row>
    <row r="4" spans="1:29" x14ac:dyDescent="0.45">
      <c r="A4" t="s">
        <v>10783</v>
      </c>
      <c r="B4">
        <v>3</v>
      </c>
      <c r="C4" t="s">
        <v>2358</v>
      </c>
      <c r="D4" t="s">
        <v>2359</v>
      </c>
      <c r="E4" t="s">
        <v>1695</v>
      </c>
      <c r="F4" t="s">
        <v>2360</v>
      </c>
      <c r="G4" t="s">
        <v>34</v>
      </c>
      <c r="H4" t="s">
        <v>1280</v>
      </c>
      <c r="I4" t="s">
        <v>2361</v>
      </c>
      <c r="J4" t="s">
        <v>38</v>
      </c>
      <c r="K4" t="s">
        <v>38</v>
      </c>
      <c r="L4" t="s">
        <v>40</v>
      </c>
      <c r="M4" t="s">
        <v>38</v>
      </c>
      <c r="N4" t="s">
        <v>38</v>
      </c>
      <c r="O4" t="s">
        <v>40</v>
      </c>
      <c r="P4" t="s">
        <v>38</v>
      </c>
      <c r="Q4" t="s">
        <v>38</v>
      </c>
      <c r="R4" t="s">
        <v>40</v>
      </c>
      <c r="S4" t="s">
        <v>2362</v>
      </c>
      <c r="T4" t="s">
        <v>2165</v>
      </c>
      <c r="U4" t="s">
        <v>2166</v>
      </c>
      <c r="V4" t="s">
        <v>2052</v>
      </c>
      <c r="W4" t="s">
        <v>2167</v>
      </c>
      <c r="X4" t="s">
        <v>46</v>
      </c>
      <c r="AC4">
        <f>COUNTIF(C:C,QLKV_gui_ket_qua_ra_soat[[#This Row],[Mã điểm bán]])</f>
        <v>1</v>
      </c>
    </row>
    <row r="5" spans="1:29" x14ac:dyDescent="0.45">
      <c r="A5" t="s">
        <v>10783</v>
      </c>
      <c r="B5">
        <v>4</v>
      </c>
      <c r="C5" t="s">
        <v>2410</v>
      </c>
      <c r="D5" t="s">
        <v>2411</v>
      </c>
      <c r="E5" t="s">
        <v>742</v>
      </c>
      <c r="F5" t="s">
        <v>53</v>
      </c>
      <c r="G5" t="s">
        <v>34</v>
      </c>
      <c r="H5" t="s">
        <v>54</v>
      </c>
      <c r="I5" t="s">
        <v>2412</v>
      </c>
      <c r="J5" t="s">
        <v>38</v>
      </c>
      <c r="K5" t="s">
        <v>38</v>
      </c>
      <c r="L5" t="s">
        <v>40</v>
      </c>
      <c r="M5" t="s">
        <v>38</v>
      </c>
      <c r="N5" t="s">
        <v>38</v>
      </c>
      <c r="O5" t="s">
        <v>40</v>
      </c>
      <c r="P5" t="s">
        <v>38</v>
      </c>
      <c r="Q5" t="s">
        <v>38</v>
      </c>
      <c r="R5" t="s">
        <v>40</v>
      </c>
      <c r="S5" t="s">
        <v>2413</v>
      </c>
      <c r="T5" t="s">
        <v>2165</v>
      </c>
      <c r="U5" t="s">
        <v>2166</v>
      </c>
      <c r="V5" t="s">
        <v>2052</v>
      </c>
      <c r="W5" t="s">
        <v>2167</v>
      </c>
      <c r="Y5" t="s">
        <v>46</v>
      </c>
      <c r="AC5">
        <f>COUNTIF(C:C,QLKV_gui_ket_qua_ra_soat[[#This Row],[Mã điểm bán]])</f>
        <v>1</v>
      </c>
    </row>
    <row r="6" spans="1:29" x14ac:dyDescent="0.45">
      <c r="A6" t="s">
        <v>10783</v>
      </c>
      <c r="B6">
        <v>5</v>
      </c>
      <c r="C6" t="s">
        <v>2418</v>
      </c>
      <c r="D6" t="s">
        <v>2419</v>
      </c>
      <c r="E6" t="s">
        <v>2420</v>
      </c>
      <c r="F6" t="s">
        <v>600</v>
      </c>
      <c r="G6" t="s">
        <v>34</v>
      </c>
      <c r="H6" t="s">
        <v>192</v>
      </c>
      <c r="I6" t="s">
        <v>2421</v>
      </c>
      <c r="J6" t="s">
        <v>38</v>
      </c>
      <c r="K6" t="s">
        <v>38</v>
      </c>
      <c r="L6" t="s">
        <v>40</v>
      </c>
      <c r="M6" t="s">
        <v>37</v>
      </c>
      <c r="N6" t="s">
        <v>37</v>
      </c>
      <c r="O6" t="s">
        <v>39</v>
      </c>
      <c r="P6" t="s">
        <v>38</v>
      </c>
      <c r="Q6" t="s">
        <v>38</v>
      </c>
      <c r="R6" t="s">
        <v>40</v>
      </c>
      <c r="S6" t="s">
        <v>2164</v>
      </c>
      <c r="T6" t="s">
        <v>2165</v>
      </c>
      <c r="U6" t="s">
        <v>2166</v>
      </c>
      <c r="V6" t="s">
        <v>2052</v>
      </c>
      <c r="W6" t="s">
        <v>2167</v>
      </c>
      <c r="X6" t="s">
        <v>46</v>
      </c>
      <c r="AC6">
        <f>COUNTIF(C:C,QLKV_gui_ket_qua_ra_soat[[#This Row],[Mã điểm bán]])</f>
        <v>1</v>
      </c>
    </row>
    <row r="7" spans="1:29" x14ac:dyDescent="0.45">
      <c r="A7" t="s">
        <v>10783</v>
      </c>
      <c r="B7">
        <v>6</v>
      </c>
      <c r="C7" t="s">
        <v>2488</v>
      </c>
      <c r="D7" t="s">
        <v>2489</v>
      </c>
      <c r="E7" t="s">
        <v>157</v>
      </c>
      <c r="F7" t="s">
        <v>99</v>
      </c>
      <c r="G7" t="s">
        <v>34</v>
      </c>
      <c r="H7" t="s">
        <v>2256</v>
      </c>
      <c r="I7" t="s">
        <v>2491</v>
      </c>
      <c r="J7" t="s">
        <v>38</v>
      </c>
      <c r="K7" t="s">
        <v>38</v>
      </c>
      <c r="L7" t="s">
        <v>40</v>
      </c>
      <c r="M7" t="s">
        <v>37</v>
      </c>
      <c r="N7" t="s">
        <v>37</v>
      </c>
      <c r="O7" t="s">
        <v>39</v>
      </c>
      <c r="P7" t="s">
        <v>38</v>
      </c>
      <c r="Q7" t="s">
        <v>38</v>
      </c>
      <c r="R7" t="s">
        <v>40</v>
      </c>
      <c r="S7" t="s">
        <v>2492</v>
      </c>
      <c r="T7" t="s">
        <v>2165</v>
      </c>
      <c r="U7" t="s">
        <v>2166</v>
      </c>
      <c r="V7" t="s">
        <v>2052</v>
      </c>
      <c r="W7" t="s">
        <v>2167</v>
      </c>
      <c r="X7" t="s">
        <v>46</v>
      </c>
      <c r="AC7">
        <f>COUNTIF(C:C,QLKV_gui_ket_qua_ra_soat[[#This Row],[Mã điểm bán]])</f>
        <v>1</v>
      </c>
    </row>
    <row r="8" spans="1:29" x14ac:dyDescent="0.45">
      <c r="A8" t="s">
        <v>10783</v>
      </c>
      <c r="B8">
        <v>7</v>
      </c>
      <c r="C8" t="s">
        <v>2534</v>
      </c>
      <c r="D8" t="s">
        <v>2535</v>
      </c>
      <c r="E8" t="s">
        <v>261</v>
      </c>
      <c r="F8" t="s">
        <v>1336</v>
      </c>
      <c r="G8" t="s">
        <v>34</v>
      </c>
      <c r="H8" t="s">
        <v>171</v>
      </c>
      <c r="I8" t="s">
        <v>2536</v>
      </c>
      <c r="J8" t="s">
        <v>38</v>
      </c>
      <c r="K8" t="s">
        <v>38</v>
      </c>
      <c r="L8" t="s">
        <v>40</v>
      </c>
      <c r="M8" t="s">
        <v>38</v>
      </c>
      <c r="N8" t="s">
        <v>38</v>
      </c>
      <c r="O8" t="s">
        <v>40</v>
      </c>
      <c r="P8" t="s">
        <v>38</v>
      </c>
      <c r="Q8" t="s">
        <v>38</v>
      </c>
      <c r="R8" t="s">
        <v>40</v>
      </c>
      <c r="S8" t="s">
        <v>2537</v>
      </c>
      <c r="T8" t="s">
        <v>2165</v>
      </c>
      <c r="U8" t="s">
        <v>2166</v>
      </c>
      <c r="V8" t="s">
        <v>2052</v>
      </c>
      <c r="W8" t="s">
        <v>2167</v>
      </c>
      <c r="X8" t="s">
        <v>46</v>
      </c>
      <c r="AC8">
        <f>COUNTIF(C:C,QLKV_gui_ket_qua_ra_soat[[#This Row],[Mã điểm bán]])</f>
        <v>1</v>
      </c>
    </row>
    <row r="9" spans="1:29" x14ac:dyDescent="0.45">
      <c r="A9" t="s">
        <v>10783</v>
      </c>
      <c r="B9">
        <v>8</v>
      </c>
      <c r="C9" t="s">
        <v>2538</v>
      </c>
      <c r="D9" t="s">
        <v>2539</v>
      </c>
      <c r="E9" t="s">
        <v>344</v>
      </c>
      <c r="F9" t="s">
        <v>115</v>
      </c>
      <c r="G9" t="s">
        <v>34</v>
      </c>
      <c r="H9" t="s">
        <v>402</v>
      </c>
      <c r="I9" t="s">
        <v>346</v>
      </c>
      <c r="J9" t="s">
        <v>38</v>
      </c>
      <c r="K9" t="s">
        <v>38</v>
      </c>
      <c r="L9" t="s">
        <v>40</v>
      </c>
      <c r="M9" t="s">
        <v>38</v>
      </c>
      <c r="N9" t="s">
        <v>38</v>
      </c>
      <c r="O9" t="s">
        <v>40</v>
      </c>
      <c r="P9" t="s">
        <v>38</v>
      </c>
      <c r="Q9" t="s">
        <v>38</v>
      </c>
      <c r="R9" t="s">
        <v>40</v>
      </c>
      <c r="S9" t="s">
        <v>2540</v>
      </c>
      <c r="T9" t="s">
        <v>2165</v>
      </c>
      <c r="U9" t="s">
        <v>2166</v>
      </c>
      <c r="V9" t="s">
        <v>2052</v>
      </c>
      <c r="W9" t="s">
        <v>2167</v>
      </c>
      <c r="X9" t="s">
        <v>46</v>
      </c>
      <c r="AC9">
        <f>COUNTIF(C:C,QLKV_gui_ket_qua_ra_soat[[#This Row],[Mã điểm bán]])</f>
        <v>1</v>
      </c>
    </row>
    <row r="10" spans="1:29" x14ac:dyDescent="0.45">
      <c r="A10" t="s">
        <v>10783</v>
      </c>
      <c r="B10">
        <v>9</v>
      </c>
      <c r="C10" t="s">
        <v>2541</v>
      </c>
      <c r="D10" t="s">
        <v>2542</v>
      </c>
      <c r="E10" t="s">
        <v>176</v>
      </c>
      <c r="F10" t="s">
        <v>53</v>
      </c>
      <c r="G10" t="s">
        <v>34</v>
      </c>
      <c r="H10" t="s">
        <v>54</v>
      </c>
      <c r="I10" t="s">
        <v>2543</v>
      </c>
      <c r="J10" t="s">
        <v>37</v>
      </c>
      <c r="K10" t="s">
        <v>38</v>
      </c>
      <c r="L10" t="s">
        <v>40</v>
      </c>
      <c r="M10" t="s">
        <v>37</v>
      </c>
      <c r="N10" t="s">
        <v>38</v>
      </c>
      <c r="O10" t="s">
        <v>40</v>
      </c>
      <c r="P10" t="s">
        <v>37</v>
      </c>
      <c r="Q10" t="s">
        <v>38</v>
      </c>
      <c r="R10" t="s">
        <v>40</v>
      </c>
      <c r="S10" t="s">
        <v>2164</v>
      </c>
      <c r="T10" t="s">
        <v>2165</v>
      </c>
      <c r="U10" t="s">
        <v>2166</v>
      </c>
      <c r="V10" t="s">
        <v>2052</v>
      </c>
      <c r="W10" t="s">
        <v>2167</v>
      </c>
      <c r="X10" t="s">
        <v>46</v>
      </c>
      <c r="AC10">
        <f>COUNTIF(C:C,QLKV_gui_ket_qua_ra_soat[[#This Row],[Mã điểm bán]])</f>
        <v>1</v>
      </c>
    </row>
    <row r="11" spans="1:29" x14ac:dyDescent="0.45">
      <c r="A11" t="s">
        <v>10783</v>
      </c>
      <c r="B11">
        <v>10</v>
      </c>
      <c r="C11" t="s">
        <v>2558</v>
      </c>
      <c r="D11" t="s">
        <v>2559</v>
      </c>
      <c r="E11" t="s">
        <v>189</v>
      </c>
      <c r="F11" t="s">
        <v>535</v>
      </c>
      <c r="G11" t="s">
        <v>34</v>
      </c>
      <c r="H11" t="s">
        <v>1280</v>
      </c>
      <c r="I11" t="s">
        <v>2560</v>
      </c>
      <c r="J11" t="s">
        <v>37</v>
      </c>
      <c r="K11" t="s">
        <v>37</v>
      </c>
      <c r="L11" t="s">
        <v>39</v>
      </c>
      <c r="M11" t="s">
        <v>37</v>
      </c>
      <c r="N11" t="s">
        <v>56</v>
      </c>
      <c r="O11" t="s">
        <v>39</v>
      </c>
      <c r="P11" t="s">
        <v>37</v>
      </c>
      <c r="Q11" t="s">
        <v>37</v>
      </c>
      <c r="R11" t="s">
        <v>40</v>
      </c>
      <c r="S11" t="s">
        <v>2164</v>
      </c>
      <c r="T11" t="s">
        <v>2165</v>
      </c>
      <c r="U11" t="s">
        <v>2166</v>
      </c>
      <c r="V11" t="s">
        <v>2052</v>
      </c>
      <c r="W11" t="s">
        <v>2167</v>
      </c>
      <c r="X11" t="s">
        <v>46</v>
      </c>
      <c r="AC11">
        <f>COUNTIF(C:C,QLKV_gui_ket_qua_ra_soat[[#This Row],[Mã điểm bán]])</f>
        <v>1</v>
      </c>
    </row>
    <row r="12" spans="1:29" x14ac:dyDescent="0.45">
      <c r="A12" t="s">
        <v>10783</v>
      </c>
      <c r="B12">
        <v>11</v>
      </c>
      <c r="C12" t="s">
        <v>2729</v>
      </c>
      <c r="D12" t="s">
        <v>2730</v>
      </c>
      <c r="E12" t="s">
        <v>2731</v>
      </c>
      <c r="F12" t="s">
        <v>70</v>
      </c>
      <c r="G12" t="s">
        <v>34</v>
      </c>
      <c r="H12" t="s">
        <v>1731</v>
      </c>
      <c r="I12" t="s">
        <v>2732</v>
      </c>
      <c r="J12" t="s">
        <v>38</v>
      </c>
      <c r="K12" t="s">
        <v>38</v>
      </c>
      <c r="L12" t="s">
        <v>40</v>
      </c>
      <c r="M12" t="s">
        <v>37</v>
      </c>
      <c r="N12" t="s">
        <v>37</v>
      </c>
      <c r="O12" t="s">
        <v>39</v>
      </c>
      <c r="P12" t="s">
        <v>38</v>
      </c>
      <c r="Q12" t="s">
        <v>37</v>
      </c>
      <c r="R12" t="s">
        <v>40</v>
      </c>
      <c r="S12" t="s">
        <v>2164</v>
      </c>
      <c r="T12" t="s">
        <v>2165</v>
      </c>
      <c r="U12" t="s">
        <v>2166</v>
      </c>
      <c r="V12" t="s">
        <v>2052</v>
      </c>
      <c r="W12" t="s">
        <v>2167</v>
      </c>
      <c r="X12" t="s">
        <v>46</v>
      </c>
      <c r="AC12">
        <f>COUNTIF(C:C,QLKV_gui_ket_qua_ra_soat[[#This Row],[Mã điểm bán]])</f>
        <v>1</v>
      </c>
    </row>
    <row r="13" spans="1:29" x14ac:dyDescent="0.45">
      <c r="A13" t="s">
        <v>10783</v>
      </c>
      <c r="B13">
        <v>12</v>
      </c>
      <c r="C13" t="s">
        <v>2733</v>
      </c>
      <c r="D13" t="s">
        <v>2734</v>
      </c>
      <c r="E13" t="s">
        <v>529</v>
      </c>
      <c r="F13" t="s">
        <v>2735</v>
      </c>
      <c r="G13" t="s">
        <v>34</v>
      </c>
      <c r="H13" t="s">
        <v>2736</v>
      </c>
      <c r="I13" t="s">
        <v>2737</v>
      </c>
      <c r="J13" t="s">
        <v>37</v>
      </c>
      <c r="K13" t="s">
        <v>37</v>
      </c>
      <c r="L13" t="s">
        <v>39</v>
      </c>
      <c r="M13" t="s">
        <v>56</v>
      </c>
      <c r="N13" t="s">
        <v>56</v>
      </c>
      <c r="O13" t="s">
        <v>39</v>
      </c>
      <c r="P13" t="s">
        <v>38</v>
      </c>
      <c r="Q13" t="s">
        <v>38</v>
      </c>
      <c r="R13" t="s">
        <v>40</v>
      </c>
      <c r="S13" t="s">
        <v>2738</v>
      </c>
      <c r="T13" t="s">
        <v>2165</v>
      </c>
      <c r="U13" t="s">
        <v>2166</v>
      </c>
      <c r="V13" t="s">
        <v>2052</v>
      </c>
      <c r="W13" t="s">
        <v>2167</v>
      </c>
      <c r="X13" t="s">
        <v>46</v>
      </c>
      <c r="AC13">
        <f>COUNTIF(C:C,QLKV_gui_ket_qua_ra_soat[[#This Row],[Mã điểm bán]])</f>
        <v>1</v>
      </c>
    </row>
    <row r="14" spans="1:29" x14ac:dyDescent="0.45">
      <c r="A14" t="s">
        <v>10783</v>
      </c>
      <c r="B14">
        <v>13</v>
      </c>
      <c r="C14" t="s">
        <v>2823</v>
      </c>
      <c r="D14" t="s">
        <v>2824</v>
      </c>
      <c r="E14" t="s">
        <v>69</v>
      </c>
      <c r="F14" t="s">
        <v>53</v>
      </c>
      <c r="G14" t="s">
        <v>34</v>
      </c>
      <c r="H14" t="s">
        <v>54</v>
      </c>
      <c r="I14" t="s">
        <v>2825</v>
      </c>
      <c r="J14" t="s">
        <v>38</v>
      </c>
      <c r="K14" t="s">
        <v>38</v>
      </c>
      <c r="L14" t="s">
        <v>40</v>
      </c>
      <c r="M14" t="s">
        <v>38</v>
      </c>
      <c r="N14" t="s">
        <v>38</v>
      </c>
      <c r="O14" t="s">
        <v>40</v>
      </c>
      <c r="P14" t="s">
        <v>38</v>
      </c>
      <c r="Q14" t="s">
        <v>38</v>
      </c>
      <c r="R14" t="s">
        <v>40</v>
      </c>
      <c r="S14" t="s">
        <v>2199</v>
      </c>
      <c r="T14" t="s">
        <v>2165</v>
      </c>
      <c r="U14" t="s">
        <v>2166</v>
      </c>
      <c r="V14" t="s">
        <v>2052</v>
      </c>
      <c r="W14" t="s">
        <v>2167</v>
      </c>
      <c r="X14" t="s">
        <v>46</v>
      </c>
      <c r="AC14">
        <f>COUNTIF(C:C,QLKV_gui_ket_qua_ra_soat[[#This Row],[Mã điểm bán]])</f>
        <v>1</v>
      </c>
    </row>
    <row r="15" spans="1:29" x14ac:dyDescent="0.45">
      <c r="A15" t="s">
        <v>10783</v>
      </c>
      <c r="B15">
        <v>14</v>
      </c>
      <c r="C15" t="s">
        <v>2857</v>
      </c>
      <c r="D15" t="s">
        <v>2858</v>
      </c>
      <c r="E15" t="s">
        <v>97</v>
      </c>
      <c r="F15" t="s">
        <v>1385</v>
      </c>
      <c r="G15" t="s">
        <v>34</v>
      </c>
      <c r="H15" t="s">
        <v>1188</v>
      </c>
      <c r="I15" t="s">
        <v>2859</v>
      </c>
      <c r="J15" t="s">
        <v>38</v>
      </c>
      <c r="K15" t="s">
        <v>38</v>
      </c>
      <c r="L15" t="s">
        <v>40</v>
      </c>
      <c r="M15" t="s">
        <v>56</v>
      </c>
      <c r="N15" t="s">
        <v>37</v>
      </c>
      <c r="O15" t="s">
        <v>39</v>
      </c>
      <c r="P15" t="s">
        <v>38</v>
      </c>
      <c r="Q15" t="s">
        <v>38</v>
      </c>
      <c r="R15" t="s">
        <v>40</v>
      </c>
      <c r="S15" t="s">
        <v>2860</v>
      </c>
      <c r="T15" t="s">
        <v>2165</v>
      </c>
      <c r="U15" t="s">
        <v>2166</v>
      </c>
      <c r="V15" t="s">
        <v>2052</v>
      </c>
      <c r="W15" t="s">
        <v>2167</v>
      </c>
      <c r="X15" t="s">
        <v>46</v>
      </c>
      <c r="AC15">
        <f>COUNTIF(C:C,QLKV_gui_ket_qua_ra_soat[[#This Row],[Mã điểm bán]])</f>
        <v>1</v>
      </c>
    </row>
    <row r="16" spans="1:29" x14ac:dyDescent="0.45">
      <c r="A16" t="s">
        <v>10783</v>
      </c>
      <c r="B16">
        <v>24</v>
      </c>
      <c r="C16" t="s">
        <v>2272</v>
      </c>
      <c r="D16" t="s">
        <v>2273</v>
      </c>
      <c r="E16" t="s">
        <v>657</v>
      </c>
      <c r="F16" t="s">
        <v>53</v>
      </c>
      <c r="G16" t="s">
        <v>34</v>
      </c>
      <c r="H16" t="s">
        <v>54</v>
      </c>
      <c r="I16" t="s">
        <v>2274</v>
      </c>
      <c r="J16" t="s">
        <v>38</v>
      </c>
      <c r="K16" t="s">
        <v>38</v>
      </c>
      <c r="L16" t="s">
        <v>40</v>
      </c>
      <c r="M16" t="s">
        <v>38</v>
      </c>
      <c r="N16" t="s">
        <v>38</v>
      </c>
      <c r="O16" t="s">
        <v>39</v>
      </c>
      <c r="P16" t="s">
        <v>38</v>
      </c>
      <c r="Q16" t="s">
        <v>38</v>
      </c>
      <c r="R16" t="s">
        <v>40</v>
      </c>
      <c r="S16" t="s">
        <v>41</v>
      </c>
      <c r="T16" t="s">
        <v>2275</v>
      </c>
      <c r="U16" t="s">
        <v>2276</v>
      </c>
      <c r="V16" t="s">
        <v>2052</v>
      </c>
      <c r="W16" t="s">
        <v>452</v>
      </c>
      <c r="X16" t="s">
        <v>46</v>
      </c>
      <c r="AC16">
        <f>COUNTIF(C:C,QLKV_gui_ket_qua_ra_soat[[#This Row],[Mã điểm bán]])</f>
        <v>1</v>
      </c>
    </row>
    <row r="17" spans="1:29" x14ac:dyDescent="0.45">
      <c r="A17" t="s">
        <v>10783</v>
      </c>
      <c r="B17">
        <v>25</v>
      </c>
      <c r="C17" t="s">
        <v>2285</v>
      </c>
      <c r="D17" t="s">
        <v>2286</v>
      </c>
      <c r="E17" t="s">
        <v>2287</v>
      </c>
      <c r="F17" t="s">
        <v>2288</v>
      </c>
      <c r="G17" t="s">
        <v>34</v>
      </c>
      <c r="H17" t="s">
        <v>54</v>
      </c>
      <c r="I17" t="s">
        <v>2289</v>
      </c>
      <c r="J17" t="s">
        <v>38</v>
      </c>
      <c r="K17" t="s">
        <v>38</v>
      </c>
      <c r="L17" t="s">
        <v>40</v>
      </c>
      <c r="M17" t="s">
        <v>56</v>
      </c>
      <c r="N17" t="s">
        <v>56</v>
      </c>
      <c r="O17" t="s">
        <v>39</v>
      </c>
      <c r="P17" t="s">
        <v>38</v>
      </c>
      <c r="Q17" t="s">
        <v>38</v>
      </c>
      <c r="R17" t="s">
        <v>40</v>
      </c>
      <c r="S17" t="s">
        <v>2290</v>
      </c>
      <c r="T17" t="s">
        <v>2275</v>
      </c>
      <c r="U17" t="s">
        <v>2276</v>
      </c>
      <c r="V17" t="s">
        <v>2052</v>
      </c>
      <c r="W17" t="s">
        <v>452</v>
      </c>
      <c r="X17" t="s">
        <v>46</v>
      </c>
      <c r="AC17">
        <f>COUNTIF(C:C,QLKV_gui_ket_qua_ra_soat[[#This Row],[Mã điểm bán]])</f>
        <v>1</v>
      </c>
    </row>
    <row r="18" spans="1:29" x14ac:dyDescent="0.45">
      <c r="A18" t="s">
        <v>10783</v>
      </c>
      <c r="B18">
        <v>26</v>
      </c>
      <c r="C18" t="s">
        <v>2291</v>
      </c>
      <c r="D18" t="s">
        <v>2292</v>
      </c>
      <c r="E18" t="s">
        <v>1684</v>
      </c>
      <c r="F18" t="s">
        <v>2293</v>
      </c>
      <c r="G18" t="s">
        <v>34</v>
      </c>
      <c r="H18" t="s">
        <v>2294</v>
      </c>
      <c r="I18" t="s">
        <v>2295</v>
      </c>
      <c r="J18" t="s">
        <v>38</v>
      </c>
      <c r="K18" t="s">
        <v>38</v>
      </c>
      <c r="L18" t="s">
        <v>40</v>
      </c>
      <c r="M18" t="s">
        <v>775</v>
      </c>
      <c r="N18" t="s">
        <v>56</v>
      </c>
      <c r="O18" t="s">
        <v>39</v>
      </c>
      <c r="P18" t="s">
        <v>38</v>
      </c>
      <c r="Q18" t="s">
        <v>38</v>
      </c>
      <c r="R18" t="s">
        <v>40</v>
      </c>
      <c r="S18" t="s">
        <v>2296</v>
      </c>
      <c r="T18" t="s">
        <v>2275</v>
      </c>
      <c r="U18" t="s">
        <v>2276</v>
      </c>
      <c r="V18" t="s">
        <v>2052</v>
      </c>
      <c r="W18" t="s">
        <v>452</v>
      </c>
      <c r="Z18" t="s">
        <v>46</v>
      </c>
      <c r="AA18" t="s">
        <v>570</v>
      </c>
      <c r="AB18" t="s">
        <v>238</v>
      </c>
      <c r="AC18">
        <f>COUNTIF(C:C,QLKV_gui_ket_qua_ra_soat[[#This Row],[Mã điểm bán]])</f>
        <v>1</v>
      </c>
    </row>
    <row r="19" spans="1:29" x14ac:dyDescent="0.45">
      <c r="A19" t="s">
        <v>10783</v>
      </c>
      <c r="B19">
        <v>27</v>
      </c>
      <c r="C19" t="s">
        <v>2297</v>
      </c>
      <c r="D19" t="s">
        <v>2298</v>
      </c>
      <c r="E19" t="s">
        <v>2300</v>
      </c>
      <c r="F19" t="s">
        <v>2301</v>
      </c>
      <c r="G19" t="s">
        <v>34</v>
      </c>
      <c r="H19" t="s">
        <v>54</v>
      </c>
      <c r="I19" t="s">
        <v>2302</v>
      </c>
      <c r="J19" t="s">
        <v>38</v>
      </c>
      <c r="K19" t="s">
        <v>38</v>
      </c>
      <c r="L19" t="s">
        <v>40</v>
      </c>
      <c r="M19" t="s">
        <v>38</v>
      </c>
      <c r="N19" t="s">
        <v>38</v>
      </c>
      <c r="O19" t="s">
        <v>39</v>
      </c>
      <c r="P19" t="s">
        <v>38</v>
      </c>
      <c r="Q19" t="s">
        <v>38</v>
      </c>
      <c r="R19" t="s">
        <v>40</v>
      </c>
      <c r="S19" t="s">
        <v>2303</v>
      </c>
      <c r="T19" t="s">
        <v>2275</v>
      </c>
      <c r="U19" t="s">
        <v>2276</v>
      </c>
      <c r="V19" t="s">
        <v>2052</v>
      </c>
      <c r="W19" t="s">
        <v>452</v>
      </c>
      <c r="Z19" t="s">
        <v>46</v>
      </c>
      <c r="AA19" t="s">
        <v>570</v>
      </c>
      <c r="AB19" t="s">
        <v>238</v>
      </c>
      <c r="AC19">
        <f>COUNTIF(C:C,QLKV_gui_ket_qua_ra_soat[[#This Row],[Mã điểm bán]])</f>
        <v>1</v>
      </c>
    </row>
    <row r="20" spans="1:29" x14ac:dyDescent="0.45">
      <c r="A20" t="s">
        <v>10783</v>
      </c>
      <c r="B20">
        <v>28</v>
      </c>
      <c r="C20" t="s">
        <v>2324</v>
      </c>
      <c r="D20" t="s">
        <v>2325</v>
      </c>
      <c r="E20" t="s">
        <v>2326</v>
      </c>
      <c r="F20" t="s">
        <v>1914</v>
      </c>
      <c r="G20" t="s">
        <v>34</v>
      </c>
      <c r="H20" t="s">
        <v>54</v>
      </c>
      <c r="I20" t="s">
        <v>1692</v>
      </c>
      <c r="J20" t="s">
        <v>38</v>
      </c>
      <c r="K20" t="s">
        <v>38</v>
      </c>
      <c r="L20" t="s">
        <v>40</v>
      </c>
      <c r="M20" t="s">
        <v>1034</v>
      </c>
      <c r="N20" t="s">
        <v>1034</v>
      </c>
      <c r="O20" t="s">
        <v>39</v>
      </c>
      <c r="P20" t="s">
        <v>38</v>
      </c>
      <c r="Q20" t="s">
        <v>38</v>
      </c>
      <c r="R20" t="s">
        <v>40</v>
      </c>
      <c r="S20" t="s">
        <v>2327</v>
      </c>
      <c r="T20" t="s">
        <v>2275</v>
      </c>
      <c r="U20" t="s">
        <v>2276</v>
      </c>
      <c r="V20" t="s">
        <v>2052</v>
      </c>
      <c r="W20" t="s">
        <v>452</v>
      </c>
      <c r="X20" t="s">
        <v>46</v>
      </c>
      <c r="AC20">
        <f>COUNTIF(C:C,QLKV_gui_ket_qua_ra_soat[[#This Row],[Mã điểm bán]])</f>
        <v>1</v>
      </c>
    </row>
    <row r="21" spans="1:29" x14ac:dyDescent="0.45">
      <c r="A21" t="s">
        <v>10783</v>
      </c>
      <c r="B21">
        <v>29</v>
      </c>
      <c r="C21" t="s">
        <v>2341</v>
      </c>
      <c r="D21" t="s">
        <v>2342</v>
      </c>
      <c r="E21" t="s">
        <v>1933</v>
      </c>
      <c r="F21" t="s">
        <v>2343</v>
      </c>
      <c r="G21" t="s">
        <v>34</v>
      </c>
      <c r="H21" t="s">
        <v>54</v>
      </c>
      <c r="I21" t="s">
        <v>2344</v>
      </c>
      <c r="J21" t="s">
        <v>38</v>
      </c>
      <c r="K21" t="s">
        <v>38</v>
      </c>
      <c r="L21" t="s">
        <v>40</v>
      </c>
      <c r="M21" t="s">
        <v>56</v>
      </c>
      <c r="N21" t="s">
        <v>56</v>
      </c>
      <c r="O21" t="s">
        <v>39</v>
      </c>
      <c r="P21" t="s">
        <v>38</v>
      </c>
      <c r="Q21" t="s">
        <v>38</v>
      </c>
      <c r="R21" t="s">
        <v>40</v>
      </c>
      <c r="S21" t="s">
        <v>2345</v>
      </c>
      <c r="T21" t="s">
        <v>2275</v>
      </c>
      <c r="U21" t="s">
        <v>2276</v>
      </c>
      <c r="V21" t="s">
        <v>2052</v>
      </c>
      <c r="W21" t="s">
        <v>452</v>
      </c>
      <c r="Z21" t="s">
        <v>46</v>
      </c>
      <c r="AA21" t="s">
        <v>570</v>
      </c>
      <c r="AB21" t="s">
        <v>238</v>
      </c>
      <c r="AC21">
        <f>COUNTIF(C:C,QLKV_gui_ket_qua_ra_soat[[#This Row],[Mã điểm bán]])</f>
        <v>1</v>
      </c>
    </row>
    <row r="22" spans="1:29" x14ac:dyDescent="0.45">
      <c r="A22" t="s">
        <v>10783</v>
      </c>
      <c r="B22">
        <v>30</v>
      </c>
      <c r="C22" t="s">
        <v>2346</v>
      </c>
      <c r="D22" t="s">
        <v>2347</v>
      </c>
      <c r="E22" t="s">
        <v>2348</v>
      </c>
      <c r="F22" t="s">
        <v>2349</v>
      </c>
      <c r="G22" t="s">
        <v>34</v>
      </c>
      <c r="H22" t="s">
        <v>685</v>
      </c>
      <c r="I22" t="s">
        <v>2350</v>
      </c>
      <c r="J22" t="s">
        <v>38</v>
      </c>
      <c r="K22" t="s">
        <v>38</v>
      </c>
      <c r="L22" t="s">
        <v>39</v>
      </c>
      <c r="M22" t="s">
        <v>1034</v>
      </c>
      <c r="N22" t="s">
        <v>1034</v>
      </c>
      <c r="O22" t="s">
        <v>121</v>
      </c>
      <c r="P22" t="s">
        <v>38</v>
      </c>
      <c r="Q22" t="s">
        <v>38</v>
      </c>
      <c r="R22" t="s">
        <v>39</v>
      </c>
      <c r="S22" t="s">
        <v>2351</v>
      </c>
      <c r="T22" t="s">
        <v>2275</v>
      </c>
      <c r="U22" t="s">
        <v>2276</v>
      </c>
      <c r="V22" t="s">
        <v>2052</v>
      </c>
      <c r="W22" t="s">
        <v>452</v>
      </c>
      <c r="Z22" t="s">
        <v>46</v>
      </c>
      <c r="AA22" t="s">
        <v>570</v>
      </c>
      <c r="AB22" t="s">
        <v>238</v>
      </c>
      <c r="AC22">
        <f>COUNTIF(C:C,QLKV_gui_ket_qua_ra_soat[[#This Row],[Mã điểm bán]])</f>
        <v>1</v>
      </c>
    </row>
    <row r="23" spans="1:29" x14ac:dyDescent="0.45">
      <c r="A23" t="s">
        <v>10783</v>
      </c>
      <c r="B23">
        <v>31</v>
      </c>
      <c r="C23" t="s">
        <v>2363</v>
      </c>
      <c r="D23" t="s">
        <v>2364</v>
      </c>
      <c r="E23" t="s">
        <v>162</v>
      </c>
      <c r="F23" t="s">
        <v>2365</v>
      </c>
      <c r="G23" t="s">
        <v>34</v>
      </c>
      <c r="H23" t="s">
        <v>54</v>
      </c>
      <c r="I23" t="s">
        <v>2274</v>
      </c>
      <c r="J23" t="s">
        <v>38</v>
      </c>
      <c r="K23" t="s">
        <v>38</v>
      </c>
      <c r="L23" t="s">
        <v>40</v>
      </c>
      <c r="M23" t="s">
        <v>38</v>
      </c>
      <c r="N23" t="s">
        <v>38</v>
      </c>
      <c r="O23" t="s">
        <v>39</v>
      </c>
      <c r="P23" t="s">
        <v>38</v>
      </c>
      <c r="Q23" t="s">
        <v>38</v>
      </c>
      <c r="R23" t="s">
        <v>40</v>
      </c>
      <c r="S23" t="s">
        <v>41</v>
      </c>
      <c r="T23" t="s">
        <v>2275</v>
      </c>
      <c r="U23" t="s">
        <v>2276</v>
      </c>
      <c r="V23" t="s">
        <v>2052</v>
      </c>
      <c r="W23" t="s">
        <v>452</v>
      </c>
      <c r="X23" t="s">
        <v>46</v>
      </c>
      <c r="AC23">
        <f>COUNTIF(C:C,QLKV_gui_ket_qua_ra_soat[[#This Row],[Mã điểm bán]])</f>
        <v>1</v>
      </c>
    </row>
    <row r="24" spans="1:29" x14ac:dyDescent="0.45">
      <c r="A24" t="s">
        <v>10783</v>
      </c>
      <c r="B24">
        <v>32</v>
      </c>
      <c r="C24" t="s">
        <v>2366</v>
      </c>
      <c r="D24" t="s">
        <v>2367</v>
      </c>
      <c r="E24" t="s">
        <v>431</v>
      </c>
      <c r="F24" t="s">
        <v>2368</v>
      </c>
      <c r="G24" t="s">
        <v>34</v>
      </c>
      <c r="H24" t="s">
        <v>54</v>
      </c>
      <c r="I24" t="s">
        <v>2369</v>
      </c>
      <c r="J24" t="s">
        <v>38</v>
      </c>
      <c r="K24" t="s">
        <v>38</v>
      </c>
      <c r="L24" t="s">
        <v>40</v>
      </c>
      <c r="M24" t="s">
        <v>56</v>
      </c>
      <c r="N24" t="s">
        <v>37</v>
      </c>
      <c r="O24" t="s">
        <v>39</v>
      </c>
      <c r="P24" t="s">
        <v>38</v>
      </c>
      <c r="Q24" t="s">
        <v>38</v>
      </c>
      <c r="R24" t="s">
        <v>40</v>
      </c>
      <c r="S24" t="s">
        <v>41</v>
      </c>
      <c r="T24" t="s">
        <v>2275</v>
      </c>
      <c r="U24" t="s">
        <v>2276</v>
      </c>
      <c r="V24" t="s">
        <v>2052</v>
      </c>
      <c r="W24" t="s">
        <v>452</v>
      </c>
      <c r="X24" t="s">
        <v>46</v>
      </c>
      <c r="AC24">
        <f>COUNTIF(C:C,QLKV_gui_ket_qua_ra_soat[[#This Row],[Mã điểm bán]])</f>
        <v>1</v>
      </c>
    </row>
    <row r="25" spans="1:29" x14ac:dyDescent="0.45">
      <c r="A25" t="s">
        <v>10783</v>
      </c>
      <c r="B25">
        <v>33</v>
      </c>
      <c r="C25" t="s">
        <v>2393</v>
      </c>
      <c r="D25" t="s">
        <v>2394</v>
      </c>
      <c r="E25" t="s">
        <v>2395</v>
      </c>
      <c r="F25" t="s">
        <v>2396</v>
      </c>
      <c r="G25" t="s">
        <v>34</v>
      </c>
      <c r="H25" t="s">
        <v>54</v>
      </c>
      <c r="I25" t="s">
        <v>2397</v>
      </c>
      <c r="J25" t="s">
        <v>38</v>
      </c>
      <c r="K25" t="s">
        <v>38</v>
      </c>
      <c r="L25" t="s">
        <v>40</v>
      </c>
      <c r="M25" t="s">
        <v>1034</v>
      </c>
      <c r="N25" t="s">
        <v>1034</v>
      </c>
      <c r="O25" t="s">
        <v>121</v>
      </c>
      <c r="P25" t="s">
        <v>38</v>
      </c>
      <c r="Q25" t="s">
        <v>38</v>
      </c>
      <c r="R25" t="s">
        <v>40</v>
      </c>
      <c r="S25" t="s">
        <v>2398</v>
      </c>
      <c r="T25" t="s">
        <v>2275</v>
      </c>
      <c r="U25" t="s">
        <v>2276</v>
      </c>
      <c r="V25" t="s">
        <v>2052</v>
      </c>
      <c r="W25" t="s">
        <v>452</v>
      </c>
      <c r="Z25" t="s">
        <v>46</v>
      </c>
      <c r="AA25" t="s">
        <v>570</v>
      </c>
      <c r="AB25" t="s">
        <v>238</v>
      </c>
      <c r="AC25">
        <f>COUNTIF(C:C,QLKV_gui_ket_qua_ra_soat[[#This Row],[Mã điểm bán]])</f>
        <v>1</v>
      </c>
    </row>
    <row r="26" spans="1:29" x14ac:dyDescent="0.45">
      <c r="A26" t="s">
        <v>10783</v>
      </c>
      <c r="B26">
        <v>34</v>
      </c>
      <c r="C26" t="s">
        <v>2414</v>
      </c>
      <c r="D26" t="s">
        <v>2415</v>
      </c>
      <c r="E26" t="s">
        <v>97</v>
      </c>
      <c r="F26" t="s">
        <v>53</v>
      </c>
      <c r="G26" t="s">
        <v>34</v>
      </c>
      <c r="H26" t="s">
        <v>54</v>
      </c>
      <c r="I26" t="s">
        <v>2416</v>
      </c>
      <c r="J26" t="s">
        <v>37</v>
      </c>
      <c r="K26" t="s">
        <v>37</v>
      </c>
      <c r="L26" t="s">
        <v>39</v>
      </c>
      <c r="M26" t="s">
        <v>56</v>
      </c>
      <c r="N26" t="s">
        <v>56</v>
      </c>
      <c r="O26" t="s">
        <v>39</v>
      </c>
      <c r="P26" t="s">
        <v>38</v>
      </c>
      <c r="Q26" t="s">
        <v>38</v>
      </c>
      <c r="R26" t="s">
        <v>40</v>
      </c>
      <c r="S26" t="s">
        <v>2417</v>
      </c>
      <c r="T26" t="s">
        <v>2275</v>
      </c>
      <c r="U26" t="s">
        <v>2276</v>
      </c>
      <c r="V26" t="s">
        <v>2052</v>
      </c>
      <c r="W26" t="s">
        <v>452</v>
      </c>
      <c r="X26" t="s">
        <v>46</v>
      </c>
      <c r="AC26">
        <f>COUNTIF(C:C,QLKV_gui_ket_qua_ra_soat[[#This Row],[Mã điểm bán]])</f>
        <v>1</v>
      </c>
    </row>
    <row r="27" spans="1:29" x14ac:dyDescent="0.45">
      <c r="A27" t="s">
        <v>10783</v>
      </c>
      <c r="B27">
        <v>35</v>
      </c>
      <c r="C27" t="s">
        <v>2429</v>
      </c>
      <c r="D27" t="s">
        <v>2430</v>
      </c>
      <c r="E27" t="s">
        <v>2431</v>
      </c>
      <c r="F27" t="s">
        <v>2432</v>
      </c>
      <c r="G27" t="s">
        <v>34</v>
      </c>
      <c r="H27" t="s">
        <v>54</v>
      </c>
      <c r="I27" t="s">
        <v>2433</v>
      </c>
      <c r="J27" t="s">
        <v>38</v>
      </c>
      <c r="K27" t="s">
        <v>38</v>
      </c>
      <c r="L27" t="s">
        <v>40</v>
      </c>
      <c r="M27" t="s">
        <v>38</v>
      </c>
      <c r="N27" t="s">
        <v>38</v>
      </c>
      <c r="O27" t="s">
        <v>40</v>
      </c>
      <c r="P27" t="s">
        <v>38</v>
      </c>
      <c r="Q27" t="s">
        <v>38</v>
      </c>
      <c r="R27" t="s">
        <v>40</v>
      </c>
      <c r="S27" t="s">
        <v>41</v>
      </c>
      <c r="T27" t="s">
        <v>2275</v>
      </c>
      <c r="U27" t="s">
        <v>2276</v>
      </c>
      <c r="V27" t="s">
        <v>2052</v>
      </c>
      <c r="W27" t="s">
        <v>452</v>
      </c>
      <c r="X27" t="s">
        <v>46</v>
      </c>
      <c r="AC27">
        <f>COUNTIF(C:C,QLKV_gui_ket_qua_ra_soat[[#This Row],[Mã điểm bán]])</f>
        <v>1</v>
      </c>
    </row>
    <row r="28" spans="1:29" x14ac:dyDescent="0.45">
      <c r="A28" t="s">
        <v>10783</v>
      </c>
      <c r="B28">
        <v>36</v>
      </c>
      <c r="C28" t="s">
        <v>2509</v>
      </c>
      <c r="D28" t="s">
        <v>2510</v>
      </c>
      <c r="E28" t="s">
        <v>2511</v>
      </c>
      <c r="F28" t="s">
        <v>1647</v>
      </c>
      <c r="G28" t="s">
        <v>34</v>
      </c>
      <c r="H28" t="s">
        <v>54</v>
      </c>
      <c r="I28" t="s">
        <v>2512</v>
      </c>
      <c r="J28" t="s">
        <v>38</v>
      </c>
      <c r="K28" t="s">
        <v>38</v>
      </c>
      <c r="L28" t="s">
        <v>40</v>
      </c>
      <c r="M28" t="s">
        <v>38</v>
      </c>
      <c r="N28" t="s">
        <v>38</v>
      </c>
      <c r="O28" t="s">
        <v>39</v>
      </c>
      <c r="P28" t="s">
        <v>38</v>
      </c>
      <c r="Q28" t="s">
        <v>38</v>
      </c>
      <c r="R28" t="s">
        <v>40</v>
      </c>
      <c r="S28" t="s">
        <v>2513</v>
      </c>
      <c r="T28" t="s">
        <v>2275</v>
      </c>
      <c r="U28" t="s">
        <v>2276</v>
      </c>
      <c r="V28" t="s">
        <v>2052</v>
      </c>
      <c r="W28" t="s">
        <v>452</v>
      </c>
      <c r="X28" t="s">
        <v>46</v>
      </c>
      <c r="AC28">
        <f>COUNTIF(C:C,QLKV_gui_ket_qua_ra_soat[[#This Row],[Mã điểm bán]])</f>
        <v>1</v>
      </c>
    </row>
    <row r="29" spans="1:29" x14ac:dyDescent="0.45">
      <c r="A29" t="s">
        <v>10783</v>
      </c>
      <c r="B29">
        <v>37</v>
      </c>
      <c r="C29" t="s">
        <v>2514</v>
      </c>
      <c r="D29" t="s">
        <v>2515</v>
      </c>
      <c r="E29" t="s">
        <v>1622</v>
      </c>
      <c r="F29" t="s">
        <v>166</v>
      </c>
      <c r="G29" t="s">
        <v>34</v>
      </c>
      <c r="H29" t="s">
        <v>54</v>
      </c>
      <c r="I29" t="s">
        <v>2516</v>
      </c>
      <c r="J29" t="s">
        <v>38</v>
      </c>
      <c r="K29" t="s">
        <v>38</v>
      </c>
      <c r="L29" t="s">
        <v>40</v>
      </c>
      <c r="M29" t="s">
        <v>38</v>
      </c>
      <c r="N29" t="s">
        <v>38</v>
      </c>
      <c r="O29" t="s">
        <v>39</v>
      </c>
      <c r="P29" t="s">
        <v>38</v>
      </c>
      <c r="Q29" t="s">
        <v>38</v>
      </c>
      <c r="R29" t="s">
        <v>40</v>
      </c>
      <c r="S29" t="s">
        <v>2517</v>
      </c>
      <c r="T29" t="s">
        <v>2275</v>
      </c>
      <c r="U29" t="s">
        <v>2276</v>
      </c>
      <c r="V29" t="s">
        <v>2052</v>
      </c>
      <c r="W29" t="s">
        <v>452</v>
      </c>
      <c r="X29" t="s">
        <v>46</v>
      </c>
      <c r="AC29">
        <f>COUNTIF(C:C,QLKV_gui_ket_qua_ra_soat[[#This Row],[Mã điểm bán]])</f>
        <v>1</v>
      </c>
    </row>
    <row r="30" spans="1:29" x14ac:dyDescent="0.45">
      <c r="A30" t="s">
        <v>10783</v>
      </c>
      <c r="B30">
        <v>38</v>
      </c>
      <c r="C30" t="s">
        <v>2544</v>
      </c>
      <c r="D30" t="s">
        <v>2545</v>
      </c>
      <c r="E30" t="s">
        <v>2546</v>
      </c>
      <c r="F30" t="s">
        <v>53</v>
      </c>
      <c r="G30" t="s">
        <v>34</v>
      </c>
      <c r="H30" t="s">
        <v>54</v>
      </c>
      <c r="I30" t="s">
        <v>2547</v>
      </c>
      <c r="J30" t="s">
        <v>38</v>
      </c>
      <c r="K30" t="s">
        <v>38</v>
      </c>
      <c r="L30" t="s">
        <v>40</v>
      </c>
      <c r="M30" t="s">
        <v>775</v>
      </c>
      <c r="N30" t="s">
        <v>1034</v>
      </c>
      <c r="O30" t="s">
        <v>121</v>
      </c>
      <c r="P30" t="s">
        <v>38</v>
      </c>
      <c r="Q30" t="s">
        <v>38</v>
      </c>
      <c r="R30" t="s">
        <v>40</v>
      </c>
      <c r="S30" t="s">
        <v>2548</v>
      </c>
      <c r="T30" t="s">
        <v>2275</v>
      </c>
      <c r="U30" t="s">
        <v>2276</v>
      </c>
      <c r="V30" t="s">
        <v>2052</v>
      </c>
      <c r="W30" t="s">
        <v>452</v>
      </c>
      <c r="X30" t="s">
        <v>46</v>
      </c>
      <c r="AC30">
        <f>COUNTIF(C:C,QLKV_gui_ket_qua_ra_soat[[#This Row],[Mã điểm bán]])</f>
        <v>1</v>
      </c>
    </row>
    <row r="31" spans="1:29" x14ac:dyDescent="0.45">
      <c r="A31" t="s">
        <v>10783</v>
      </c>
      <c r="B31">
        <v>39</v>
      </c>
      <c r="C31" t="s">
        <v>2561</v>
      </c>
      <c r="D31" t="s">
        <v>2562</v>
      </c>
      <c r="E31" t="s">
        <v>2563</v>
      </c>
      <c r="F31" t="s">
        <v>1471</v>
      </c>
      <c r="G31" t="s">
        <v>34</v>
      </c>
      <c r="H31" t="s">
        <v>54</v>
      </c>
      <c r="I31" t="s">
        <v>2564</v>
      </c>
      <c r="J31" t="s">
        <v>38</v>
      </c>
      <c r="K31" t="s">
        <v>38</v>
      </c>
      <c r="L31" t="s">
        <v>40</v>
      </c>
      <c r="M31" t="s">
        <v>56</v>
      </c>
      <c r="N31" t="s">
        <v>56</v>
      </c>
      <c r="O31" t="s">
        <v>39</v>
      </c>
      <c r="P31" t="s">
        <v>38</v>
      </c>
      <c r="Q31" t="s">
        <v>38</v>
      </c>
      <c r="R31" t="s">
        <v>40</v>
      </c>
      <c r="S31" t="s">
        <v>2565</v>
      </c>
      <c r="T31" t="s">
        <v>2275</v>
      </c>
      <c r="U31" t="s">
        <v>2276</v>
      </c>
      <c r="V31" t="s">
        <v>2052</v>
      </c>
      <c r="W31" t="s">
        <v>452</v>
      </c>
      <c r="Z31" t="s">
        <v>46</v>
      </c>
      <c r="AA31" t="s">
        <v>570</v>
      </c>
      <c r="AB31" t="s">
        <v>238</v>
      </c>
      <c r="AC31">
        <f>COUNTIF(C:C,QLKV_gui_ket_qua_ra_soat[[#This Row],[Mã điểm bán]])</f>
        <v>1</v>
      </c>
    </row>
    <row r="32" spans="1:29" x14ac:dyDescent="0.45">
      <c r="A32" t="s">
        <v>10783</v>
      </c>
      <c r="B32">
        <v>40</v>
      </c>
      <c r="C32" t="s">
        <v>2614</v>
      </c>
      <c r="D32" t="s">
        <v>2615</v>
      </c>
      <c r="E32" t="s">
        <v>1774</v>
      </c>
      <c r="F32" t="s">
        <v>2616</v>
      </c>
      <c r="G32" t="s">
        <v>34</v>
      </c>
      <c r="H32" t="s">
        <v>54</v>
      </c>
      <c r="I32" t="s">
        <v>1878</v>
      </c>
      <c r="J32" t="s">
        <v>56</v>
      </c>
      <c r="K32" t="s">
        <v>38</v>
      </c>
      <c r="L32" t="s">
        <v>39</v>
      </c>
      <c r="M32" t="s">
        <v>56</v>
      </c>
      <c r="N32" t="s">
        <v>56</v>
      </c>
      <c r="O32" t="s">
        <v>39</v>
      </c>
      <c r="P32" t="s">
        <v>38</v>
      </c>
      <c r="Q32" t="s">
        <v>38</v>
      </c>
      <c r="R32" t="s">
        <v>40</v>
      </c>
      <c r="S32" t="s">
        <v>2617</v>
      </c>
      <c r="T32" t="s">
        <v>2275</v>
      </c>
      <c r="U32" t="s">
        <v>2276</v>
      </c>
      <c r="V32" t="s">
        <v>2052</v>
      </c>
      <c r="W32" t="s">
        <v>452</v>
      </c>
      <c r="X32" t="s">
        <v>46</v>
      </c>
      <c r="AC32">
        <f>COUNTIF(C:C,QLKV_gui_ket_qua_ra_soat[[#This Row],[Mã điểm bán]])</f>
        <v>1</v>
      </c>
    </row>
    <row r="33" spans="1:29" x14ac:dyDescent="0.45">
      <c r="A33" t="s">
        <v>10783</v>
      </c>
      <c r="B33">
        <v>41</v>
      </c>
      <c r="C33" t="s">
        <v>2665</v>
      </c>
      <c r="D33" t="s">
        <v>2666</v>
      </c>
      <c r="E33" t="s">
        <v>2667</v>
      </c>
      <c r="F33" t="s">
        <v>1903</v>
      </c>
      <c r="G33" t="s">
        <v>34</v>
      </c>
      <c r="H33" t="s">
        <v>917</v>
      </c>
      <c r="I33" t="s">
        <v>2668</v>
      </c>
      <c r="J33" t="s">
        <v>38</v>
      </c>
      <c r="K33" t="s">
        <v>38</v>
      </c>
      <c r="L33" t="s">
        <v>40</v>
      </c>
      <c r="M33" t="s">
        <v>1034</v>
      </c>
      <c r="N33" t="s">
        <v>1034</v>
      </c>
      <c r="O33" t="s">
        <v>121</v>
      </c>
      <c r="P33" t="s">
        <v>38</v>
      </c>
      <c r="Q33" t="s">
        <v>38</v>
      </c>
      <c r="R33" t="s">
        <v>39</v>
      </c>
      <c r="S33" t="s">
        <v>2669</v>
      </c>
      <c r="T33" t="s">
        <v>2275</v>
      </c>
      <c r="U33" t="s">
        <v>2276</v>
      </c>
      <c r="V33" t="s">
        <v>2052</v>
      </c>
      <c r="W33" t="s">
        <v>452</v>
      </c>
      <c r="Z33" t="s">
        <v>46</v>
      </c>
      <c r="AA33" t="s">
        <v>570</v>
      </c>
      <c r="AB33" t="s">
        <v>238</v>
      </c>
      <c r="AC33">
        <f>COUNTIF(C:C,QLKV_gui_ket_qua_ra_soat[[#This Row],[Mã điểm bán]])</f>
        <v>1</v>
      </c>
    </row>
    <row r="34" spans="1:29" x14ac:dyDescent="0.45">
      <c r="A34" t="s">
        <v>10783</v>
      </c>
      <c r="B34">
        <v>42</v>
      </c>
      <c r="C34" t="s">
        <v>2712</v>
      </c>
      <c r="D34" t="s">
        <v>2713</v>
      </c>
      <c r="E34" t="s">
        <v>828</v>
      </c>
      <c r="F34" t="s">
        <v>115</v>
      </c>
      <c r="G34" t="s">
        <v>34</v>
      </c>
      <c r="H34" t="s">
        <v>54</v>
      </c>
      <c r="I34" t="s">
        <v>2714</v>
      </c>
      <c r="J34" t="s">
        <v>38</v>
      </c>
      <c r="K34" t="s">
        <v>38</v>
      </c>
      <c r="L34" t="s">
        <v>40</v>
      </c>
      <c r="M34" t="s">
        <v>56</v>
      </c>
      <c r="N34" t="s">
        <v>56</v>
      </c>
      <c r="O34" t="s">
        <v>39</v>
      </c>
      <c r="P34" t="s">
        <v>38</v>
      </c>
      <c r="Q34" t="s">
        <v>38</v>
      </c>
      <c r="R34" t="s">
        <v>40</v>
      </c>
      <c r="S34" t="s">
        <v>41</v>
      </c>
      <c r="T34" t="s">
        <v>2275</v>
      </c>
      <c r="U34" t="s">
        <v>2276</v>
      </c>
      <c r="V34" t="s">
        <v>2052</v>
      </c>
      <c r="W34" t="s">
        <v>452</v>
      </c>
      <c r="Z34" t="s">
        <v>46</v>
      </c>
      <c r="AA34" t="s">
        <v>570</v>
      </c>
      <c r="AB34" t="s">
        <v>238</v>
      </c>
      <c r="AC34">
        <f>COUNTIF(C:C,QLKV_gui_ket_qua_ra_soat[[#This Row],[Mã điểm bán]])</f>
        <v>1</v>
      </c>
    </row>
    <row r="35" spans="1:29" x14ac:dyDescent="0.45">
      <c r="A35" t="s">
        <v>10783</v>
      </c>
      <c r="B35">
        <v>43</v>
      </c>
      <c r="C35" t="s">
        <v>2715</v>
      </c>
      <c r="D35" t="s">
        <v>2716</v>
      </c>
      <c r="E35" t="s">
        <v>223</v>
      </c>
      <c r="F35" t="s">
        <v>53</v>
      </c>
      <c r="G35" t="s">
        <v>34</v>
      </c>
      <c r="H35" t="s">
        <v>54</v>
      </c>
      <c r="I35" t="s">
        <v>2061</v>
      </c>
      <c r="J35" t="s">
        <v>56</v>
      </c>
      <c r="K35" t="s">
        <v>38</v>
      </c>
      <c r="L35" t="s">
        <v>39</v>
      </c>
      <c r="M35" t="s">
        <v>56</v>
      </c>
      <c r="N35" t="s">
        <v>56</v>
      </c>
      <c r="O35" t="s">
        <v>39</v>
      </c>
      <c r="P35" t="s">
        <v>38</v>
      </c>
      <c r="Q35" t="s">
        <v>38</v>
      </c>
      <c r="R35" t="s">
        <v>40</v>
      </c>
      <c r="S35" t="s">
        <v>41</v>
      </c>
      <c r="T35" t="s">
        <v>2275</v>
      </c>
      <c r="U35" t="s">
        <v>2276</v>
      </c>
      <c r="V35" t="s">
        <v>2052</v>
      </c>
      <c r="W35" t="s">
        <v>452</v>
      </c>
      <c r="Z35" t="s">
        <v>46</v>
      </c>
      <c r="AA35" t="s">
        <v>570</v>
      </c>
      <c r="AB35" t="s">
        <v>238</v>
      </c>
      <c r="AC35">
        <f>COUNTIF(C:C,QLKV_gui_ket_qua_ra_soat[[#This Row],[Mã điểm bán]])</f>
        <v>1</v>
      </c>
    </row>
    <row r="36" spans="1:29" x14ac:dyDescent="0.45">
      <c r="A36" t="s">
        <v>10783</v>
      </c>
      <c r="B36">
        <v>44</v>
      </c>
      <c r="C36" t="s">
        <v>2744</v>
      </c>
      <c r="D36" t="s">
        <v>2745</v>
      </c>
      <c r="E36" t="s">
        <v>212</v>
      </c>
      <c r="F36" t="s">
        <v>53</v>
      </c>
      <c r="G36" t="s">
        <v>34</v>
      </c>
      <c r="H36" t="s">
        <v>54</v>
      </c>
      <c r="I36" t="s">
        <v>2274</v>
      </c>
      <c r="J36" t="s">
        <v>56</v>
      </c>
      <c r="K36" t="s">
        <v>38</v>
      </c>
      <c r="L36" t="s">
        <v>39</v>
      </c>
      <c r="M36" t="s">
        <v>38</v>
      </c>
      <c r="N36" t="s">
        <v>56</v>
      </c>
      <c r="O36" t="s">
        <v>39</v>
      </c>
      <c r="P36" t="s">
        <v>38</v>
      </c>
      <c r="Q36" t="s">
        <v>38</v>
      </c>
      <c r="R36" t="s">
        <v>40</v>
      </c>
      <c r="S36" t="s">
        <v>41</v>
      </c>
      <c r="T36" t="s">
        <v>2275</v>
      </c>
      <c r="U36" t="s">
        <v>2276</v>
      </c>
      <c r="V36" t="s">
        <v>2052</v>
      </c>
      <c r="W36" t="s">
        <v>452</v>
      </c>
      <c r="X36" t="s">
        <v>46</v>
      </c>
      <c r="AC36">
        <f>COUNTIF(C:C,QLKV_gui_ket_qua_ra_soat[[#This Row],[Mã điểm bán]])</f>
        <v>1</v>
      </c>
    </row>
    <row r="37" spans="1:29" x14ac:dyDescent="0.45">
      <c r="A37" t="s">
        <v>10783</v>
      </c>
      <c r="B37">
        <v>78</v>
      </c>
      <c r="C37" t="s">
        <v>513</v>
      </c>
      <c r="D37" t="s">
        <v>514</v>
      </c>
      <c r="E37" t="s">
        <v>515</v>
      </c>
      <c r="F37" t="s">
        <v>53</v>
      </c>
      <c r="G37" t="s">
        <v>34</v>
      </c>
      <c r="H37" t="s">
        <v>54</v>
      </c>
      <c r="I37" t="s">
        <v>516</v>
      </c>
      <c r="J37" t="s">
        <v>38</v>
      </c>
      <c r="K37" t="s">
        <v>38</v>
      </c>
      <c r="L37" t="s">
        <v>40</v>
      </c>
      <c r="M37" t="s">
        <v>56</v>
      </c>
      <c r="N37" t="s">
        <v>56</v>
      </c>
      <c r="O37" t="s">
        <v>39</v>
      </c>
      <c r="P37" t="s">
        <v>38</v>
      </c>
      <c r="Q37" t="s">
        <v>38</v>
      </c>
      <c r="R37" t="s">
        <v>40</v>
      </c>
      <c r="S37" t="s">
        <v>517</v>
      </c>
      <c r="T37" t="s">
        <v>518</v>
      </c>
      <c r="U37" t="s">
        <v>519</v>
      </c>
      <c r="V37" t="s">
        <v>44</v>
      </c>
      <c r="W37" t="s">
        <v>452</v>
      </c>
      <c r="X37" t="s">
        <v>46</v>
      </c>
      <c r="AC37">
        <f>COUNTIF(C:C,QLKV_gui_ket_qua_ra_soat[[#This Row],[Mã điểm bán]])</f>
        <v>1</v>
      </c>
    </row>
    <row r="38" spans="1:29" x14ac:dyDescent="0.45">
      <c r="A38" t="s">
        <v>10783</v>
      </c>
      <c r="B38">
        <v>79</v>
      </c>
      <c r="C38" t="s">
        <v>537</v>
      </c>
      <c r="D38" t="s">
        <v>538</v>
      </c>
      <c r="E38" t="s">
        <v>64</v>
      </c>
      <c r="F38" t="s">
        <v>53</v>
      </c>
      <c r="G38" t="s">
        <v>34</v>
      </c>
      <c r="H38" t="s">
        <v>54</v>
      </c>
      <c r="I38" t="s">
        <v>539</v>
      </c>
      <c r="J38" t="s">
        <v>38</v>
      </c>
      <c r="K38" t="s">
        <v>38</v>
      </c>
      <c r="L38" t="s">
        <v>40</v>
      </c>
      <c r="M38" t="s">
        <v>56</v>
      </c>
      <c r="N38" t="s">
        <v>56</v>
      </c>
      <c r="O38" t="s">
        <v>39</v>
      </c>
      <c r="P38" t="s">
        <v>38</v>
      </c>
      <c r="Q38" t="s">
        <v>38</v>
      </c>
      <c r="R38" t="s">
        <v>40</v>
      </c>
      <c r="S38" t="s">
        <v>517</v>
      </c>
      <c r="T38" t="s">
        <v>518</v>
      </c>
      <c r="U38" t="s">
        <v>519</v>
      </c>
      <c r="V38" t="s">
        <v>44</v>
      </c>
      <c r="W38" t="s">
        <v>452</v>
      </c>
      <c r="X38" t="s">
        <v>46</v>
      </c>
      <c r="AC38">
        <f>COUNTIF(C:C,QLKV_gui_ket_qua_ra_soat[[#This Row],[Mã điểm bán]])</f>
        <v>1</v>
      </c>
    </row>
    <row r="39" spans="1:29" x14ac:dyDescent="0.45">
      <c r="A39" t="s">
        <v>10783</v>
      </c>
      <c r="B39">
        <v>80</v>
      </c>
      <c r="C39" t="s">
        <v>548</v>
      </c>
      <c r="D39" t="s">
        <v>549</v>
      </c>
      <c r="E39" t="s">
        <v>529</v>
      </c>
      <c r="F39" t="s">
        <v>53</v>
      </c>
      <c r="G39" t="s">
        <v>34</v>
      </c>
      <c r="H39" t="s">
        <v>550</v>
      </c>
      <c r="I39" t="s">
        <v>551</v>
      </c>
      <c r="J39" t="s">
        <v>38</v>
      </c>
      <c r="K39" t="s">
        <v>38</v>
      </c>
      <c r="L39" t="s">
        <v>40</v>
      </c>
      <c r="M39" t="s">
        <v>37</v>
      </c>
      <c r="N39" t="s">
        <v>56</v>
      </c>
      <c r="O39" t="s">
        <v>39</v>
      </c>
      <c r="P39" t="s">
        <v>38</v>
      </c>
      <c r="Q39" t="s">
        <v>38</v>
      </c>
      <c r="R39" t="s">
        <v>40</v>
      </c>
      <c r="S39" t="s">
        <v>552</v>
      </c>
      <c r="T39" t="s">
        <v>518</v>
      </c>
      <c r="U39" t="s">
        <v>519</v>
      </c>
      <c r="V39" t="s">
        <v>44</v>
      </c>
      <c r="W39" t="s">
        <v>452</v>
      </c>
      <c r="Y39" t="s">
        <v>46</v>
      </c>
      <c r="AC39">
        <f>COUNTIF(C:C,QLKV_gui_ket_qua_ra_soat[[#This Row],[Mã điểm bán]])</f>
        <v>1</v>
      </c>
    </row>
    <row r="40" spans="1:29" x14ac:dyDescent="0.45">
      <c r="A40" t="s">
        <v>10783</v>
      </c>
      <c r="B40">
        <v>81</v>
      </c>
      <c r="C40" t="s">
        <v>567</v>
      </c>
      <c r="D40" t="s">
        <v>568</v>
      </c>
      <c r="E40" t="s">
        <v>416</v>
      </c>
      <c r="F40" t="s">
        <v>53</v>
      </c>
      <c r="G40" t="s">
        <v>34</v>
      </c>
      <c r="H40" t="s">
        <v>171</v>
      </c>
      <c r="I40" t="s">
        <v>569</v>
      </c>
      <c r="J40" t="s">
        <v>38</v>
      </c>
      <c r="K40" t="s">
        <v>38</v>
      </c>
      <c r="L40" t="s">
        <v>40</v>
      </c>
      <c r="M40" t="s">
        <v>56</v>
      </c>
      <c r="N40" t="s">
        <v>56</v>
      </c>
      <c r="O40" t="s">
        <v>39</v>
      </c>
      <c r="P40" t="s">
        <v>38</v>
      </c>
      <c r="Q40" t="s">
        <v>38</v>
      </c>
      <c r="R40" t="s">
        <v>40</v>
      </c>
      <c r="S40" t="s">
        <v>517</v>
      </c>
      <c r="T40" t="s">
        <v>518</v>
      </c>
      <c r="U40" t="s">
        <v>519</v>
      </c>
      <c r="V40" t="s">
        <v>44</v>
      </c>
      <c r="W40" t="s">
        <v>452</v>
      </c>
      <c r="Z40" t="s">
        <v>46</v>
      </c>
      <c r="AA40" t="s">
        <v>570</v>
      </c>
      <c r="AB40" t="s">
        <v>238</v>
      </c>
      <c r="AC40">
        <f>COUNTIF(C:C,QLKV_gui_ket_qua_ra_soat[[#This Row],[Mã điểm bán]])</f>
        <v>1</v>
      </c>
    </row>
    <row r="41" spans="1:29" x14ac:dyDescent="0.45">
      <c r="A41" t="s">
        <v>10783</v>
      </c>
      <c r="B41">
        <v>82</v>
      </c>
      <c r="C41" t="s">
        <v>668</v>
      </c>
      <c r="D41" t="s">
        <v>669</v>
      </c>
      <c r="E41" t="s">
        <v>256</v>
      </c>
      <c r="F41" t="s">
        <v>53</v>
      </c>
      <c r="G41" t="s">
        <v>34</v>
      </c>
      <c r="H41" t="s">
        <v>54</v>
      </c>
      <c r="I41" t="s">
        <v>670</v>
      </c>
      <c r="J41" t="s">
        <v>38</v>
      </c>
      <c r="K41" t="s">
        <v>38</v>
      </c>
      <c r="L41" t="s">
        <v>40</v>
      </c>
      <c r="M41" t="s">
        <v>56</v>
      </c>
      <c r="N41" t="s">
        <v>56</v>
      </c>
      <c r="O41" t="s">
        <v>39</v>
      </c>
      <c r="P41" t="s">
        <v>38</v>
      </c>
      <c r="Q41" t="s">
        <v>38</v>
      </c>
      <c r="R41" t="s">
        <v>40</v>
      </c>
      <c r="S41" t="s">
        <v>671</v>
      </c>
      <c r="T41" t="s">
        <v>518</v>
      </c>
      <c r="U41" t="s">
        <v>519</v>
      </c>
      <c r="V41" t="s">
        <v>44</v>
      </c>
      <c r="W41" t="s">
        <v>452</v>
      </c>
      <c r="Z41" t="s">
        <v>46</v>
      </c>
      <c r="AA41" t="s">
        <v>570</v>
      </c>
      <c r="AB41" t="s">
        <v>238</v>
      </c>
      <c r="AC41">
        <f>COUNTIF(C:C,QLKV_gui_ket_qua_ra_soat[[#This Row],[Mã điểm bán]])</f>
        <v>1</v>
      </c>
    </row>
    <row r="42" spans="1:29" x14ac:dyDescent="0.45">
      <c r="A42" t="s">
        <v>10783</v>
      </c>
      <c r="B42">
        <v>83</v>
      </c>
      <c r="C42" t="s">
        <v>693</v>
      </c>
      <c r="D42" t="s">
        <v>694</v>
      </c>
      <c r="E42" t="s">
        <v>307</v>
      </c>
      <c r="F42" t="s">
        <v>696</v>
      </c>
      <c r="G42" t="s">
        <v>34</v>
      </c>
      <c r="H42" t="s">
        <v>697</v>
      </c>
      <c r="I42" t="s">
        <v>698</v>
      </c>
      <c r="J42" t="s">
        <v>38</v>
      </c>
      <c r="K42" t="s">
        <v>38</v>
      </c>
      <c r="L42" t="s">
        <v>40</v>
      </c>
      <c r="M42" t="s">
        <v>56</v>
      </c>
      <c r="N42" t="s">
        <v>37</v>
      </c>
      <c r="O42" t="s">
        <v>39</v>
      </c>
      <c r="P42" t="s">
        <v>38</v>
      </c>
      <c r="Q42" t="s">
        <v>38</v>
      </c>
      <c r="R42" t="s">
        <v>40</v>
      </c>
      <c r="S42" t="s">
        <v>552</v>
      </c>
      <c r="T42" t="s">
        <v>518</v>
      </c>
      <c r="U42" t="s">
        <v>519</v>
      </c>
      <c r="V42" t="s">
        <v>44</v>
      </c>
      <c r="W42" t="s">
        <v>452</v>
      </c>
      <c r="Z42" t="s">
        <v>46</v>
      </c>
      <c r="AA42" t="s">
        <v>570</v>
      </c>
      <c r="AB42" t="s">
        <v>238</v>
      </c>
      <c r="AC42">
        <f>COUNTIF(C:C,QLKV_gui_ket_qua_ra_soat[[#This Row],[Mã điểm bán]])</f>
        <v>1</v>
      </c>
    </row>
    <row r="43" spans="1:29" x14ac:dyDescent="0.45">
      <c r="A43" t="s">
        <v>10783</v>
      </c>
      <c r="B43">
        <v>84</v>
      </c>
      <c r="C43" t="s">
        <v>723</v>
      </c>
      <c r="D43" t="s">
        <v>724</v>
      </c>
      <c r="E43" t="s">
        <v>108</v>
      </c>
      <c r="F43" t="s">
        <v>53</v>
      </c>
      <c r="G43" t="s">
        <v>34</v>
      </c>
      <c r="H43" t="s">
        <v>54</v>
      </c>
      <c r="I43" t="s">
        <v>725</v>
      </c>
      <c r="J43" t="s">
        <v>38</v>
      </c>
      <c r="K43" t="s">
        <v>38</v>
      </c>
      <c r="L43" t="s">
        <v>40</v>
      </c>
      <c r="M43" t="s">
        <v>56</v>
      </c>
      <c r="N43" t="s">
        <v>37</v>
      </c>
      <c r="O43" t="s">
        <v>39</v>
      </c>
      <c r="P43" t="s">
        <v>38</v>
      </c>
      <c r="Q43" t="s">
        <v>38</v>
      </c>
      <c r="R43" t="s">
        <v>40</v>
      </c>
      <c r="S43" t="s">
        <v>517</v>
      </c>
      <c r="T43" t="s">
        <v>518</v>
      </c>
      <c r="U43" t="s">
        <v>519</v>
      </c>
      <c r="V43" t="s">
        <v>44</v>
      </c>
      <c r="W43" t="s">
        <v>452</v>
      </c>
      <c r="Z43" t="s">
        <v>46</v>
      </c>
      <c r="AA43" t="s">
        <v>570</v>
      </c>
      <c r="AB43" t="s">
        <v>238</v>
      </c>
      <c r="AC43">
        <f>COUNTIF(C:C,QLKV_gui_ket_qua_ra_soat[[#This Row],[Mã điểm bán]])</f>
        <v>1</v>
      </c>
    </row>
    <row r="44" spans="1:29" x14ac:dyDescent="0.45">
      <c r="A44" t="s">
        <v>10783</v>
      </c>
      <c r="B44">
        <v>85</v>
      </c>
      <c r="C44" t="s">
        <v>740</v>
      </c>
      <c r="D44" t="s">
        <v>741</v>
      </c>
      <c r="E44" t="s">
        <v>32</v>
      </c>
      <c r="F44" t="s">
        <v>461</v>
      </c>
      <c r="G44" t="s">
        <v>34</v>
      </c>
      <c r="H44" t="s">
        <v>473</v>
      </c>
      <c r="I44" t="s">
        <v>743</v>
      </c>
      <c r="J44" t="s">
        <v>38</v>
      </c>
      <c r="K44" t="s">
        <v>38</v>
      </c>
      <c r="L44" t="s">
        <v>40</v>
      </c>
      <c r="M44" t="s">
        <v>56</v>
      </c>
      <c r="N44" t="s">
        <v>37</v>
      </c>
      <c r="O44" t="s">
        <v>39</v>
      </c>
      <c r="P44" t="s">
        <v>38</v>
      </c>
      <c r="Q44" t="s">
        <v>38</v>
      </c>
      <c r="R44" t="s">
        <v>40</v>
      </c>
      <c r="S44" t="s">
        <v>552</v>
      </c>
      <c r="T44" t="s">
        <v>518</v>
      </c>
      <c r="U44" t="s">
        <v>519</v>
      </c>
      <c r="V44" t="s">
        <v>44</v>
      </c>
      <c r="W44" t="s">
        <v>452</v>
      </c>
      <c r="X44" t="s">
        <v>46</v>
      </c>
      <c r="AC44">
        <f>COUNTIF(C:C,QLKV_gui_ket_qua_ra_soat[[#This Row],[Mã điểm bán]])</f>
        <v>1</v>
      </c>
    </row>
    <row r="45" spans="1:29" x14ac:dyDescent="0.45">
      <c r="A45" t="s">
        <v>10783</v>
      </c>
      <c r="B45">
        <v>86</v>
      </c>
      <c r="C45" t="s">
        <v>756</v>
      </c>
      <c r="D45" t="s">
        <v>757</v>
      </c>
      <c r="E45" t="s">
        <v>261</v>
      </c>
      <c r="F45" t="s">
        <v>426</v>
      </c>
      <c r="G45" t="s">
        <v>34</v>
      </c>
      <c r="H45" t="s">
        <v>473</v>
      </c>
      <c r="I45" t="s">
        <v>758</v>
      </c>
      <c r="J45" t="s">
        <v>38</v>
      </c>
      <c r="K45" t="s">
        <v>38</v>
      </c>
      <c r="L45" t="s">
        <v>40</v>
      </c>
      <c r="M45" t="s">
        <v>37</v>
      </c>
      <c r="N45" t="s">
        <v>37</v>
      </c>
      <c r="O45" t="s">
        <v>39</v>
      </c>
      <c r="P45" t="s">
        <v>38</v>
      </c>
      <c r="Q45" t="s">
        <v>38</v>
      </c>
      <c r="R45" t="s">
        <v>40</v>
      </c>
      <c r="S45" t="s">
        <v>759</v>
      </c>
      <c r="T45" t="s">
        <v>518</v>
      </c>
      <c r="U45" t="s">
        <v>519</v>
      </c>
      <c r="V45" t="s">
        <v>44</v>
      </c>
      <c r="W45" t="s">
        <v>452</v>
      </c>
      <c r="Z45" t="s">
        <v>46</v>
      </c>
      <c r="AA45" t="s">
        <v>570</v>
      </c>
      <c r="AB45" t="s">
        <v>238</v>
      </c>
      <c r="AC45">
        <f>COUNTIF(C:C,QLKV_gui_ket_qua_ra_soat[[#This Row],[Mã điểm bán]])</f>
        <v>1</v>
      </c>
    </row>
    <row r="46" spans="1:29" x14ac:dyDescent="0.45">
      <c r="A46" t="s">
        <v>10783</v>
      </c>
      <c r="B46">
        <v>87</v>
      </c>
      <c r="C46" t="s">
        <v>767</v>
      </c>
      <c r="D46" t="s">
        <v>768</v>
      </c>
      <c r="E46" t="s">
        <v>64</v>
      </c>
      <c r="F46" t="s">
        <v>53</v>
      </c>
      <c r="G46" t="s">
        <v>34</v>
      </c>
      <c r="H46" t="s">
        <v>54</v>
      </c>
      <c r="I46" t="s">
        <v>516</v>
      </c>
      <c r="J46" t="s">
        <v>38</v>
      </c>
      <c r="K46" t="s">
        <v>38</v>
      </c>
      <c r="L46" t="s">
        <v>40</v>
      </c>
      <c r="M46" t="s">
        <v>37</v>
      </c>
      <c r="N46" t="s">
        <v>37</v>
      </c>
      <c r="O46" t="s">
        <v>39</v>
      </c>
      <c r="P46" t="s">
        <v>38</v>
      </c>
      <c r="Q46" t="s">
        <v>38</v>
      </c>
      <c r="R46" t="s">
        <v>40</v>
      </c>
      <c r="S46" t="s">
        <v>517</v>
      </c>
      <c r="T46" t="s">
        <v>518</v>
      </c>
      <c r="U46" t="s">
        <v>519</v>
      </c>
      <c r="V46" t="s">
        <v>44</v>
      </c>
      <c r="W46" t="s">
        <v>452</v>
      </c>
      <c r="X46" t="s">
        <v>46</v>
      </c>
      <c r="AC46">
        <f>COUNTIF(C:C,QLKV_gui_ket_qua_ra_soat[[#This Row],[Mã điểm bán]])</f>
        <v>1</v>
      </c>
    </row>
    <row r="47" spans="1:29" x14ac:dyDescent="0.45">
      <c r="A47" t="s">
        <v>10783</v>
      </c>
      <c r="B47">
        <v>88</v>
      </c>
      <c r="C47" t="s">
        <v>796</v>
      </c>
      <c r="D47" t="s">
        <v>797</v>
      </c>
      <c r="E47" t="s">
        <v>109</v>
      </c>
      <c r="F47" t="s">
        <v>53</v>
      </c>
      <c r="G47" t="s">
        <v>34</v>
      </c>
      <c r="H47" t="s">
        <v>54</v>
      </c>
      <c r="I47" t="s">
        <v>516</v>
      </c>
      <c r="J47" t="s">
        <v>38</v>
      </c>
      <c r="K47" t="s">
        <v>38</v>
      </c>
      <c r="L47" t="s">
        <v>40</v>
      </c>
      <c r="M47" t="s">
        <v>37</v>
      </c>
      <c r="N47" t="s">
        <v>56</v>
      </c>
      <c r="O47" t="s">
        <v>39</v>
      </c>
      <c r="P47" t="s">
        <v>38</v>
      </c>
      <c r="Q47" t="s">
        <v>38</v>
      </c>
      <c r="R47" t="s">
        <v>40</v>
      </c>
      <c r="S47" t="s">
        <v>517</v>
      </c>
      <c r="T47" t="s">
        <v>518</v>
      </c>
      <c r="U47" t="s">
        <v>519</v>
      </c>
      <c r="V47" t="s">
        <v>44</v>
      </c>
      <c r="W47" t="s">
        <v>452</v>
      </c>
      <c r="X47" t="s">
        <v>46</v>
      </c>
      <c r="AC47">
        <f>COUNTIF(C:C,QLKV_gui_ket_qua_ra_soat[[#This Row],[Mã điểm bán]])</f>
        <v>1</v>
      </c>
    </row>
    <row r="48" spans="1:29" x14ac:dyDescent="0.45">
      <c r="A48" t="s">
        <v>10783</v>
      </c>
      <c r="B48">
        <v>89</v>
      </c>
      <c r="C48" t="s">
        <v>809</v>
      </c>
      <c r="D48" t="s">
        <v>810</v>
      </c>
      <c r="E48" t="s">
        <v>64</v>
      </c>
      <c r="F48" t="s">
        <v>53</v>
      </c>
      <c r="G48" t="s">
        <v>34</v>
      </c>
      <c r="H48" t="s">
        <v>54</v>
      </c>
      <c r="I48" t="s">
        <v>516</v>
      </c>
      <c r="J48" t="s">
        <v>38</v>
      </c>
      <c r="K48" t="s">
        <v>38</v>
      </c>
      <c r="L48" t="s">
        <v>40</v>
      </c>
      <c r="M48" t="s">
        <v>56</v>
      </c>
      <c r="N48" t="s">
        <v>56</v>
      </c>
      <c r="O48" t="s">
        <v>39</v>
      </c>
      <c r="P48" t="s">
        <v>38</v>
      </c>
      <c r="Q48" t="s">
        <v>38</v>
      </c>
      <c r="R48" t="s">
        <v>40</v>
      </c>
      <c r="S48" t="s">
        <v>517</v>
      </c>
      <c r="T48" t="s">
        <v>518</v>
      </c>
      <c r="U48" t="s">
        <v>519</v>
      </c>
      <c r="V48" t="s">
        <v>44</v>
      </c>
      <c r="W48" t="s">
        <v>452</v>
      </c>
      <c r="X48" t="s">
        <v>46</v>
      </c>
      <c r="AC48">
        <f>COUNTIF(C:C,QLKV_gui_ket_qua_ra_soat[[#This Row],[Mã điểm bán]])</f>
        <v>1</v>
      </c>
    </row>
    <row r="49" spans="1:29" x14ac:dyDescent="0.45">
      <c r="A49" t="s">
        <v>10783</v>
      </c>
      <c r="B49">
        <v>90</v>
      </c>
      <c r="C49" t="s">
        <v>865</v>
      </c>
      <c r="D49" t="s">
        <v>866</v>
      </c>
      <c r="E49" t="s">
        <v>64</v>
      </c>
      <c r="F49" t="s">
        <v>53</v>
      </c>
      <c r="G49" t="s">
        <v>34</v>
      </c>
      <c r="H49" t="s">
        <v>54</v>
      </c>
      <c r="I49" t="s">
        <v>867</v>
      </c>
      <c r="J49" t="s">
        <v>38</v>
      </c>
      <c r="K49" t="s">
        <v>38</v>
      </c>
      <c r="L49" t="s">
        <v>40</v>
      </c>
      <c r="M49" t="s">
        <v>37</v>
      </c>
      <c r="N49" t="s">
        <v>37</v>
      </c>
      <c r="O49" t="s">
        <v>39</v>
      </c>
      <c r="P49" t="s">
        <v>38</v>
      </c>
      <c r="Q49" t="s">
        <v>38</v>
      </c>
      <c r="R49" t="s">
        <v>40</v>
      </c>
      <c r="S49" t="s">
        <v>517</v>
      </c>
      <c r="T49" t="s">
        <v>518</v>
      </c>
      <c r="U49" t="s">
        <v>519</v>
      </c>
      <c r="V49" t="s">
        <v>44</v>
      </c>
      <c r="W49" t="s">
        <v>452</v>
      </c>
      <c r="X49" t="s">
        <v>46</v>
      </c>
      <c r="AC49">
        <f>COUNTIF(C:C,QLKV_gui_ket_qua_ra_soat[[#This Row],[Mã điểm bán]])</f>
        <v>1</v>
      </c>
    </row>
    <row r="50" spans="1:29" x14ac:dyDescent="0.45">
      <c r="A50" t="s">
        <v>10783</v>
      </c>
      <c r="B50">
        <v>91</v>
      </c>
      <c r="C50" t="s">
        <v>936</v>
      </c>
      <c r="D50" t="s">
        <v>937</v>
      </c>
      <c r="E50" t="s">
        <v>157</v>
      </c>
      <c r="F50" t="s">
        <v>53</v>
      </c>
      <c r="G50" t="s">
        <v>34</v>
      </c>
      <c r="H50" t="s">
        <v>332</v>
      </c>
      <c r="I50" t="s">
        <v>938</v>
      </c>
      <c r="J50" t="s">
        <v>38</v>
      </c>
      <c r="K50" t="s">
        <v>38</v>
      </c>
      <c r="L50" t="s">
        <v>40</v>
      </c>
      <c r="M50" t="s">
        <v>56</v>
      </c>
      <c r="N50" t="s">
        <v>37</v>
      </c>
      <c r="O50" t="s">
        <v>39</v>
      </c>
      <c r="P50" t="s">
        <v>38</v>
      </c>
      <c r="Q50" t="s">
        <v>38</v>
      </c>
      <c r="R50" t="s">
        <v>40</v>
      </c>
      <c r="S50" t="s">
        <v>517</v>
      </c>
      <c r="T50" t="s">
        <v>518</v>
      </c>
      <c r="U50" t="s">
        <v>519</v>
      </c>
      <c r="V50" t="s">
        <v>44</v>
      </c>
      <c r="W50" t="s">
        <v>452</v>
      </c>
      <c r="X50" t="s">
        <v>46</v>
      </c>
      <c r="AC50">
        <f>COUNTIF(C:C,QLKV_gui_ket_qua_ra_soat[[#This Row],[Mã điểm bán]])</f>
        <v>1</v>
      </c>
    </row>
    <row r="51" spans="1:29" x14ac:dyDescent="0.45">
      <c r="A51" t="s">
        <v>10783</v>
      </c>
      <c r="B51">
        <v>92</v>
      </c>
      <c r="C51" t="s">
        <v>942</v>
      </c>
      <c r="D51" t="s">
        <v>943</v>
      </c>
      <c r="E51" t="s">
        <v>515</v>
      </c>
      <c r="F51" t="s">
        <v>53</v>
      </c>
      <c r="G51" t="s">
        <v>34</v>
      </c>
      <c r="H51" t="s">
        <v>54</v>
      </c>
      <c r="I51" t="s">
        <v>944</v>
      </c>
      <c r="J51" t="s">
        <v>38</v>
      </c>
      <c r="K51" t="s">
        <v>38</v>
      </c>
      <c r="L51" t="s">
        <v>40</v>
      </c>
      <c r="M51" t="s">
        <v>37</v>
      </c>
      <c r="N51" t="s">
        <v>37</v>
      </c>
      <c r="O51" t="s">
        <v>39</v>
      </c>
      <c r="P51" t="s">
        <v>38</v>
      </c>
      <c r="Q51" t="s">
        <v>38</v>
      </c>
      <c r="R51" t="s">
        <v>40</v>
      </c>
      <c r="S51" t="s">
        <v>517</v>
      </c>
      <c r="T51" t="s">
        <v>518</v>
      </c>
      <c r="U51" t="s">
        <v>519</v>
      </c>
      <c r="V51" t="s">
        <v>44</v>
      </c>
      <c r="W51" t="s">
        <v>452</v>
      </c>
      <c r="X51" t="s">
        <v>46</v>
      </c>
      <c r="AC51">
        <f>COUNTIF(C:C,QLKV_gui_ket_qua_ra_soat[[#This Row],[Mã điểm bán]])</f>
        <v>1</v>
      </c>
    </row>
    <row r="52" spans="1:29" x14ac:dyDescent="0.45">
      <c r="A52" t="s">
        <v>10783</v>
      </c>
      <c r="B52">
        <v>93</v>
      </c>
      <c r="C52" t="s">
        <v>960</v>
      </c>
      <c r="D52" t="s">
        <v>961</v>
      </c>
      <c r="E52" t="s">
        <v>64</v>
      </c>
      <c r="F52" t="s">
        <v>53</v>
      </c>
      <c r="G52" t="s">
        <v>34</v>
      </c>
      <c r="H52" t="s">
        <v>54</v>
      </c>
      <c r="I52" t="s">
        <v>938</v>
      </c>
      <c r="J52" t="s">
        <v>38</v>
      </c>
      <c r="K52" t="s">
        <v>38</v>
      </c>
      <c r="L52" t="s">
        <v>40</v>
      </c>
      <c r="M52" t="s">
        <v>37</v>
      </c>
      <c r="N52" t="s">
        <v>37</v>
      </c>
      <c r="O52" t="s">
        <v>39</v>
      </c>
      <c r="P52" t="s">
        <v>38</v>
      </c>
      <c r="Q52" t="s">
        <v>38</v>
      </c>
      <c r="R52" t="s">
        <v>40</v>
      </c>
      <c r="S52" t="s">
        <v>517</v>
      </c>
      <c r="T52" t="s">
        <v>518</v>
      </c>
      <c r="U52" t="s">
        <v>519</v>
      </c>
      <c r="V52" t="s">
        <v>44</v>
      </c>
      <c r="W52" t="s">
        <v>452</v>
      </c>
      <c r="X52" t="s">
        <v>46</v>
      </c>
      <c r="AC52">
        <f>COUNTIF(C:C,QLKV_gui_ket_qua_ra_soat[[#This Row],[Mã điểm bán]])</f>
        <v>1</v>
      </c>
    </row>
    <row r="53" spans="1:29" x14ac:dyDescent="0.45">
      <c r="A53" t="s">
        <v>10783</v>
      </c>
      <c r="B53">
        <v>94</v>
      </c>
      <c r="C53" t="s">
        <v>1055</v>
      </c>
      <c r="D53" t="s">
        <v>1056</v>
      </c>
      <c r="E53" t="s">
        <v>176</v>
      </c>
      <c r="F53" t="s">
        <v>53</v>
      </c>
      <c r="G53" t="s">
        <v>34</v>
      </c>
      <c r="H53" t="s">
        <v>319</v>
      </c>
      <c r="I53" t="s">
        <v>1057</v>
      </c>
      <c r="J53" t="s">
        <v>38</v>
      </c>
      <c r="K53" t="s">
        <v>38</v>
      </c>
      <c r="L53" t="s">
        <v>40</v>
      </c>
      <c r="M53" t="s">
        <v>37</v>
      </c>
      <c r="N53" t="s">
        <v>37</v>
      </c>
      <c r="O53" t="s">
        <v>39</v>
      </c>
      <c r="P53" t="s">
        <v>38</v>
      </c>
      <c r="Q53" t="s">
        <v>38</v>
      </c>
      <c r="R53" t="s">
        <v>40</v>
      </c>
      <c r="S53" t="s">
        <v>517</v>
      </c>
      <c r="T53" t="s">
        <v>518</v>
      </c>
      <c r="U53" t="s">
        <v>519</v>
      </c>
      <c r="V53" t="s">
        <v>44</v>
      </c>
      <c r="W53" t="s">
        <v>452</v>
      </c>
      <c r="X53" t="s">
        <v>46</v>
      </c>
      <c r="AC53">
        <f>COUNTIF(C:C,QLKV_gui_ket_qua_ra_soat[[#This Row],[Mã điểm bán]])</f>
        <v>1</v>
      </c>
    </row>
    <row r="54" spans="1:29" x14ac:dyDescent="0.45">
      <c r="A54" t="s">
        <v>10783</v>
      </c>
      <c r="B54">
        <v>95</v>
      </c>
      <c r="C54" t="s">
        <v>1068</v>
      </c>
      <c r="D54" t="s">
        <v>1069</v>
      </c>
      <c r="E54" t="s">
        <v>157</v>
      </c>
      <c r="F54" t="s">
        <v>53</v>
      </c>
      <c r="G54" t="s">
        <v>34</v>
      </c>
      <c r="H54" t="s">
        <v>54</v>
      </c>
      <c r="I54" t="s">
        <v>1070</v>
      </c>
      <c r="J54" t="s">
        <v>38</v>
      </c>
      <c r="K54" t="s">
        <v>38</v>
      </c>
      <c r="L54" t="s">
        <v>40</v>
      </c>
      <c r="M54" t="s">
        <v>37</v>
      </c>
      <c r="N54" t="s">
        <v>37</v>
      </c>
      <c r="O54" t="s">
        <v>39</v>
      </c>
      <c r="P54" t="s">
        <v>38</v>
      </c>
      <c r="Q54" t="s">
        <v>38</v>
      </c>
      <c r="R54" t="s">
        <v>40</v>
      </c>
      <c r="S54" t="s">
        <v>517</v>
      </c>
      <c r="T54" t="s">
        <v>518</v>
      </c>
      <c r="U54" t="s">
        <v>519</v>
      </c>
      <c r="V54" t="s">
        <v>44</v>
      </c>
      <c r="W54" t="s">
        <v>452</v>
      </c>
      <c r="Z54" t="s">
        <v>46</v>
      </c>
      <c r="AA54" t="s">
        <v>570</v>
      </c>
      <c r="AB54" t="s">
        <v>238</v>
      </c>
      <c r="AC54">
        <f>COUNTIF(C:C,QLKV_gui_ket_qua_ra_soat[[#This Row],[Mã điểm bán]])</f>
        <v>1</v>
      </c>
    </row>
    <row r="55" spans="1:29" x14ac:dyDescent="0.45">
      <c r="A55" t="s">
        <v>10783</v>
      </c>
      <c r="B55">
        <v>96</v>
      </c>
      <c r="C55" t="s">
        <v>1085</v>
      </c>
      <c r="D55" t="s">
        <v>1086</v>
      </c>
      <c r="E55" t="s">
        <v>665</v>
      </c>
      <c r="F55" t="s">
        <v>53</v>
      </c>
      <c r="G55" t="s">
        <v>34</v>
      </c>
      <c r="H55" t="s">
        <v>54</v>
      </c>
      <c r="I55" t="s">
        <v>1087</v>
      </c>
      <c r="J55" t="s">
        <v>38</v>
      </c>
      <c r="K55" t="s">
        <v>38</v>
      </c>
      <c r="L55" t="s">
        <v>40</v>
      </c>
      <c r="M55" t="s">
        <v>37</v>
      </c>
      <c r="N55" t="s">
        <v>775</v>
      </c>
      <c r="O55" t="s">
        <v>39</v>
      </c>
      <c r="P55" t="s">
        <v>38</v>
      </c>
      <c r="Q55" t="s">
        <v>38</v>
      </c>
      <c r="R55" t="s">
        <v>40</v>
      </c>
      <c r="S55" t="s">
        <v>517</v>
      </c>
      <c r="T55" t="s">
        <v>518</v>
      </c>
      <c r="U55" t="s">
        <v>519</v>
      </c>
      <c r="V55" t="s">
        <v>44</v>
      </c>
      <c r="W55" t="s">
        <v>452</v>
      </c>
      <c r="X55" t="s">
        <v>46</v>
      </c>
      <c r="AC55">
        <f>COUNTIF(C:C,QLKV_gui_ket_qua_ra_soat[[#This Row],[Mã điểm bán]])</f>
        <v>1</v>
      </c>
    </row>
    <row r="56" spans="1:29" x14ac:dyDescent="0.45">
      <c r="A56" t="s">
        <v>10783</v>
      </c>
      <c r="B56">
        <v>97</v>
      </c>
      <c r="C56" t="s">
        <v>1099</v>
      </c>
      <c r="D56" t="s">
        <v>1100</v>
      </c>
      <c r="E56" t="s">
        <v>69</v>
      </c>
      <c r="F56" t="s">
        <v>53</v>
      </c>
      <c r="G56" t="s">
        <v>34</v>
      </c>
      <c r="H56" t="s">
        <v>54</v>
      </c>
      <c r="I56" t="s">
        <v>1101</v>
      </c>
      <c r="J56" t="s">
        <v>38</v>
      </c>
      <c r="K56" t="s">
        <v>38</v>
      </c>
      <c r="L56" t="s">
        <v>40</v>
      </c>
      <c r="M56" t="s">
        <v>56</v>
      </c>
      <c r="N56" t="s">
        <v>37</v>
      </c>
      <c r="O56" t="s">
        <v>39</v>
      </c>
      <c r="P56" t="s">
        <v>38</v>
      </c>
      <c r="Q56" t="s">
        <v>38</v>
      </c>
      <c r="R56" t="s">
        <v>40</v>
      </c>
      <c r="S56" t="s">
        <v>517</v>
      </c>
      <c r="T56" t="s">
        <v>518</v>
      </c>
      <c r="U56" t="s">
        <v>519</v>
      </c>
      <c r="V56" t="s">
        <v>44</v>
      </c>
      <c r="W56" t="s">
        <v>452</v>
      </c>
      <c r="X56" t="s">
        <v>46</v>
      </c>
      <c r="AC56">
        <f>COUNTIF(C:C,QLKV_gui_ket_qua_ra_soat[[#This Row],[Mã điểm bán]])</f>
        <v>1</v>
      </c>
    </row>
    <row r="57" spans="1:29" x14ac:dyDescent="0.45">
      <c r="A57" t="s">
        <v>10783</v>
      </c>
      <c r="B57">
        <v>98</v>
      </c>
      <c r="C57" t="s">
        <v>1108</v>
      </c>
      <c r="D57" t="s">
        <v>1109</v>
      </c>
      <c r="E57" t="s">
        <v>529</v>
      </c>
      <c r="F57" t="s">
        <v>53</v>
      </c>
      <c r="G57" t="s">
        <v>34</v>
      </c>
      <c r="H57" t="s">
        <v>1052</v>
      </c>
      <c r="I57" t="s">
        <v>1110</v>
      </c>
      <c r="J57" t="s">
        <v>38</v>
      </c>
      <c r="K57" t="s">
        <v>38</v>
      </c>
      <c r="L57" t="s">
        <v>40</v>
      </c>
      <c r="M57" t="s">
        <v>56</v>
      </c>
      <c r="N57" t="s">
        <v>37</v>
      </c>
      <c r="O57" t="s">
        <v>39</v>
      </c>
      <c r="P57" t="s">
        <v>38</v>
      </c>
      <c r="Q57" t="s">
        <v>38</v>
      </c>
      <c r="R57" t="s">
        <v>40</v>
      </c>
      <c r="S57" t="s">
        <v>1111</v>
      </c>
      <c r="T57" t="s">
        <v>518</v>
      </c>
      <c r="U57" t="s">
        <v>519</v>
      </c>
      <c r="V57" t="s">
        <v>44</v>
      </c>
      <c r="W57" t="s">
        <v>452</v>
      </c>
      <c r="Z57" t="s">
        <v>46</v>
      </c>
      <c r="AA57" t="s">
        <v>570</v>
      </c>
      <c r="AB57" t="s">
        <v>238</v>
      </c>
      <c r="AC57">
        <f>COUNTIF(C:C,QLKV_gui_ket_qua_ra_soat[[#This Row],[Mã điểm bán]])</f>
        <v>1</v>
      </c>
    </row>
    <row r="58" spans="1:29" x14ac:dyDescent="0.45">
      <c r="A58" t="s">
        <v>10783</v>
      </c>
      <c r="B58">
        <v>99</v>
      </c>
      <c r="C58" t="s">
        <v>1120</v>
      </c>
      <c r="D58" t="s">
        <v>1121</v>
      </c>
      <c r="E58" t="s">
        <v>69</v>
      </c>
      <c r="F58" t="s">
        <v>53</v>
      </c>
      <c r="G58" t="s">
        <v>34</v>
      </c>
      <c r="H58" t="s">
        <v>54</v>
      </c>
      <c r="I58" t="s">
        <v>867</v>
      </c>
      <c r="J58" t="s">
        <v>38</v>
      </c>
      <c r="K58" t="s">
        <v>38</v>
      </c>
      <c r="L58" t="s">
        <v>40</v>
      </c>
      <c r="M58" t="s">
        <v>37</v>
      </c>
      <c r="N58" t="s">
        <v>56</v>
      </c>
      <c r="O58" t="s">
        <v>39</v>
      </c>
      <c r="P58" t="s">
        <v>38</v>
      </c>
      <c r="Q58" t="s">
        <v>38</v>
      </c>
      <c r="R58" t="s">
        <v>40</v>
      </c>
      <c r="S58" t="s">
        <v>517</v>
      </c>
      <c r="T58" t="s">
        <v>518</v>
      </c>
      <c r="U58" t="s">
        <v>519</v>
      </c>
      <c r="V58" t="s">
        <v>44</v>
      </c>
      <c r="W58" t="s">
        <v>452</v>
      </c>
      <c r="X58" t="s">
        <v>46</v>
      </c>
      <c r="AC58">
        <f>COUNTIF(C:C,QLKV_gui_ket_qua_ra_soat[[#This Row],[Mã điểm bán]])</f>
        <v>1</v>
      </c>
    </row>
    <row r="59" spans="1:29" x14ac:dyDescent="0.45">
      <c r="A59" t="s">
        <v>10783</v>
      </c>
      <c r="B59">
        <v>100</v>
      </c>
      <c r="C59" t="s">
        <v>1149</v>
      </c>
      <c r="D59" t="s">
        <v>1150</v>
      </c>
      <c r="E59" t="s">
        <v>157</v>
      </c>
      <c r="F59" t="s">
        <v>53</v>
      </c>
      <c r="G59" t="s">
        <v>34</v>
      </c>
      <c r="H59" t="s">
        <v>54</v>
      </c>
      <c r="I59" t="s">
        <v>1151</v>
      </c>
      <c r="J59" t="s">
        <v>38</v>
      </c>
      <c r="K59" t="s">
        <v>38</v>
      </c>
      <c r="L59" t="s">
        <v>40</v>
      </c>
      <c r="M59" t="s">
        <v>37</v>
      </c>
      <c r="N59" t="s">
        <v>56</v>
      </c>
      <c r="O59" t="s">
        <v>39</v>
      </c>
      <c r="P59" t="s">
        <v>38</v>
      </c>
      <c r="Q59" t="s">
        <v>38</v>
      </c>
      <c r="R59" t="s">
        <v>40</v>
      </c>
      <c r="S59" t="s">
        <v>517</v>
      </c>
      <c r="T59" t="s">
        <v>518</v>
      </c>
      <c r="U59" t="s">
        <v>519</v>
      </c>
      <c r="V59" t="s">
        <v>44</v>
      </c>
      <c r="W59" t="s">
        <v>452</v>
      </c>
      <c r="X59" t="s">
        <v>46</v>
      </c>
      <c r="AC59">
        <f>COUNTIF(C:C,QLKV_gui_ket_qua_ra_soat[[#This Row],[Mã điểm bán]])</f>
        <v>1</v>
      </c>
    </row>
    <row r="60" spans="1:29" x14ac:dyDescent="0.45">
      <c r="A60" t="s">
        <v>10783</v>
      </c>
      <c r="B60">
        <v>101</v>
      </c>
      <c r="C60" t="s">
        <v>1243</v>
      </c>
      <c r="D60" t="s">
        <v>1244</v>
      </c>
      <c r="E60" t="s">
        <v>499</v>
      </c>
      <c r="F60" t="s">
        <v>53</v>
      </c>
      <c r="G60" t="s">
        <v>34</v>
      </c>
      <c r="H60" t="s">
        <v>54</v>
      </c>
      <c r="I60" t="s">
        <v>1101</v>
      </c>
      <c r="J60" t="s">
        <v>38</v>
      </c>
      <c r="K60" t="s">
        <v>38</v>
      </c>
      <c r="L60" t="s">
        <v>40</v>
      </c>
      <c r="M60" t="s">
        <v>37</v>
      </c>
      <c r="N60" t="s">
        <v>56</v>
      </c>
      <c r="O60" t="s">
        <v>39</v>
      </c>
      <c r="P60" t="s">
        <v>38</v>
      </c>
      <c r="Q60" t="s">
        <v>38</v>
      </c>
      <c r="R60" t="s">
        <v>40</v>
      </c>
      <c r="S60" t="s">
        <v>517</v>
      </c>
      <c r="T60" t="s">
        <v>518</v>
      </c>
      <c r="U60" t="s">
        <v>519</v>
      </c>
      <c r="V60" t="s">
        <v>44</v>
      </c>
      <c r="W60" t="s">
        <v>452</v>
      </c>
      <c r="X60" t="s">
        <v>46</v>
      </c>
      <c r="AC60">
        <f>COUNTIF(C:C,QLKV_gui_ket_qua_ra_soat[[#This Row],[Mã điểm bán]])</f>
        <v>1</v>
      </c>
    </row>
    <row r="61" spans="1:29" x14ac:dyDescent="0.45">
      <c r="A61" t="s">
        <v>10783</v>
      </c>
      <c r="B61">
        <v>102</v>
      </c>
      <c r="C61" t="s">
        <v>1261</v>
      </c>
      <c r="D61" t="s">
        <v>1262</v>
      </c>
      <c r="E61" t="s">
        <v>64</v>
      </c>
      <c r="F61" t="s">
        <v>53</v>
      </c>
      <c r="G61" t="s">
        <v>34</v>
      </c>
      <c r="H61" t="s">
        <v>1263</v>
      </c>
      <c r="I61" t="s">
        <v>1264</v>
      </c>
      <c r="J61" t="s">
        <v>38</v>
      </c>
      <c r="K61" t="s">
        <v>38</v>
      </c>
      <c r="L61" t="s">
        <v>40</v>
      </c>
      <c r="M61" t="s">
        <v>56</v>
      </c>
      <c r="N61" t="s">
        <v>37</v>
      </c>
      <c r="O61" t="s">
        <v>39</v>
      </c>
      <c r="P61" t="s">
        <v>38</v>
      </c>
      <c r="Q61" t="s">
        <v>38</v>
      </c>
      <c r="R61" t="s">
        <v>40</v>
      </c>
      <c r="S61" t="s">
        <v>517</v>
      </c>
      <c r="T61" t="s">
        <v>518</v>
      </c>
      <c r="U61" t="s">
        <v>519</v>
      </c>
      <c r="V61" t="s">
        <v>44</v>
      </c>
      <c r="W61" t="s">
        <v>452</v>
      </c>
      <c r="X61" t="s">
        <v>46</v>
      </c>
      <c r="AC61">
        <f>COUNTIF(C:C,QLKV_gui_ket_qua_ra_soat[[#This Row],[Mã điểm bán]])</f>
        <v>1</v>
      </c>
    </row>
    <row r="62" spans="1:29" x14ac:dyDescent="0.45">
      <c r="A62" t="s">
        <v>10783</v>
      </c>
      <c r="B62">
        <v>103</v>
      </c>
      <c r="C62" t="s">
        <v>1270</v>
      </c>
      <c r="D62" t="s">
        <v>1271</v>
      </c>
      <c r="E62" t="s">
        <v>64</v>
      </c>
      <c r="F62" t="s">
        <v>53</v>
      </c>
      <c r="G62" t="s">
        <v>34</v>
      </c>
      <c r="H62" t="s">
        <v>54</v>
      </c>
      <c r="I62" t="s">
        <v>1272</v>
      </c>
      <c r="J62" t="s">
        <v>38</v>
      </c>
      <c r="K62" t="s">
        <v>38</v>
      </c>
      <c r="L62" t="s">
        <v>40</v>
      </c>
      <c r="M62" t="s">
        <v>56</v>
      </c>
      <c r="N62" t="s">
        <v>37</v>
      </c>
      <c r="O62" t="s">
        <v>39</v>
      </c>
      <c r="P62" t="s">
        <v>38</v>
      </c>
      <c r="Q62" t="s">
        <v>38</v>
      </c>
      <c r="R62" t="s">
        <v>40</v>
      </c>
      <c r="S62" t="s">
        <v>517</v>
      </c>
      <c r="T62" t="s">
        <v>518</v>
      </c>
      <c r="U62" t="s">
        <v>519</v>
      </c>
      <c r="V62" t="s">
        <v>44</v>
      </c>
      <c r="W62" t="s">
        <v>452</v>
      </c>
      <c r="X62" t="s">
        <v>46</v>
      </c>
      <c r="AC62">
        <f>COUNTIF(C:C,QLKV_gui_ket_qua_ra_soat[[#This Row],[Mã điểm bán]])</f>
        <v>1</v>
      </c>
    </row>
    <row r="63" spans="1:29" x14ac:dyDescent="0.45">
      <c r="A63" t="s">
        <v>10783</v>
      </c>
      <c r="B63">
        <v>104</v>
      </c>
      <c r="C63" t="s">
        <v>1283</v>
      </c>
      <c r="D63" t="s">
        <v>1284</v>
      </c>
      <c r="E63" t="s">
        <v>69</v>
      </c>
      <c r="F63" t="s">
        <v>53</v>
      </c>
      <c r="G63" t="s">
        <v>34</v>
      </c>
      <c r="H63" t="s">
        <v>54</v>
      </c>
      <c r="I63" t="s">
        <v>944</v>
      </c>
      <c r="J63" t="s">
        <v>38</v>
      </c>
      <c r="K63" t="s">
        <v>38</v>
      </c>
      <c r="L63" t="s">
        <v>40</v>
      </c>
      <c r="M63" t="s">
        <v>37</v>
      </c>
      <c r="N63" t="s">
        <v>56</v>
      </c>
      <c r="O63" t="s">
        <v>39</v>
      </c>
      <c r="P63" t="s">
        <v>38</v>
      </c>
      <c r="Q63" t="s">
        <v>38</v>
      </c>
      <c r="R63" t="s">
        <v>40</v>
      </c>
      <c r="S63" t="s">
        <v>517</v>
      </c>
      <c r="T63" t="s">
        <v>518</v>
      </c>
      <c r="U63" t="s">
        <v>519</v>
      </c>
      <c r="V63" t="s">
        <v>44</v>
      </c>
      <c r="W63" t="s">
        <v>452</v>
      </c>
      <c r="X63" t="s">
        <v>46</v>
      </c>
      <c r="AC63">
        <f>COUNTIF(C:C,QLKV_gui_ket_qua_ra_soat[[#This Row],[Mã điểm bán]])</f>
        <v>1</v>
      </c>
    </row>
    <row r="64" spans="1:29" x14ac:dyDescent="0.45">
      <c r="A64" t="s">
        <v>10783</v>
      </c>
      <c r="B64">
        <v>105</v>
      </c>
      <c r="C64" t="s">
        <v>1289</v>
      </c>
      <c r="D64" t="s">
        <v>1290</v>
      </c>
      <c r="E64" t="s">
        <v>64</v>
      </c>
      <c r="F64" t="s">
        <v>53</v>
      </c>
      <c r="G64" t="s">
        <v>34</v>
      </c>
      <c r="H64" t="s">
        <v>54</v>
      </c>
      <c r="I64" t="s">
        <v>944</v>
      </c>
      <c r="J64" t="s">
        <v>38</v>
      </c>
      <c r="K64" t="s">
        <v>38</v>
      </c>
      <c r="L64" t="s">
        <v>40</v>
      </c>
      <c r="M64" t="s">
        <v>775</v>
      </c>
      <c r="N64" t="s">
        <v>37</v>
      </c>
      <c r="O64" t="s">
        <v>39</v>
      </c>
      <c r="P64" t="s">
        <v>38</v>
      </c>
      <c r="Q64" t="s">
        <v>38</v>
      </c>
      <c r="R64" t="s">
        <v>40</v>
      </c>
      <c r="S64" t="s">
        <v>1291</v>
      </c>
      <c r="T64" t="s">
        <v>518</v>
      </c>
      <c r="U64" t="s">
        <v>519</v>
      </c>
      <c r="V64" t="s">
        <v>44</v>
      </c>
      <c r="W64" t="s">
        <v>452</v>
      </c>
      <c r="X64" t="s">
        <v>46</v>
      </c>
      <c r="AC64">
        <f>COUNTIF(C:C,QLKV_gui_ket_qua_ra_soat[[#This Row],[Mã điểm bán]])</f>
        <v>1</v>
      </c>
    </row>
    <row r="65" spans="1:29" x14ac:dyDescent="0.45">
      <c r="A65" t="s">
        <v>10783</v>
      </c>
      <c r="B65">
        <v>106</v>
      </c>
      <c r="C65" t="s">
        <v>1315</v>
      </c>
      <c r="D65" t="s">
        <v>1316</v>
      </c>
      <c r="E65" t="s">
        <v>109</v>
      </c>
      <c r="F65" t="s">
        <v>53</v>
      </c>
      <c r="G65" t="s">
        <v>34</v>
      </c>
      <c r="H65" t="s">
        <v>54</v>
      </c>
      <c r="I65" t="s">
        <v>944</v>
      </c>
      <c r="J65" t="s">
        <v>38</v>
      </c>
      <c r="K65" t="s">
        <v>38</v>
      </c>
      <c r="L65" t="s">
        <v>40</v>
      </c>
      <c r="M65" t="s">
        <v>37</v>
      </c>
      <c r="N65" t="s">
        <v>56</v>
      </c>
      <c r="O65" t="s">
        <v>39</v>
      </c>
      <c r="P65" t="s">
        <v>38</v>
      </c>
      <c r="Q65" t="s">
        <v>38</v>
      </c>
      <c r="R65" t="s">
        <v>40</v>
      </c>
      <c r="S65" t="s">
        <v>517</v>
      </c>
      <c r="T65" t="s">
        <v>518</v>
      </c>
      <c r="U65" t="s">
        <v>519</v>
      </c>
      <c r="V65" t="s">
        <v>44</v>
      </c>
      <c r="W65" t="s">
        <v>452</v>
      </c>
      <c r="Z65" t="s">
        <v>46</v>
      </c>
      <c r="AA65" t="s">
        <v>570</v>
      </c>
      <c r="AB65" t="s">
        <v>238</v>
      </c>
      <c r="AC65">
        <f>COUNTIF(C:C,QLKV_gui_ket_qua_ra_soat[[#This Row],[Mã điểm bán]])</f>
        <v>1</v>
      </c>
    </row>
    <row r="66" spans="1:29" x14ac:dyDescent="0.45">
      <c r="A66" t="s">
        <v>10783</v>
      </c>
      <c r="B66">
        <v>107</v>
      </c>
      <c r="C66" t="s">
        <v>1379</v>
      </c>
      <c r="D66" t="s">
        <v>1380</v>
      </c>
      <c r="E66" t="s">
        <v>176</v>
      </c>
      <c r="F66" t="s">
        <v>666</v>
      </c>
      <c r="G66" t="s">
        <v>34</v>
      </c>
      <c r="H66" t="s">
        <v>54</v>
      </c>
      <c r="I66" t="s">
        <v>1381</v>
      </c>
      <c r="J66" t="s">
        <v>38</v>
      </c>
      <c r="K66" t="s">
        <v>38</v>
      </c>
      <c r="L66" t="s">
        <v>40</v>
      </c>
      <c r="M66" t="s">
        <v>56</v>
      </c>
      <c r="N66" t="s">
        <v>56</v>
      </c>
      <c r="O66" t="s">
        <v>39</v>
      </c>
      <c r="P66" t="s">
        <v>38</v>
      </c>
      <c r="Q66" t="s">
        <v>38</v>
      </c>
      <c r="R66" t="s">
        <v>40</v>
      </c>
      <c r="S66" t="s">
        <v>1111</v>
      </c>
      <c r="T66" t="s">
        <v>518</v>
      </c>
      <c r="U66" t="s">
        <v>519</v>
      </c>
      <c r="V66" t="s">
        <v>44</v>
      </c>
      <c r="W66" t="s">
        <v>452</v>
      </c>
      <c r="X66" t="s">
        <v>46</v>
      </c>
      <c r="AC66">
        <f>COUNTIF(C:C,QLKV_gui_ket_qua_ra_soat[[#This Row],[Mã điểm bán]])</f>
        <v>1</v>
      </c>
    </row>
    <row r="67" spans="1:29" x14ac:dyDescent="0.45">
      <c r="A67" t="s">
        <v>10783</v>
      </c>
      <c r="B67">
        <v>108</v>
      </c>
      <c r="C67" t="s">
        <v>1417</v>
      </c>
      <c r="D67" t="s">
        <v>1418</v>
      </c>
      <c r="E67" t="s">
        <v>64</v>
      </c>
      <c r="F67" t="s">
        <v>53</v>
      </c>
      <c r="G67" t="s">
        <v>34</v>
      </c>
      <c r="H67" t="s">
        <v>54</v>
      </c>
      <c r="I67" t="s">
        <v>1419</v>
      </c>
      <c r="J67" t="s">
        <v>38</v>
      </c>
      <c r="K67" t="s">
        <v>38</v>
      </c>
      <c r="L67" t="s">
        <v>40</v>
      </c>
      <c r="M67" t="s">
        <v>37</v>
      </c>
      <c r="N67" t="s">
        <v>56</v>
      </c>
      <c r="O67" t="s">
        <v>39</v>
      </c>
      <c r="P67" t="s">
        <v>38</v>
      </c>
      <c r="Q67" t="s">
        <v>38</v>
      </c>
      <c r="R67" t="s">
        <v>40</v>
      </c>
      <c r="S67" t="s">
        <v>1420</v>
      </c>
      <c r="T67" t="s">
        <v>518</v>
      </c>
      <c r="U67" t="s">
        <v>519</v>
      </c>
      <c r="V67" t="s">
        <v>44</v>
      </c>
      <c r="W67" t="s">
        <v>452</v>
      </c>
      <c r="X67" t="s">
        <v>46</v>
      </c>
      <c r="AC67">
        <f>COUNTIF(C:C,QLKV_gui_ket_qua_ra_soat[[#This Row],[Mã điểm bán]])</f>
        <v>1</v>
      </c>
    </row>
    <row r="68" spans="1:29" x14ac:dyDescent="0.45">
      <c r="A68" t="s">
        <v>10783</v>
      </c>
      <c r="B68">
        <v>109</v>
      </c>
      <c r="C68" t="s">
        <v>1430</v>
      </c>
      <c r="D68" t="s">
        <v>1431</v>
      </c>
      <c r="E68" t="s">
        <v>64</v>
      </c>
      <c r="F68" t="s">
        <v>53</v>
      </c>
      <c r="G68" t="s">
        <v>34</v>
      </c>
      <c r="H68" t="s">
        <v>54</v>
      </c>
      <c r="I68" t="s">
        <v>1432</v>
      </c>
      <c r="J68" t="s">
        <v>38</v>
      </c>
      <c r="K68" t="s">
        <v>38</v>
      </c>
      <c r="L68" t="s">
        <v>40</v>
      </c>
      <c r="M68" t="s">
        <v>37</v>
      </c>
      <c r="N68" t="s">
        <v>56</v>
      </c>
      <c r="O68" t="s">
        <v>39</v>
      </c>
      <c r="P68" t="s">
        <v>38</v>
      </c>
      <c r="Q68" t="s">
        <v>38</v>
      </c>
      <c r="R68" t="s">
        <v>40</v>
      </c>
      <c r="S68" t="s">
        <v>1433</v>
      </c>
      <c r="T68" t="s">
        <v>518</v>
      </c>
      <c r="U68" t="s">
        <v>519</v>
      </c>
      <c r="V68" t="s">
        <v>44</v>
      </c>
      <c r="W68" t="s">
        <v>452</v>
      </c>
      <c r="X68" t="s">
        <v>46</v>
      </c>
      <c r="AC68">
        <f>COUNTIF(C:C,QLKV_gui_ket_qua_ra_soat[[#This Row],[Mã điểm bán]])</f>
        <v>1</v>
      </c>
    </row>
    <row r="69" spans="1:29" x14ac:dyDescent="0.45">
      <c r="A69" t="s">
        <v>10783</v>
      </c>
      <c r="B69">
        <v>110</v>
      </c>
      <c r="C69" t="s">
        <v>1456</v>
      </c>
      <c r="D69" t="s">
        <v>1457</v>
      </c>
      <c r="E69" t="s">
        <v>176</v>
      </c>
      <c r="F69" t="s">
        <v>53</v>
      </c>
      <c r="G69" t="s">
        <v>1458</v>
      </c>
      <c r="H69" t="s">
        <v>54</v>
      </c>
      <c r="I69" t="s">
        <v>1459</v>
      </c>
      <c r="J69" t="s">
        <v>38</v>
      </c>
      <c r="K69" t="s">
        <v>37</v>
      </c>
      <c r="L69" t="s">
        <v>40</v>
      </c>
      <c r="M69" t="s">
        <v>37</v>
      </c>
      <c r="N69" t="s">
        <v>56</v>
      </c>
      <c r="O69" t="s">
        <v>39</v>
      </c>
      <c r="P69" t="s">
        <v>38</v>
      </c>
      <c r="Q69" t="s">
        <v>38</v>
      </c>
      <c r="R69" t="s">
        <v>40</v>
      </c>
      <c r="S69" t="s">
        <v>1460</v>
      </c>
      <c r="T69" t="s">
        <v>518</v>
      </c>
      <c r="U69" t="s">
        <v>519</v>
      </c>
      <c r="V69" t="s">
        <v>44</v>
      </c>
      <c r="W69" t="s">
        <v>452</v>
      </c>
      <c r="Z69" t="s">
        <v>46</v>
      </c>
      <c r="AA69" t="s">
        <v>570</v>
      </c>
      <c r="AB69" t="s">
        <v>238</v>
      </c>
      <c r="AC69">
        <f>COUNTIF(C:C,QLKV_gui_ket_qua_ra_soat[[#This Row],[Mã điểm bán]])</f>
        <v>1</v>
      </c>
    </row>
    <row r="70" spans="1:29" x14ac:dyDescent="0.45">
      <c r="A70" t="s">
        <v>10783</v>
      </c>
      <c r="B70">
        <v>111</v>
      </c>
      <c r="C70" t="s">
        <v>1466</v>
      </c>
      <c r="D70" t="s">
        <v>1467</v>
      </c>
      <c r="E70" t="s">
        <v>64</v>
      </c>
      <c r="F70" t="s">
        <v>53</v>
      </c>
      <c r="G70" t="s">
        <v>1458</v>
      </c>
      <c r="H70" t="s">
        <v>54</v>
      </c>
      <c r="I70" t="s">
        <v>1468</v>
      </c>
      <c r="J70" t="s">
        <v>38</v>
      </c>
      <c r="K70" t="s">
        <v>38</v>
      </c>
      <c r="L70" t="s">
        <v>40</v>
      </c>
      <c r="M70" t="s">
        <v>38</v>
      </c>
      <c r="N70" t="s">
        <v>38</v>
      </c>
      <c r="O70" t="s">
        <v>40</v>
      </c>
      <c r="P70" t="s">
        <v>38</v>
      </c>
      <c r="Q70" t="s">
        <v>38</v>
      </c>
      <c r="R70" t="s">
        <v>40</v>
      </c>
      <c r="S70" t="s">
        <v>1291</v>
      </c>
      <c r="T70" t="s">
        <v>518</v>
      </c>
      <c r="U70" t="s">
        <v>519</v>
      </c>
      <c r="V70" t="s">
        <v>44</v>
      </c>
      <c r="W70" t="s">
        <v>452</v>
      </c>
      <c r="Z70" t="s">
        <v>46</v>
      </c>
      <c r="AA70" t="s">
        <v>570</v>
      </c>
      <c r="AB70" t="s">
        <v>238</v>
      </c>
      <c r="AC70">
        <f>COUNTIF(C:C,QLKV_gui_ket_qua_ra_soat[[#This Row],[Mã điểm bán]])</f>
        <v>1</v>
      </c>
    </row>
    <row r="71" spans="1:29" x14ac:dyDescent="0.45">
      <c r="A71" t="s">
        <v>10783</v>
      </c>
      <c r="B71">
        <v>112</v>
      </c>
      <c r="C71" t="s">
        <v>1490</v>
      </c>
      <c r="D71" t="s">
        <v>1491</v>
      </c>
      <c r="E71" t="s">
        <v>32</v>
      </c>
      <c r="F71" t="s">
        <v>1493</v>
      </c>
      <c r="G71" t="s">
        <v>1458</v>
      </c>
      <c r="H71" t="s">
        <v>1494</v>
      </c>
      <c r="I71" t="s">
        <v>1495</v>
      </c>
      <c r="J71" t="s">
        <v>38</v>
      </c>
      <c r="K71" t="s">
        <v>38</v>
      </c>
      <c r="L71" t="s">
        <v>40</v>
      </c>
      <c r="M71" t="s">
        <v>56</v>
      </c>
      <c r="N71" t="s">
        <v>37</v>
      </c>
      <c r="O71" t="s">
        <v>39</v>
      </c>
      <c r="P71" t="s">
        <v>38</v>
      </c>
      <c r="Q71" t="s">
        <v>37</v>
      </c>
      <c r="R71" t="s">
        <v>40</v>
      </c>
      <c r="S71" t="s">
        <v>1496</v>
      </c>
      <c r="T71" t="s">
        <v>518</v>
      </c>
      <c r="U71" t="s">
        <v>519</v>
      </c>
      <c r="V71" t="s">
        <v>44</v>
      </c>
      <c r="W71" t="s">
        <v>452</v>
      </c>
      <c r="Z71" t="s">
        <v>46</v>
      </c>
      <c r="AA71" t="s">
        <v>570</v>
      </c>
      <c r="AB71" t="s">
        <v>238</v>
      </c>
      <c r="AC71">
        <f>COUNTIF(C:C,QLKV_gui_ket_qua_ra_soat[[#This Row],[Mã điểm bán]])</f>
        <v>1</v>
      </c>
    </row>
    <row r="72" spans="1:29" x14ac:dyDescent="0.45">
      <c r="A72" t="s">
        <v>10783</v>
      </c>
      <c r="B72">
        <v>113</v>
      </c>
      <c r="C72" t="s">
        <v>1497</v>
      </c>
      <c r="D72" t="s">
        <v>1498</v>
      </c>
      <c r="E72" t="s">
        <v>68</v>
      </c>
      <c r="F72" t="s">
        <v>53</v>
      </c>
      <c r="G72" t="s">
        <v>1458</v>
      </c>
      <c r="H72" t="s">
        <v>54</v>
      </c>
      <c r="I72" t="s">
        <v>1499</v>
      </c>
      <c r="J72" t="s">
        <v>38</v>
      </c>
      <c r="K72" t="s">
        <v>38</v>
      </c>
      <c r="L72" t="s">
        <v>40</v>
      </c>
      <c r="M72" t="s">
        <v>37</v>
      </c>
      <c r="N72" t="s">
        <v>56</v>
      </c>
      <c r="O72" t="s">
        <v>39</v>
      </c>
      <c r="P72" t="s">
        <v>38</v>
      </c>
      <c r="Q72" t="s">
        <v>38</v>
      </c>
      <c r="R72" t="s">
        <v>40</v>
      </c>
      <c r="S72" t="s">
        <v>1500</v>
      </c>
      <c r="T72" t="s">
        <v>518</v>
      </c>
      <c r="U72" t="s">
        <v>519</v>
      </c>
      <c r="V72" t="s">
        <v>44</v>
      </c>
      <c r="W72" t="s">
        <v>452</v>
      </c>
      <c r="X72" t="s">
        <v>46</v>
      </c>
      <c r="AC72">
        <f>COUNTIF(C:C,QLKV_gui_ket_qua_ra_soat[[#This Row],[Mã điểm bán]])</f>
        <v>1</v>
      </c>
    </row>
    <row r="73" spans="1:29" x14ac:dyDescent="0.45">
      <c r="A73" t="s">
        <v>10783</v>
      </c>
      <c r="B73">
        <v>114</v>
      </c>
      <c r="C73" t="s">
        <v>1515</v>
      </c>
      <c r="D73" t="s">
        <v>1516</v>
      </c>
      <c r="E73" t="s">
        <v>304</v>
      </c>
      <c r="F73" t="s">
        <v>53</v>
      </c>
      <c r="G73" t="s">
        <v>1458</v>
      </c>
      <c r="H73" t="s">
        <v>54</v>
      </c>
      <c r="I73" t="s">
        <v>944</v>
      </c>
      <c r="J73" t="s">
        <v>38</v>
      </c>
      <c r="K73" t="s">
        <v>38</v>
      </c>
      <c r="L73" t="s">
        <v>40</v>
      </c>
      <c r="M73" t="s">
        <v>37</v>
      </c>
      <c r="N73" t="s">
        <v>37</v>
      </c>
      <c r="O73" t="s">
        <v>40</v>
      </c>
      <c r="P73" t="s">
        <v>38</v>
      </c>
      <c r="Q73" t="s">
        <v>38</v>
      </c>
      <c r="R73" t="s">
        <v>40</v>
      </c>
      <c r="S73" t="s">
        <v>1291</v>
      </c>
      <c r="T73" t="s">
        <v>518</v>
      </c>
      <c r="U73" t="s">
        <v>519</v>
      </c>
      <c r="V73" t="s">
        <v>44</v>
      </c>
      <c r="W73" t="s">
        <v>452</v>
      </c>
      <c r="X73" t="s">
        <v>46</v>
      </c>
      <c r="AC73">
        <f>COUNTIF(C:C,QLKV_gui_ket_qua_ra_soat[[#This Row],[Mã điểm bán]])</f>
        <v>1</v>
      </c>
    </row>
    <row r="74" spans="1:29" x14ac:dyDescent="0.45">
      <c r="A74" t="s">
        <v>10783</v>
      </c>
      <c r="B74">
        <v>115</v>
      </c>
      <c r="C74" t="s">
        <v>1529</v>
      </c>
      <c r="D74" t="s">
        <v>1530</v>
      </c>
      <c r="E74" t="s">
        <v>176</v>
      </c>
      <c r="F74" t="s">
        <v>53</v>
      </c>
      <c r="G74" t="s">
        <v>1458</v>
      </c>
      <c r="H74" t="s">
        <v>54</v>
      </c>
      <c r="I74" t="s">
        <v>1468</v>
      </c>
      <c r="J74" t="s">
        <v>37</v>
      </c>
      <c r="K74" t="s">
        <v>38</v>
      </c>
      <c r="L74" t="s">
        <v>40</v>
      </c>
      <c r="M74" t="s">
        <v>37</v>
      </c>
      <c r="N74" t="s">
        <v>37</v>
      </c>
      <c r="O74" t="s">
        <v>40</v>
      </c>
      <c r="P74" t="s">
        <v>38</v>
      </c>
      <c r="Q74" t="s">
        <v>37</v>
      </c>
      <c r="R74" t="s">
        <v>40</v>
      </c>
      <c r="S74" t="s">
        <v>1531</v>
      </c>
      <c r="T74" t="s">
        <v>518</v>
      </c>
      <c r="U74" t="s">
        <v>519</v>
      </c>
      <c r="V74" t="s">
        <v>44</v>
      </c>
      <c r="W74" t="s">
        <v>452</v>
      </c>
      <c r="X74" t="s">
        <v>46</v>
      </c>
      <c r="AC74">
        <f>COUNTIF(C:C,QLKV_gui_ket_qua_ra_soat[[#This Row],[Mã điểm bán]])</f>
        <v>1</v>
      </c>
    </row>
    <row r="75" spans="1:29" x14ac:dyDescent="0.45">
      <c r="A75" t="s">
        <v>10783</v>
      </c>
      <c r="B75">
        <v>116</v>
      </c>
      <c r="C75" t="s">
        <v>1548</v>
      </c>
      <c r="D75" t="s">
        <v>1549</v>
      </c>
      <c r="E75" t="s">
        <v>206</v>
      </c>
      <c r="F75" t="s">
        <v>666</v>
      </c>
      <c r="G75" t="s">
        <v>1458</v>
      </c>
      <c r="H75" t="s">
        <v>214</v>
      </c>
      <c r="I75" t="s">
        <v>1550</v>
      </c>
      <c r="J75" t="s">
        <v>38</v>
      </c>
      <c r="K75" t="s">
        <v>38</v>
      </c>
      <c r="L75" t="s">
        <v>40</v>
      </c>
      <c r="M75" t="s">
        <v>37</v>
      </c>
      <c r="N75" t="s">
        <v>56</v>
      </c>
      <c r="O75" t="s">
        <v>39</v>
      </c>
      <c r="P75" t="s">
        <v>38</v>
      </c>
      <c r="Q75" t="s">
        <v>38</v>
      </c>
      <c r="R75" t="s">
        <v>40</v>
      </c>
      <c r="S75" t="s">
        <v>1551</v>
      </c>
      <c r="T75" t="s">
        <v>518</v>
      </c>
      <c r="U75" t="s">
        <v>519</v>
      </c>
      <c r="V75" t="s">
        <v>44</v>
      </c>
      <c r="W75" t="s">
        <v>452</v>
      </c>
      <c r="X75" t="s">
        <v>46</v>
      </c>
      <c r="AC75">
        <f>COUNTIF(C:C,QLKV_gui_ket_qua_ra_soat[[#This Row],[Mã điểm bán]])</f>
        <v>1</v>
      </c>
    </row>
    <row r="76" spans="1:29" x14ac:dyDescent="0.45">
      <c r="A76" t="s">
        <v>10783</v>
      </c>
      <c r="B76">
        <v>117</v>
      </c>
      <c r="C76" t="s">
        <v>1571</v>
      </c>
      <c r="D76" t="s">
        <v>1572</v>
      </c>
      <c r="E76" t="s">
        <v>128</v>
      </c>
      <c r="F76" t="s">
        <v>1573</v>
      </c>
      <c r="G76" t="s">
        <v>1458</v>
      </c>
      <c r="H76" t="s">
        <v>1574</v>
      </c>
      <c r="I76" t="s">
        <v>1575</v>
      </c>
      <c r="J76" t="s">
        <v>38</v>
      </c>
      <c r="K76" t="s">
        <v>38</v>
      </c>
      <c r="L76" t="s">
        <v>39</v>
      </c>
      <c r="M76" t="s">
        <v>38</v>
      </c>
      <c r="N76" t="s">
        <v>56</v>
      </c>
      <c r="O76" t="s">
        <v>39</v>
      </c>
      <c r="P76" t="s">
        <v>38</v>
      </c>
      <c r="Q76" t="s">
        <v>38</v>
      </c>
      <c r="R76" t="s">
        <v>39</v>
      </c>
      <c r="S76" t="s">
        <v>1576</v>
      </c>
      <c r="T76" t="s">
        <v>518</v>
      </c>
      <c r="U76" t="s">
        <v>519</v>
      </c>
      <c r="V76" t="s">
        <v>44</v>
      </c>
      <c r="W76" t="s">
        <v>452</v>
      </c>
      <c r="AA76" t="s">
        <v>570</v>
      </c>
      <c r="AB76" t="s">
        <v>238</v>
      </c>
      <c r="AC76">
        <f>COUNTIF(C:C,QLKV_gui_ket_qua_ra_soat[[#This Row],[Mã điểm bán]])</f>
        <v>1</v>
      </c>
    </row>
    <row r="77" spans="1:29" x14ac:dyDescent="0.45">
      <c r="A77" t="s">
        <v>10783</v>
      </c>
      <c r="B77">
        <v>118</v>
      </c>
      <c r="C77" t="s">
        <v>1581</v>
      </c>
      <c r="D77" t="s">
        <v>1582</v>
      </c>
      <c r="E77" t="s">
        <v>108</v>
      </c>
      <c r="F77" t="s">
        <v>53</v>
      </c>
      <c r="G77" t="s">
        <v>1458</v>
      </c>
      <c r="H77" t="s">
        <v>1188</v>
      </c>
      <c r="I77" t="s">
        <v>1583</v>
      </c>
      <c r="J77" t="s">
        <v>37</v>
      </c>
      <c r="K77" t="s">
        <v>38</v>
      </c>
      <c r="L77" t="s">
        <v>40</v>
      </c>
      <c r="M77" t="s">
        <v>37</v>
      </c>
      <c r="N77" t="s">
        <v>56</v>
      </c>
      <c r="O77" t="s">
        <v>40</v>
      </c>
      <c r="P77" t="s">
        <v>38</v>
      </c>
      <c r="Q77" t="s">
        <v>38</v>
      </c>
      <c r="R77" t="s">
        <v>39</v>
      </c>
      <c r="S77" t="s">
        <v>1584</v>
      </c>
      <c r="T77" t="s">
        <v>518</v>
      </c>
      <c r="U77" t="s">
        <v>519</v>
      </c>
      <c r="V77" t="s">
        <v>44</v>
      </c>
      <c r="W77" t="s">
        <v>452</v>
      </c>
      <c r="AA77" t="s">
        <v>570</v>
      </c>
      <c r="AB77" t="s">
        <v>238</v>
      </c>
      <c r="AC77">
        <f>COUNTIF(C:C,QLKV_gui_ket_qua_ra_soat[[#This Row],[Mã điểm bán]])</f>
        <v>1</v>
      </c>
    </row>
    <row r="78" spans="1:29" x14ac:dyDescent="0.45">
      <c r="A78" t="s">
        <v>10783</v>
      </c>
      <c r="B78">
        <v>149</v>
      </c>
      <c r="C78" t="s">
        <v>229</v>
      </c>
      <c r="D78" t="s">
        <v>230</v>
      </c>
      <c r="E78" t="s">
        <v>108</v>
      </c>
      <c r="F78" t="s">
        <v>53</v>
      </c>
      <c r="G78" t="s">
        <v>34</v>
      </c>
      <c r="H78" t="s">
        <v>54</v>
      </c>
      <c r="I78" t="s">
        <v>231</v>
      </c>
      <c r="J78" t="s">
        <v>38</v>
      </c>
      <c r="K78" t="s">
        <v>38</v>
      </c>
      <c r="L78" t="s">
        <v>40</v>
      </c>
      <c r="M78" t="s">
        <v>38</v>
      </c>
      <c r="N78" t="s">
        <v>38</v>
      </c>
      <c r="O78" t="s">
        <v>40</v>
      </c>
      <c r="P78" t="s">
        <v>38</v>
      </c>
      <c r="Q78" t="s">
        <v>38</v>
      </c>
      <c r="R78" t="s">
        <v>40</v>
      </c>
      <c r="S78" t="s">
        <v>41</v>
      </c>
      <c r="T78" t="s">
        <v>232</v>
      </c>
      <c r="U78" t="s">
        <v>233</v>
      </c>
      <c r="V78" t="s">
        <v>44</v>
      </c>
      <c r="W78" t="s">
        <v>234</v>
      </c>
      <c r="X78" t="s">
        <v>46</v>
      </c>
      <c r="AC78">
        <f>COUNTIF(C:C,QLKV_gui_ket_qua_ra_soat[[#This Row],[Mã điểm bán]])</f>
        <v>1</v>
      </c>
    </row>
    <row r="79" spans="1:29" x14ac:dyDescent="0.45">
      <c r="A79" t="s">
        <v>10783</v>
      </c>
      <c r="B79">
        <v>150</v>
      </c>
      <c r="C79" t="s">
        <v>336</v>
      </c>
      <c r="D79" t="s">
        <v>337</v>
      </c>
      <c r="E79" t="s">
        <v>307</v>
      </c>
      <c r="F79" t="s">
        <v>339</v>
      </c>
      <c r="G79" t="s">
        <v>34</v>
      </c>
      <c r="H79" t="s">
        <v>340</v>
      </c>
      <c r="I79" t="s">
        <v>341</v>
      </c>
      <c r="J79" t="s">
        <v>38</v>
      </c>
      <c r="K79" t="s">
        <v>38</v>
      </c>
      <c r="L79" t="s">
        <v>40</v>
      </c>
      <c r="M79" t="s">
        <v>38</v>
      </c>
      <c r="N79" t="s">
        <v>38</v>
      </c>
      <c r="O79" t="s">
        <v>40</v>
      </c>
      <c r="P79" t="s">
        <v>38</v>
      </c>
      <c r="Q79" t="s">
        <v>38</v>
      </c>
      <c r="R79" t="s">
        <v>40</v>
      </c>
      <c r="S79" t="s">
        <v>41</v>
      </c>
      <c r="T79" t="s">
        <v>232</v>
      </c>
      <c r="U79" t="s">
        <v>233</v>
      </c>
      <c r="V79" t="s">
        <v>44</v>
      </c>
      <c r="W79" t="s">
        <v>234</v>
      </c>
      <c r="Z79" t="s">
        <v>46</v>
      </c>
      <c r="AA79" t="s">
        <v>387</v>
      </c>
      <c r="AB79" t="s">
        <v>238</v>
      </c>
      <c r="AC79">
        <f>COUNTIF(C:C,QLKV_gui_ket_qua_ra_soat[[#This Row],[Mã điểm bán]])</f>
        <v>1</v>
      </c>
    </row>
    <row r="80" spans="1:29" x14ac:dyDescent="0.45">
      <c r="A80" t="s">
        <v>10783</v>
      </c>
      <c r="B80">
        <v>151</v>
      </c>
      <c r="C80" t="s">
        <v>383</v>
      </c>
      <c r="D80" t="s">
        <v>384</v>
      </c>
      <c r="E80" t="s">
        <v>92</v>
      </c>
      <c r="F80" t="s">
        <v>325</v>
      </c>
      <c r="G80" t="s">
        <v>34</v>
      </c>
      <c r="H80" t="s">
        <v>332</v>
      </c>
      <c r="I80" t="s">
        <v>385</v>
      </c>
      <c r="J80" t="s">
        <v>38</v>
      </c>
      <c r="K80" t="s">
        <v>38</v>
      </c>
      <c r="L80" t="s">
        <v>40</v>
      </c>
      <c r="M80" t="s">
        <v>38</v>
      </c>
      <c r="N80" t="s">
        <v>38</v>
      </c>
      <c r="O80" t="s">
        <v>40</v>
      </c>
      <c r="P80" t="s">
        <v>38</v>
      </c>
      <c r="Q80" t="s">
        <v>38</v>
      </c>
      <c r="R80" t="s">
        <v>40</v>
      </c>
      <c r="S80" t="s">
        <v>41</v>
      </c>
      <c r="T80" t="s">
        <v>386</v>
      </c>
      <c r="U80" t="s">
        <v>233</v>
      </c>
      <c r="V80" t="s">
        <v>44</v>
      </c>
      <c r="W80" t="s">
        <v>234</v>
      </c>
      <c r="Z80" t="s">
        <v>46</v>
      </c>
      <c r="AA80" t="s">
        <v>387</v>
      </c>
      <c r="AB80" t="s">
        <v>238</v>
      </c>
      <c r="AC80">
        <f>COUNTIF(C:C,QLKV_gui_ket_qua_ra_soat[[#This Row],[Mã điểm bán]])</f>
        <v>1</v>
      </c>
    </row>
    <row r="81" spans="1:29" x14ac:dyDescent="0.45">
      <c r="A81" t="s">
        <v>10783</v>
      </c>
      <c r="B81">
        <v>152</v>
      </c>
      <c r="C81" t="s">
        <v>443</v>
      </c>
      <c r="D81" t="s">
        <v>444</v>
      </c>
      <c r="E81" t="s">
        <v>176</v>
      </c>
      <c r="F81" t="s">
        <v>53</v>
      </c>
      <c r="G81" t="s">
        <v>34</v>
      </c>
      <c r="H81" t="s">
        <v>350</v>
      </c>
      <c r="I81" t="s">
        <v>445</v>
      </c>
      <c r="J81" t="s">
        <v>38</v>
      </c>
      <c r="K81" t="s">
        <v>38</v>
      </c>
      <c r="L81" t="s">
        <v>40</v>
      </c>
      <c r="M81" t="s">
        <v>38</v>
      </c>
      <c r="N81" t="s">
        <v>38</v>
      </c>
      <c r="O81" t="s">
        <v>40</v>
      </c>
      <c r="P81" t="s">
        <v>38</v>
      </c>
      <c r="Q81" t="s">
        <v>38</v>
      </c>
      <c r="R81" t="s">
        <v>40</v>
      </c>
      <c r="S81" t="s">
        <v>41</v>
      </c>
      <c r="T81" t="s">
        <v>386</v>
      </c>
      <c r="U81" t="s">
        <v>233</v>
      </c>
      <c r="V81" t="s">
        <v>44</v>
      </c>
      <c r="W81" t="s">
        <v>234</v>
      </c>
      <c r="X81" t="s">
        <v>46</v>
      </c>
      <c r="AC81">
        <f>COUNTIF(C:C,QLKV_gui_ket_qua_ra_soat[[#This Row],[Mã điểm bán]])</f>
        <v>1</v>
      </c>
    </row>
    <row r="82" spans="1:29" x14ac:dyDescent="0.45">
      <c r="A82" t="s">
        <v>10783</v>
      </c>
      <c r="B82">
        <v>153</v>
      </c>
      <c r="C82" t="s">
        <v>453</v>
      </c>
      <c r="D82" t="s">
        <v>454</v>
      </c>
      <c r="E82" t="s">
        <v>455</v>
      </c>
      <c r="F82" t="s">
        <v>456</v>
      </c>
      <c r="G82" t="s">
        <v>34</v>
      </c>
      <c r="H82" t="s">
        <v>457</v>
      </c>
      <c r="I82" t="s">
        <v>458</v>
      </c>
      <c r="J82" t="s">
        <v>38</v>
      </c>
      <c r="K82" t="s">
        <v>38</v>
      </c>
      <c r="L82" t="s">
        <v>40</v>
      </c>
      <c r="M82" t="s">
        <v>38</v>
      </c>
      <c r="N82" t="s">
        <v>38</v>
      </c>
      <c r="O82" t="s">
        <v>40</v>
      </c>
      <c r="P82" t="s">
        <v>38</v>
      </c>
      <c r="Q82" t="s">
        <v>38</v>
      </c>
      <c r="R82" t="s">
        <v>40</v>
      </c>
      <c r="S82" t="s">
        <v>41</v>
      </c>
      <c r="T82" t="s">
        <v>386</v>
      </c>
      <c r="U82" t="s">
        <v>233</v>
      </c>
      <c r="V82" t="s">
        <v>44</v>
      </c>
      <c r="W82" t="s">
        <v>234</v>
      </c>
      <c r="Z82" t="s">
        <v>46</v>
      </c>
      <c r="AA82" t="s">
        <v>387</v>
      </c>
      <c r="AB82" t="s">
        <v>238</v>
      </c>
      <c r="AC82">
        <f>COUNTIF(C:C,QLKV_gui_ket_qua_ra_soat[[#This Row],[Mã điểm bán]])</f>
        <v>1</v>
      </c>
    </row>
    <row r="83" spans="1:29" x14ac:dyDescent="0.45">
      <c r="A83" t="s">
        <v>10783</v>
      </c>
      <c r="B83">
        <v>154</v>
      </c>
      <c r="C83" t="s">
        <v>459</v>
      </c>
      <c r="D83" t="s">
        <v>460</v>
      </c>
      <c r="E83" t="s">
        <v>307</v>
      </c>
      <c r="F83" t="s">
        <v>461</v>
      </c>
      <c r="G83" t="s">
        <v>34</v>
      </c>
      <c r="H83" t="s">
        <v>462</v>
      </c>
      <c r="I83" t="s">
        <v>463</v>
      </c>
      <c r="J83" t="s">
        <v>38</v>
      </c>
      <c r="K83" t="s">
        <v>38</v>
      </c>
      <c r="L83" t="s">
        <v>40</v>
      </c>
      <c r="M83" t="s">
        <v>38</v>
      </c>
      <c r="N83" t="s">
        <v>38</v>
      </c>
      <c r="O83" t="s">
        <v>40</v>
      </c>
      <c r="P83" t="s">
        <v>38</v>
      </c>
      <c r="Q83" t="s">
        <v>38</v>
      </c>
      <c r="R83" t="s">
        <v>40</v>
      </c>
      <c r="S83" t="s">
        <v>41</v>
      </c>
      <c r="T83" t="s">
        <v>386</v>
      </c>
      <c r="U83" t="s">
        <v>233</v>
      </c>
      <c r="V83" t="s">
        <v>44</v>
      </c>
      <c r="W83" t="s">
        <v>234</v>
      </c>
      <c r="Z83" t="s">
        <v>46</v>
      </c>
      <c r="AA83" t="s">
        <v>387</v>
      </c>
      <c r="AB83" t="s">
        <v>238</v>
      </c>
      <c r="AC83">
        <f>COUNTIF(C:C,QLKV_gui_ket_qua_ra_soat[[#This Row],[Mã điểm bán]])</f>
        <v>1</v>
      </c>
    </row>
    <row r="84" spans="1:29" x14ac:dyDescent="0.45">
      <c r="A84" t="s">
        <v>10783</v>
      </c>
      <c r="B84">
        <v>155</v>
      </c>
      <c r="C84" t="s">
        <v>464</v>
      </c>
      <c r="D84" t="s">
        <v>465</v>
      </c>
      <c r="E84" t="s">
        <v>68</v>
      </c>
      <c r="F84" t="s">
        <v>467</v>
      </c>
      <c r="G84" t="s">
        <v>34</v>
      </c>
      <c r="H84" t="s">
        <v>54</v>
      </c>
      <c r="I84" t="s">
        <v>468</v>
      </c>
      <c r="J84" t="s">
        <v>37</v>
      </c>
      <c r="K84" t="s">
        <v>37</v>
      </c>
      <c r="L84" t="s">
        <v>39</v>
      </c>
      <c r="M84" t="s">
        <v>56</v>
      </c>
      <c r="N84" t="s">
        <v>56</v>
      </c>
      <c r="O84" t="s">
        <v>39</v>
      </c>
      <c r="P84" t="s">
        <v>37</v>
      </c>
      <c r="Q84" t="s">
        <v>37</v>
      </c>
      <c r="R84" t="s">
        <v>39</v>
      </c>
      <c r="S84" t="s">
        <v>469</v>
      </c>
      <c r="T84" t="s">
        <v>470</v>
      </c>
      <c r="U84" t="s">
        <v>233</v>
      </c>
      <c r="V84" t="s">
        <v>44</v>
      </c>
      <c r="W84" t="s">
        <v>234</v>
      </c>
      <c r="X84" t="s">
        <v>46</v>
      </c>
      <c r="AC84">
        <f>COUNTIF(C:C,QLKV_gui_ket_qua_ra_soat[[#This Row],[Mã điểm bán]])</f>
        <v>1</v>
      </c>
    </row>
    <row r="85" spans="1:29" x14ac:dyDescent="0.45">
      <c r="A85" t="s">
        <v>10783</v>
      </c>
      <c r="B85">
        <v>156</v>
      </c>
      <c r="C85" t="s">
        <v>471</v>
      </c>
      <c r="D85" t="s">
        <v>472</v>
      </c>
      <c r="E85" t="s">
        <v>219</v>
      </c>
      <c r="F85" t="s">
        <v>115</v>
      </c>
      <c r="G85" t="s">
        <v>34</v>
      </c>
      <c r="H85" t="s">
        <v>473</v>
      </c>
      <c r="I85" t="s">
        <v>474</v>
      </c>
      <c r="J85" t="s">
        <v>37</v>
      </c>
      <c r="K85" t="s">
        <v>37</v>
      </c>
      <c r="L85" t="s">
        <v>40</v>
      </c>
      <c r="M85" t="s">
        <v>56</v>
      </c>
      <c r="N85" t="s">
        <v>56</v>
      </c>
      <c r="O85" t="s">
        <v>39</v>
      </c>
      <c r="P85" t="s">
        <v>37</v>
      </c>
      <c r="Q85" t="s">
        <v>37</v>
      </c>
      <c r="R85" t="s">
        <v>39</v>
      </c>
      <c r="S85" t="s">
        <v>475</v>
      </c>
      <c r="T85" t="s">
        <v>470</v>
      </c>
      <c r="U85" t="s">
        <v>233</v>
      </c>
      <c r="V85" t="s">
        <v>44</v>
      </c>
      <c r="W85" t="s">
        <v>234</v>
      </c>
      <c r="Z85" t="s">
        <v>46</v>
      </c>
      <c r="AA85" t="s">
        <v>387</v>
      </c>
      <c r="AB85" t="s">
        <v>238</v>
      </c>
      <c r="AC85">
        <f>COUNTIF(C:C,QLKV_gui_ket_qua_ra_soat[[#This Row],[Mã điểm bán]])</f>
        <v>1</v>
      </c>
    </row>
    <row r="86" spans="1:29" x14ac:dyDescent="0.45">
      <c r="A86" t="s">
        <v>10783</v>
      </c>
      <c r="B86">
        <v>157</v>
      </c>
      <c r="C86" t="s">
        <v>476</v>
      </c>
      <c r="D86" t="s">
        <v>477</v>
      </c>
      <c r="E86" t="s">
        <v>64</v>
      </c>
      <c r="F86" t="s">
        <v>478</v>
      </c>
      <c r="G86" t="s">
        <v>34</v>
      </c>
      <c r="H86" t="s">
        <v>479</v>
      </c>
      <c r="I86" t="s">
        <v>480</v>
      </c>
      <c r="J86" t="s">
        <v>38</v>
      </c>
      <c r="K86" t="s">
        <v>38</v>
      </c>
      <c r="L86" t="s">
        <v>40</v>
      </c>
      <c r="M86" t="s">
        <v>38</v>
      </c>
      <c r="N86" t="s">
        <v>38</v>
      </c>
      <c r="O86" t="s">
        <v>40</v>
      </c>
      <c r="P86" t="s">
        <v>38</v>
      </c>
      <c r="Q86" t="s">
        <v>38</v>
      </c>
      <c r="R86" t="s">
        <v>40</v>
      </c>
      <c r="S86" t="s">
        <v>41</v>
      </c>
      <c r="T86" t="s">
        <v>386</v>
      </c>
      <c r="U86" t="s">
        <v>233</v>
      </c>
      <c r="V86" t="s">
        <v>44</v>
      </c>
      <c r="W86" t="s">
        <v>234</v>
      </c>
      <c r="X86" t="s">
        <v>46</v>
      </c>
      <c r="AC86">
        <f>COUNTIF(C:C,QLKV_gui_ket_qua_ra_soat[[#This Row],[Mã điểm bán]])</f>
        <v>1</v>
      </c>
    </row>
    <row r="87" spans="1:29" x14ac:dyDescent="0.45">
      <c r="A87" t="s">
        <v>10783</v>
      </c>
      <c r="B87">
        <v>158</v>
      </c>
      <c r="C87" t="s">
        <v>487</v>
      </c>
      <c r="D87" t="s">
        <v>488</v>
      </c>
      <c r="E87" t="s">
        <v>304</v>
      </c>
      <c r="F87" t="s">
        <v>53</v>
      </c>
      <c r="G87" t="s">
        <v>34</v>
      </c>
      <c r="H87" t="s">
        <v>214</v>
      </c>
      <c r="I87" t="s">
        <v>489</v>
      </c>
      <c r="J87" t="s">
        <v>38</v>
      </c>
      <c r="K87" t="s">
        <v>38</v>
      </c>
      <c r="L87" t="s">
        <v>40</v>
      </c>
      <c r="M87" t="s">
        <v>38</v>
      </c>
      <c r="N87" t="s">
        <v>38</v>
      </c>
      <c r="O87" t="s">
        <v>40</v>
      </c>
      <c r="P87" t="s">
        <v>38</v>
      </c>
      <c r="Q87" t="s">
        <v>38</v>
      </c>
      <c r="R87" t="s">
        <v>40</v>
      </c>
      <c r="S87" t="s">
        <v>41</v>
      </c>
      <c r="T87" t="s">
        <v>386</v>
      </c>
      <c r="U87" t="s">
        <v>233</v>
      </c>
      <c r="V87" t="s">
        <v>44</v>
      </c>
      <c r="W87" t="s">
        <v>234</v>
      </c>
      <c r="X87" t="s">
        <v>46</v>
      </c>
      <c r="AC87">
        <f>COUNTIF(C:C,QLKV_gui_ket_qua_ra_soat[[#This Row],[Mã điểm bán]])</f>
        <v>1</v>
      </c>
    </row>
    <row r="88" spans="1:29" x14ac:dyDescent="0.45">
      <c r="A88" t="s">
        <v>10783</v>
      </c>
      <c r="B88">
        <v>159</v>
      </c>
      <c r="C88" t="s">
        <v>494</v>
      </c>
      <c r="D88" t="s">
        <v>495</v>
      </c>
      <c r="E88" t="s">
        <v>32</v>
      </c>
      <c r="F88" t="s">
        <v>53</v>
      </c>
      <c r="G88" t="s">
        <v>34</v>
      </c>
      <c r="H88" t="s">
        <v>332</v>
      </c>
      <c r="I88" t="s">
        <v>496</v>
      </c>
      <c r="J88" t="s">
        <v>38</v>
      </c>
      <c r="K88" t="s">
        <v>38</v>
      </c>
      <c r="L88" t="s">
        <v>40</v>
      </c>
      <c r="M88" t="s">
        <v>38</v>
      </c>
      <c r="N88" t="s">
        <v>38</v>
      </c>
      <c r="O88" t="s">
        <v>40</v>
      </c>
      <c r="P88" t="s">
        <v>38</v>
      </c>
      <c r="Q88" t="s">
        <v>38</v>
      </c>
      <c r="R88" t="s">
        <v>40</v>
      </c>
      <c r="S88" t="s">
        <v>41</v>
      </c>
      <c r="T88" t="s">
        <v>232</v>
      </c>
      <c r="U88" t="s">
        <v>233</v>
      </c>
      <c r="V88" t="s">
        <v>44</v>
      </c>
      <c r="W88" t="s">
        <v>234</v>
      </c>
      <c r="Z88" t="s">
        <v>46</v>
      </c>
      <c r="AA88" t="s">
        <v>387</v>
      </c>
      <c r="AB88" t="s">
        <v>238</v>
      </c>
      <c r="AC88">
        <f>COUNTIF(C:C,QLKV_gui_ket_qua_ra_soat[[#This Row],[Mã điểm bán]])</f>
        <v>1</v>
      </c>
    </row>
    <row r="89" spans="1:29" x14ac:dyDescent="0.45">
      <c r="A89" t="s">
        <v>10783</v>
      </c>
      <c r="B89">
        <v>160</v>
      </c>
      <c r="C89" t="s">
        <v>540</v>
      </c>
      <c r="D89" t="s">
        <v>541</v>
      </c>
      <c r="E89" t="s">
        <v>138</v>
      </c>
      <c r="F89" t="s">
        <v>441</v>
      </c>
      <c r="G89" t="s">
        <v>34</v>
      </c>
      <c r="H89" t="s">
        <v>214</v>
      </c>
      <c r="I89" t="s">
        <v>542</v>
      </c>
      <c r="J89" t="s">
        <v>37</v>
      </c>
      <c r="K89" t="s">
        <v>37</v>
      </c>
      <c r="L89" t="s">
        <v>39</v>
      </c>
      <c r="M89" t="s">
        <v>37</v>
      </c>
      <c r="N89" t="s">
        <v>37</v>
      </c>
      <c r="O89" t="s">
        <v>39</v>
      </c>
      <c r="P89" t="s">
        <v>38</v>
      </c>
      <c r="Q89" t="s">
        <v>38</v>
      </c>
      <c r="R89" t="s">
        <v>40</v>
      </c>
      <c r="S89" t="s">
        <v>41</v>
      </c>
      <c r="T89" t="s">
        <v>386</v>
      </c>
      <c r="U89" t="s">
        <v>233</v>
      </c>
      <c r="V89" t="s">
        <v>44</v>
      </c>
      <c r="W89" t="s">
        <v>234</v>
      </c>
      <c r="Z89" t="s">
        <v>46</v>
      </c>
      <c r="AA89" t="s">
        <v>387</v>
      </c>
      <c r="AB89" t="s">
        <v>238</v>
      </c>
      <c r="AC89">
        <f>COUNTIF(C:C,QLKV_gui_ket_qua_ra_soat[[#This Row],[Mã điểm bán]])</f>
        <v>1</v>
      </c>
    </row>
    <row r="90" spans="1:29" x14ac:dyDescent="0.45">
      <c r="A90" t="s">
        <v>10783</v>
      </c>
      <c r="B90">
        <v>161</v>
      </c>
      <c r="C90" t="s">
        <v>575</v>
      </c>
      <c r="D90" t="s">
        <v>576</v>
      </c>
      <c r="E90" t="s">
        <v>176</v>
      </c>
      <c r="F90" t="s">
        <v>53</v>
      </c>
      <c r="G90" t="s">
        <v>34</v>
      </c>
      <c r="H90" t="s">
        <v>54</v>
      </c>
      <c r="I90" t="s">
        <v>496</v>
      </c>
      <c r="J90" t="s">
        <v>38</v>
      </c>
      <c r="K90" t="s">
        <v>38</v>
      </c>
      <c r="L90" t="s">
        <v>40</v>
      </c>
      <c r="M90" t="s">
        <v>38</v>
      </c>
      <c r="N90" t="s">
        <v>38</v>
      </c>
      <c r="O90" t="s">
        <v>40</v>
      </c>
      <c r="P90" t="s">
        <v>38</v>
      </c>
      <c r="Q90" t="s">
        <v>38</v>
      </c>
      <c r="R90" t="s">
        <v>40</v>
      </c>
      <c r="S90" t="s">
        <v>41</v>
      </c>
      <c r="T90" t="s">
        <v>232</v>
      </c>
      <c r="U90" t="s">
        <v>233</v>
      </c>
      <c r="V90" t="s">
        <v>44</v>
      </c>
      <c r="W90" t="s">
        <v>234</v>
      </c>
      <c r="X90" t="s">
        <v>46</v>
      </c>
      <c r="AC90">
        <f>COUNTIF(C:C,QLKV_gui_ket_qua_ra_soat[[#This Row],[Mã điểm bán]])</f>
        <v>1</v>
      </c>
    </row>
    <row r="91" spans="1:29" x14ac:dyDescent="0.45">
      <c r="A91" t="s">
        <v>10783</v>
      </c>
      <c r="B91">
        <v>162</v>
      </c>
      <c r="C91" t="s">
        <v>583</v>
      </c>
      <c r="D91" t="s">
        <v>584</v>
      </c>
      <c r="E91" t="s">
        <v>69</v>
      </c>
      <c r="F91" t="s">
        <v>53</v>
      </c>
      <c r="G91" t="s">
        <v>34</v>
      </c>
      <c r="H91" t="s">
        <v>54</v>
      </c>
      <c r="I91" t="s">
        <v>341</v>
      </c>
      <c r="J91" t="s">
        <v>38</v>
      </c>
      <c r="K91" t="s">
        <v>38</v>
      </c>
      <c r="L91" t="s">
        <v>40</v>
      </c>
      <c r="M91" t="s">
        <v>38</v>
      </c>
      <c r="N91" t="s">
        <v>38</v>
      </c>
      <c r="O91" t="s">
        <v>40</v>
      </c>
      <c r="P91" t="s">
        <v>38</v>
      </c>
      <c r="Q91" t="s">
        <v>38</v>
      </c>
      <c r="R91" t="s">
        <v>40</v>
      </c>
      <c r="S91" t="s">
        <v>41</v>
      </c>
      <c r="T91" t="s">
        <v>232</v>
      </c>
      <c r="U91" t="s">
        <v>233</v>
      </c>
      <c r="V91" t="s">
        <v>44</v>
      </c>
      <c r="W91" t="s">
        <v>234</v>
      </c>
      <c r="X91" t="s">
        <v>46</v>
      </c>
      <c r="AC91">
        <f>COUNTIF(C:C,QLKV_gui_ket_qua_ra_soat[[#This Row],[Mã điểm bán]])</f>
        <v>1</v>
      </c>
    </row>
    <row r="92" spans="1:29" x14ac:dyDescent="0.45">
      <c r="A92" t="s">
        <v>10783</v>
      </c>
      <c r="B92">
        <v>163</v>
      </c>
      <c r="C92" t="s">
        <v>589</v>
      </c>
      <c r="D92" t="s">
        <v>590</v>
      </c>
      <c r="E92" t="s">
        <v>176</v>
      </c>
      <c r="F92" t="s">
        <v>53</v>
      </c>
      <c r="G92" t="s">
        <v>34</v>
      </c>
      <c r="H92" t="s">
        <v>54</v>
      </c>
      <c r="I92" t="s">
        <v>231</v>
      </c>
      <c r="J92" t="s">
        <v>38</v>
      </c>
      <c r="K92" t="s">
        <v>38</v>
      </c>
      <c r="L92" t="s">
        <v>40</v>
      </c>
      <c r="M92" t="s">
        <v>38</v>
      </c>
      <c r="N92" t="s">
        <v>38</v>
      </c>
      <c r="O92" t="s">
        <v>40</v>
      </c>
      <c r="P92" t="s">
        <v>38</v>
      </c>
      <c r="Q92" t="s">
        <v>38</v>
      </c>
      <c r="R92" t="s">
        <v>40</v>
      </c>
      <c r="S92" t="s">
        <v>41</v>
      </c>
      <c r="T92" t="s">
        <v>232</v>
      </c>
      <c r="U92" t="s">
        <v>233</v>
      </c>
      <c r="V92" t="s">
        <v>44</v>
      </c>
      <c r="W92" t="s">
        <v>234</v>
      </c>
      <c r="X92" t="s">
        <v>46</v>
      </c>
      <c r="AC92">
        <f>COUNTIF(C:C,QLKV_gui_ket_qua_ra_soat[[#This Row],[Mã điểm bán]])</f>
        <v>1</v>
      </c>
    </row>
    <row r="93" spans="1:29" x14ac:dyDescent="0.45">
      <c r="A93" t="s">
        <v>10783</v>
      </c>
      <c r="B93">
        <v>164</v>
      </c>
      <c r="C93" t="s">
        <v>655</v>
      </c>
      <c r="D93" t="s">
        <v>656</v>
      </c>
      <c r="E93" t="s">
        <v>657</v>
      </c>
      <c r="F93" t="s">
        <v>401</v>
      </c>
      <c r="G93" t="s">
        <v>34</v>
      </c>
      <c r="H93" t="s">
        <v>658</v>
      </c>
      <c r="I93" t="s">
        <v>659</v>
      </c>
      <c r="J93" t="s">
        <v>38</v>
      </c>
      <c r="K93" t="s">
        <v>38</v>
      </c>
      <c r="L93" t="s">
        <v>40</v>
      </c>
      <c r="M93" t="s">
        <v>37</v>
      </c>
      <c r="N93" t="s">
        <v>38</v>
      </c>
      <c r="O93" t="s">
        <v>39</v>
      </c>
      <c r="P93" t="s">
        <v>38</v>
      </c>
      <c r="Q93" t="s">
        <v>38</v>
      </c>
      <c r="R93" t="s">
        <v>40</v>
      </c>
      <c r="S93" t="s">
        <v>41</v>
      </c>
      <c r="T93" t="s">
        <v>386</v>
      </c>
      <c r="U93" t="s">
        <v>233</v>
      </c>
      <c r="V93" t="s">
        <v>44</v>
      </c>
      <c r="W93" t="s">
        <v>234</v>
      </c>
      <c r="X93" t="s">
        <v>46</v>
      </c>
      <c r="AC93">
        <f>COUNTIF(C:C,QLKV_gui_ket_qua_ra_soat[[#This Row],[Mã điểm bán]])</f>
        <v>1</v>
      </c>
    </row>
    <row r="94" spans="1:29" x14ac:dyDescent="0.45">
      <c r="A94" t="s">
        <v>10783</v>
      </c>
      <c r="B94">
        <v>165</v>
      </c>
      <c r="C94" t="s">
        <v>672</v>
      </c>
      <c r="D94" t="s">
        <v>673</v>
      </c>
      <c r="E94" t="s">
        <v>138</v>
      </c>
      <c r="F94" t="s">
        <v>53</v>
      </c>
      <c r="G94" t="s">
        <v>34</v>
      </c>
      <c r="H94" t="s">
        <v>54</v>
      </c>
      <c r="I94" t="s">
        <v>675</v>
      </c>
      <c r="J94" t="s">
        <v>38</v>
      </c>
      <c r="K94" t="s">
        <v>38</v>
      </c>
      <c r="L94" t="s">
        <v>40</v>
      </c>
      <c r="M94" t="s">
        <v>37</v>
      </c>
      <c r="N94" t="s">
        <v>37</v>
      </c>
      <c r="O94" t="s">
        <v>39</v>
      </c>
      <c r="P94" t="s">
        <v>37</v>
      </c>
      <c r="Q94" t="s">
        <v>37</v>
      </c>
      <c r="R94" t="s">
        <v>39</v>
      </c>
      <c r="S94" t="s">
        <v>676</v>
      </c>
      <c r="T94" t="s">
        <v>470</v>
      </c>
      <c r="U94" t="s">
        <v>233</v>
      </c>
      <c r="V94" t="s">
        <v>44</v>
      </c>
      <c r="W94" t="s">
        <v>234</v>
      </c>
      <c r="Z94" t="s">
        <v>46</v>
      </c>
      <c r="AA94" t="s">
        <v>387</v>
      </c>
      <c r="AB94" t="s">
        <v>238</v>
      </c>
      <c r="AC94">
        <f>COUNTIF(C:C,QLKV_gui_ket_qua_ra_soat[[#This Row],[Mã điểm bán]])</f>
        <v>1</v>
      </c>
    </row>
    <row r="95" spans="1:29" x14ac:dyDescent="0.45">
      <c r="A95" t="s">
        <v>10783</v>
      </c>
      <c r="B95">
        <v>166</v>
      </c>
      <c r="C95" t="s">
        <v>688</v>
      </c>
      <c r="D95" t="s">
        <v>689</v>
      </c>
      <c r="E95" t="s">
        <v>690</v>
      </c>
      <c r="F95" t="s">
        <v>53</v>
      </c>
      <c r="G95" t="s">
        <v>34</v>
      </c>
      <c r="H95" t="s">
        <v>54</v>
      </c>
      <c r="I95" t="s">
        <v>691</v>
      </c>
      <c r="J95" t="s">
        <v>38</v>
      </c>
      <c r="K95" t="s">
        <v>38</v>
      </c>
      <c r="L95" t="s">
        <v>40</v>
      </c>
      <c r="M95" t="s">
        <v>37</v>
      </c>
      <c r="N95" t="s">
        <v>37</v>
      </c>
      <c r="O95" t="s">
        <v>39</v>
      </c>
      <c r="P95" t="s">
        <v>37</v>
      </c>
      <c r="Q95" t="s">
        <v>37</v>
      </c>
      <c r="R95" t="s">
        <v>39</v>
      </c>
      <c r="S95" t="s">
        <v>692</v>
      </c>
      <c r="T95" t="s">
        <v>470</v>
      </c>
      <c r="U95" t="s">
        <v>233</v>
      </c>
      <c r="V95" t="s">
        <v>44</v>
      </c>
      <c r="W95" t="s">
        <v>234</v>
      </c>
      <c r="X95" t="s">
        <v>46</v>
      </c>
      <c r="AC95">
        <f>COUNTIF(C:C,QLKV_gui_ket_qua_ra_soat[[#This Row],[Mã điểm bán]])</f>
        <v>1</v>
      </c>
    </row>
    <row r="96" spans="1:29" x14ac:dyDescent="0.45">
      <c r="A96" t="s">
        <v>10783</v>
      </c>
      <c r="B96">
        <v>167</v>
      </c>
      <c r="C96" t="s">
        <v>710</v>
      </c>
      <c r="D96" t="s">
        <v>711</v>
      </c>
      <c r="E96" t="s">
        <v>51</v>
      </c>
      <c r="F96" t="s">
        <v>53</v>
      </c>
      <c r="G96" t="s">
        <v>34</v>
      </c>
      <c r="H96" t="s">
        <v>54</v>
      </c>
      <c r="I96" t="s">
        <v>713</v>
      </c>
      <c r="J96" t="s">
        <v>38</v>
      </c>
      <c r="K96" t="s">
        <v>38</v>
      </c>
      <c r="L96" t="s">
        <v>40</v>
      </c>
      <c r="M96" t="s">
        <v>37</v>
      </c>
      <c r="N96" t="s">
        <v>37</v>
      </c>
      <c r="O96" t="s">
        <v>39</v>
      </c>
      <c r="P96" t="s">
        <v>37</v>
      </c>
      <c r="Q96" t="s">
        <v>37</v>
      </c>
      <c r="R96" t="s">
        <v>39</v>
      </c>
      <c r="S96" t="s">
        <v>714</v>
      </c>
      <c r="T96" t="s">
        <v>470</v>
      </c>
      <c r="U96" t="s">
        <v>233</v>
      </c>
      <c r="V96" t="s">
        <v>44</v>
      </c>
      <c r="W96" t="s">
        <v>234</v>
      </c>
      <c r="X96" t="s">
        <v>46</v>
      </c>
      <c r="AC96">
        <f>COUNTIF(C:C,QLKV_gui_ket_qua_ra_soat[[#This Row],[Mã điểm bán]])</f>
        <v>1</v>
      </c>
    </row>
    <row r="97" spans="1:29" x14ac:dyDescent="0.45">
      <c r="A97" t="s">
        <v>10783</v>
      </c>
      <c r="B97">
        <v>168</v>
      </c>
      <c r="C97" t="s">
        <v>748</v>
      </c>
      <c r="D97" t="s">
        <v>749</v>
      </c>
      <c r="E97" t="s">
        <v>92</v>
      </c>
      <c r="F97" t="s">
        <v>53</v>
      </c>
      <c r="G97" t="s">
        <v>34</v>
      </c>
      <c r="H97" t="s">
        <v>54</v>
      </c>
      <c r="I97" t="s">
        <v>750</v>
      </c>
      <c r="J97" t="s">
        <v>37</v>
      </c>
      <c r="K97" t="s">
        <v>37</v>
      </c>
      <c r="L97" t="s">
        <v>39</v>
      </c>
      <c r="M97" t="s">
        <v>56</v>
      </c>
      <c r="N97" t="s">
        <v>56</v>
      </c>
      <c r="O97" t="s">
        <v>39</v>
      </c>
      <c r="P97" t="s">
        <v>37</v>
      </c>
      <c r="Q97" t="s">
        <v>37</v>
      </c>
      <c r="R97" t="s">
        <v>40</v>
      </c>
      <c r="S97" t="s">
        <v>751</v>
      </c>
      <c r="T97" t="s">
        <v>470</v>
      </c>
      <c r="U97" t="s">
        <v>233</v>
      </c>
      <c r="V97" t="s">
        <v>44</v>
      </c>
      <c r="W97" t="s">
        <v>234</v>
      </c>
      <c r="X97" t="s">
        <v>46</v>
      </c>
      <c r="AC97">
        <f>COUNTIF(C:C,QLKV_gui_ket_qua_ra_soat[[#This Row],[Mã điểm bán]])</f>
        <v>1</v>
      </c>
    </row>
    <row r="98" spans="1:29" x14ac:dyDescent="0.45">
      <c r="A98" t="s">
        <v>10783</v>
      </c>
      <c r="B98">
        <v>169</v>
      </c>
      <c r="C98" t="s">
        <v>752</v>
      </c>
      <c r="D98" t="s">
        <v>753</v>
      </c>
      <c r="E98" t="s">
        <v>32</v>
      </c>
      <c r="F98" t="s">
        <v>53</v>
      </c>
      <c r="G98" t="s">
        <v>34</v>
      </c>
      <c r="H98" t="s">
        <v>754</v>
      </c>
      <c r="I98" t="s">
        <v>755</v>
      </c>
      <c r="J98" t="s">
        <v>38</v>
      </c>
      <c r="K98" t="s">
        <v>38</v>
      </c>
      <c r="L98" t="s">
        <v>40</v>
      </c>
      <c r="M98" t="s">
        <v>38</v>
      </c>
      <c r="N98" t="s">
        <v>38</v>
      </c>
      <c r="O98" t="s">
        <v>40</v>
      </c>
      <c r="P98" t="s">
        <v>38</v>
      </c>
      <c r="Q98" t="s">
        <v>38</v>
      </c>
      <c r="R98" t="s">
        <v>40</v>
      </c>
      <c r="S98" t="s">
        <v>41</v>
      </c>
      <c r="T98" t="s">
        <v>386</v>
      </c>
      <c r="U98" t="s">
        <v>233</v>
      </c>
      <c r="V98" t="s">
        <v>44</v>
      </c>
      <c r="W98" t="s">
        <v>234</v>
      </c>
      <c r="Y98" t="s">
        <v>46</v>
      </c>
      <c r="AC98">
        <f>COUNTIF(C:C,QLKV_gui_ket_qua_ra_soat[[#This Row],[Mã điểm bán]])</f>
        <v>1</v>
      </c>
    </row>
    <row r="99" spans="1:29" x14ac:dyDescent="0.45">
      <c r="A99" t="s">
        <v>10783</v>
      </c>
      <c r="B99">
        <v>170</v>
      </c>
      <c r="C99" t="s">
        <v>832</v>
      </c>
      <c r="D99" t="s">
        <v>833</v>
      </c>
      <c r="E99" t="s">
        <v>109</v>
      </c>
      <c r="F99" t="s">
        <v>441</v>
      </c>
      <c r="G99" t="s">
        <v>34</v>
      </c>
      <c r="H99" t="s">
        <v>834</v>
      </c>
      <c r="I99" t="s">
        <v>835</v>
      </c>
      <c r="J99" t="s">
        <v>38</v>
      </c>
      <c r="K99" t="s">
        <v>38</v>
      </c>
      <c r="L99" t="s">
        <v>40</v>
      </c>
      <c r="M99" t="s">
        <v>37</v>
      </c>
      <c r="N99" t="s">
        <v>38</v>
      </c>
      <c r="O99" t="s">
        <v>39</v>
      </c>
      <c r="P99" t="s">
        <v>38</v>
      </c>
      <c r="Q99" t="s">
        <v>38</v>
      </c>
      <c r="R99" t="s">
        <v>40</v>
      </c>
      <c r="S99" t="s">
        <v>41</v>
      </c>
      <c r="T99" t="s">
        <v>386</v>
      </c>
      <c r="U99" t="s">
        <v>233</v>
      </c>
      <c r="V99" t="s">
        <v>44</v>
      </c>
      <c r="W99" t="s">
        <v>234</v>
      </c>
      <c r="X99" t="s">
        <v>46</v>
      </c>
      <c r="AC99">
        <f>COUNTIF(C:C,QLKV_gui_ket_qua_ra_soat[[#This Row],[Mã điểm bán]])</f>
        <v>1</v>
      </c>
    </row>
    <row r="100" spans="1:29" x14ac:dyDescent="0.45">
      <c r="A100" t="s">
        <v>10783</v>
      </c>
      <c r="B100">
        <v>171</v>
      </c>
      <c r="C100" t="s">
        <v>840</v>
      </c>
      <c r="D100" t="s">
        <v>841</v>
      </c>
      <c r="E100" t="s">
        <v>69</v>
      </c>
      <c r="F100" t="s">
        <v>53</v>
      </c>
      <c r="G100" t="s">
        <v>34</v>
      </c>
      <c r="H100" t="s">
        <v>842</v>
      </c>
      <c r="I100" t="s">
        <v>843</v>
      </c>
      <c r="J100" t="s">
        <v>38</v>
      </c>
      <c r="K100" t="s">
        <v>38</v>
      </c>
      <c r="L100" t="s">
        <v>40</v>
      </c>
      <c r="M100" t="s">
        <v>37</v>
      </c>
      <c r="N100" t="s">
        <v>37</v>
      </c>
      <c r="O100" t="s">
        <v>39</v>
      </c>
      <c r="P100" t="s">
        <v>38</v>
      </c>
      <c r="Q100" t="s">
        <v>38</v>
      </c>
      <c r="R100" t="s">
        <v>40</v>
      </c>
      <c r="S100" t="s">
        <v>41</v>
      </c>
      <c r="T100" t="s">
        <v>386</v>
      </c>
      <c r="U100" t="s">
        <v>233</v>
      </c>
      <c r="V100" t="s">
        <v>44</v>
      </c>
      <c r="W100" t="s">
        <v>234</v>
      </c>
      <c r="X100" t="s">
        <v>46</v>
      </c>
      <c r="AC100">
        <f>COUNTIF(C:C,QLKV_gui_ket_qua_ra_soat[[#This Row],[Mã điểm bán]])</f>
        <v>1</v>
      </c>
    </row>
    <row r="101" spans="1:29" x14ac:dyDescent="0.45">
      <c r="A101" t="s">
        <v>10783</v>
      </c>
      <c r="B101">
        <v>172</v>
      </c>
      <c r="C101" t="s">
        <v>859</v>
      </c>
      <c r="D101" t="s">
        <v>860</v>
      </c>
      <c r="E101" t="s">
        <v>128</v>
      </c>
      <c r="F101" t="s">
        <v>862</v>
      </c>
      <c r="G101" t="s">
        <v>34</v>
      </c>
      <c r="H101" t="s">
        <v>863</v>
      </c>
      <c r="I101" t="s">
        <v>864</v>
      </c>
      <c r="J101" t="s">
        <v>38</v>
      </c>
      <c r="K101" t="s">
        <v>38</v>
      </c>
      <c r="L101" t="s">
        <v>40</v>
      </c>
      <c r="M101" t="s">
        <v>37</v>
      </c>
      <c r="N101" t="s">
        <v>37</v>
      </c>
      <c r="O101" t="s">
        <v>39</v>
      </c>
      <c r="P101" t="s">
        <v>38</v>
      </c>
      <c r="Q101" t="s">
        <v>38</v>
      </c>
      <c r="R101" t="s">
        <v>40</v>
      </c>
      <c r="S101" t="s">
        <v>41</v>
      </c>
      <c r="T101" t="s">
        <v>386</v>
      </c>
      <c r="U101" t="s">
        <v>233</v>
      </c>
      <c r="V101" t="s">
        <v>44</v>
      </c>
      <c r="W101" t="s">
        <v>234</v>
      </c>
      <c r="Z101" t="s">
        <v>46</v>
      </c>
      <c r="AA101" t="s">
        <v>387</v>
      </c>
      <c r="AB101" t="s">
        <v>238</v>
      </c>
      <c r="AC101">
        <f>COUNTIF(C:C,QLKV_gui_ket_qua_ra_soat[[#This Row],[Mã điểm bán]])</f>
        <v>1</v>
      </c>
    </row>
    <row r="102" spans="1:29" x14ac:dyDescent="0.45">
      <c r="A102" t="s">
        <v>10783</v>
      </c>
      <c r="B102">
        <v>173</v>
      </c>
      <c r="C102" t="s">
        <v>896</v>
      </c>
      <c r="D102" t="s">
        <v>897</v>
      </c>
      <c r="E102" t="s">
        <v>304</v>
      </c>
      <c r="F102" t="s">
        <v>53</v>
      </c>
      <c r="G102" t="s">
        <v>34</v>
      </c>
      <c r="H102" t="s">
        <v>54</v>
      </c>
      <c r="I102" t="s">
        <v>898</v>
      </c>
      <c r="J102" t="s">
        <v>37</v>
      </c>
      <c r="K102" t="s">
        <v>37</v>
      </c>
      <c r="L102" t="s">
        <v>39</v>
      </c>
      <c r="M102" t="s">
        <v>37</v>
      </c>
      <c r="N102" t="s">
        <v>37</v>
      </c>
      <c r="O102" t="s">
        <v>39</v>
      </c>
      <c r="P102" t="s">
        <v>37</v>
      </c>
      <c r="Q102" t="s">
        <v>37</v>
      </c>
      <c r="R102" t="s">
        <v>39</v>
      </c>
      <c r="S102" t="s">
        <v>899</v>
      </c>
      <c r="T102" t="s">
        <v>470</v>
      </c>
      <c r="U102" t="s">
        <v>233</v>
      </c>
      <c r="V102" t="s">
        <v>44</v>
      </c>
      <c r="W102" t="s">
        <v>234</v>
      </c>
      <c r="X102" t="s">
        <v>46</v>
      </c>
      <c r="AC102">
        <f>COUNTIF(C:C,QLKV_gui_ket_qua_ra_soat[[#This Row],[Mã điểm bán]])</f>
        <v>1</v>
      </c>
    </row>
    <row r="103" spans="1:29" x14ac:dyDescent="0.45">
      <c r="A103" t="s">
        <v>10783</v>
      </c>
      <c r="B103">
        <v>174</v>
      </c>
      <c r="C103" t="s">
        <v>910</v>
      </c>
      <c r="D103" t="s">
        <v>911</v>
      </c>
      <c r="E103" t="s">
        <v>279</v>
      </c>
      <c r="F103" t="s">
        <v>426</v>
      </c>
      <c r="G103" t="s">
        <v>34</v>
      </c>
      <c r="H103" t="s">
        <v>912</v>
      </c>
      <c r="I103" t="s">
        <v>913</v>
      </c>
      <c r="J103" t="s">
        <v>37</v>
      </c>
      <c r="K103" t="s">
        <v>37</v>
      </c>
      <c r="L103" t="s">
        <v>39</v>
      </c>
      <c r="M103" t="s">
        <v>56</v>
      </c>
      <c r="N103" t="s">
        <v>56</v>
      </c>
      <c r="O103" t="s">
        <v>39</v>
      </c>
      <c r="P103" t="s">
        <v>37</v>
      </c>
      <c r="Q103" t="s">
        <v>37</v>
      </c>
      <c r="R103" t="s">
        <v>39</v>
      </c>
      <c r="S103" t="s">
        <v>914</v>
      </c>
      <c r="T103" t="s">
        <v>470</v>
      </c>
      <c r="U103" t="s">
        <v>233</v>
      </c>
      <c r="V103" t="s">
        <v>44</v>
      </c>
      <c r="W103" t="s">
        <v>234</v>
      </c>
      <c r="Z103" t="s">
        <v>46</v>
      </c>
      <c r="AA103" t="s">
        <v>387</v>
      </c>
      <c r="AB103" t="s">
        <v>238</v>
      </c>
      <c r="AC103">
        <f>COUNTIF(C:C,QLKV_gui_ket_qua_ra_soat[[#This Row],[Mã điểm bán]])</f>
        <v>1</v>
      </c>
    </row>
    <row r="104" spans="1:29" x14ac:dyDescent="0.45">
      <c r="A104" t="s">
        <v>10783</v>
      </c>
      <c r="B104">
        <v>175</v>
      </c>
      <c r="C104" t="s">
        <v>915</v>
      </c>
      <c r="D104" t="s">
        <v>916</v>
      </c>
      <c r="E104" t="s">
        <v>113</v>
      </c>
      <c r="F104" t="s">
        <v>325</v>
      </c>
      <c r="G104" t="s">
        <v>34</v>
      </c>
      <c r="H104" t="s">
        <v>917</v>
      </c>
      <c r="I104" t="s">
        <v>918</v>
      </c>
      <c r="J104" t="s">
        <v>38</v>
      </c>
      <c r="K104" t="s">
        <v>38</v>
      </c>
      <c r="L104" t="s">
        <v>40</v>
      </c>
      <c r="M104" t="s">
        <v>37</v>
      </c>
      <c r="N104" t="s">
        <v>37</v>
      </c>
      <c r="O104" t="s">
        <v>39</v>
      </c>
      <c r="P104" t="s">
        <v>38</v>
      </c>
      <c r="Q104" t="s">
        <v>38</v>
      </c>
      <c r="R104" t="s">
        <v>40</v>
      </c>
      <c r="S104" t="s">
        <v>41</v>
      </c>
      <c r="T104" t="s">
        <v>386</v>
      </c>
      <c r="U104" t="s">
        <v>233</v>
      </c>
      <c r="V104" t="s">
        <v>44</v>
      </c>
      <c r="W104" t="s">
        <v>234</v>
      </c>
      <c r="X104" t="s">
        <v>46</v>
      </c>
      <c r="AC104">
        <f>COUNTIF(C:C,QLKV_gui_ket_qua_ra_soat[[#This Row],[Mã điểm bán]])</f>
        <v>1</v>
      </c>
    </row>
    <row r="105" spans="1:29" x14ac:dyDescent="0.45">
      <c r="A105" t="s">
        <v>10783</v>
      </c>
      <c r="B105">
        <v>176</v>
      </c>
      <c r="C105" t="s">
        <v>919</v>
      </c>
      <c r="D105" t="s">
        <v>920</v>
      </c>
      <c r="E105" t="s">
        <v>190</v>
      </c>
      <c r="F105" t="s">
        <v>53</v>
      </c>
      <c r="G105" t="s">
        <v>34</v>
      </c>
      <c r="H105" t="s">
        <v>54</v>
      </c>
      <c r="I105" t="s">
        <v>341</v>
      </c>
      <c r="J105" t="s">
        <v>38</v>
      </c>
      <c r="K105" t="s">
        <v>38</v>
      </c>
      <c r="L105" t="s">
        <v>40</v>
      </c>
      <c r="M105" t="s">
        <v>38</v>
      </c>
      <c r="N105" t="s">
        <v>38</v>
      </c>
      <c r="O105" t="s">
        <v>40</v>
      </c>
      <c r="P105" t="s">
        <v>38</v>
      </c>
      <c r="Q105" t="s">
        <v>38</v>
      </c>
      <c r="R105" t="s">
        <v>40</v>
      </c>
      <c r="S105" t="s">
        <v>41</v>
      </c>
      <c r="T105" t="s">
        <v>232</v>
      </c>
      <c r="U105" t="s">
        <v>233</v>
      </c>
      <c r="V105" t="s">
        <v>44</v>
      </c>
      <c r="W105" t="s">
        <v>234</v>
      </c>
      <c r="X105" t="s">
        <v>46</v>
      </c>
      <c r="AC105">
        <f>COUNTIF(C:C,QLKV_gui_ket_qua_ra_soat[[#This Row],[Mã điểm bán]])</f>
        <v>1</v>
      </c>
    </row>
    <row r="106" spans="1:29" x14ac:dyDescent="0.45">
      <c r="A106" t="s">
        <v>10783</v>
      </c>
      <c r="B106">
        <v>177</v>
      </c>
      <c r="C106" t="s">
        <v>923</v>
      </c>
      <c r="D106" t="s">
        <v>924</v>
      </c>
      <c r="E106" t="s">
        <v>197</v>
      </c>
      <c r="F106" t="s">
        <v>53</v>
      </c>
      <c r="G106" t="s">
        <v>34</v>
      </c>
      <c r="H106" t="s">
        <v>54</v>
      </c>
      <c r="I106" t="s">
        <v>231</v>
      </c>
      <c r="J106" t="s">
        <v>38</v>
      </c>
      <c r="K106" t="s">
        <v>38</v>
      </c>
      <c r="L106" t="s">
        <v>40</v>
      </c>
      <c r="M106" t="s">
        <v>38</v>
      </c>
      <c r="N106" t="s">
        <v>38</v>
      </c>
      <c r="O106" t="s">
        <v>40</v>
      </c>
      <c r="P106" t="s">
        <v>38</v>
      </c>
      <c r="Q106" t="s">
        <v>38</v>
      </c>
      <c r="R106" t="s">
        <v>40</v>
      </c>
      <c r="S106" t="s">
        <v>41</v>
      </c>
      <c r="T106" t="s">
        <v>232</v>
      </c>
      <c r="U106" t="s">
        <v>233</v>
      </c>
      <c r="V106" t="s">
        <v>44</v>
      </c>
      <c r="W106" t="s">
        <v>234</v>
      </c>
      <c r="X106" t="s">
        <v>46</v>
      </c>
      <c r="AC106">
        <f>COUNTIF(C:C,QLKV_gui_ket_qua_ra_soat[[#This Row],[Mã điểm bán]])</f>
        <v>1</v>
      </c>
    </row>
    <row r="107" spans="1:29" x14ac:dyDescent="0.45">
      <c r="A107" t="s">
        <v>10783</v>
      </c>
      <c r="B107">
        <v>178</v>
      </c>
      <c r="C107" t="s">
        <v>928</v>
      </c>
      <c r="D107" t="s">
        <v>929</v>
      </c>
      <c r="E107" t="s">
        <v>296</v>
      </c>
      <c r="F107" t="s">
        <v>930</v>
      </c>
      <c r="G107" t="s">
        <v>34</v>
      </c>
      <c r="H107" t="s">
        <v>931</v>
      </c>
      <c r="I107" t="s">
        <v>231</v>
      </c>
      <c r="J107" t="s">
        <v>38</v>
      </c>
      <c r="K107" t="s">
        <v>38</v>
      </c>
      <c r="L107" t="s">
        <v>40</v>
      </c>
      <c r="M107" t="s">
        <v>38</v>
      </c>
      <c r="N107" t="s">
        <v>38</v>
      </c>
      <c r="O107" t="s">
        <v>40</v>
      </c>
      <c r="P107" t="s">
        <v>38</v>
      </c>
      <c r="Q107" t="s">
        <v>38</v>
      </c>
      <c r="R107" t="s">
        <v>40</v>
      </c>
      <c r="S107" t="s">
        <v>41</v>
      </c>
      <c r="T107" t="s">
        <v>232</v>
      </c>
      <c r="U107" t="s">
        <v>233</v>
      </c>
      <c r="V107" t="s">
        <v>44</v>
      </c>
      <c r="W107" t="s">
        <v>234</v>
      </c>
      <c r="Z107" t="s">
        <v>46</v>
      </c>
      <c r="AA107" t="s">
        <v>387</v>
      </c>
      <c r="AB107" t="s">
        <v>238</v>
      </c>
      <c r="AC107">
        <f>COUNTIF(C:C,QLKV_gui_ket_qua_ra_soat[[#This Row],[Mã điểm bán]])</f>
        <v>1</v>
      </c>
    </row>
    <row r="108" spans="1:29" x14ac:dyDescent="0.45">
      <c r="A108" t="s">
        <v>10783</v>
      </c>
      <c r="B108">
        <v>179</v>
      </c>
      <c r="C108" t="s">
        <v>939</v>
      </c>
      <c r="D108" t="s">
        <v>940</v>
      </c>
      <c r="E108" t="s">
        <v>176</v>
      </c>
      <c r="F108" t="s">
        <v>53</v>
      </c>
      <c r="G108" t="s">
        <v>34</v>
      </c>
      <c r="H108" t="s">
        <v>54</v>
      </c>
      <c r="I108" t="s">
        <v>941</v>
      </c>
      <c r="J108" t="s">
        <v>37</v>
      </c>
      <c r="K108" t="s">
        <v>37</v>
      </c>
      <c r="L108" t="s">
        <v>40</v>
      </c>
      <c r="M108" t="s">
        <v>56</v>
      </c>
      <c r="N108" t="s">
        <v>56</v>
      </c>
      <c r="O108" t="s">
        <v>39</v>
      </c>
      <c r="P108" t="s">
        <v>37</v>
      </c>
      <c r="Q108" t="s">
        <v>37</v>
      </c>
      <c r="R108" t="s">
        <v>39</v>
      </c>
      <c r="S108" t="s">
        <v>692</v>
      </c>
      <c r="T108" t="s">
        <v>470</v>
      </c>
      <c r="U108" t="s">
        <v>233</v>
      </c>
      <c r="V108" t="s">
        <v>44</v>
      </c>
      <c r="W108" t="s">
        <v>234</v>
      </c>
      <c r="X108" t="s">
        <v>46</v>
      </c>
      <c r="AC108">
        <f>COUNTIF(C:C,QLKV_gui_ket_qua_ra_soat[[#This Row],[Mã điểm bán]])</f>
        <v>1</v>
      </c>
    </row>
    <row r="109" spans="1:29" x14ac:dyDescent="0.45">
      <c r="A109" t="s">
        <v>10783</v>
      </c>
      <c r="B109">
        <v>180</v>
      </c>
      <c r="C109" t="s">
        <v>956</v>
      </c>
      <c r="D109" t="s">
        <v>957</v>
      </c>
      <c r="E109" t="s">
        <v>148</v>
      </c>
      <c r="F109" t="s">
        <v>53</v>
      </c>
      <c r="G109" t="s">
        <v>34</v>
      </c>
      <c r="H109" t="s">
        <v>54</v>
      </c>
      <c r="I109" t="s">
        <v>958</v>
      </c>
      <c r="J109" t="s">
        <v>38</v>
      </c>
      <c r="K109" t="s">
        <v>38</v>
      </c>
      <c r="L109" t="s">
        <v>40</v>
      </c>
      <c r="M109" t="s">
        <v>37</v>
      </c>
      <c r="N109" t="s">
        <v>37</v>
      </c>
      <c r="O109" t="s">
        <v>39</v>
      </c>
      <c r="P109" t="s">
        <v>37</v>
      </c>
      <c r="Q109" t="s">
        <v>37</v>
      </c>
      <c r="R109" t="s">
        <v>39</v>
      </c>
      <c r="S109" t="s">
        <v>959</v>
      </c>
      <c r="T109" t="s">
        <v>470</v>
      </c>
      <c r="U109" t="s">
        <v>233</v>
      </c>
      <c r="V109" t="s">
        <v>44</v>
      </c>
      <c r="W109" t="s">
        <v>234</v>
      </c>
      <c r="Z109" t="s">
        <v>46</v>
      </c>
      <c r="AA109" t="s">
        <v>387</v>
      </c>
      <c r="AB109" t="s">
        <v>238</v>
      </c>
      <c r="AC109">
        <f>COUNTIF(C:C,QLKV_gui_ket_qua_ra_soat[[#This Row],[Mã điểm bán]])</f>
        <v>1</v>
      </c>
    </row>
    <row r="110" spans="1:29" x14ac:dyDescent="0.45">
      <c r="A110" t="s">
        <v>10783</v>
      </c>
      <c r="B110">
        <v>181</v>
      </c>
      <c r="C110" t="s">
        <v>970</v>
      </c>
      <c r="D110" t="s">
        <v>971</v>
      </c>
      <c r="E110" t="s">
        <v>69</v>
      </c>
      <c r="F110" t="s">
        <v>53</v>
      </c>
      <c r="G110" t="s">
        <v>34</v>
      </c>
      <c r="H110" t="s">
        <v>54</v>
      </c>
      <c r="I110" t="s">
        <v>972</v>
      </c>
      <c r="J110" t="s">
        <v>38</v>
      </c>
      <c r="K110" t="s">
        <v>38</v>
      </c>
      <c r="L110" t="s">
        <v>40</v>
      </c>
      <c r="M110" t="s">
        <v>37</v>
      </c>
      <c r="N110" t="s">
        <v>37</v>
      </c>
      <c r="O110" t="s">
        <v>39</v>
      </c>
      <c r="P110" t="s">
        <v>37</v>
      </c>
      <c r="Q110" t="s">
        <v>37</v>
      </c>
      <c r="R110" t="s">
        <v>39</v>
      </c>
      <c r="S110" t="s">
        <v>973</v>
      </c>
      <c r="T110" t="s">
        <v>470</v>
      </c>
      <c r="U110" t="s">
        <v>233</v>
      </c>
      <c r="V110" t="s">
        <v>44</v>
      </c>
      <c r="W110" t="s">
        <v>234</v>
      </c>
      <c r="X110" t="s">
        <v>46</v>
      </c>
      <c r="AC110">
        <f>COUNTIF(C:C,QLKV_gui_ket_qua_ra_soat[[#This Row],[Mã điểm bán]])</f>
        <v>1</v>
      </c>
    </row>
    <row r="111" spans="1:29" x14ac:dyDescent="0.45">
      <c r="A111" t="s">
        <v>10783</v>
      </c>
      <c r="B111">
        <v>182</v>
      </c>
      <c r="C111" t="s">
        <v>1036</v>
      </c>
      <c r="D111" t="s">
        <v>1037</v>
      </c>
      <c r="E111" t="s">
        <v>1038</v>
      </c>
      <c r="F111" t="s">
        <v>53</v>
      </c>
      <c r="G111" t="s">
        <v>34</v>
      </c>
      <c r="H111" t="s">
        <v>54</v>
      </c>
      <c r="I111" t="s">
        <v>1039</v>
      </c>
      <c r="J111" t="s">
        <v>38</v>
      </c>
      <c r="K111" t="s">
        <v>38</v>
      </c>
      <c r="L111" t="s">
        <v>40</v>
      </c>
      <c r="M111" t="s">
        <v>37</v>
      </c>
      <c r="N111" t="s">
        <v>37</v>
      </c>
      <c r="O111" t="s">
        <v>39</v>
      </c>
      <c r="P111" t="s">
        <v>37</v>
      </c>
      <c r="Q111" t="s">
        <v>37</v>
      </c>
      <c r="R111" t="s">
        <v>39</v>
      </c>
      <c r="S111" t="s">
        <v>1040</v>
      </c>
      <c r="T111" t="s">
        <v>470</v>
      </c>
      <c r="U111" t="s">
        <v>233</v>
      </c>
      <c r="V111" t="s">
        <v>44</v>
      </c>
      <c r="W111" t="s">
        <v>234</v>
      </c>
      <c r="Z111" t="s">
        <v>46</v>
      </c>
      <c r="AA111" t="s">
        <v>387</v>
      </c>
      <c r="AB111" t="s">
        <v>238</v>
      </c>
      <c r="AC111">
        <f>COUNTIF(C:C,QLKV_gui_ket_qua_ra_soat[[#This Row],[Mã điểm bán]])</f>
        <v>1</v>
      </c>
    </row>
    <row r="112" spans="1:29" x14ac:dyDescent="0.45">
      <c r="A112" t="s">
        <v>10783</v>
      </c>
      <c r="B112">
        <v>183</v>
      </c>
      <c r="C112" t="s">
        <v>1041</v>
      </c>
      <c r="D112" t="s">
        <v>1042</v>
      </c>
      <c r="E112" t="s">
        <v>1043</v>
      </c>
      <c r="F112" t="s">
        <v>53</v>
      </c>
      <c r="G112" t="s">
        <v>34</v>
      </c>
      <c r="H112" t="s">
        <v>54</v>
      </c>
      <c r="I112" t="s">
        <v>1044</v>
      </c>
      <c r="J112" t="s">
        <v>37</v>
      </c>
      <c r="K112" t="s">
        <v>37</v>
      </c>
      <c r="L112" t="s">
        <v>39</v>
      </c>
      <c r="M112" t="s">
        <v>56</v>
      </c>
      <c r="N112" t="s">
        <v>56</v>
      </c>
      <c r="O112" t="s">
        <v>39</v>
      </c>
      <c r="P112" t="s">
        <v>56</v>
      </c>
      <c r="Q112" t="s">
        <v>56</v>
      </c>
      <c r="R112" t="s">
        <v>39</v>
      </c>
      <c r="S112" t="s">
        <v>1045</v>
      </c>
      <c r="T112" t="s">
        <v>470</v>
      </c>
      <c r="U112" t="s">
        <v>233</v>
      </c>
      <c r="V112" t="s">
        <v>44</v>
      </c>
      <c r="W112" t="s">
        <v>234</v>
      </c>
      <c r="Z112" t="s">
        <v>46</v>
      </c>
      <c r="AA112" t="s">
        <v>387</v>
      </c>
      <c r="AB112" t="s">
        <v>238</v>
      </c>
      <c r="AC112">
        <f>COUNTIF(C:C,QLKV_gui_ket_qua_ra_soat[[#This Row],[Mã điểm bán]])</f>
        <v>1</v>
      </c>
    </row>
    <row r="113" spans="1:29" x14ac:dyDescent="0.45">
      <c r="A113" t="s">
        <v>10783</v>
      </c>
      <c r="B113">
        <v>184</v>
      </c>
      <c r="C113" t="s">
        <v>1058</v>
      </c>
      <c r="D113" t="s">
        <v>1059</v>
      </c>
      <c r="E113" t="s">
        <v>219</v>
      </c>
      <c r="F113" t="s">
        <v>426</v>
      </c>
      <c r="G113" t="s">
        <v>34</v>
      </c>
      <c r="H113" t="s">
        <v>192</v>
      </c>
      <c r="I113" t="s">
        <v>1060</v>
      </c>
      <c r="J113" t="s">
        <v>37</v>
      </c>
      <c r="K113" t="s">
        <v>37</v>
      </c>
      <c r="L113" t="s">
        <v>39</v>
      </c>
      <c r="M113" t="s">
        <v>37</v>
      </c>
      <c r="N113" t="s">
        <v>37</v>
      </c>
      <c r="O113" t="s">
        <v>39</v>
      </c>
      <c r="P113" t="s">
        <v>38</v>
      </c>
      <c r="Q113" t="s">
        <v>38</v>
      </c>
      <c r="R113" t="s">
        <v>40</v>
      </c>
      <c r="S113" t="s">
        <v>41</v>
      </c>
      <c r="T113" t="s">
        <v>386</v>
      </c>
      <c r="U113" t="s">
        <v>233</v>
      </c>
      <c r="V113" t="s">
        <v>44</v>
      </c>
      <c r="W113" t="s">
        <v>234</v>
      </c>
      <c r="Z113" t="s">
        <v>46</v>
      </c>
      <c r="AA113" t="s">
        <v>387</v>
      </c>
      <c r="AB113" t="s">
        <v>238</v>
      </c>
      <c r="AC113">
        <f>COUNTIF(C:C,QLKV_gui_ket_qua_ra_soat[[#This Row],[Mã điểm bán]])</f>
        <v>1</v>
      </c>
    </row>
    <row r="114" spans="1:29" x14ac:dyDescent="0.45">
      <c r="A114" t="s">
        <v>10783</v>
      </c>
      <c r="B114">
        <v>185</v>
      </c>
      <c r="C114" t="s">
        <v>1122</v>
      </c>
      <c r="D114" t="s">
        <v>1123</v>
      </c>
      <c r="E114" t="s">
        <v>1124</v>
      </c>
      <c r="F114" t="s">
        <v>191</v>
      </c>
      <c r="G114" t="s">
        <v>34</v>
      </c>
      <c r="H114" t="s">
        <v>54</v>
      </c>
      <c r="I114" t="s">
        <v>1125</v>
      </c>
      <c r="J114" t="s">
        <v>38</v>
      </c>
      <c r="K114" t="s">
        <v>38</v>
      </c>
      <c r="L114" t="s">
        <v>40</v>
      </c>
      <c r="M114" t="s">
        <v>37</v>
      </c>
      <c r="N114" t="s">
        <v>37</v>
      </c>
      <c r="O114" t="s">
        <v>39</v>
      </c>
      <c r="P114" t="s">
        <v>37</v>
      </c>
      <c r="Q114" t="s">
        <v>37</v>
      </c>
      <c r="R114" t="s">
        <v>39</v>
      </c>
      <c r="S114" t="s">
        <v>1126</v>
      </c>
      <c r="T114" t="s">
        <v>470</v>
      </c>
      <c r="U114" t="s">
        <v>233</v>
      </c>
      <c r="V114" t="s">
        <v>44</v>
      </c>
      <c r="W114" t="s">
        <v>234</v>
      </c>
      <c r="X114" t="s">
        <v>46</v>
      </c>
      <c r="AC114">
        <f>COUNTIF(C:C,QLKV_gui_ket_qua_ra_soat[[#This Row],[Mã điểm bán]])</f>
        <v>1</v>
      </c>
    </row>
    <row r="115" spans="1:29" x14ac:dyDescent="0.45">
      <c r="A115" t="s">
        <v>10783</v>
      </c>
      <c r="B115">
        <v>186</v>
      </c>
      <c r="C115" t="s">
        <v>1139</v>
      </c>
      <c r="D115" t="s">
        <v>1140</v>
      </c>
      <c r="E115" t="s">
        <v>219</v>
      </c>
      <c r="F115" t="s">
        <v>53</v>
      </c>
      <c r="G115" t="s">
        <v>34</v>
      </c>
      <c r="H115" t="s">
        <v>685</v>
      </c>
      <c r="I115" t="s">
        <v>231</v>
      </c>
      <c r="J115" t="s">
        <v>38</v>
      </c>
      <c r="K115" t="s">
        <v>38</v>
      </c>
      <c r="L115" t="s">
        <v>40</v>
      </c>
      <c r="M115" t="s">
        <v>38</v>
      </c>
      <c r="N115" t="s">
        <v>38</v>
      </c>
      <c r="O115" t="s">
        <v>40</v>
      </c>
      <c r="P115" t="s">
        <v>38</v>
      </c>
      <c r="Q115" t="s">
        <v>38</v>
      </c>
      <c r="R115" t="s">
        <v>40</v>
      </c>
      <c r="S115" t="s">
        <v>41</v>
      </c>
      <c r="T115" t="s">
        <v>232</v>
      </c>
      <c r="U115" t="s">
        <v>233</v>
      </c>
      <c r="V115" t="s">
        <v>44</v>
      </c>
      <c r="W115" t="s">
        <v>234</v>
      </c>
      <c r="Z115" t="s">
        <v>46</v>
      </c>
      <c r="AA115" t="s">
        <v>387</v>
      </c>
      <c r="AB115" t="s">
        <v>238</v>
      </c>
      <c r="AC115">
        <f>COUNTIF(C:C,QLKV_gui_ket_qua_ra_soat[[#This Row],[Mã điểm bán]])</f>
        <v>1</v>
      </c>
    </row>
    <row r="116" spans="1:29" x14ac:dyDescent="0.45">
      <c r="A116" t="s">
        <v>10783</v>
      </c>
      <c r="B116">
        <v>187</v>
      </c>
      <c r="C116" t="s">
        <v>1158</v>
      </c>
      <c r="D116" t="s">
        <v>1159</v>
      </c>
      <c r="E116" t="s">
        <v>211</v>
      </c>
      <c r="F116" t="s">
        <v>1160</v>
      </c>
      <c r="G116" t="s">
        <v>34</v>
      </c>
      <c r="H116" t="s">
        <v>54</v>
      </c>
      <c r="I116" t="s">
        <v>1161</v>
      </c>
      <c r="J116" t="s">
        <v>37</v>
      </c>
      <c r="K116" t="s">
        <v>38</v>
      </c>
      <c r="L116" t="s">
        <v>40</v>
      </c>
      <c r="M116" t="s">
        <v>37</v>
      </c>
      <c r="N116" t="s">
        <v>37</v>
      </c>
      <c r="O116" t="s">
        <v>39</v>
      </c>
      <c r="P116" t="s">
        <v>38</v>
      </c>
      <c r="Q116" t="s">
        <v>38</v>
      </c>
      <c r="R116" t="s">
        <v>40</v>
      </c>
      <c r="S116" t="s">
        <v>41</v>
      </c>
      <c r="T116" t="s">
        <v>386</v>
      </c>
      <c r="U116" t="s">
        <v>233</v>
      </c>
      <c r="V116" t="s">
        <v>44</v>
      </c>
      <c r="W116" t="s">
        <v>234</v>
      </c>
      <c r="Z116" t="s">
        <v>46</v>
      </c>
      <c r="AA116" t="s">
        <v>387</v>
      </c>
      <c r="AB116" t="s">
        <v>238</v>
      </c>
      <c r="AC116">
        <f>COUNTIF(C:C,QLKV_gui_ket_qua_ra_soat[[#This Row],[Mã điểm bán]])</f>
        <v>1</v>
      </c>
    </row>
    <row r="117" spans="1:29" x14ac:dyDescent="0.45">
      <c r="A117" t="s">
        <v>10783</v>
      </c>
      <c r="B117">
        <v>188</v>
      </c>
      <c r="C117" t="s">
        <v>1180</v>
      </c>
      <c r="D117" t="s">
        <v>1181</v>
      </c>
      <c r="E117" t="s">
        <v>742</v>
      </c>
      <c r="F117" t="s">
        <v>1183</v>
      </c>
      <c r="G117" t="s">
        <v>34</v>
      </c>
      <c r="H117" t="s">
        <v>1184</v>
      </c>
      <c r="I117" t="s">
        <v>1185</v>
      </c>
      <c r="J117" t="s">
        <v>37</v>
      </c>
      <c r="K117" t="s">
        <v>38</v>
      </c>
      <c r="L117" t="s">
        <v>39</v>
      </c>
      <c r="M117" t="s">
        <v>37</v>
      </c>
      <c r="N117" t="s">
        <v>37</v>
      </c>
      <c r="O117" t="s">
        <v>39</v>
      </c>
      <c r="P117" t="s">
        <v>38</v>
      </c>
      <c r="Q117" t="s">
        <v>38</v>
      </c>
      <c r="R117" t="s">
        <v>40</v>
      </c>
      <c r="S117" t="s">
        <v>41</v>
      </c>
      <c r="T117" t="s">
        <v>386</v>
      </c>
      <c r="U117" t="s">
        <v>233</v>
      </c>
      <c r="V117" t="s">
        <v>44</v>
      </c>
      <c r="W117" t="s">
        <v>234</v>
      </c>
      <c r="Z117" t="s">
        <v>46</v>
      </c>
      <c r="AA117" t="s">
        <v>387</v>
      </c>
      <c r="AB117" t="s">
        <v>238</v>
      </c>
      <c r="AC117">
        <f>COUNTIF(C:C,QLKV_gui_ket_qua_ra_soat[[#This Row],[Mã điểm bán]])</f>
        <v>1</v>
      </c>
    </row>
    <row r="118" spans="1:29" x14ac:dyDescent="0.45">
      <c r="A118" t="s">
        <v>10783</v>
      </c>
      <c r="B118">
        <v>189</v>
      </c>
      <c r="C118" t="s">
        <v>1191</v>
      </c>
      <c r="D118" t="s">
        <v>1192</v>
      </c>
      <c r="E118" t="s">
        <v>338</v>
      </c>
      <c r="F118" t="s">
        <v>325</v>
      </c>
      <c r="G118" t="s">
        <v>34</v>
      </c>
      <c r="H118" t="s">
        <v>192</v>
      </c>
      <c r="I118" t="s">
        <v>1193</v>
      </c>
      <c r="J118" t="s">
        <v>37</v>
      </c>
      <c r="K118" t="s">
        <v>38</v>
      </c>
      <c r="L118" t="s">
        <v>40</v>
      </c>
      <c r="M118" t="s">
        <v>37</v>
      </c>
      <c r="N118" t="s">
        <v>37</v>
      </c>
      <c r="O118" t="s">
        <v>39</v>
      </c>
      <c r="P118" t="s">
        <v>38</v>
      </c>
      <c r="Q118" t="s">
        <v>38</v>
      </c>
      <c r="R118" t="s">
        <v>40</v>
      </c>
      <c r="S118" t="s">
        <v>41</v>
      </c>
      <c r="T118" t="s">
        <v>386</v>
      </c>
      <c r="U118" t="s">
        <v>233</v>
      </c>
      <c r="V118" t="s">
        <v>44</v>
      </c>
      <c r="W118" t="s">
        <v>234</v>
      </c>
      <c r="Z118" t="s">
        <v>46</v>
      </c>
      <c r="AA118" t="s">
        <v>387</v>
      </c>
      <c r="AB118" t="s">
        <v>238</v>
      </c>
      <c r="AC118">
        <f>COUNTIF(C:C,QLKV_gui_ket_qua_ra_soat[[#This Row],[Mã điểm bán]])</f>
        <v>1</v>
      </c>
    </row>
    <row r="119" spans="1:29" x14ac:dyDescent="0.45">
      <c r="A119" t="s">
        <v>10783</v>
      </c>
      <c r="B119">
        <v>190</v>
      </c>
      <c r="C119" t="s">
        <v>1197</v>
      </c>
      <c r="D119" t="s">
        <v>1198</v>
      </c>
      <c r="E119" t="s">
        <v>206</v>
      </c>
      <c r="F119" t="s">
        <v>600</v>
      </c>
      <c r="G119" t="s">
        <v>34</v>
      </c>
      <c r="H119" t="s">
        <v>1199</v>
      </c>
      <c r="I119" t="s">
        <v>1200</v>
      </c>
      <c r="J119" t="s">
        <v>38</v>
      </c>
      <c r="K119" t="s">
        <v>38</v>
      </c>
      <c r="L119" t="s">
        <v>40</v>
      </c>
      <c r="M119" t="s">
        <v>37</v>
      </c>
      <c r="N119" t="s">
        <v>37</v>
      </c>
      <c r="O119" t="s">
        <v>39</v>
      </c>
      <c r="P119" t="s">
        <v>38</v>
      </c>
      <c r="Q119" t="s">
        <v>38</v>
      </c>
      <c r="R119" t="s">
        <v>40</v>
      </c>
      <c r="S119" t="s">
        <v>41</v>
      </c>
      <c r="T119" t="s">
        <v>386</v>
      </c>
      <c r="U119" t="s">
        <v>233</v>
      </c>
      <c r="V119" t="s">
        <v>44</v>
      </c>
      <c r="W119" t="s">
        <v>234</v>
      </c>
      <c r="X119" t="s">
        <v>46</v>
      </c>
      <c r="AC119">
        <f>COUNTIF(C:C,QLKV_gui_ket_qua_ra_soat[[#This Row],[Mã điểm bán]])</f>
        <v>1</v>
      </c>
    </row>
    <row r="120" spans="1:29" x14ac:dyDescent="0.45">
      <c r="A120" t="s">
        <v>10783</v>
      </c>
      <c r="B120">
        <v>191</v>
      </c>
      <c r="C120" t="s">
        <v>1213</v>
      </c>
      <c r="D120" t="s">
        <v>1214</v>
      </c>
      <c r="E120" t="s">
        <v>1043</v>
      </c>
      <c r="F120" t="s">
        <v>53</v>
      </c>
      <c r="G120" t="s">
        <v>34</v>
      </c>
      <c r="H120" t="s">
        <v>54</v>
      </c>
      <c r="I120" t="s">
        <v>341</v>
      </c>
      <c r="J120" t="s">
        <v>38</v>
      </c>
      <c r="K120" t="s">
        <v>38</v>
      </c>
      <c r="L120" t="s">
        <v>40</v>
      </c>
      <c r="M120" t="s">
        <v>38</v>
      </c>
      <c r="N120" t="s">
        <v>38</v>
      </c>
      <c r="O120" t="s">
        <v>40</v>
      </c>
      <c r="P120" t="s">
        <v>38</v>
      </c>
      <c r="Q120" t="s">
        <v>38</v>
      </c>
      <c r="R120" t="s">
        <v>40</v>
      </c>
      <c r="S120" t="s">
        <v>41</v>
      </c>
      <c r="T120" t="s">
        <v>232</v>
      </c>
      <c r="U120" t="s">
        <v>233</v>
      </c>
      <c r="V120" t="s">
        <v>44</v>
      </c>
      <c r="W120" t="s">
        <v>234</v>
      </c>
      <c r="X120" t="s">
        <v>46</v>
      </c>
      <c r="AC120">
        <f>COUNTIF(C:C,QLKV_gui_ket_qua_ra_soat[[#This Row],[Mã điểm bán]])</f>
        <v>1</v>
      </c>
    </row>
    <row r="121" spans="1:29" x14ac:dyDescent="0.45">
      <c r="A121" t="s">
        <v>10783</v>
      </c>
      <c r="B121">
        <v>192</v>
      </c>
      <c r="C121" t="s">
        <v>1222</v>
      </c>
      <c r="D121" t="s">
        <v>1223</v>
      </c>
      <c r="E121" t="s">
        <v>108</v>
      </c>
      <c r="F121" t="s">
        <v>1224</v>
      </c>
      <c r="G121" t="s">
        <v>34</v>
      </c>
      <c r="H121" t="s">
        <v>54</v>
      </c>
      <c r="I121" t="s">
        <v>1225</v>
      </c>
      <c r="J121" t="s">
        <v>38</v>
      </c>
      <c r="K121" t="s">
        <v>38</v>
      </c>
      <c r="L121" t="s">
        <v>40</v>
      </c>
      <c r="M121" t="s">
        <v>37</v>
      </c>
      <c r="N121" t="s">
        <v>37</v>
      </c>
      <c r="O121" t="s">
        <v>39</v>
      </c>
      <c r="P121" t="s">
        <v>37</v>
      </c>
      <c r="Q121" t="s">
        <v>37</v>
      </c>
      <c r="R121" t="s">
        <v>39</v>
      </c>
      <c r="S121" t="s">
        <v>1226</v>
      </c>
      <c r="T121" t="s">
        <v>470</v>
      </c>
      <c r="U121" t="s">
        <v>233</v>
      </c>
      <c r="V121" t="s">
        <v>44</v>
      </c>
      <c r="W121" t="s">
        <v>234</v>
      </c>
      <c r="X121" t="s">
        <v>46</v>
      </c>
      <c r="AC121">
        <f>COUNTIF(C:C,QLKV_gui_ket_qua_ra_soat[[#This Row],[Mã điểm bán]])</f>
        <v>1</v>
      </c>
    </row>
    <row r="122" spans="1:29" x14ac:dyDescent="0.45">
      <c r="A122" t="s">
        <v>10783</v>
      </c>
      <c r="B122">
        <v>193</v>
      </c>
      <c r="C122" t="s">
        <v>1256</v>
      </c>
      <c r="D122" t="s">
        <v>1257</v>
      </c>
      <c r="E122" t="s">
        <v>69</v>
      </c>
      <c r="F122" t="s">
        <v>53</v>
      </c>
      <c r="G122" t="s">
        <v>34</v>
      </c>
      <c r="H122" t="s">
        <v>54</v>
      </c>
      <c r="I122" t="s">
        <v>341</v>
      </c>
      <c r="J122" t="s">
        <v>38</v>
      </c>
      <c r="K122" t="s">
        <v>38</v>
      </c>
      <c r="L122" t="s">
        <v>40</v>
      </c>
      <c r="M122" t="s">
        <v>38</v>
      </c>
      <c r="N122" t="s">
        <v>38</v>
      </c>
      <c r="O122" t="s">
        <v>40</v>
      </c>
      <c r="P122" t="s">
        <v>38</v>
      </c>
      <c r="Q122" t="s">
        <v>38</v>
      </c>
      <c r="R122" t="s">
        <v>40</v>
      </c>
      <c r="S122" t="s">
        <v>41</v>
      </c>
      <c r="T122" t="s">
        <v>232</v>
      </c>
      <c r="U122" t="s">
        <v>233</v>
      </c>
      <c r="V122" t="s">
        <v>44</v>
      </c>
      <c r="W122" t="s">
        <v>234</v>
      </c>
      <c r="X122" t="s">
        <v>46</v>
      </c>
      <c r="AC122">
        <f>COUNTIF(C:C,QLKV_gui_ket_qua_ra_soat[[#This Row],[Mã điểm bán]])</f>
        <v>1</v>
      </c>
    </row>
    <row r="123" spans="1:29" x14ac:dyDescent="0.45">
      <c r="A123" t="s">
        <v>10783</v>
      </c>
      <c r="B123">
        <v>194</v>
      </c>
      <c r="C123" t="s">
        <v>1338</v>
      </c>
      <c r="D123" t="s">
        <v>1339</v>
      </c>
      <c r="E123" t="s">
        <v>657</v>
      </c>
      <c r="F123" t="s">
        <v>1340</v>
      </c>
      <c r="G123" t="s">
        <v>34</v>
      </c>
      <c r="H123" t="s">
        <v>1184</v>
      </c>
      <c r="I123" t="s">
        <v>1341</v>
      </c>
      <c r="J123" t="s">
        <v>37</v>
      </c>
      <c r="K123" t="s">
        <v>38</v>
      </c>
      <c r="L123" t="s">
        <v>39</v>
      </c>
      <c r="M123" t="s">
        <v>37</v>
      </c>
      <c r="N123" t="s">
        <v>37</v>
      </c>
      <c r="O123" t="s">
        <v>39</v>
      </c>
      <c r="P123" t="s">
        <v>38</v>
      </c>
      <c r="Q123" t="s">
        <v>38</v>
      </c>
      <c r="R123" t="s">
        <v>40</v>
      </c>
      <c r="S123" t="s">
        <v>1342</v>
      </c>
      <c r="T123" t="s">
        <v>386</v>
      </c>
      <c r="U123" t="s">
        <v>233</v>
      </c>
      <c r="V123" t="s">
        <v>44</v>
      </c>
      <c r="W123" t="s">
        <v>234</v>
      </c>
      <c r="Z123" t="s">
        <v>46</v>
      </c>
      <c r="AA123" t="s">
        <v>387</v>
      </c>
      <c r="AB123" t="s">
        <v>238</v>
      </c>
      <c r="AC123">
        <f>COUNTIF(C:C,QLKV_gui_ket_qua_ra_soat[[#This Row],[Mã điểm bán]])</f>
        <v>1</v>
      </c>
    </row>
    <row r="124" spans="1:29" x14ac:dyDescent="0.45">
      <c r="A124" t="s">
        <v>10783</v>
      </c>
      <c r="B124">
        <v>195</v>
      </c>
      <c r="C124" t="s">
        <v>1350</v>
      </c>
      <c r="D124" t="s">
        <v>1351</v>
      </c>
      <c r="E124" t="s">
        <v>211</v>
      </c>
      <c r="F124" t="s">
        <v>292</v>
      </c>
      <c r="G124" t="s">
        <v>34</v>
      </c>
      <c r="H124" t="s">
        <v>214</v>
      </c>
      <c r="I124" t="s">
        <v>1352</v>
      </c>
      <c r="J124" t="s">
        <v>38</v>
      </c>
      <c r="K124" t="s">
        <v>38</v>
      </c>
      <c r="L124" t="s">
        <v>40</v>
      </c>
      <c r="M124" t="s">
        <v>37</v>
      </c>
      <c r="N124" t="s">
        <v>37</v>
      </c>
      <c r="O124" t="s">
        <v>39</v>
      </c>
      <c r="P124" t="s">
        <v>38</v>
      </c>
      <c r="Q124" t="s">
        <v>38</v>
      </c>
      <c r="R124" t="s">
        <v>40</v>
      </c>
      <c r="S124" t="s">
        <v>1353</v>
      </c>
      <c r="T124" t="s">
        <v>386</v>
      </c>
      <c r="U124" t="s">
        <v>233</v>
      </c>
      <c r="V124" t="s">
        <v>44</v>
      </c>
      <c r="W124" t="s">
        <v>234</v>
      </c>
      <c r="Z124" t="s">
        <v>46</v>
      </c>
      <c r="AA124" t="s">
        <v>387</v>
      </c>
      <c r="AB124" t="s">
        <v>238</v>
      </c>
      <c r="AC124">
        <f>COUNTIF(C:C,QLKV_gui_ket_qua_ra_soat[[#This Row],[Mã điểm bán]])</f>
        <v>1</v>
      </c>
    </row>
    <row r="125" spans="1:29" x14ac:dyDescent="0.45">
      <c r="A125" t="s">
        <v>10783</v>
      </c>
      <c r="B125">
        <v>196</v>
      </c>
      <c r="C125" t="s">
        <v>1363</v>
      </c>
      <c r="D125" t="s">
        <v>1364</v>
      </c>
      <c r="E125" t="s">
        <v>69</v>
      </c>
      <c r="F125" t="s">
        <v>53</v>
      </c>
      <c r="G125" t="s">
        <v>34</v>
      </c>
      <c r="H125" t="s">
        <v>171</v>
      </c>
      <c r="I125" t="s">
        <v>1365</v>
      </c>
      <c r="J125" t="s">
        <v>37</v>
      </c>
      <c r="K125" t="s">
        <v>38</v>
      </c>
      <c r="L125" t="s">
        <v>40</v>
      </c>
      <c r="M125" t="s">
        <v>37</v>
      </c>
      <c r="N125" t="s">
        <v>38</v>
      </c>
      <c r="O125" t="s">
        <v>39</v>
      </c>
      <c r="P125" t="s">
        <v>38</v>
      </c>
      <c r="Q125" t="s">
        <v>38</v>
      </c>
      <c r="R125" t="s">
        <v>40</v>
      </c>
      <c r="S125" t="s">
        <v>1366</v>
      </c>
      <c r="T125" t="s">
        <v>386</v>
      </c>
      <c r="U125" t="s">
        <v>233</v>
      </c>
      <c r="V125" t="s">
        <v>44</v>
      </c>
      <c r="W125" t="s">
        <v>234</v>
      </c>
      <c r="X125" t="s">
        <v>46</v>
      </c>
      <c r="AC125">
        <f>COUNTIF(C:C,QLKV_gui_ket_qua_ra_soat[[#This Row],[Mã điểm bán]])</f>
        <v>1</v>
      </c>
    </row>
    <row r="126" spans="1:29" x14ac:dyDescent="0.45">
      <c r="A126" t="s">
        <v>10783</v>
      </c>
      <c r="B126">
        <v>197</v>
      </c>
      <c r="C126" t="s">
        <v>1382</v>
      </c>
      <c r="D126" t="s">
        <v>1383</v>
      </c>
      <c r="E126" t="s">
        <v>162</v>
      </c>
      <c r="F126" t="s">
        <v>1385</v>
      </c>
      <c r="G126" t="s">
        <v>34</v>
      </c>
      <c r="H126" t="s">
        <v>214</v>
      </c>
      <c r="I126" t="s">
        <v>1386</v>
      </c>
      <c r="J126" t="s">
        <v>37</v>
      </c>
      <c r="K126" t="s">
        <v>38</v>
      </c>
      <c r="L126" t="s">
        <v>39</v>
      </c>
      <c r="M126" t="s">
        <v>37</v>
      </c>
      <c r="N126" t="s">
        <v>37</v>
      </c>
      <c r="O126" t="s">
        <v>39</v>
      </c>
      <c r="P126" t="s">
        <v>38</v>
      </c>
      <c r="Q126" t="s">
        <v>37</v>
      </c>
      <c r="R126" t="s">
        <v>40</v>
      </c>
      <c r="S126" t="s">
        <v>1387</v>
      </c>
      <c r="T126" t="s">
        <v>386</v>
      </c>
      <c r="U126" t="s">
        <v>233</v>
      </c>
      <c r="V126" t="s">
        <v>44</v>
      </c>
      <c r="W126" t="s">
        <v>234</v>
      </c>
      <c r="X126" t="s">
        <v>46</v>
      </c>
      <c r="AC126">
        <f>COUNTIF(C:C,QLKV_gui_ket_qua_ra_soat[[#This Row],[Mã điểm bán]])</f>
        <v>1</v>
      </c>
    </row>
    <row r="127" spans="1:29" x14ac:dyDescent="0.45">
      <c r="A127" t="s">
        <v>10783</v>
      </c>
      <c r="B127">
        <v>198</v>
      </c>
      <c r="C127" t="s">
        <v>1402</v>
      </c>
      <c r="D127" t="s">
        <v>1403</v>
      </c>
      <c r="E127" t="s">
        <v>255</v>
      </c>
      <c r="F127" t="s">
        <v>53</v>
      </c>
      <c r="G127" t="s">
        <v>34</v>
      </c>
      <c r="H127" t="s">
        <v>54</v>
      </c>
      <c r="I127" t="s">
        <v>1404</v>
      </c>
      <c r="J127" t="s">
        <v>37</v>
      </c>
      <c r="K127" t="s">
        <v>37</v>
      </c>
      <c r="L127" t="s">
        <v>39</v>
      </c>
      <c r="M127" t="s">
        <v>37</v>
      </c>
      <c r="N127" t="s">
        <v>37</v>
      </c>
      <c r="O127" t="s">
        <v>39</v>
      </c>
      <c r="P127" t="s">
        <v>37</v>
      </c>
      <c r="Q127" t="s">
        <v>37</v>
      </c>
      <c r="R127" t="s">
        <v>39</v>
      </c>
      <c r="S127" t="s">
        <v>1405</v>
      </c>
      <c r="T127" t="s">
        <v>470</v>
      </c>
      <c r="U127" t="s">
        <v>233</v>
      </c>
      <c r="V127" t="s">
        <v>44</v>
      </c>
      <c r="W127" t="s">
        <v>234</v>
      </c>
      <c r="X127" t="s">
        <v>46</v>
      </c>
      <c r="AC127">
        <f>COUNTIF(C:C,QLKV_gui_ket_qua_ra_soat[[#This Row],[Mã điểm bán]])</f>
        <v>1</v>
      </c>
    </row>
    <row r="128" spans="1:29" x14ac:dyDescent="0.45">
      <c r="A128" t="s">
        <v>10783</v>
      </c>
      <c r="B128">
        <v>199</v>
      </c>
      <c r="C128" t="s">
        <v>1425</v>
      </c>
      <c r="D128" t="s">
        <v>1426</v>
      </c>
      <c r="E128" t="s">
        <v>674</v>
      </c>
      <c r="F128" t="s">
        <v>1427</v>
      </c>
      <c r="G128" t="s">
        <v>34</v>
      </c>
      <c r="H128" t="s">
        <v>54</v>
      </c>
      <c r="I128" t="s">
        <v>1428</v>
      </c>
      <c r="J128" t="s">
        <v>37</v>
      </c>
      <c r="K128" t="s">
        <v>37</v>
      </c>
      <c r="L128" t="s">
        <v>40</v>
      </c>
      <c r="M128" t="s">
        <v>56</v>
      </c>
      <c r="N128" t="s">
        <v>56</v>
      </c>
      <c r="O128" t="s">
        <v>39</v>
      </c>
      <c r="P128" t="s">
        <v>56</v>
      </c>
      <c r="Q128" t="s">
        <v>56</v>
      </c>
      <c r="R128" t="s">
        <v>39</v>
      </c>
      <c r="S128" t="s">
        <v>1429</v>
      </c>
      <c r="T128" t="s">
        <v>470</v>
      </c>
      <c r="U128" t="s">
        <v>233</v>
      </c>
      <c r="V128" t="s">
        <v>44</v>
      </c>
      <c r="W128" t="s">
        <v>234</v>
      </c>
      <c r="X128" t="s">
        <v>46</v>
      </c>
      <c r="AC128">
        <f>COUNTIF(C:C,QLKV_gui_ket_qua_ra_soat[[#This Row],[Mã điểm bán]])</f>
        <v>1</v>
      </c>
    </row>
    <row r="129" spans="1:29" x14ac:dyDescent="0.45">
      <c r="A129" t="s">
        <v>10783</v>
      </c>
      <c r="B129">
        <v>200</v>
      </c>
      <c r="C129" t="s">
        <v>1469</v>
      </c>
      <c r="D129" t="s">
        <v>1470</v>
      </c>
      <c r="E129" t="s">
        <v>86</v>
      </c>
      <c r="F129" t="s">
        <v>1471</v>
      </c>
      <c r="G129" t="s">
        <v>34</v>
      </c>
      <c r="H129" t="s">
        <v>54</v>
      </c>
      <c r="I129" t="s">
        <v>1472</v>
      </c>
      <c r="J129" t="s">
        <v>38</v>
      </c>
      <c r="K129" t="s">
        <v>38</v>
      </c>
      <c r="L129" t="s">
        <v>40</v>
      </c>
      <c r="M129" t="s">
        <v>56</v>
      </c>
      <c r="N129" t="s">
        <v>56</v>
      </c>
      <c r="O129" t="s">
        <v>40</v>
      </c>
      <c r="P129" t="s">
        <v>37</v>
      </c>
      <c r="Q129" t="s">
        <v>37</v>
      </c>
      <c r="R129" t="s">
        <v>40</v>
      </c>
      <c r="S129" t="s">
        <v>1473</v>
      </c>
      <c r="T129" t="s">
        <v>470</v>
      </c>
      <c r="U129" t="s">
        <v>233</v>
      </c>
      <c r="V129" t="s">
        <v>44</v>
      </c>
      <c r="W129" t="s">
        <v>234</v>
      </c>
      <c r="X129" t="s">
        <v>46</v>
      </c>
      <c r="AC129">
        <f>COUNTIF(C:C,QLKV_gui_ket_qua_ra_soat[[#This Row],[Mã điểm bán]])</f>
        <v>1</v>
      </c>
    </row>
    <row r="130" spans="1:29" x14ac:dyDescent="0.45">
      <c r="A130" t="s">
        <v>10783</v>
      </c>
      <c r="B130">
        <v>201</v>
      </c>
      <c r="C130" t="s">
        <v>49</v>
      </c>
      <c r="D130" t="s">
        <v>50</v>
      </c>
      <c r="E130" t="s">
        <v>52</v>
      </c>
      <c r="F130" t="s">
        <v>53</v>
      </c>
      <c r="G130" t="s">
        <v>34</v>
      </c>
      <c r="H130" t="s">
        <v>54</v>
      </c>
      <c r="I130" t="s">
        <v>55</v>
      </c>
      <c r="J130" t="s">
        <v>38</v>
      </c>
      <c r="K130" t="s">
        <v>37</v>
      </c>
      <c r="L130" t="s">
        <v>39</v>
      </c>
      <c r="M130" t="s">
        <v>38</v>
      </c>
      <c r="N130" t="s">
        <v>56</v>
      </c>
      <c r="O130" t="s">
        <v>39</v>
      </c>
      <c r="P130" t="s">
        <v>38</v>
      </c>
      <c r="Q130" t="s">
        <v>38</v>
      </c>
      <c r="R130" t="s">
        <v>40</v>
      </c>
      <c r="S130" t="s">
        <v>57</v>
      </c>
      <c r="T130" t="s">
        <v>58</v>
      </c>
      <c r="U130" t="s">
        <v>59</v>
      </c>
      <c r="V130" t="s">
        <v>44</v>
      </c>
      <c r="W130" t="s">
        <v>60</v>
      </c>
      <c r="X130" t="s">
        <v>46</v>
      </c>
      <c r="AC130">
        <f>COUNTIF(C:C,QLKV_gui_ket_qua_ra_soat[[#This Row],[Mã điểm bán]])</f>
        <v>1</v>
      </c>
    </row>
    <row r="131" spans="1:29" x14ac:dyDescent="0.45">
      <c r="A131" t="s">
        <v>10783</v>
      </c>
      <c r="B131">
        <v>202</v>
      </c>
      <c r="C131" t="s">
        <v>122</v>
      </c>
      <c r="D131" t="s">
        <v>123</v>
      </c>
      <c r="E131" t="s">
        <v>69</v>
      </c>
      <c r="F131" t="s">
        <v>53</v>
      </c>
      <c r="G131" t="s">
        <v>34</v>
      </c>
      <c r="H131" t="s">
        <v>54</v>
      </c>
      <c r="I131" t="s">
        <v>124</v>
      </c>
      <c r="J131" t="s">
        <v>38</v>
      </c>
      <c r="K131" t="s">
        <v>38</v>
      </c>
      <c r="L131" t="s">
        <v>40</v>
      </c>
      <c r="M131" t="s">
        <v>38</v>
      </c>
      <c r="N131" t="s">
        <v>38</v>
      </c>
      <c r="O131" t="s">
        <v>40</v>
      </c>
      <c r="P131" t="s">
        <v>38</v>
      </c>
      <c r="Q131" t="s">
        <v>38</v>
      </c>
      <c r="R131" t="s">
        <v>40</v>
      </c>
      <c r="S131" t="s">
        <v>41</v>
      </c>
      <c r="T131" t="s">
        <v>58</v>
      </c>
      <c r="U131" t="s">
        <v>59</v>
      </c>
      <c r="V131" t="s">
        <v>44</v>
      </c>
      <c r="W131" t="s">
        <v>60</v>
      </c>
      <c r="X131" t="s">
        <v>46</v>
      </c>
      <c r="AB131" t="s">
        <v>94</v>
      </c>
      <c r="AC131">
        <f>COUNTIF(C:C,QLKV_gui_ket_qua_ra_soat[[#This Row],[Mã điểm bán]])</f>
        <v>1</v>
      </c>
    </row>
    <row r="132" spans="1:29" x14ac:dyDescent="0.45">
      <c r="A132" t="s">
        <v>10783</v>
      </c>
      <c r="B132">
        <v>203</v>
      </c>
      <c r="C132" t="s">
        <v>146</v>
      </c>
      <c r="D132" t="s">
        <v>147</v>
      </c>
      <c r="E132" t="s">
        <v>149</v>
      </c>
      <c r="F132" t="s">
        <v>53</v>
      </c>
      <c r="G132" t="s">
        <v>150</v>
      </c>
      <c r="H132" t="s">
        <v>54</v>
      </c>
      <c r="I132" t="s">
        <v>151</v>
      </c>
      <c r="J132" t="s">
        <v>38</v>
      </c>
      <c r="K132" t="s">
        <v>38</v>
      </c>
      <c r="L132" t="s">
        <v>40</v>
      </c>
      <c r="M132" t="s">
        <v>38</v>
      </c>
      <c r="N132" t="s">
        <v>38</v>
      </c>
      <c r="O132" t="s">
        <v>40</v>
      </c>
      <c r="P132" t="s">
        <v>38</v>
      </c>
      <c r="Q132" t="s">
        <v>38</v>
      </c>
      <c r="R132" t="s">
        <v>40</v>
      </c>
      <c r="S132" t="s">
        <v>152</v>
      </c>
      <c r="T132" t="s">
        <v>153</v>
      </c>
      <c r="U132" t="s">
        <v>59</v>
      </c>
      <c r="V132" t="s">
        <v>44</v>
      </c>
      <c r="W132" t="s">
        <v>154</v>
      </c>
      <c r="X132" t="s">
        <v>46</v>
      </c>
      <c r="AB132" t="s">
        <v>94</v>
      </c>
      <c r="AC132">
        <f>COUNTIF(C:C,QLKV_gui_ket_qua_ra_soat[[#This Row],[Mã điểm bán]])</f>
        <v>1</v>
      </c>
    </row>
    <row r="133" spans="1:29" x14ac:dyDescent="0.45">
      <c r="A133" t="s">
        <v>10783</v>
      </c>
      <c r="B133">
        <v>204</v>
      </c>
      <c r="C133" t="s">
        <v>155</v>
      </c>
      <c r="D133" t="s">
        <v>156</v>
      </c>
      <c r="E133" t="s">
        <v>157</v>
      </c>
      <c r="F133" t="s">
        <v>53</v>
      </c>
      <c r="G133" t="s">
        <v>34</v>
      </c>
      <c r="H133" t="s">
        <v>54</v>
      </c>
      <c r="I133" t="s">
        <v>158</v>
      </c>
      <c r="J133" t="s">
        <v>38</v>
      </c>
      <c r="K133" t="s">
        <v>38</v>
      </c>
      <c r="L133" t="s">
        <v>40</v>
      </c>
      <c r="M133" t="s">
        <v>38</v>
      </c>
      <c r="N133" t="s">
        <v>38</v>
      </c>
      <c r="O133" t="s">
        <v>40</v>
      </c>
      <c r="P133" t="s">
        <v>38</v>
      </c>
      <c r="Q133" t="s">
        <v>38</v>
      </c>
      <c r="R133" t="s">
        <v>40</v>
      </c>
      <c r="S133" t="s">
        <v>41</v>
      </c>
      <c r="T133" t="s">
        <v>153</v>
      </c>
      <c r="U133" t="s">
        <v>59</v>
      </c>
      <c r="V133" t="s">
        <v>44</v>
      </c>
      <c r="W133" t="s">
        <v>154</v>
      </c>
      <c r="Y133" t="s">
        <v>46</v>
      </c>
      <c r="AB133" t="s">
        <v>159</v>
      </c>
      <c r="AC133">
        <f>COUNTIF(C:C,QLKV_gui_ket_qua_ra_soat[[#This Row],[Mã điểm bán]])</f>
        <v>1</v>
      </c>
    </row>
    <row r="134" spans="1:29" x14ac:dyDescent="0.45">
      <c r="A134" t="s">
        <v>10783</v>
      </c>
      <c r="B134">
        <v>205</v>
      </c>
      <c r="C134" t="s">
        <v>235</v>
      </c>
      <c r="D134" t="s">
        <v>236</v>
      </c>
      <c r="E134" t="s">
        <v>108</v>
      </c>
      <c r="F134" t="s">
        <v>53</v>
      </c>
      <c r="G134" t="s">
        <v>34</v>
      </c>
      <c r="H134" t="s">
        <v>54</v>
      </c>
      <c r="I134" t="s">
        <v>237</v>
      </c>
      <c r="J134" t="s">
        <v>38</v>
      </c>
      <c r="K134" t="s">
        <v>38</v>
      </c>
      <c r="L134" t="s">
        <v>40</v>
      </c>
      <c r="M134" t="s">
        <v>38</v>
      </c>
      <c r="N134" t="s">
        <v>38</v>
      </c>
      <c r="O134" t="s">
        <v>40</v>
      </c>
      <c r="P134" t="s">
        <v>38</v>
      </c>
      <c r="Q134" t="s">
        <v>38</v>
      </c>
      <c r="R134" t="s">
        <v>40</v>
      </c>
      <c r="S134" t="s">
        <v>41</v>
      </c>
      <c r="T134" t="s">
        <v>153</v>
      </c>
      <c r="U134" t="s">
        <v>59</v>
      </c>
      <c r="V134" t="s">
        <v>44</v>
      </c>
      <c r="W134" t="s">
        <v>154</v>
      </c>
      <c r="Z134" t="s">
        <v>46</v>
      </c>
      <c r="AA134" t="s">
        <v>327</v>
      </c>
      <c r="AB134" t="s">
        <v>238</v>
      </c>
      <c r="AC134">
        <f>COUNTIF(C:C,QLKV_gui_ket_qua_ra_soat[[#This Row],[Mã điểm bán]])</f>
        <v>1</v>
      </c>
    </row>
    <row r="135" spans="1:29" x14ac:dyDescent="0.45">
      <c r="A135" t="s">
        <v>10783</v>
      </c>
      <c r="B135">
        <v>206</v>
      </c>
      <c r="C135" t="s">
        <v>248</v>
      </c>
      <c r="D135" t="s">
        <v>249</v>
      </c>
      <c r="E135" t="s">
        <v>190</v>
      </c>
      <c r="F135" t="s">
        <v>53</v>
      </c>
      <c r="G135" t="s">
        <v>34</v>
      </c>
      <c r="H135" t="s">
        <v>54</v>
      </c>
      <c r="I135" t="s">
        <v>250</v>
      </c>
      <c r="J135" t="s">
        <v>56</v>
      </c>
      <c r="K135" t="s">
        <v>56</v>
      </c>
      <c r="L135" t="s">
        <v>39</v>
      </c>
      <c r="M135" t="s">
        <v>56</v>
      </c>
      <c r="N135" t="s">
        <v>56</v>
      </c>
      <c r="O135" t="s">
        <v>39</v>
      </c>
      <c r="P135" t="s">
        <v>38</v>
      </c>
      <c r="Q135" t="s">
        <v>38</v>
      </c>
      <c r="R135" t="s">
        <v>39</v>
      </c>
      <c r="S135" t="s">
        <v>251</v>
      </c>
      <c r="T135" t="s">
        <v>252</v>
      </c>
      <c r="U135" t="s">
        <v>59</v>
      </c>
      <c r="V135" t="s">
        <v>44</v>
      </c>
      <c r="W135" t="s">
        <v>60</v>
      </c>
      <c r="X135" t="s">
        <v>46</v>
      </c>
      <c r="AC135">
        <f>COUNTIF(C:C,QLKV_gui_ket_qua_ra_soat[[#This Row],[Mã điểm bán]])</f>
        <v>1</v>
      </c>
    </row>
    <row r="136" spans="1:29" x14ac:dyDescent="0.45">
      <c r="A136" t="s">
        <v>10783</v>
      </c>
      <c r="B136">
        <v>207</v>
      </c>
      <c r="C136" t="s">
        <v>253</v>
      </c>
      <c r="D136" t="s">
        <v>254</v>
      </c>
      <c r="E136" t="s">
        <v>256</v>
      </c>
      <c r="F136" t="s">
        <v>53</v>
      </c>
      <c r="G136" t="s">
        <v>34</v>
      </c>
      <c r="H136" t="s">
        <v>54</v>
      </c>
      <c r="I136" t="s">
        <v>257</v>
      </c>
      <c r="J136" t="s">
        <v>56</v>
      </c>
      <c r="K136" t="s">
        <v>56</v>
      </c>
      <c r="L136" t="s">
        <v>39</v>
      </c>
      <c r="M136" t="s">
        <v>56</v>
      </c>
      <c r="N136" t="s">
        <v>56</v>
      </c>
      <c r="O136" t="s">
        <v>39</v>
      </c>
      <c r="P136" t="s">
        <v>38</v>
      </c>
      <c r="Q136" t="s">
        <v>38</v>
      </c>
      <c r="R136" t="s">
        <v>40</v>
      </c>
      <c r="S136" t="s">
        <v>258</v>
      </c>
      <c r="T136" t="s">
        <v>252</v>
      </c>
      <c r="U136" t="s">
        <v>59</v>
      </c>
      <c r="V136" t="s">
        <v>44</v>
      </c>
      <c r="W136" t="s">
        <v>60</v>
      </c>
      <c r="X136" t="s">
        <v>46</v>
      </c>
      <c r="AC136">
        <f>COUNTIF(C:C,QLKV_gui_ket_qua_ra_soat[[#This Row],[Mã điểm bán]])</f>
        <v>1</v>
      </c>
    </row>
    <row r="137" spans="1:29" x14ac:dyDescent="0.45">
      <c r="A137" t="s">
        <v>10783</v>
      </c>
      <c r="B137">
        <v>208</v>
      </c>
      <c r="C137" t="s">
        <v>259</v>
      </c>
      <c r="D137" t="s">
        <v>260</v>
      </c>
      <c r="E137" t="s">
        <v>91</v>
      </c>
      <c r="F137" t="s">
        <v>224</v>
      </c>
      <c r="G137" t="s">
        <v>34</v>
      </c>
      <c r="H137" t="s">
        <v>54</v>
      </c>
      <c r="I137" t="s">
        <v>262</v>
      </c>
      <c r="J137" t="s">
        <v>38</v>
      </c>
      <c r="K137" t="s">
        <v>38</v>
      </c>
      <c r="L137" t="s">
        <v>40</v>
      </c>
      <c r="M137" t="s">
        <v>38</v>
      </c>
      <c r="N137" t="s">
        <v>38</v>
      </c>
      <c r="O137" t="s">
        <v>40</v>
      </c>
      <c r="P137" t="s">
        <v>38</v>
      </c>
      <c r="Q137" t="s">
        <v>38</v>
      </c>
      <c r="R137" t="s">
        <v>40</v>
      </c>
      <c r="S137" t="s">
        <v>41</v>
      </c>
      <c r="T137" t="s">
        <v>153</v>
      </c>
      <c r="U137" t="s">
        <v>59</v>
      </c>
      <c r="V137" t="s">
        <v>44</v>
      </c>
      <c r="W137" t="s">
        <v>154</v>
      </c>
      <c r="X137" t="s">
        <v>46</v>
      </c>
      <c r="AB137" t="s">
        <v>159</v>
      </c>
      <c r="AC137">
        <f>COUNTIF(C:C,QLKV_gui_ket_qua_ra_soat[[#This Row],[Mã điểm bán]])</f>
        <v>1</v>
      </c>
    </row>
    <row r="138" spans="1:29" x14ac:dyDescent="0.45">
      <c r="A138" t="s">
        <v>10783</v>
      </c>
      <c r="B138">
        <v>209</v>
      </c>
      <c r="C138" t="s">
        <v>263</v>
      </c>
      <c r="D138" t="s">
        <v>264</v>
      </c>
      <c r="E138" t="s">
        <v>127</v>
      </c>
      <c r="F138" t="s">
        <v>224</v>
      </c>
      <c r="G138" t="s">
        <v>34</v>
      </c>
      <c r="H138" t="s">
        <v>54</v>
      </c>
      <c r="I138" t="s">
        <v>266</v>
      </c>
      <c r="J138" t="s">
        <v>38</v>
      </c>
      <c r="K138" t="s">
        <v>38</v>
      </c>
      <c r="L138" t="s">
        <v>40</v>
      </c>
      <c r="M138" t="s">
        <v>38</v>
      </c>
      <c r="N138" t="s">
        <v>38</v>
      </c>
      <c r="O138" t="s">
        <v>40</v>
      </c>
      <c r="P138" t="s">
        <v>38</v>
      </c>
      <c r="Q138" t="s">
        <v>38</v>
      </c>
      <c r="R138" t="s">
        <v>40</v>
      </c>
      <c r="S138" t="s">
        <v>41</v>
      </c>
      <c r="T138" t="s">
        <v>153</v>
      </c>
      <c r="U138" t="s">
        <v>59</v>
      </c>
      <c r="V138" t="s">
        <v>44</v>
      </c>
      <c r="W138" t="s">
        <v>154</v>
      </c>
      <c r="Z138" t="s">
        <v>46</v>
      </c>
      <c r="AA138" t="s">
        <v>327</v>
      </c>
      <c r="AB138" t="s">
        <v>238</v>
      </c>
      <c r="AC138">
        <f>COUNTIF(C:C,QLKV_gui_ket_qua_ra_soat[[#This Row],[Mã điểm bán]])</f>
        <v>1</v>
      </c>
    </row>
    <row r="139" spans="1:29" x14ac:dyDescent="0.45">
      <c r="A139" t="s">
        <v>10783</v>
      </c>
      <c r="B139">
        <v>210</v>
      </c>
      <c r="C139" t="s">
        <v>267</v>
      </c>
      <c r="D139" t="s">
        <v>268</v>
      </c>
      <c r="E139" t="s">
        <v>269</v>
      </c>
      <c r="F139" t="s">
        <v>53</v>
      </c>
      <c r="G139" t="s">
        <v>34</v>
      </c>
      <c r="H139" t="s">
        <v>54</v>
      </c>
      <c r="I139" t="s">
        <v>270</v>
      </c>
      <c r="J139" t="s">
        <v>38</v>
      </c>
      <c r="K139" t="s">
        <v>38</v>
      </c>
      <c r="L139" t="s">
        <v>39</v>
      </c>
      <c r="M139" t="s">
        <v>38</v>
      </c>
      <c r="N139" t="s">
        <v>38</v>
      </c>
      <c r="O139" t="s">
        <v>39</v>
      </c>
      <c r="P139" t="s">
        <v>38</v>
      </c>
      <c r="Q139" t="s">
        <v>38</v>
      </c>
      <c r="R139" t="s">
        <v>40</v>
      </c>
      <c r="S139" t="s">
        <v>41</v>
      </c>
      <c r="T139" t="s">
        <v>153</v>
      </c>
      <c r="U139" t="s">
        <v>59</v>
      </c>
      <c r="V139" t="s">
        <v>44</v>
      </c>
      <c r="W139" t="s">
        <v>154</v>
      </c>
      <c r="X139" t="s">
        <v>46</v>
      </c>
      <c r="AB139" t="s">
        <v>94</v>
      </c>
      <c r="AC139">
        <f>COUNTIF(C:C,QLKV_gui_ket_qua_ra_soat[[#This Row],[Mã điểm bán]])</f>
        <v>1</v>
      </c>
    </row>
    <row r="140" spans="1:29" x14ac:dyDescent="0.45">
      <c r="A140" t="s">
        <v>10783</v>
      </c>
      <c r="B140">
        <v>211</v>
      </c>
      <c r="C140" t="s">
        <v>277</v>
      </c>
      <c r="D140" t="s">
        <v>278</v>
      </c>
      <c r="E140" t="s">
        <v>138</v>
      </c>
      <c r="F140" t="s">
        <v>280</v>
      </c>
      <c r="G140" t="s">
        <v>34</v>
      </c>
      <c r="H140" t="s">
        <v>54</v>
      </c>
      <c r="I140" t="s">
        <v>281</v>
      </c>
      <c r="J140" t="s">
        <v>38</v>
      </c>
      <c r="K140" t="s">
        <v>38</v>
      </c>
      <c r="L140" t="s">
        <v>40</v>
      </c>
      <c r="M140" t="s">
        <v>38</v>
      </c>
      <c r="N140" t="s">
        <v>38</v>
      </c>
      <c r="O140" t="s">
        <v>40</v>
      </c>
      <c r="P140" t="s">
        <v>38</v>
      </c>
      <c r="Q140" t="s">
        <v>38</v>
      </c>
      <c r="R140" t="s">
        <v>40</v>
      </c>
      <c r="S140" t="s">
        <v>41</v>
      </c>
      <c r="T140" t="s">
        <v>153</v>
      </c>
      <c r="U140" t="s">
        <v>59</v>
      </c>
      <c r="V140" t="s">
        <v>44</v>
      </c>
      <c r="W140" t="s">
        <v>154</v>
      </c>
      <c r="X140" t="s">
        <v>46</v>
      </c>
      <c r="AB140" t="s">
        <v>159</v>
      </c>
      <c r="AC140">
        <f>COUNTIF(C:C,QLKV_gui_ket_qua_ra_soat[[#This Row],[Mã điểm bán]])</f>
        <v>1</v>
      </c>
    </row>
    <row r="141" spans="1:29" x14ac:dyDescent="0.45">
      <c r="A141" t="s">
        <v>10783</v>
      </c>
      <c r="B141">
        <v>212</v>
      </c>
      <c r="C141" t="s">
        <v>282</v>
      </c>
      <c r="D141" t="s">
        <v>283</v>
      </c>
      <c r="E141" t="s">
        <v>285</v>
      </c>
      <c r="F141" t="s">
        <v>286</v>
      </c>
      <c r="G141" t="s">
        <v>34</v>
      </c>
      <c r="H141" t="s">
        <v>54</v>
      </c>
      <c r="I141" t="s">
        <v>287</v>
      </c>
      <c r="J141" t="s">
        <v>38</v>
      </c>
      <c r="K141" t="s">
        <v>38</v>
      </c>
      <c r="L141" t="s">
        <v>40</v>
      </c>
      <c r="M141" t="s">
        <v>38</v>
      </c>
      <c r="N141" t="s">
        <v>38</v>
      </c>
      <c r="O141" t="s">
        <v>40</v>
      </c>
      <c r="P141" t="s">
        <v>38</v>
      </c>
      <c r="Q141" t="s">
        <v>38</v>
      </c>
      <c r="R141" t="s">
        <v>40</v>
      </c>
      <c r="S141" t="s">
        <v>41</v>
      </c>
      <c r="T141" t="s">
        <v>153</v>
      </c>
      <c r="U141" t="s">
        <v>59</v>
      </c>
      <c r="V141" t="s">
        <v>44</v>
      </c>
      <c r="W141" t="s">
        <v>154</v>
      </c>
      <c r="Z141" t="s">
        <v>46</v>
      </c>
      <c r="AA141" t="s">
        <v>327</v>
      </c>
      <c r="AB141" t="s">
        <v>238</v>
      </c>
      <c r="AC141">
        <f>COUNTIF(C:C,QLKV_gui_ket_qua_ra_soat[[#This Row],[Mã điểm bán]])</f>
        <v>1</v>
      </c>
    </row>
    <row r="142" spans="1:29" x14ac:dyDescent="0.45">
      <c r="A142" t="s">
        <v>10783</v>
      </c>
      <c r="B142">
        <v>213</v>
      </c>
      <c r="C142" t="s">
        <v>288</v>
      </c>
      <c r="D142" t="s">
        <v>289</v>
      </c>
      <c r="E142" t="s">
        <v>291</v>
      </c>
      <c r="F142" t="s">
        <v>292</v>
      </c>
      <c r="G142" t="s">
        <v>34</v>
      </c>
      <c r="H142" t="s">
        <v>54</v>
      </c>
      <c r="I142" t="s">
        <v>293</v>
      </c>
      <c r="J142" t="s">
        <v>38</v>
      </c>
      <c r="K142" t="s">
        <v>38</v>
      </c>
      <c r="L142" t="s">
        <v>40</v>
      </c>
      <c r="M142" t="s">
        <v>38</v>
      </c>
      <c r="N142" t="s">
        <v>38</v>
      </c>
      <c r="O142" t="s">
        <v>40</v>
      </c>
      <c r="P142" t="s">
        <v>38</v>
      </c>
      <c r="Q142" t="s">
        <v>38</v>
      </c>
      <c r="R142" t="s">
        <v>40</v>
      </c>
      <c r="S142" t="s">
        <v>41</v>
      </c>
      <c r="T142" t="s">
        <v>153</v>
      </c>
      <c r="U142" t="s">
        <v>59</v>
      </c>
      <c r="V142" t="s">
        <v>44</v>
      </c>
      <c r="W142" t="s">
        <v>154</v>
      </c>
      <c r="Z142" t="s">
        <v>46</v>
      </c>
      <c r="AA142" t="s">
        <v>327</v>
      </c>
      <c r="AB142" t="s">
        <v>238</v>
      </c>
      <c r="AC142">
        <f>COUNTIF(C:C,QLKV_gui_ket_qua_ra_soat[[#This Row],[Mã điểm bán]])</f>
        <v>1</v>
      </c>
    </row>
    <row r="143" spans="1:29" x14ac:dyDescent="0.45">
      <c r="A143" t="s">
        <v>10783</v>
      </c>
      <c r="B143">
        <v>214</v>
      </c>
      <c r="C143" t="s">
        <v>294</v>
      </c>
      <c r="D143" t="s">
        <v>295</v>
      </c>
      <c r="E143" t="s">
        <v>297</v>
      </c>
      <c r="F143" t="s">
        <v>298</v>
      </c>
      <c r="G143" t="s">
        <v>34</v>
      </c>
      <c r="H143" t="s">
        <v>54</v>
      </c>
      <c r="I143" t="s">
        <v>299</v>
      </c>
      <c r="J143" t="s">
        <v>38</v>
      </c>
      <c r="K143" t="s">
        <v>38</v>
      </c>
      <c r="L143" t="s">
        <v>40</v>
      </c>
      <c r="M143" t="s">
        <v>38</v>
      </c>
      <c r="N143" t="s">
        <v>38</v>
      </c>
      <c r="O143" t="s">
        <v>40</v>
      </c>
      <c r="P143" t="s">
        <v>38</v>
      </c>
      <c r="Q143" t="s">
        <v>38</v>
      </c>
      <c r="R143" t="s">
        <v>40</v>
      </c>
      <c r="S143" t="s">
        <v>41</v>
      </c>
      <c r="T143" t="s">
        <v>153</v>
      </c>
      <c r="U143" t="s">
        <v>59</v>
      </c>
      <c r="V143" t="s">
        <v>44</v>
      </c>
      <c r="W143" t="s">
        <v>154</v>
      </c>
      <c r="Z143" t="s">
        <v>46</v>
      </c>
      <c r="AA143" t="s">
        <v>327</v>
      </c>
      <c r="AB143" t="s">
        <v>238</v>
      </c>
      <c r="AC143">
        <f>COUNTIF(C:C,QLKV_gui_ket_qua_ra_soat[[#This Row],[Mã điểm bán]])</f>
        <v>1</v>
      </c>
    </row>
    <row r="144" spans="1:29" x14ac:dyDescent="0.45">
      <c r="A144" t="s">
        <v>10783</v>
      </c>
      <c r="B144">
        <v>215</v>
      </c>
      <c r="C144" t="s">
        <v>300</v>
      </c>
      <c r="D144" t="s">
        <v>301</v>
      </c>
      <c r="E144" t="s">
        <v>87</v>
      </c>
      <c r="F144" t="s">
        <v>53</v>
      </c>
      <c r="G144" t="s">
        <v>34</v>
      </c>
      <c r="H144" t="s">
        <v>54</v>
      </c>
      <c r="I144" t="s">
        <v>124</v>
      </c>
      <c r="J144" t="s">
        <v>38</v>
      </c>
      <c r="K144" t="s">
        <v>38</v>
      </c>
      <c r="L144" t="s">
        <v>40</v>
      </c>
      <c r="M144" t="s">
        <v>38</v>
      </c>
      <c r="N144" t="s">
        <v>38</v>
      </c>
      <c r="O144" t="s">
        <v>40</v>
      </c>
      <c r="P144" t="s">
        <v>38</v>
      </c>
      <c r="Q144" t="s">
        <v>38</v>
      </c>
      <c r="R144" t="s">
        <v>40</v>
      </c>
      <c r="S144" t="s">
        <v>41</v>
      </c>
      <c r="T144" t="s">
        <v>58</v>
      </c>
      <c r="U144" t="s">
        <v>59</v>
      </c>
      <c r="V144" t="s">
        <v>44</v>
      </c>
      <c r="W144" t="s">
        <v>60</v>
      </c>
      <c r="X144" t="s">
        <v>46</v>
      </c>
      <c r="AC144">
        <f>COUNTIF(C:C,QLKV_gui_ket_qua_ra_soat[[#This Row],[Mã điểm bán]])</f>
        <v>1</v>
      </c>
    </row>
    <row r="145" spans="1:29" x14ac:dyDescent="0.45">
      <c r="A145" t="s">
        <v>10783</v>
      </c>
      <c r="B145">
        <v>216</v>
      </c>
      <c r="C145" t="s">
        <v>302</v>
      </c>
      <c r="D145" t="s">
        <v>303</v>
      </c>
      <c r="E145" t="s">
        <v>304</v>
      </c>
      <c r="F145" t="s">
        <v>53</v>
      </c>
      <c r="G145" t="s">
        <v>34</v>
      </c>
      <c r="H145" t="s">
        <v>54</v>
      </c>
      <c r="I145" t="s">
        <v>124</v>
      </c>
      <c r="J145" t="s">
        <v>38</v>
      </c>
      <c r="K145" t="s">
        <v>38</v>
      </c>
      <c r="L145" t="s">
        <v>40</v>
      </c>
      <c r="M145" t="s">
        <v>38</v>
      </c>
      <c r="N145" t="s">
        <v>38</v>
      </c>
      <c r="O145" t="s">
        <v>40</v>
      </c>
      <c r="P145" t="s">
        <v>38</v>
      </c>
      <c r="Q145" t="s">
        <v>38</v>
      </c>
      <c r="R145" t="s">
        <v>40</v>
      </c>
      <c r="S145" t="s">
        <v>41</v>
      </c>
      <c r="T145" t="s">
        <v>58</v>
      </c>
      <c r="U145" t="s">
        <v>59</v>
      </c>
      <c r="V145" t="s">
        <v>44</v>
      </c>
      <c r="W145" t="s">
        <v>60</v>
      </c>
      <c r="X145" t="s">
        <v>46</v>
      </c>
      <c r="AC145">
        <f>COUNTIF(C:C,QLKV_gui_ket_qua_ra_soat[[#This Row],[Mã điểm bán]])</f>
        <v>1</v>
      </c>
    </row>
    <row r="146" spans="1:29" x14ac:dyDescent="0.45">
      <c r="A146" t="s">
        <v>10783</v>
      </c>
      <c r="B146">
        <v>217</v>
      </c>
      <c r="C146" t="s">
        <v>310</v>
      </c>
      <c r="D146" t="s">
        <v>311</v>
      </c>
      <c r="E146" t="s">
        <v>87</v>
      </c>
      <c r="F146" t="s">
        <v>53</v>
      </c>
      <c r="G146" t="s">
        <v>34</v>
      </c>
      <c r="H146" t="s">
        <v>54</v>
      </c>
      <c r="I146" t="s">
        <v>312</v>
      </c>
      <c r="J146" t="s">
        <v>38</v>
      </c>
      <c r="K146" t="s">
        <v>38</v>
      </c>
      <c r="L146" t="s">
        <v>40</v>
      </c>
      <c r="M146" t="s">
        <v>38</v>
      </c>
      <c r="N146" t="s">
        <v>38</v>
      </c>
      <c r="O146" t="s">
        <v>40</v>
      </c>
      <c r="P146" t="s">
        <v>38</v>
      </c>
      <c r="Q146" t="s">
        <v>38</v>
      </c>
      <c r="R146" t="s">
        <v>40</v>
      </c>
      <c r="S146" t="s">
        <v>41</v>
      </c>
      <c r="T146" t="s">
        <v>58</v>
      </c>
      <c r="U146" t="s">
        <v>59</v>
      </c>
      <c r="V146" t="s">
        <v>44</v>
      </c>
      <c r="W146" t="s">
        <v>60</v>
      </c>
      <c r="X146" t="s">
        <v>46</v>
      </c>
      <c r="AC146">
        <f>COUNTIF(C:C,QLKV_gui_ket_qua_ra_soat[[#This Row],[Mã điểm bán]])</f>
        <v>1</v>
      </c>
    </row>
    <row r="147" spans="1:29" x14ac:dyDescent="0.45">
      <c r="A147" t="s">
        <v>10783</v>
      </c>
      <c r="B147">
        <v>218</v>
      </c>
      <c r="C147" t="s">
        <v>313</v>
      </c>
      <c r="D147" t="s">
        <v>314</v>
      </c>
      <c r="E147" t="s">
        <v>87</v>
      </c>
      <c r="F147" t="s">
        <v>53</v>
      </c>
      <c r="G147" t="s">
        <v>34</v>
      </c>
      <c r="H147" t="s">
        <v>54</v>
      </c>
      <c r="I147" t="s">
        <v>312</v>
      </c>
      <c r="J147" t="s">
        <v>38</v>
      </c>
      <c r="K147" t="s">
        <v>38</v>
      </c>
      <c r="L147" t="s">
        <v>40</v>
      </c>
      <c r="M147" t="s">
        <v>38</v>
      </c>
      <c r="N147" t="s">
        <v>38</v>
      </c>
      <c r="O147" t="s">
        <v>40</v>
      </c>
      <c r="P147" t="s">
        <v>38</v>
      </c>
      <c r="Q147" t="s">
        <v>38</v>
      </c>
      <c r="R147" t="s">
        <v>40</v>
      </c>
      <c r="S147" t="s">
        <v>41</v>
      </c>
      <c r="T147" t="s">
        <v>58</v>
      </c>
      <c r="U147" t="s">
        <v>59</v>
      </c>
      <c r="V147" t="s">
        <v>44</v>
      </c>
      <c r="W147" t="s">
        <v>60</v>
      </c>
      <c r="X147" t="s">
        <v>46</v>
      </c>
      <c r="AB147" t="s">
        <v>94</v>
      </c>
      <c r="AC147">
        <f>COUNTIF(C:C,QLKV_gui_ket_qua_ra_soat[[#This Row],[Mã điểm bán]])</f>
        <v>1</v>
      </c>
    </row>
    <row r="148" spans="1:29" x14ac:dyDescent="0.45">
      <c r="A148" t="s">
        <v>10783</v>
      </c>
      <c r="B148">
        <v>219</v>
      </c>
      <c r="C148" t="s">
        <v>321</v>
      </c>
      <c r="D148" t="s">
        <v>322</v>
      </c>
      <c r="E148" t="s">
        <v>324</v>
      </c>
      <c r="F148" t="s">
        <v>325</v>
      </c>
      <c r="G148" t="s">
        <v>34</v>
      </c>
      <c r="H148" t="s">
        <v>54</v>
      </c>
      <c r="I148" t="s">
        <v>326</v>
      </c>
      <c r="J148" t="s">
        <v>38</v>
      </c>
      <c r="K148" t="s">
        <v>38</v>
      </c>
      <c r="L148" t="s">
        <v>40</v>
      </c>
      <c r="M148" t="s">
        <v>38</v>
      </c>
      <c r="N148" t="s">
        <v>38</v>
      </c>
      <c r="O148" t="s">
        <v>40</v>
      </c>
      <c r="P148" t="s">
        <v>38</v>
      </c>
      <c r="Q148" t="s">
        <v>38</v>
      </c>
      <c r="R148" t="s">
        <v>40</v>
      </c>
      <c r="S148" t="s">
        <v>41</v>
      </c>
      <c r="T148" t="s">
        <v>58</v>
      </c>
      <c r="U148" t="s">
        <v>59</v>
      </c>
      <c r="V148" t="s">
        <v>44</v>
      </c>
      <c r="W148" t="s">
        <v>60</v>
      </c>
      <c r="X148" t="s">
        <v>41</v>
      </c>
      <c r="Z148" t="s">
        <v>46</v>
      </c>
      <c r="AA148" t="s">
        <v>327</v>
      </c>
      <c r="AB148" t="s">
        <v>238</v>
      </c>
      <c r="AC148">
        <f>COUNTIF(C:C,QLKV_gui_ket_qua_ra_soat[[#This Row],[Mã điểm bán]])</f>
        <v>1</v>
      </c>
    </row>
    <row r="149" spans="1:29" x14ac:dyDescent="0.45">
      <c r="A149" t="s">
        <v>10783</v>
      </c>
      <c r="B149">
        <v>220</v>
      </c>
      <c r="C149" t="s">
        <v>363</v>
      </c>
      <c r="D149" t="s">
        <v>364</v>
      </c>
      <c r="E149" t="s">
        <v>365</v>
      </c>
      <c r="F149" t="s">
        <v>53</v>
      </c>
      <c r="G149" t="s">
        <v>34</v>
      </c>
      <c r="H149" t="s">
        <v>54</v>
      </c>
      <c r="I149" t="s">
        <v>366</v>
      </c>
      <c r="J149" t="s">
        <v>38</v>
      </c>
      <c r="K149" t="s">
        <v>38</v>
      </c>
      <c r="L149" t="s">
        <v>40</v>
      </c>
      <c r="M149" t="s">
        <v>38</v>
      </c>
      <c r="N149" t="s">
        <v>38</v>
      </c>
      <c r="O149" t="s">
        <v>40</v>
      </c>
      <c r="P149" t="s">
        <v>38</v>
      </c>
      <c r="Q149" t="s">
        <v>38</v>
      </c>
      <c r="R149" t="s">
        <v>40</v>
      </c>
      <c r="S149" t="s">
        <v>41</v>
      </c>
      <c r="T149" t="s">
        <v>367</v>
      </c>
      <c r="U149" t="s">
        <v>59</v>
      </c>
      <c r="V149" t="s">
        <v>44</v>
      </c>
      <c r="W149" t="s">
        <v>154</v>
      </c>
      <c r="X149" t="s">
        <v>46</v>
      </c>
      <c r="Z149" t="s">
        <v>41</v>
      </c>
      <c r="AC149">
        <f>COUNTIF(C:C,QLKV_gui_ket_qua_ra_soat[[#This Row],[Mã điểm bán]])</f>
        <v>1</v>
      </c>
    </row>
    <row r="150" spans="1:29" x14ac:dyDescent="0.45">
      <c r="A150" t="s">
        <v>10783</v>
      </c>
      <c r="B150">
        <v>221</v>
      </c>
      <c r="C150" t="s">
        <v>368</v>
      </c>
      <c r="D150" t="s">
        <v>369</v>
      </c>
      <c r="E150" t="s">
        <v>371</v>
      </c>
      <c r="F150" t="s">
        <v>286</v>
      </c>
      <c r="G150" t="s">
        <v>34</v>
      </c>
      <c r="H150" t="s">
        <v>171</v>
      </c>
      <c r="I150" t="s">
        <v>372</v>
      </c>
      <c r="J150" t="s">
        <v>37</v>
      </c>
      <c r="K150" t="s">
        <v>38</v>
      </c>
      <c r="L150" t="s">
        <v>39</v>
      </c>
      <c r="M150" t="s">
        <v>37</v>
      </c>
      <c r="N150" t="s">
        <v>37</v>
      </c>
      <c r="O150" t="s">
        <v>39</v>
      </c>
      <c r="P150" t="s">
        <v>38</v>
      </c>
      <c r="Q150" t="s">
        <v>38</v>
      </c>
      <c r="R150" t="s">
        <v>39</v>
      </c>
      <c r="S150" t="s">
        <v>373</v>
      </c>
      <c r="T150" t="s">
        <v>58</v>
      </c>
      <c r="U150" t="s">
        <v>59</v>
      </c>
      <c r="V150" t="s">
        <v>44</v>
      </c>
      <c r="W150" t="s">
        <v>60</v>
      </c>
      <c r="X150" t="s">
        <v>41</v>
      </c>
      <c r="Z150" t="s">
        <v>46</v>
      </c>
      <c r="AA150" t="s">
        <v>327</v>
      </c>
      <c r="AB150" t="s">
        <v>238</v>
      </c>
      <c r="AC150">
        <f>COUNTIF(C:C,QLKV_gui_ket_qua_ra_soat[[#This Row],[Mã điểm bán]])</f>
        <v>1</v>
      </c>
    </row>
    <row r="151" spans="1:29" x14ac:dyDescent="0.45">
      <c r="A151" t="s">
        <v>10783</v>
      </c>
      <c r="B151">
        <v>222</v>
      </c>
      <c r="C151" t="s">
        <v>381</v>
      </c>
      <c r="D151" t="s">
        <v>382</v>
      </c>
      <c r="E151" t="s">
        <v>269</v>
      </c>
      <c r="F151" t="s">
        <v>53</v>
      </c>
      <c r="G151" t="s">
        <v>34</v>
      </c>
      <c r="H151" t="s">
        <v>54</v>
      </c>
      <c r="I151" t="s">
        <v>312</v>
      </c>
      <c r="J151" t="s">
        <v>38</v>
      </c>
      <c r="K151" t="s">
        <v>38</v>
      </c>
      <c r="L151" t="s">
        <v>40</v>
      </c>
      <c r="M151" t="s">
        <v>38</v>
      </c>
      <c r="N151" t="s">
        <v>38</v>
      </c>
      <c r="O151" t="s">
        <v>40</v>
      </c>
      <c r="P151" t="s">
        <v>38</v>
      </c>
      <c r="Q151" t="s">
        <v>38</v>
      </c>
      <c r="R151" t="s">
        <v>40</v>
      </c>
      <c r="S151" t="s">
        <v>41</v>
      </c>
      <c r="T151" t="s">
        <v>58</v>
      </c>
      <c r="U151" t="s">
        <v>59</v>
      </c>
      <c r="V151" t="s">
        <v>44</v>
      </c>
      <c r="W151" t="s">
        <v>60</v>
      </c>
      <c r="X151" t="s">
        <v>46</v>
      </c>
      <c r="Z151" t="s">
        <v>41</v>
      </c>
      <c r="AC151">
        <f>COUNTIF(C:C,QLKV_gui_ket_qua_ra_soat[[#This Row],[Mã điểm bán]])</f>
        <v>1</v>
      </c>
    </row>
    <row r="152" spans="1:29" x14ac:dyDescent="0.45">
      <c r="A152" t="s">
        <v>10783</v>
      </c>
      <c r="B152">
        <v>223</v>
      </c>
      <c r="C152" t="s">
        <v>388</v>
      </c>
      <c r="D152" t="s">
        <v>389</v>
      </c>
      <c r="E152" t="s">
        <v>176</v>
      </c>
      <c r="F152" t="s">
        <v>53</v>
      </c>
      <c r="G152" t="s">
        <v>34</v>
      </c>
      <c r="H152" t="s">
        <v>54</v>
      </c>
      <c r="I152" t="s">
        <v>231</v>
      </c>
      <c r="J152" t="s">
        <v>38</v>
      </c>
      <c r="K152" t="s">
        <v>38</v>
      </c>
      <c r="L152" t="s">
        <v>40</v>
      </c>
      <c r="M152" t="s">
        <v>38</v>
      </c>
      <c r="N152" t="s">
        <v>38</v>
      </c>
      <c r="O152" t="s">
        <v>40</v>
      </c>
      <c r="P152" t="s">
        <v>38</v>
      </c>
      <c r="Q152" t="s">
        <v>38</v>
      </c>
      <c r="R152" t="s">
        <v>40</v>
      </c>
      <c r="S152" t="s">
        <v>390</v>
      </c>
      <c r="T152" t="s">
        <v>153</v>
      </c>
      <c r="U152" t="s">
        <v>59</v>
      </c>
      <c r="V152" t="s">
        <v>44</v>
      </c>
      <c r="W152" t="s">
        <v>154</v>
      </c>
      <c r="X152" t="s">
        <v>41</v>
      </c>
      <c r="Z152" t="s">
        <v>46</v>
      </c>
      <c r="AA152" t="s">
        <v>327</v>
      </c>
      <c r="AB152" t="s">
        <v>238</v>
      </c>
      <c r="AC152">
        <f>COUNTIF(C:C,QLKV_gui_ket_qua_ra_soat[[#This Row],[Mã điểm bán]])</f>
        <v>1</v>
      </c>
    </row>
    <row r="153" spans="1:29" x14ac:dyDescent="0.45">
      <c r="A153" t="s">
        <v>10783</v>
      </c>
      <c r="B153">
        <v>224</v>
      </c>
      <c r="C153" t="s">
        <v>405</v>
      </c>
      <c r="D153" t="s">
        <v>406</v>
      </c>
      <c r="E153" t="s">
        <v>407</v>
      </c>
      <c r="F153" t="s">
        <v>53</v>
      </c>
      <c r="G153" t="s">
        <v>34</v>
      </c>
      <c r="H153" t="s">
        <v>54</v>
      </c>
      <c r="I153" t="s">
        <v>408</v>
      </c>
      <c r="J153" t="s">
        <v>38</v>
      </c>
      <c r="K153" t="s">
        <v>38</v>
      </c>
      <c r="L153" t="s">
        <v>40</v>
      </c>
      <c r="M153" t="s">
        <v>38</v>
      </c>
      <c r="N153" t="s">
        <v>38</v>
      </c>
      <c r="O153" t="s">
        <v>40</v>
      </c>
      <c r="P153" t="s">
        <v>38</v>
      </c>
      <c r="Q153" t="s">
        <v>38</v>
      </c>
      <c r="R153" t="s">
        <v>40</v>
      </c>
      <c r="S153" t="s">
        <v>41</v>
      </c>
      <c r="T153" t="s">
        <v>58</v>
      </c>
      <c r="U153" t="s">
        <v>59</v>
      </c>
      <c r="V153" t="s">
        <v>44</v>
      </c>
      <c r="W153" t="s">
        <v>60</v>
      </c>
      <c r="X153" t="s">
        <v>46</v>
      </c>
      <c r="Z153" t="s">
        <v>41</v>
      </c>
      <c r="AA153" t="s">
        <v>327</v>
      </c>
      <c r="AC153">
        <f>COUNTIF(C:C,QLKV_gui_ket_qua_ra_soat[[#This Row],[Mã điểm bán]])</f>
        <v>1</v>
      </c>
    </row>
    <row r="154" spans="1:29" x14ac:dyDescent="0.45">
      <c r="A154" t="s">
        <v>10783</v>
      </c>
      <c r="B154">
        <v>225</v>
      </c>
      <c r="C154" t="s">
        <v>423</v>
      </c>
      <c r="D154" t="s">
        <v>424</v>
      </c>
      <c r="E154" t="s">
        <v>425</v>
      </c>
      <c r="F154" t="s">
        <v>426</v>
      </c>
      <c r="G154" t="s">
        <v>34</v>
      </c>
      <c r="H154" t="s">
        <v>54</v>
      </c>
      <c r="I154" t="s">
        <v>427</v>
      </c>
      <c r="J154" t="s">
        <v>38</v>
      </c>
      <c r="K154" t="s">
        <v>38</v>
      </c>
      <c r="L154" t="s">
        <v>40</v>
      </c>
      <c r="M154" t="s">
        <v>38</v>
      </c>
      <c r="N154" t="s">
        <v>38</v>
      </c>
      <c r="O154" t="s">
        <v>40</v>
      </c>
      <c r="P154" t="s">
        <v>38</v>
      </c>
      <c r="Q154" t="s">
        <v>38</v>
      </c>
      <c r="R154" t="s">
        <v>40</v>
      </c>
      <c r="S154" t="s">
        <v>428</v>
      </c>
      <c r="T154" t="s">
        <v>58</v>
      </c>
      <c r="U154" t="s">
        <v>59</v>
      </c>
      <c r="V154" t="s">
        <v>44</v>
      </c>
      <c r="W154" t="s">
        <v>60</v>
      </c>
      <c r="X154" t="s">
        <v>46</v>
      </c>
      <c r="Z154" t="s">
        <v>41</v>
      </c>
      <c r="AA154" t="s">
        <v>327</v>
      </c>
      <c r="AC154">
        <f>COUNTIF(C:C,QLKV_gui_ket_qua_ra_soat[[#This Row],[Mã điểm bán]])</f>
        <v>1</v>
      </c>
    </row>
    <row r="155" spans="1:29" x14ac:dyDescent="0.45">
      <c r="A155" t="s">
        <v>10783</v>
      </c>
      <c r="B155">
        <v>226</v>
      </c>
      <c r="C155" t="s">
        <v>510</v>
      </c>
      <c r="D155" t="s">
        <v>511</v>
      </c>
      <c r="E155" t="s">
        <v>148</v>
      </c>
      <c r="F155" t="s">
        <v>512</v>
      </c>
      <c r="G155" t="s">
        <v>34</v>
      </c>
      <c r="H155" t="s">
        <v>54</v>
      </c>
      <c r="I155" t="s">
        <v>293</v>
      </c>
      <c r="J155" t="s">
        <v>38</v>
      </c>
      <c r="K155" t="s">
        <v>38</v>
      </c>
      <c r="L155" t="s">
        <v>40</v>
      </c>
      <c r="M155" t="s">
        <v>38</v>
      </c>
      <c r="N155" t="s">
        <v>38</v>
      </c>
      <c r="O155" t="s">
        <v>40</v>
      </c>
      <c r="P155" t="s">
        <v>38</v>
      </c>
      <c r="Q155" t="s">
        <v>38</v>
      </c>
      <c r="R155" t="s">
        <v>40</v>
      </c>
      <c r="S155" t="s">
        <v>41</v>
      </c>
      <c r="T155" t="s">
        <v>153</v>
      </c>
      <c r="U155" t="s">
        <v>59</v>
      </c>
      <c r="V155" t="s">
        <v>44</v>
      </c>
      <c r="W155" t="s">
        <v>154</v>
      </c>
      <c r="X155" t="s">
        <v>41</v>
      </c>
      <c r="Z155" t="s">
        <v>46</v>
      </c>
      <c r="AA155" t="s">
        <v>327</v>
      </c>
      <c r="AB155" t="s">
        <v>238</v>
      </c>
      <c r="AC155">
        <f>COUNTIF(C:C,QLKV_gui_ket_qua_ra_soat[[#This Row],[Mã điểm bán]])</f>
        <v>1</v>
      </c>
    </row>
    <row r="156" spans="1:29" x14ac:dyDescent="0.45">
      <c r="A156" t="s">
        <v>10783</v>
      </c>
      <c r="B156">
        <v>227</v>
      </c>
      <c r="C156" t="s">
        <v>520</v>
      </c>
      <c r="D156" t="s">
        <v>521</v>
      </c>
      <c r="E156" t="s">
        <v>523</v>
      </c>
      <c r="F156" t="s">
        <v>524</v>
      </c>
      <c r="G156" t="s">
        <v>34</v>
      </c>
      <c r="H156" t="s">
        <v>525</v>
      </c>
      <c r="I156" t="s">
        <v>526</v>
      </c>
      <c r="J156" t="s">
        <v>38</v>
      </c>
      <c r="K156" t="s">
        <v>38</v>
      </c>
      <c r="L156" t="s">
        <v>40</v>
      </c>
      <c r="M156" t="s">
        <v>38</v>
      </c>
      <c r="N156" t="s">
        <v>38</v>
      </c>
      <c r="O156" t="s">
        <v>40</v>
      </c>
      <c r="P156" t="s">
        <v>38</v>
      </c>
      <c r="Q156" t="s">
        <v>38</v>
      </c>
      <c r="R156" t="s">
        <v>40</v>
      </c>
      <c r="S156" t="s">
        <v>41</v>
      </c>
      <c r="T156" t="s">
        <v>153</v>
      </c>
      <c r="U156" t="s">
        <v>59</v>
      </c>
      <c r="V156" t="s">
        <v>44</v>
      </c>
      <c r="W156" t="s">
        <v>154</v>
      </c>
      <c r="X156" t="s">
        <v>41</v>
      </c>
      <c r="Z156" t="s">
        <v>46</v>
      </c>
      <c r="AA156" t="s">
        <v>327</v>
      </c>
      <c r="AB156" t="s">
        <v>238</v>
      </c>
      <c r="AC156">
        <f>COUNTIF(C:C,QLKV_gui_ket_qua_ra_soat[[#This Row],[Mã điểm bán]])</f>
        <v>1</v>
      </c>
    </row>
    <row r="157" spans="1:29" x14ac:dyDescent="0.45">
      <c r="A157" t="s">
        <v>10783</v>
      </c>
      <c r="B157">
        <v>228</v>
      </c>
      <c r="C157" t="s">
        <v>532</v>
      </c>
      <c r="D157" t="s">
        <v>533</v>
      </c>
      <c r="E157" t="s">
        <v>534</v>
      </c>
      <c r="F157" t="s">
        <v>535</v>
      </c>
      <c r="G157" t="s">
        <v>34</v>
      </c>
      <c r="H157" t="s">
        <v>54</v>
      </c>
      <c r="I157" t="s">
        <v>536</v>
      </c>
      <c r="J157" t="s">
        <v>38</v>
      </c>
      <c r="K157" t="s">
        <v>38</v>
      </c>
      <c r="L157" t="s">
        <v>40</v>
      </c>
      <c r="M157" t="s">
        <v>38</v>
      </c>
      <c r="N157" t="s">
        <v>38</v>
      </c>
      <c r="O157" t="s">
        <v>40</v>
      </c>
      <c r="P157" t="s">
        <v>38</v>
      </c>
      <c r="Q157" t="s">
        <v>38</v>
      </c>
      <c r="R157" t="s">
        <v>40</v>
      </c>
      <c r="S157" t="s">
        <v>41</v>
      </c>
      <c r="T157" t="s">
        <v>153</v>
      </c>
      <c r="U157" t="s">
        <v>59</v>
      </c>
      <c r="V157" t="s">
        <v>44</v>
      </c>
      <c r="W157" t="s">
        <v>154</v>
      </c>
      <c r="X157" t="s">
        <v>46</v>
      </c>
      <c r="Z157" t="s">
        <v>41</v>
      </c>
      <c r="AA157" t="s">
        <v>327</v>
      </c>
      <c r="AC157">
        <f>COUNTIF(C:C,QLKV_gui_ket_qua_ra_soat[[#This Row],[Mã điểm bán]])</f>
        <v>1</v>
      </c>
    </row>
    <row r="158" spans="1:29" x14ac:dyDescent="0.45">
      <c r="A158" t="s">
        <v>10783</v>
      </c>
      <c r="B158">
        <v>229</v>
      </c>
      <c r="C158" t="s">
        <v>571</v>
      </c>
      <c r="D158" t="s">
        <v>572</v>
      </c>
      <c r="E158" t="s">
        <v>108</v>
      </c>
      <c r="F158" t="s">
        <v>53</v>
      </c>
      <c r="G158" t="s">
        <v>34</v>
      </c>
      <c r="H158" t="s">
        <v>54</v>
      </c>
      <c r="I158" t="s">
        <v>574</v>
      </c>
      <c r="J158" t="s">
        <v>38</v>
      </c>
      <c r="K158" t="s">
        <v>38</v>
      </c>
      <c r="L158" t="s">
        <v>39</v>
      </c>
      <c r="M158" t="s">
        <v>38</v>
      </c>
      <c r="N158" t="s">
        <v>38</v>
      </c>
      <c r="O158" t="s">
        <v>39</v>
      </c>
      <c r="P158" t="s">
        <v>38</v>
      </c>
      <c r="Q158" t="s">
        <v>38</v>
      </c>
      <c r="R158" t="s">
        <v>40</v>
      </c>
      <c r="S158" t="s">
        <v>41</v>
      </c>
      <c r="T158" t="s">
        <v>367</v>
      </c>
      <c r="U158" t="s">
        <v>59</v>
      </c>
      <c r="V158" t="s">
        <v>44</v>
      </c>
      <c r="W158" t="s">
        <v>154</v>
      </c>
      <c r="X158" t="s">
        <v>46</v>
      </c>
      <c r="Z158" t="s">
        <v>41</v>
      </c>
      <c r="AA158" t="s">
        <v>327</v>
      </c>
      <c r="AC158">
        <f>COUNTIF(C:C,QLKV_gui_ket_qua_ra_soat[[#This Row],[Mã điểm bán]])</f>
        <v>1</v>
      </c>
    </row>
    <row r="159" spans="1:29" x14ac:dyDescent="0.45">
      <c r="A159" t="s">
        <v>10783</v>
      </c>
      <c r="B159">
        <v>230</v>
      </c>
      <c r="C159" t="s">
        <v>577</v>
      </c>
      <c r="D159" t="s">
        <v>578</v>
      </c>
      <c r="E159" t="s">
        <v>580</v>
      </c>
      <c r="F159" t="s">
        <v>581</v>
      </c>
      <c r="G159" t="s">
        <v>34</v>
      </c>
      <c r="H159" t="s">
        <v>54</v>
      </c>
      <c r="I159" t="s">
        <v>582</v>
      </c>
      <c r="J159" t="s">
        <v>38</v>
      </c>
      <c r="K159" t="s">
        <v>38</v>
      </c>
      <c r="L159" t="s">
        <v>40</v>
      </c>
      <c r="M159" t="s">
        <v>38</v>
      </c>
      <c r="N159" t="s">
        <v>38</v>
      </c>
      <c r="O159" t="s">
        <v>40</v>
      </c>
      <c r="P159" t="s">
        <v>38</v>
      </c>
      <c r="Q159" t="s">
        <v>38</v>
      </c>
      <c r="R159" t="s">
        <v>40</v>
      </c>
      <c r="S159" t="s">
        <v>41</v>
      </c>
      <c r="T159" t="s">
        <v>367</v>
      </c>
      <c r="U159" t="s">
        <v>59</v>
      </c>
      <c r="V159" t="s">
        <v>44</v>
      </c>
      <c r="W159" t="s">
        <v>154</v>
      </c>
      <c r="X159" t="s">
        <v>41</v>
      </c>
      <c r="Z159" t="s">
        <v>46</v>
      </c>
      <c r="AA159" t="s">
        <v>327</v>
      </c>
      <c r="AB159" t="s">
        <v>238</v>
      </c>
      <c r="AC159">
        <f>COUNTIF(C:C,QLKV_gui_ket_qua_ra_soat[[#This Row],[Mã điểm bán]])</f>
        <v>1</v>
      </c>
    </row>
    <row r="160" spans="1:29" x14ac:dyDescent="0.45">
      <c r="A160" t="s">
        <v>10783</v>
      </c>
      <c r="B160">
        <v>231</v>
      </c>
      <c r="C160" t="s">
        <v>591</v>
      </c>
      <c r="D160" t="s">
        <v>592</v>
      </c>
      <c r="E160" t="s">
        <v>68</v>
      </c>
      <c r="F160" t="s">
        <v>53</v>
      </c>
      <c r="G160" t="s">
        <v>34</v>
      </c>
      <c r="H160" t="s">
        <v>54</v>
      </c>
      <c r="I160" t="s">
        <v>366</v>
      </c>
      <c r="J160" t="s">
        <v>38</v>
      </c>
      <c r="K160" t="s">
        <v>38</v>
      </c>
      <c r="L160" t="s">
        <v>39</v>
      </c>
      <c r="M160" t="s">
        <v>38</v>
      </c>
      <c r="N160" t="s">
        <v>38</v>
      </c>
      <c r="O160" t="s">
        <v>39</v>
      </c>
      <c r="P160" t="s">
        <v>38</v>
      </c>
      <c r="Q160" t="s">
        <v>38</v>
      </c>
      <c r="R160" t="s">
        <v>40</v>
      </c>
      <c r="S160" t="s">
        <v>41</v>
      </c>
      <c r="T160" t="s">
        <v>367</v>
      </c>
      <c r="U160" t="s">
        <v>59</v>
      </c>
      <c r="V160" t="s">
        <v>44</v>
      </c>
      <c r="W160" t="s">
        <v>154</v>
      </c>
      <c r="X160" t="s">
        <v>46</v>
      </c>
      <c r="Z160" t="s">
        <v>41</v>
      </c>
      <c r="AC160">
        <f>COUNTIF(C:C,QLKV_gui_ket_qua_ra_soat[[#This Row],[Mã điểm bán]])</f>
        <v>1</v>
      </c>
    </row>
    <row r="161" spans="1:29" x14ac:dyDescent="0.45">
      <c r="A161" t="s">
        <v>10783</v>
      </c>
      <c r="B161">
        <v>232</v>
      </c>
      <c r="C161" t="s">
        <v>593</v>
      </c>
      <c r="D161" t="s">
        <v>594</v>
      </c>
      <c r="E161" t="s">
        <v>64</v>
      </c>
      <c r="F161" t="s">
        <v>53</v>
      </c>
      <c r="G161" t="s">
        <v>34</v>
      </c>
      <c r="H161" t="s">
        <v>54</v>
      </c>
      <c r="I161" t="s">
        <v>595</v>
      </c>
      <c r="J161" t="s">
        <v>38</v>
      </c>
      <c r="K161" t="s">
        <v>38</v>
      </c>
      <c r="L161" t="s">
        <v>40</v>
      </c>
      <c r="M161" t="s">
        <v>38</v>
      </c>
      <c r="N161" t="s">
        <v>38</v>
      </c>
      <c r="O161" t="s">
        <v>39</v>
      </c>
      <c r="P161" t="s">
        <v>38</v>
      </c>
      <c r="Q161" t="s">
        <v>38</v>
      </c>
      <c r="R161" t="s">
        <v>39</v>
      </c>
      <c r="S161" t="s">
        <v>41</v>
      </c>
      <c r="T161" t="s">
        <v>367</v>
      </c>
      <c r="U161" t="s">
        <v>59</v>
      </c>
      <c r="V161" t="s">
        <v>44</v>
      </c>
      <c r="W161" t="s">
        <v>154</v>
      </c>
      <c r="X161" t="s">
        <v>46</v>
      </c>
      <c r="Z161" t="s">
        <v>41</v>
      </c>
      <c r="AC161">
        <f>COUNTIF(C:C,QLKV_gui_ket_qua_ra_soat[[#This Row],[Mã điểm bán]])</f>
        <v>1</v>
      </c>
    </row>
    <row r="162" spans="1:29" x14ac:dyDescent="0.45">
      <c r="A162" t="s">
        <v>10783</v>
      </c>
      <c r="B162">
        <v>233</v>
      </c>
      <c r="C162" t="s">
        <v>603</v>
      </c>
      <c r="D162" t="s">
        <v>604</v>
      </c>
      <c r="E162" t="s">
        <v>529</v>
      </c>
      <c r="F162" t="s">
        <v>53</v>
      </c>
      <c r="G162" t="s">
        <v>34</v>
      </c>
      <c r="H162" t="s">
        <v>54</v>
      </c>
      <c r="I162" t="s">
        <v>605</v>
      </c>
      <c r="J162" t="s">
        <v>38</v>
      </c>
      <c r="K162" t="s">
        <v>38</v>
      </c>
      <c r="L162" t="s">
        <v>40</v>
      </c>
      <c r="M162" t="s">
        <v>38</v>
      </c>
      <c r="N162" t="s">
        <v>38</v>
      </c>
      <c r="O162" t="s">
        <v>40</v>
      </c>
      <c r="P162" t="s">
        <v>38</v>
      </c>
      <c r="Q162" t="s">
        <v>38</v>
      </c>
      <c r="R162" t="s">
        <v>40</v>
      </c>
      <c r="S162" t="s">
        <v>41</v>
      </c>
      <c r="T162" t="s">
        <v>367</v>
      </c>
      <c r="U162" t="s">
        <v>59</v>
      </c>
      <c r="V162" t="s">
        <v>44</v>
      </c>
      <c r="W162" t="s">
        <v>154</v>
      </c>
      <c r="X162" t="s">
        <v>41</v>
      </c>
      <c r="Z162" t="s">
        <v>46</v>
      </c>
      <c r="AA162" t="s">
        <v>327</v>
      </c>
      <c r="AB162" t="s">
        <v>238</v>
      </c>
      <c r="AC162">
        <f>COUNTIF(C:C,QLKV_gui_ket_qua_ra_soat[[#This Row],[Mã điểm bán]])</f>
        <v>1</v>
      </c>
    </row>
    <row r="163" spans="1:29" x14ac:dyDescent="0.45">
      <c r="A163" t="s">
        <v>10783</v>
      </c>
      <c r="B163">
        <v>234</v>
      </c>
      <c r="C163" t="s">
        <v>610</v>
      </c>
      <c r="D163" t="s">
        <v>611</v>
      </c>
      <c r="E163" t="s">
        <v>87</v>
      </c>
      <c r="F163" t="s">
        <v>417</v>
      </c>
      <c r="G163" t="s">
        <v>34</v>
      </c>
      <c r="H163" t="s">
        <v>54</v>
      </c>
      <c r="I163" t="s">
        <v>612</v>
      </c>
      <c r="J163" t="s">
        <v>56</v>
      </c>
      <c r="K163" t="s">
        <v>56</v>
      </c>
      <c r="L163" t="s">
        <v>39</v>
      </c>
      <c r="M163" t="s">
        <v>56</v>
      </c>
      <c r="N163" t="s">
        <v>56</v>
      </c>
      <c r="O163" t="s">
        <v>39</v>
      </c>
      <c r="P163" t="s">
        <v>38</v>
      </c>
      <c r="Q163" t="s">
        <v>38</v>
      </c>
      <c r="R163" t="s">
        <v>40</v>
      </c>
      <c r="S163" t="s">
        <v>41</v>
      </c>
      <c r="T163" t="s">
        <v>58</v>
      </c>
      <c r="U163" t="s">
        <v>59</v>
      </c>
      <c r="V163" t="s">
        <v>44</v>
      </c>
      <c r="W163" t="s">
        <v>60</v>
      </c>
      <c r="X163" t="s">
        <v>46</v>
      </c>
      <c r="Z163" t="s">
        <v>41</v>
      </c>
      <c r="AC163">
        <f>COUNTIF(C:C,QLKV_gui_ket_qua_ra_soat[[#This Row],[Mã điểm bán]])</f>
        <v>1</v>
      </c>
    </row>
    <row r="164" spans="1:29" x14ac:dyDescent="0.45">
      <c r="A164" t="s">
        <v>10783</v>
      </c>
      <c r="B164">
        <v>235</v>
      </c>
      <c r="C164" t="s">
        <v>618</v>
      </c>
      <c r="D164" t="s">
        <v>619</v>
      </c>
      <c r="E164" t="s">
        <v>304</v>
      </c>
      <c r="F164" t="s">
        <v>53</v>
      </c>
      <c r="G164" t="s">
        <v>34</v>
      </c>
      <c r="H164" t="s">
        <v>620</v>
      </c>
      <c r="I164" t="s">
        <v>621</v>
      </c>
      <c r="J164" t="s">
        <v>38</v>
      </c>
      <c r="K164" t="s">
        <v>38</v>
      </c>
      <c r="L164" t="s">
        <v>39</v>
      </c>
      <c r="M164" t="s">
        <v>38</v>
      </c>
      <c r="N164" t="s">
        <v>38</v>
      </c>
      <c r="O164" t="s">
        <v>39</v>
      </c>
      <c r="P164" t="s">
        <v>38</v>
      </c>
      <c r="Q164" t="s">
        <v>38</v>
      </c>
      <c r="R164" t="s">
        <v>39</v>
      </c>
      <c r="S164" t="s">
        <v>41</v>
      </c>
      <c r="T164" t="s">
        <v>367</v>
      </c>
      <c r="U164" t="s">
        <v>59</v>
      </c>
      <c r="V164" t="s">
        <v>44</v>
      </c>
      <c r="W164" t="s">
        <v>154</v>
      </c>
      <c r="X164" t="s">
        <v>46</v>
      </c>
      <c r="Z164" t="s">
        <v>41</v>
      </c>
      <c r="AC164">
        <f>COUNTIF(C:C,QLKV_gui_ket_qua_ra_soat[[#This Row],[Mã điểm bán]])</f>
        <v>1</v>
      </c>
    </row>
    <row r="165" spans="1:29" x14ac:dyDescent="0.45">
      <c r="A165" t="s">
        <v>10783</v>
      </c>
      <c r="B165">
        <v>236</v>
      </c>
      <c r="C165" t="s">
        <v>631</v>
      </c>
      <c r="D165" t="s">
        <v>632</v>
      </c>
      <c r="E165" t="s">
        <v>185</v>
      </c>
      <c r="F165" t="s">
        <v>53</v>
      </c>
      <c r="G165" t="s">
        <v>34</v>
      </c>
      <c r="H165" t="s">
        <v>54</v>
      </c>
      <c r="I165" t="s">
        <v>633</v>
      </c>
      <c r="J165" t="s">
        <v>38</v>
      </c>
      <c r="K165" t="s">
        <v>38</v>
      </c>
      <c r="L165" t="s">
        <v>39</v>
      </c>
      <c r="M165" t="s">
        <v>38</v>
      </c>
      <c r="N165" t="s">
        <v>38</v>
      </c>
      <c r="O165" t="s">
        <v>39</v>
      </c>
      <c r="P165" t="s">
        <v>38</v>
      </c>
      <c r="Q165" t="s">
        <v>38</v>
      </c>
      <c r="R165" t="s">
        <v>39</v>
      </c>
      <c r="S165" t="s">
        <v>634</v>
      </c>
      <c r="T165" t="s">
        <v>367</v>
      </c>
      <c r="U165" t="s">
        <v>59</v>
      </c>
      <c r="V165" t="s">
        <v>44</v>
      </c>
      <c r="W165" t="s">
        <v>154</v>
      </c>
      <c r="X165" t="s">
        <v>41</v>
      </c>
      <c r="Z165" t="s">
        <v>46</v>
      </c>
      <c r="AA165" t="s">
        <v>327</v>
      </c>
      <c r="AB165" t="s">
        <v>238</v>
      </c>
      <c r="AC165">
        <f>COUNTIF(C:C,QLKV_gui_ket_qua_ra_soat[[#This Row],[Mã điểm bán]])</f>
        <v>1</v>
      </c>
    </row>
    <row r="166" spans="1:29" x14ac:dyDescent="0.45">
      <c r="A166" t="s">
        <v>10783</v>
      </c>
      <c r="B166">
        <v>237</v>
      </c>
      <c r="C166" t="s">
        <v>635</v>
      </c>
      <c r="D166" t="s">
        <v>636</v>
      </c>
      <c r="E166" t="s">
        <v>157</v>
      </c>
      <c r="F166" t="s">
        <v>53</v>
      </c>
      <c r="G166" t="s">
        <v>34</v>
      </c>
      <c r="H166" t="s">
        <v>54</v>
      </c>
      <c r="I166" t="s">
        <v>637</v>
      </c>
      <c r="J166" t="s">
        <v>38</v>
      </c>
      <c r="K166" t="s">
        <v>38</v>
      </c>
      <c r="L166" t="s">
        <v>40</v>
      </c>
      <c r="M166" t="s">
        <v>38</v>
      </c>
      <c r="N166" t="s">
        <v>38</v>
      </c>
      <c r="O166" t="s">
        <v>40</v>
      </c>
      <c r="P166" t="s">
        <v>38</v>
      </c>
      <c r="Q166" t="s">
        <v>38</v>
      </c>
      <c r="R166" t="s">
        <v>40</v>
      </c>
      <c r="S166" t="s">
        <v>638</v>
      </c>
      <c r="T166" t="s">
        <v>367</v>
      </c>
      <c r="U166" t="s">
        <v>59</v>
      </c>
      <c r="V166" t="s">
        <v>44</v>
      </c>
      <c r="W166" t="s">
        <v>154</v>
      </c>
      <c r="X166" t="s">
        <v>41</v>
      </c>
      <c r="Z166" t="s">
        <v>46</v>
      </c>
      <c r="AA166" t="s">
        <v>327</v>
      </c>
      <c r="AB166" t="s">
        <v>238</v>
      </c>
      <c r="AC166">
        <f>COUNTIF(C:C,QLKV_gui_ket_qua_ra_soat[[#This Row],[Mã điểm bán]])</f>
        <v>1</v>
      </c>
    </row>
    <row r="167" spans="1:29" x14ac:dyDescent="0.45">
      <c r="A167" t="s">
        <v>10783</v>
      </c>
      <c r="B167">
        <v>238</v>
      </c>
      <c r="C167" t="s">
        <v>660</v>
      </c>
      <c r="D167" t="s">
        <v>661</v>
      </c>
      <c r="E167" t="s">
        <v>69</v>
      </c>
      <c r="F167" t="s">
        <v>53</v>
      </c>
      <c r="G167" t="s">
        <v>34</v>
      </c>
      <c r="H167" t="s">
        <v>620</v>
      </c>
      <c r="I167" t="s">
        <v>662</v>
      </c>
      <c r="J167" t="s">
        <v>38</v>
      </c>
      <c r="K167" t="s">
        <v>38</v>
      </c>
      <c r="L167" t="s">
        <v>40</v>
      </c>
      <c r="M167" t="s">
        <v>38</v>
      </c>
      <c r="N167" t="s">
        <v>38</v>
      </c>
      <c r="O167" t="s">
        <v>40</v>
      </c>
      <c r="P167" t="s">
        <v>38</v>
      </c>
      <c r="Q167" t="s">
        <v>38</v>
      </c>
      <c r="R167" t="s">
        <v>40</v>
      </c>
      <c r="S167" t="s">
        <v>41</v>
      </c>
      <c r="T167" t="s">
        <v>367</v>
      </c>
      <c r="U167" t="s">
        <v>59</v>
      </c>
      <c r="V167" t="s">
        <v>44</v>
      </c>
      <c r="W167" t="s">
        <v>154</v>
      </c>
      <c r="X167" t="s">
        <v>41</v>
      </c>
      <c r="Z167" t="s">
        <v>46</v>
      </c>
      <c r="AA167" t="s">
        <v>327</v>
      </c>
      <c r="AB167" t="s">
        <v>238</v>
      </c>
      <c r="AC167">
        <f>COUNTIF(C:C,QLKV_gui_ket_qua_ra_soat[[#This Row],[Mã điểm bán]])</f>
        <v>1</v>
      </c>
    </row>
    <row r="168" spans="1:29" x14ac:dyDescent="0.45">
      <c r="A168" t="s">
        <v>10783</v>
      </c>
      <c r="B168">
        <v>239</v>
      </c>
      <c r="C168" t="s">
        <v>680</v>
      </c>
      <c r="D168" t="s">
        <v>681</v>
      </c>
      <c r="E168" t="s">
        <v>683</v>
      </c>
      <c r="F168" t="s">
        <v>684</v>
      </c>
      <c r="G168" t="s">
        <v>34</v>
      </c>
      <c r="H168" t="s">
        <v>685</v>
      </c>
      <c r="I168" t="s">
        <v>686</v>
      </c>
      <c r="J168" t="s">
        <v>56</v>
      </c>
      <c r="K168" t="s">
        <v>56</v>
      </c>
      <c r="L168" t="s">
        <v>39</v>
      </c>
      <c r="M168" t="s">
        <v>56</v>
      </c>
      <c r="N168" t="s">
        <v>56</v>
      </c>
      <c r="O168" t="s">
        <v>39</v>
      </c>
      <c r="P168" t="s">
        <v>38</v>
      </c>
      <c r="Q168" t="s">
        <v>38</v>
      </c>
      <c r="R168" t="s">
        <v>40</v>
      </c>
      <c r="S168" t="s">
        <v>687</v>
      </c>
      <c r="T168" t="s">
        <v>58</v>
      </c>
      <c r="U168" t="s">
        <v>59</v>
      </c>
      <c r="V168" t="s">
        <v>44</v>
      </c>
      <c r="W168" t="s">
        <v>60</v>
      </c>
      <c r="X168" t="s">
        <v>46</v>
      </c>
      <c r="Z168" t="s">
        <v>41</v>
      </c>
      <c r="AC168">
        <f>COUNTIF(C:C,QLKV_gui_ket_qua_ra_soat[[#This Row],[Mã điểm bán]])</f>
        <v>1</v>
      </c>
    </row>
    <row r="169" spans="1:29" x14ac:dyDescent="0.45">
      <c r="A169" t="s">
        <v>10783</v>
      </c>
      <c r="B169">
        <v>240</v>
      </c>
      <c r="C169" t="s">
        <v>699</v>
      </c>
      <c r="D169" t="s">
        <v>700</v>
      </c>
      <c r="E169" t="s">
        <v>113</v>
      </c>
      <c r="F169" t="s">
        <v>401</v>
      </c>
      <c r="G169" t="s">
        <v>34</v>
      </c>
      <c r="H169" t="s">
        <v>462</v>
      </c>
      <c r="I169" t="s">
        <v>702</v>
      </c>
      <c r="J169" t="s">
        <v>56</v>
      </c>
      <c r="K169" t="s">
        <v>56</v>
      </c>
      <c r="L169" t="s">
        <v>39</v>
      </c>
      <c r="M169" t="s">
        <v>56</v>
      </c>
      <c r="N169" t="s">
        <v>56</v>
      </c>
      <c r="O169" t="s">
        <v>39</v>
      </c>
      <c r="P169" t="s">
        <v>38</v>
      </c>
      <c r="Q169" t="s">
        <v>38</v>
      </c>
      <c r="R169" t="s">
        <v>39</v>
      </c>
      <c r="S169" t="s">
        <v>703</v>
      </c>
      <c r="T169" t="s">
        <v>252</v>
      </c>
      <c r="U169" t="s">
        <v>59</v>
      </c>
      <c r="V169" t="s">
        <v>44</v>
      </c>
      <c r="W169" t="s">
        <v>60</v>
      </c>
      <c r="X169" t="s">
        <v>41</v>
      </c>
      <c r="Z169" t="s">
        <v>46</v>
      </c>
      <c r="AA169" t="s">
        <v>327</v>
      </c>
      <c r="AB169" t="s">
        <v>238</v>
      </c>
      <c r="AC169">
        <f>COUNTIF(C:C,QLKV_gui_ket_qua_ra_soat[[#This Row],[Mã điểm bán]])</f>
        <v>1</v>
      </c>
    </row>
    <row r="170" spans="1:29" x14ac:dyDescent="0.45">
      <c r="A170" t="s">
        <v>10783</v>
      </c>
      <c r="B170">
        <v>241</v>
      </c>
      <c r="C170" t="s">
        <v>715</v>
      </c>
      <c r="D170" t="s">
        <v>716</v>
      </c>
      <c r="E170" t="s">
        <v>628</v>
      </c>
      <c r="F170" t="s">
        <v>53</v>
      </c>
      <c r="G170" t="s">
        <v>34</v>
      </c>
      <c r="H170" t="s">
        <v>54</v>
      </c>
      <c r="I170" t="s">
        <v>717</v>
      </c>
      <c r="J170" t="s">
        <v>38</v>
      </c>
      <c r="K170" t="s">
        <v>38</v>
      </c>
      <c r="L170" t="s">
        <v>40</v>
      </c>
      <c r="M170" t="s">
        <v>38</v>
      </c>
      <c r="N170" t="s">
        <v>38</v>
      </c>
      <c r="O170" t="s">
        <v>40</v>
      </c>
      <c r="P170" t="s">
        <v>38</v>
      </c>
      <c r="Q170" t="s">
        <v>38</v>
      </c>
      <c r="R170" t="s">
        <v>40</v>
      </c>
      <c r="S170" t="s">
        <v>718</v>
      </c>
      <c r="T170" t="s">
        <v>153</v>
      </c>
      <c r="U170" t="s">
        <v>59</v>
      </c>
      <c r="V170" t="s">
        <v>44</v>
      </c>
      <c r="W170" t="s">
        <v>154</v>
      </c>
      <c r="X170" t="s">
        <v>41</v>
      </c>
      <c r="Z170" t="s">
        <v>46</v>
      </c>
      <c r="AA170" t="s">
        <v>327</v>
      </c>
      <c r="AB170" t="s">
        <v>238</v>
      </c>
      <c r="AC170">
        <f>COUNTIF(C:C,QLKV_gui_ket_qua_ra_soat[[#This Row],[Mã điểm bán]])</f>
        <v>1</v>
      </c>
    </row>
    <row r="171" spans="1:29" x14ac:dyDescent="0.45">
      <c r="A171" t="s">
        <v>10783</v>
      </c>
      <c r="B171">
        <v>242</v>
      </c>
      <c r="C171" t="s">
        <v>719</v>
      </c>
      <c r="D171" t="s">
        <v>720</v>
      </c>
      <c r="E171" t="s">
        <v>721</v>
      </c>
      <c r="F171" t="s">
        <v>53</v>
      </c>
      <c r="G171" t="s">
        <v>34</v>
      </c>
      <c r="H171" t="s">
        <v>54</v>
      </c>
      <c r="I171" t="s">
        <v>722</v>
      </c>
      <c r="J171" t="s">
        <v>38</v>
      </c>
      <c r="K171" t="s">
        <v>38</v>
      </c>
      <c r="L171" t="s">
        <v>39</v>
      </c>
      <c r="M171" t="s">
        <v>38</v>
      </c>
      <c r="N171" t="s">
        <v>38</v>
      </c>
      <c r="O171" t="s">
        <v>39</v>
      </c>
      <c r="P171" t="s">
        <v>38</v>
      </c>
      <c r="Q171" t="s">
        <v>38</v>
      </c>
      <c r="R171" t="s">
        <v>40</v>
      </c>
      <c r="S171" t="s">
        <v>41</v>
      </c>
      <c r="T171" t="s">
        <v>367</v>
      </c>
      <c r="U171" t="s">
        <v>59</v>
      </c>
      <c r="V171" t="s">
        <v>44</v>
      </c>
      <c r="W171" t="s">
        <v>154</v>
      </c>
      <c r="X171" t="s">
        <v>46</v>
      </c>
      <c r="Z171" t="s">
        <v>41</v>
      </c>
      <c r="AA171" t="s">
        <v>327</v>
      </c>
      <c r="AC171">
        <f>COUNTIF(C:C,QLKV_gui_ket_qua_ra_soat[[#This Row],[Mã điểm bán]])</f>
        <v>1</v>
      </c>
    </row>
    <row r="172" spans="1:29" x14ac:dyDescent="0.45">
      <c r="A172" t="s">
        <v>10783</v>
      </c>
      <c r="B172">
        <v>243</v>
      </c>
      <c r="C172" t="s">
        <v>731</v>
      </c>
      <c r="D172" t="s">
        <v>732</v>
      </c>
      <c r="E172" t="s">
        <v>170</v>
      </c>
      <c r="F172" t="s">
        <v>733</v>
      </c>
      <c r="G172" t="s">
        <v>34</v>
      </c>
      <c r="H172" t="s">
        <v>171</v>
      </c>
      <c r="I172" t="s">
        <v>734</v>
      </c>
      <c r="J172" t="s">
        <v>38</v>
      </c>
      <c r="K172" t="s">
        <v>38</v>
      </c>
      <c r="L172" t="s">
        <v>40</v>
      </c>
      <c r="M172" t="s">
        <v>56</v>
      </c>
      <c r="N172" t="s">
        <v>56</v>
      </c>
      <c r="O172" t="s">
        <v>39</v>
      </c>
      <c r="P172" t="s">
        <v>38</v>
      </c>
      <c r="Q172" t="s">
        <v>38</v>
      </c>
      <c r="R172" t="s">
        <v>40</v>
      </c>
      <c r="S172" t="s">
        <v>735</v>
      </c>
      <c r="T172" t="s">
        <v>58</v>
      </c>
      <c r="U172" t="s">
        <v>59</v>
      </c>
      <c r="V172" t="s">
        <v>44</v>
      </c>
      <c r="W172" t="s">
        <v>60</v>
      </c>
      <c r="X172" t="s">
        <v>46</v>
      </c>
      <c r="Z172" t="s">
        <v>41</v>
      </c>
      <c r="AC172">
        <f>COUNTIF(C:C,QLKV_gui_ket_qua_ra_soat[[#This Row],[Mã điểm bán]])</f>
        <v>1</v>
      </c>
    </row>
    <row r="173" spans="1:29" x14ac:dyDescent="0.45">
      <c r="A173" t="s">
        <v>10783</v>
      </c>
      <c r="B173">
        <v>244</v>
      </c>
      <c r="C173" t="s">
        <v>744</v>
      </c>
      <c r="D173" t="s">
        <v>745</v>
      </c>
      <c r="E173" t="s">
        <v>746</v>
      </c>
      <c r="F173" t="s">
        <v>53</v>
      </c>
      <c r="G173" t="s">
        <v>34</v>
      </c>
      <c r="H173" t="s">
        <v>54</v>
      </c>
      <c r="I173" t="s">
        <v>747</v>
      </c>
      <c r="J173" t="s">
        <v>56</v>
      </c>
      <c r="K173" t="s">
        <v>37</v>
      </c>
      <c r="L173" t="s">
        <v>39</v>
      </c>
      <c r="M173" t="s">
        <v>38</v>
      </c>
      <c r="N173" t="s">
        <v>37</v>
      </c>
      <c r="O173" t="s">
        <v>39</v>
      </c>
      <c r="P173" t="s">
        <v>38</v>
      </c>
      <c r="Q173" t="s">
        <v>38</v>
      </c>
      <c r="R173" t="s">
        <v>40</v>
      </c>
      <c r="S173" t="s">
        <v>41</v>
      </c>
      <c r="T173" t="s">
        <v>367</v>
      </c>
      <c r="U173" t="s">
        <v>59</v>
      </c>
      <c r="V173" t="s">
        <v>44</v>
      </c>
      <c r="W173" t="s">
        <v>154</v>
      </c>
      <c r="X173" t="s">
        <v>46</v>
      </c>
      <c r="Z173" t="s">
        <v>41</v>
      </c>
      <c r="AA173" t="s">
        <v>327</v>
      </c>
      <c r="AC173">
        <f>COUNTIF(C:C,QLKV_gui_ket_qua_ra_soat[[#This Row],[Mã điểm bán]])</f>
        <v>1</v>
      </c>
    </row>
    <row r="174" spans="1:29" x14ac:dyDescent="0.45">
      <c r="A174" t="s">
        <v>10783</v>
      </c>
      <c r="B174">
        <v>245</v>
      </c>
      <c r="C174" t="s">
        <v>764</v>
      </c>
      <c r="D174" t="s">
        <v>765</v>
      </c>
      <c r="E174" t="s">
        <v>109</v>
      </c>
      <c r="F174" t="s">
        <v>53</v>
      </c>
      <c r="G174" t="s">
        <v>34</v>
      </c>
      <c r="H174" t="s">
        <v>54</v>
      </c>
      <c r="I174" t="s">
        <v>766</v>
      </c>
      <c r="J174" t="s">
        <v>38</v>
      </c>
      <c r="K174" t="s">
        <v>38</v>
      </c>
      <c r="L174" t="s">
        <v>39</v>
      </c>
      <c r="M174" t="s">
        <v>38</v>
      </c>
      <c r="N174" t="s">
        <v>38</v>
      </c>
      <c r="O174" t="s">
        <v>39</v>
      </c>
      <c r="P174" t="s">
        <v>38</v>
      </c>
      <c r="Q174" t="s">
        <v>38</v>
      </c>
      <c r="R174" t="s">
        <v>40</v>
      </c>
      <c r="S174" t="s">
        <v>41</v>
      </c>
      <c r="T174" t="s">
        <v>367</v>
      </c>
      <c r="U174" t="s">
        <v>59</v>
      </c>
      <c r="V174" t="s">
        <v>44</v>
      </c>
      <c r="W174" t="s">
        <v>154</v>
      </c>
      <c r="X174" t="s">
        <v>46</v>
      </c>
      <c r="Z174" t="s">
        <v>41</v>
      </c>
      <c r="AC174">
        <f>COUNTIF(C:C,QLKV_gui_ket_qua_ra_soat[[#This Row],[Mã điểm bán]])</f>
        <v>1</v>
      </c>
    </row>
    <row r="175" spans="1:29" x14ac:dyDescent="0.45">
      <c r="A175" t="s">
        <v>10783</v>
      </c>
      <c r="B175">
        <v>246</v>
      </c>
      <c r="C175" t="s">
        <v>769</v>
      </c>
      <c r="D175" t="s">
        <v>770</v>
      </c>
      <c r="E175" t="s">
        <v>772</v>
      </c>
      <c r="F175" t="s">
        <v>773</v>
      </c>
      <c r="G175" t="s">
        <v>34</v>
      </c>
      <c r="H175" t="s">
        <v>54</v>
      </c>
      <c r="I175" t="s">
        <v>774</v>
      </c>
      <c r="J175" t="s">
        <v>775</v>
      </c>
      <c r="K175" t="s">
        <v>775</v>
      </c>
      <c r="L175" t="s">
        <v>39</v>
      </c>
      <c r="M175" t="s">
        <v>56</v>
      </c>
      <c r="N175" t="s">
        <v>56</v>
      </c>
      <c r="O175" t="s">
        <v>39</v>
      </c>
      <c r="P175" t="s">
        <v>38</v>
      </c>
      <c r="Q175" t="s">
        <v>38</v>
      </c>
      <c r="R175" t="s">
        <v>39</v>
      </c>
      <c r="S175" t="s">
        <v>776</v>
      </c>
      <c r="T175" t="s">
        <v>252</v>
      </c>
      <c r="U175" t="s">
        <v>59</v>
      </c>
      <c r="V175" t="s">
        <v>44</v>
      </c>
      <c r="W175" t="s">
        <v>60</v>
      </c>
      <c r="X175" t="s">
        <v>41</v>
      </c>
      <c r="Z175" t="s">
        <v>46</v>
      </c>
      <c r="AA175" t="s">
        <v>327</v>
      </c>
      <c r="AB175" t="s">
        <v>238</v>
      </c>
      <c r="AC175">
        <f>COUNTIF(C:C,QLKV_gui_ket_qua_ra_soat[[#This Row],[Mã điểm bán]])</f>
        <v>1</v>
      </c>
    </row>
    <row r="176" spans="1:29" x14ac:dyDescent="0.45">
      <c r="A176" t="s">
        <v>10783</v>
      </c>
      <c r="B176">
        <v>247</v>
      </c>
      <c r="C176" t="s">
        <v>777</v>
      </c>
      <c r="D176" t="s">
        <v>778</v>
      </c>
      <c r="E176" t="s">
        <v>176</v>
      </c>
      <c r="F176" t="s">
        <v>53</v>
      </c>
      <c r="G176" t="s">
        <v>34</v>
      </c>
      <c r="H176" t="s">
        <v>54</v>
      </c>
      <c r="I176" t="s">
        <v>231</v>
      </c>
      <c r="J176" t="s">
        <v>38</v>
      </c>
      <c r="K176" t="s">
        <v>38</v>
      </c>
      <c r="L176" t="s">
        <v>40</v>
      </c>
      <c r="M176" t="s">
        <v>38</v>
      </c>
      <c r="N176" t="s">
        <v>38</v>
      </c>
      <c r="O176" t="s">
        <v>40</v>
      </c>
      <c r="P176" t="s">
        <v>38</v>
      </c>
      <c r="Q176" t="s">
        <v>38</v>
      </c>
      <c r="R176" t="s">
        <v>40</v>
      </c>
      <c r="S176" t="s">
        <v>779</v>
      </c>
      <c r="T176" t="s">
        <v>153</v>
      </c>
      <c r="U176" t="s">
        <v>59</v>
      </c>
      <c r="V176" t="s">
        <v>44</v>
      </c>
      <c r="W176" t="s">
        <v>154</v>
      </c>
      <c r="X176" t="s">
        <v>41</v>
      </c>
      <c r="Z176" t="s">
        <v>46</v>
      </c>
      <c r="AA176" t="s">
        <v>327</v>
      </c>
      <c r="AB176" t="s">
        <v>238</v>
      </c>
      <c r="AC176">
        <f>COUNTIF(C:C,QLKV_gui_ket_qua_ra_soat[[#This Row],[Mã điểm bán]])</f>
        <v>1</v>
      </c>
    </row>
    <row r="177" spans="1:29" x14ac:dyDescent="0.45">
      <c r="A177" t="s">
        <v>10783</v>
      </c>
      <c r="B177">
        <v>248</v>
      </c>
      <c r="C177" t="s">
        <v>784</v>
      </c>
      <c r="D177" t="s">
        <v>785</v>
      </c>
      <c r="E177" t="s">
        <v>69</v>
      </c>
      <c r="F177" t="s">
        <v>53</v>
      </c>
      <c r="G177" t="s">
        <v>34</v>
      </c>
      <c r="H177" t="s">
        <v>54</v>
      </c>
      <c r="I177" t="s">
        <v>766</v>
      </c>
      <c r="J177" t="s">
        <v>38</v>
      </c>
      <c r="K177" t="s">
        <v>38</v>
      </c>
      <c r="L177" t="s">
        <v>39</v>
      </c>
      <c r="M177" t="s">
        <v>38</v>
      </c>
      <c r="N177" t="s">
        <v>38</v>
      </c>
      <c r="O177" t="s">
        <v>39</v>
      </c>
      <c r="P177" t="s">
        <v>38</v>
      </c>
      <c r="Q177" t="s">
        <v>38</v>
      </c>
      <c r="R177" t="s">
        <v>39</v>
      </c>
      <c r="S177" t="s">
        <v>41</v>
      </c>
      <c r="T177" t="s">
        <v>367</v>
      </c>
      <c r="U177" t="s">
        <v>59</v>
      </c>
      <c r="V177" t="s">
        <v>44</v>
      </c>
      <c r="W177" t="s">
        <v>154</v>
      </c>
      <c r="X177" t="s">
        <v>46</v>
      </c>
      <c r="Z177" t="s">
        <v>41</v>
      </c>
      <c r="AC177">
        <f>COUNTIF(C:C,QLKV_gui_ket_qua_ra_soat[[#This Row],[Mã điểm bán]])</f>
        <v>1</v>
      </c>
    </row>
    <row r="178" spans="1:29" x14ac:dyDescent="0.45">
      <c r="A178" t="s">
        <v>10783</v>
      </c>
      <c r="B178">
        <v>249</v>
      </c>
      <c r="C178" t="s">
        <v>792</v>
      </c>
      <c r="D178" t="s">
        <v>793</v>
      </c>
      <c r="E178" t="s">
        <v>108</v>
      </c>
      <c r="F178" t="s">
        <v>53</v>
      </c>
      <c r="G178" t="s">
        <v>34</v>
      </c>
      <c r="H178" t="s">
        <v>620</v>
      </c>
      <c r="I178" t="s">
        <v>794</v>
      </c>
      <c r="J178" t="s">
        <v>38</v>
      </c>
      <c r="K178" t="s">
        <v>38</v>
      </c>
      <c r="L178" t="s">
        <v>40</v>
      </c>
      <c r="M178" t="s">
        <v>38</v>
      </c>
      <c r="N178" t="s">
        <v>38</v>
      </c>
      <c r="O178" t="s">
        <v>40</v>
      </c>
      <c r="P178" t="s">
        <v>38</v>
      </c>
      <c r="Q178" t="s">
        <v>38</v>
      </c>
      <c r="R178" t="s">
        <v>40</v>
      </c>
      <c r="S178" t="s">
        <v>795</v>
      </c>
      <c r="T178" t="s">
        <v>367</v>
      </c>
      <c r="U178" t="s">
        <v>59</v>
      </c>
      <c r="V178" t="s">
        <v>44</v>
      </c>
      <c r="W178" t="s">
        <v>154</v>
      </c>
      <c r="X178" t="s">
        <v>41</v>
      </c>
      <c r="Z178" t="s">
        <v>46</v>
      </c>
      <c r="AA178" t="s">
        <v>327</v>
      </c>
      <c r="AB178" t="s">
        <v>238</v>
      </c>
      <c r="AC178">
        <f>COUNTIF(C:C,QLKV_gui_ket_qua_ra_soat[[#This Row],[Mã điểm bán]])</f>
        <v>1</v>
      </c>
    </row>
    <row r="179" spans="1:29" x14ac:dyDescent="0.45">
      <c r="A179" t="s">
        <v>10783</v>
      </c>
      <c r="B179">
        <v>250</v>
      </c>
      <c r="C179" t="s">
        <v>799</v>
      </c>
      <c r="D179" t="s">
        <v>800</v>
      </c>
      <c r="E179" t="s">
        <v>69</v>
      </c>
      <c r="F179" t="s">
        <v>53</v>
      </c>
      <c r="G179" t="s">
        <v>34</v>
      </c>
      <c r="H179" t="s">
        <v>54</v>
      </c>
      <c r="I179" t="s">
        <v>231</v>
      </c>
      <c r="J179" t="s">
        <v>38</v>
      </c>
      <c r="K179" t="s">
        <v>38</v>
      </c>
      <c r="L179" t="s">
        <v>39</v>
      </c>
      <c r="M179" t="s">
        <v>38</v>
      </c>
      <c r="N179" t="s">
        <v>775</v>
      </c>
      <c r="O179" t="s">
        <v>39</v>
      </c>
      <c r="P179" t="s">
        <v>38</v>
      </c>
      <c r="Q179" t="s">
        <v>38</v>
      </c>
      <c r="R179" t="s">
        <v>40</v>
      </c>
      <c r="S179" t="s">
        <v>801</v>
      </c>
      <c r="T179" t="s">
        <v>153</v>
      </c>
      <c r="U179" t="s">
        <v>59</v>
      </c>
      <c r="V179" t="s">
        <v>44</v>
      </c>
      <c r="W179" t="s">
        <v>154</v>
      </c>
      <c r="X179" t="s">
        <v>46</v>
      </c>
      <c r="Z179" t="s">
        <v>41</v>
      </c>
      <c r="AC179">
        <f>COUNTIF(C:C,QLKV_gui_ket_qua_ra_soat[[#This Row],[Mã điểm bán]])</f>
        <v>1</v>
      </c>
    </row>
    <row r="180" spans="1:29" x14ac:dyDescent="0.45">
      <c r="A180" t="s">
        <v>10783</v>
      </c>
      <c r="B180">
        <v>251</v>
      </c>
      <c r="C180" t="s">
        <v>802</v>
      </c>
      <c r="D180" t="s">
        <v>803</v>
      </c>
      <c r="E180" t="s">
        <v>64</v>
      </c>
      <c r="F180" t="s">
        <v>53</v>
      </c>
      <c r="G180" t="s">
        <v>34</v>
      </c>
      <c r="H180" t="s">
        <v>54</v>
      </c>
      <c r="I180" t="s">
        <v>804</v>
      </c>
      <c r="J180" t="s">
        <v>38</v>
      </c>
      <c r="K180" t="s">
        <v>38</v>
      </c>
      <c r="L180" t="s">
        <v>39</v>
      </c>
      <c r="M180" t="s">
        <v>38</v>
      </c>
      <c r="N180" t="s">
        <v>38</v>
      </c>
      <c r="O180" t="s">
        <v>39</v>
      </c>
      <c r="P180" t="s">
        <v>38</v>
      </c>
      <c r="Q180" t="s">
        <v>38</v>
      </c>
      <c r="R180" t="s">
        <v>39</v>
      </c>
      <c r="S180" t="s">
        <v>41</v>
      </c>
      <c r="T180" t="s">
        <v>367</v>
      </c>
      <c r="U180" t="s">
        <v>59</v>
      </c>
      <c r="V180" t="s">
        <v>44</v>
      </c>
      <c r="W180" t="s">
        <v>154</v>
      </c>
      <c r="X180" t="s">
        <v>46</v>
      </c>
      <c r="Z180" t="s">
        <v>41</v>
      </c>
      <c r="AC180">
        <f>COUNTIF(C:C,QLKV_gui_ket_qua_ra_soat[[#This Row],[Mã điểm bán]])</f>
        <v>1</v>
      </c>
    </row>
    <row r="181" spans="1:29" x14ac:dyDescent="0.45">
      <c r="A181" t="s">
        <v>10783</v>
      </c>
      <c r="B181">
        <v>252</v>
      </c>
      <c r="C181" t="s">
        <v>811</v>
      </c>
      <c r="D181" t="s">
        <v>812</v>
      </c>
      <c r="E181" t="s">
        <v>64</v>
      </c>
      <c r="F181" t="s">
        <v>53</v>
      </c>
      <c r="G181" t="s">
        <v>34</v>
      </c>
      <c r="H181" t="s">
        <v>350</v>
      </c>
      <c r="I181" t="s">
        <v>813</v>
      </c>
      <c r="J181" t="s">
        <v>38</v>
      </c>
      <c r="K181" t="s">
        <v>38</v>
      </c>
      <c r="L181" t="s">
        <v>40</v>
      </c>
      <c r="M181" t="s">
        <v>38</v>
      </c>
      <c r="N181" t="s">
        <v>38</v>
      </c>
      <c r="O181" t="s">
        <v>40</v>
      </c>
      <c r="P181" t="s">
        <v>38</v>
      </c>
      <c r="Q181" t="s">
        <v>38</v>
      </c>
      <c r="R181" t="s">
        <v>40</v>
      </c>
      <c r="S181" t="s">
        <v>41</v>
      </c>
      <c r="T181" t="s">
        <v>58</v>
      </c>
      <c r="U181" t="s">
        <v>59</v>
      </c>
      <c r="V181" t="s">
        <v>44</v>
      </c>
      <c r="W181" t="s">
        <v>60</v>
      </c>
      <c r="X181" t="s">
        <v>41</v>
      </c>
      <c r="Z181" t="s">
        <v>46</v>
      </c>
      <c r="AA181" t="s">
        <v>327</v>
      </c>
      <c r="AB181" t="s">
        <v>238</v>
      </c>
      <c r="AC181">
        <f>COUNTIF(C:C,QLKV_gui_ket_qua_ra_soat[[#This Row],[Mã điểm bán]])</f>
        <v>1</v>
      </c>
    </row>
    <row r="182" spans="1:29" x14ac:dyDescent="0.45">
      <c r="A182" t="s">
        <v>10783</v>
      </c>
      <c r="B182">
        <v>253</v>
      </c>
      <c r="C182" t="s">
        <v>814</v>
      </c>
      <c r="D182" t="s">
        <v>815</v>
      </c>
      <c r="E182" t="s">
        <v>69</v>
      </c>
      <c r="F182" t="s">
        <v>53</v>
      </c>
      <c r="G182" t="s">
        <v>34</v>
      </c>
      <c r="H182" t="s">
        <v>54</v>
      </c>
      <c r="I182" t="s">
        <v>816</v>
      </c>
      <c r="J182" t="s">
        <v>38</v>
      </c>
      <c r="K182" t="s">
        <v>38</v>
      </c>
      <c r="L182" t="s">
        <v>40</v>
      </c>
      <c r="M182" t="s">
        <v>38</v>
      </c>
      <c r="N182" t="s">
        <v>38</v>
      </c>
      <c r="O182" t="s">
        <v>40</v>
      </c>
      <c r="P182" t="s">
        <v>38</v>
      </c>
      <c r="Q182" t="s">
        <v>38</v>
      </c>
      <c r="R182" t="s">
        <v>40</v>
      </c>
      <c r="S182" t="s">
        <v>41</v>
      </c>
      <c r="T182" t="s">
        <v>367</v>
      </c>
      <c r="U182" t="s">
        <v>59</v>
      </c>
      <c r="V182" t="s">
        <v>44</v>
      </c>
      <c r="W182" t="s">
        <v>154</v>
      </c>
      <c r="X182" t="s">
        <v>46</v>
      </c>
      <c r="Z182" t="s">
        <v>41</v>
      </c>
      <c r="AC182">
        <f>COUNTIF(C:C,QLKV_gui_ket_qua_ra_soat[[#This Row],[Mã điểm bán]])</f>
        <v>1</v>
      </c>
    </row>
    <row r="183" spans="1:29" x14ac:dyDescent="0.45">
      <c r="A183" t="s">
        <v>10783</v>
      </c>
      <c r="B183">
        <v>254</v>
      </c>
      <c r="C183" t="s">
        <v>826</v>
      </c>
      <c r="D183" t="s">
        <v>827</v>
      </c>
      <c r="E183" t="s">
        <v>296</v>
      </c>
      <c r="F183" t="s">
        <v>829</v>
      </c>
      <c r="G183" t="s">
        <v>34</v>
      </c>
      <c r="H183" t="s">
        <v>685</v>
      </c>
      <c r="I183" t="s">
        <v>830</v>
      </c>
      <c r="J183" t="s">
        <v>38</v>
      </c>
      <c r="K183" t="s">
        <v>38</v>
      </c>
      <c r="L183" t="s">
        <v>40</v>
      </c>
      <c r="M183" t="s">
        <v>56</v>
      </c>
      <c r="N183" t="s">
        <v>56</v>
      </c>
      <c r="O183" t="s">
        <v>39</v>
      </c>
      <c r="P183" t="s">
        <v>38</v>
      </c>
      <c r="Q183" t="s">
        <v>38</v>
      </c>
      <c r="R183" t="s">
        <v>40</v>
      </c>
      <c r="S183" t="s">
        <v>831</v>
      </c>
      <c r="T183" t="s">
        <v>58</v>
      </c>
      <c r="U183" t="s">
        <v>59</v>
      </c>
      <c r="V183" t="s">
        <v>44</v>
      </c>
      <c r="W183" t="s">
        <v>60</v>
      </c>
      <c r="X183" t="s">
        <v>41</v>
      </c>
      <c r="Z183" t="s">
        <v>46</v>
      </c>
      <c r="AA183" t="s">
        <v>327</v>
      </c>
      <c r="AB183" t="s">
        <v>238</v>
      </c>
      <c r="AC183">
        <f>COUNTIF(C:C,QLKV_gui_ket_qua_ra_soat[[#This Row],[Mã điểm bán]])</f>
        <v>1</v>
      </c>
    </row>
    <row r="184" spans="1:29" x14ac:dyDescent="0.45">
      <c r="A184" t="s">
        <v>10783</v>
      </c>
      <c r="B184">
        <v>255</v>
      </c>
      <c r="C184" t="s">
        <v>848</v>
      </c>
      <c r="D184" t="s">
        <v>849</v>
      </c>
      <c r="E184" t="s">
        <v>304</v>
      </c>
      <c r="F184" t="s">
        <v>53</v>
      </c>
      <c r="G184" t="s">
        <v>34</v>
      </c>
      <c r="H184" t="s">
        <v>54</v>
      </c>
      <c r="I184" t="s">
        <v>850</v>
      </c>
      <c r="J184" t="s">
        <v>38</v>
      </c>
      <c r="K184" t="s">
        <v>38</v>
      </c>
      <c r="L184" t="s">
        <v>39</v>
      </c>
      <c r="M184" t="s">
        <v>38</v>
      </c>
      <c r="N184" t="s">
        <v>38</v>
      </c>
      <c r="O184" t="s">
        <v>39</v>
      </c>
      <c r="P184" t="s">
        <v>38</v>
      </c>
      <c r="Q184" t="s">
        <v>38</v>
      </c>
      <c r="R184" t="s">
        <v>39</v>
      </c>
      <c r="S184" t="s">
        <v>41</v>
      </c>
      <c r="T184" t="s">
        <v>367</v>
      </c>
      <c r="U184" t="s">
        <v>59</v>
      </c>
      <c r="V184" t="s">
        <v>44</v>
      </c>
      <c r="W184" t="s">
        <v>154</v>
      </c>
      <c r="X184" t="s">
        <v>46</v>
      </c>
      <c r="Z184" t="s">
        <v>41</v>
      </c>
      <c r="AC184">
        <f>COUNTIF(C:C,QLKV_gui_ket_qua_ra_soat[[#This Row],[Mã điểm bán]])</f>
        <v>1</v>
      </c>
    </row>
    <row r="185" spans="1:29" x14ac:dyDescent="0.45">
      <c r="A185" t="s">
        <v>10783</v>
      </c>
      <c r="B185">
        <v>256</v>
      </c>
      <c r="C185" t="s">
        <v>868</v>
      </c>
      <c r="D185" t="s">
        <v>869</v>
      </c>
      <c r="E185" t="s">
        <v>91</v>
      </c>
      <c r="F185" t="s">
        <v>53</v>
      </c>
      <c r="G185" t="s">
        <v>34</v>
      </c>
      <c r="H185" t="s">
        <v>54</v>
      </c>
      <c r="I185" t="s">
        <v>257</v>
      </c>
      <c r="J185" t="s">
        <v>775</v>
      </c>
      <c r="K185" t="s">
        <v>56</v>
      </c>
      <c r="L185" t="s">
        <v>39</v>
      </c>
      <c r="M185" t="s">
        <v>56</v>
      </c>
      <c r="N185" t="s">
        <v>56</v>
      </c>
      <c r="O185" t="s">
        <v>39</v>
      </c>
      <c r="P185" t="s">
        <v>38</v>
      </c>
      <c r="Q185" t="s">
        <v>38</v>
      </c>
      <c r="R185" t="s">
        <v>39</v>
      </c>
      <c r="S185" t="s">
        <v>870</v>
      </c>
      <c r="T185" t="s">
        <v>252</v>
      </c>
      <c r="U185" t="s">
        <v>59</v>
      </c>
      <c r="V185" t="s">
        <v>44</v>
      </c>
      <c r="W185" t="s">
        <v>60</v>
      </c>
      <c r="X185" t="s">
        <v>41</v>
      </c>
      <c r="Z185" t="s">
        <v>46</v>
      </c>
      <c r="AA185" t="s">
        <v>327</v>
      </c>
      <c r="AB185" t="s">
        <v>238</v>
      </c>
      <c r="AC185">
        <f>COUNTIF(C:C,QLKV_gui_ket_qua_ra_soat[[#This Row],[Mã điểm bán]])</f>
        <v>1</v>
      </c>
    </row>
    <row r="186" spans="1:29" x14ac:dyDescent="0.45">
      <c r="A186" t="s">
        <v>10783</v>
      </c>
      <c r="B186">
        <v>257</v>
      </c>
      <c r="C186" t="s">
        <v>877</v>
      </c>
      <c r="D186" t="s">
        <v>878</v>
      </c>
      <c r="E186" t="s">
        <v>190</v>
      </c>
      <c r="F186" t="s">
        <v>53</v>
      </c>
      <c r="G186" t="s">
        <v>34</v>
      </c>
      <c r="H186" t="s">
        <v>54</v>
      </c>
      <c r="I186" t="s">
        <v>879</v>
      </c>
      <c r="J186" t="s">
        <v>38</v>
      </c>
      <c r="K186" t="s">
        <v>38</v>
      </c>
      <c r="L186" t="s">
        <v>39</v>
      </c>
      <c r="M186" t="s">
        <v>38</v>
      </c>
      <c r="N186" t="s">
        <v>38</v>
      </c>
      <c r="O186" t="s">
        <v>39</v>
      </c>
      <c r="P186" t="s">
        <v>38</v>
      </c>
      <c r="Q186" t="s">
        <v>38</v>
      </c>
      <c r="R186" t="s">
        <v>39</v>
      </c>
      <c r="S186" t="s">
        <v>41</v>
      </c>
      <c r="T186" t="s">
        <v>367</v>
      </c>
      <c r="U186" t="s">
        <v>59</v>
      </c>
      <c r="V186" t="s">
        <v>44</v>
      </c>
      <c r="W186" t="s">
        <v>154</v>
      </c>
      <c r="X186" t="s">
        <v>46</v>
      </c>
      <c r="Z186" t="s">
        <v>41</v>
      </c>
      <c r="AC186">
        <f>COUNTIF(C:C,QLKV_gui_ket_qua_ra_soat[[#This Row],[Mã điểm bán]])</f>
        <v>1</v>
      </c>
    </row>
    <row r="187" spans="1:29" x14ac:dyDescent="0.45">
      <c r="A187" t="s">
        <v>10783</v>
      </c>
      <c r="B187">
        <v>258</v>
      </c>
      <c r="C187" t="s">
        <v>887</v>
      </c>
      <c r="D187" t="s">
        <v>888</v>
      </c>
      <c r="E187" t="s">
        <v>51</v>
      </c>
      <c r="F187" t="s">
        <v>889</v>
      </c>
      <c r="G187" t="s">
        <v>34</v>
      </c>
      <c r="H187" t="s">
        <v>54</v>
      </c>
      <c r="I187" t="s">
        <v>890</v>
      </c>
      <c r="J187" t="s">
        <v>38</v>
      </c>
      <c r="K187" t="s">
        <v>37</v>
      </c>
      <c r="L187" t="s">
        <v>39</v>
      </c>
      <c r="M187" t="s">
        <v>38</v>
      </c>
      <c r="N187" t="s">
        <v>37</v>
      </c>
      <c r="O187" t="s">
        <v>39</v>
      </c>
      <c r="P187" t="s">
        <v>38</v>
      </c>
      <c r="Q187" t="s">
        <v>38</v>
      </c>
      <c r="R187" t="s">
        <v>39</v>
      </c>
      <c r="S187" t="s">
        <v>891</v>
      </c>
      <c r="T187" t="s">
        <v>367</v>
      </c>
      <c r="U187" t="s">
        <v>59</v>
      </c>
      <c r="V187" t="s">
        <v>44</v>
      </c>
      <c r="W187" t="s">
        <v>154</v>
      </c>
      <c r="X187" t="s">
        <v>46</v>
      </c>
      <c r="Z187" t="s">
        <v>41</v>
      </c>
      <c r="AC187">
        <f>COUNTIF(C:C,QLKV_gui_ket_qua_ra_soat[[#This Row],[Mã điểm bán]])</f>
        <v>1</v>
      </c>
    </row>
    <row r="188" spans="1:29" x14ac:dyDescent="0.45">
      <c r="A188" t="s">
        <v>10783</v>
      </c>
      <c r="B188">
        <v>259</v>
      </c>
      <c r="C188" t="s">
        <v>892</v>
      </c>
      <c r="D188" t="s">
        <v>893</v>
      </c>
      <c r="E188" t="s">
        <v>338</v>
      </c>
      <c r="F188" t="s">
        <v>829</v>
      </c>
      <c r="G188" t="s">
        <v>34</v>
      </c>
      <c r="H188" t="s">
        <v>685</v>
      </c>
      <c r="I188" t="s">
        <v>894</v>
      </c>
      <c r="J188" t="s">
        <v>56</v>
      </c>
      <c r="K188" t="s">
        <v>38</v>
      </c>
      <c r="L188" t="s">
        <v>40</v>
      </c>
      <c r="M188" t="s">
        <v>56</v>
      </c>
      <c r="N188" t="s">
        <v>56</v>
      </c>
      <c r="O188" t="s">
        <v>39</v>
      </c>
      <c r="P188" t="s">
        <v>38</v>
      </c>
      <c r="Q188" t="s">
        <v>38</v>
      </c>
      <c r="R188" t="s">
        <v>40</v>
      </c>
      <c r="S188" t="s">
        <v>895</v>
      </c>
      <c r="T188" t="s">
        <v>58</v>
      </c>
      <c r="U188" t="s">
        <v>59</v>
      </c>
      <c r="V188" t="s">
        <v>44</v>
      </c>
      <c r="W188" t="s">
        <v>60</v>
      </c>
      <c r="X188" t="s">
        <v>41</v>
      </c>
      <c r="Z188" t="s">
        <v>46</v>
      </c>
      <c r="AA188" t="s">
        <v>327</v>
      </c>
      <c r="AB188" t="s">
        <v>238</v>
      </c>
      <c r="AC188">
        <f>COUNTIF(C:C,QLKV_gui_ket_qua_ra_soat[[#This Row],[Mã điểm bán]])</f>
        <v>1</v>
      </c>
    </row>
    <row r="189" spans="1:29" x14ac:dyDescent="0.45">
      <c r="A189" t="s">
        <v>10783</v>
      </c>
      <c r="B189">
        <v>260</v>
      </c>
      <c r="C189" t="s">
        <v>903</v>
      </c>
      <c r="D189" t="s">
        <v>904</v>
      </c>
      <c r="E189" t="s">
        <v>905</v>
      </c>
      <c r="F189" t="s">
        <v>53</v>
      </c>
      <c r="G189" t="s">
        <v>34</v>
      </c>
      <c r="H189" t="s">
        <v>54</v>
      </c>
      <c r="I189" t="s">
        <v>257</v>
      </c>
      <c r="J189" t="s">
        <v>56</v>
      </c>
      <c r="K189" t="s">
        <v>56</v>
      </c>
      <c r="L189" t="s">
        <v>39</v>
      </c>
      <c r="M189" t="s">
        <v>56</v>
      </c>
      <c r="N189" t="s">
        <v>56</v>
      </c>
      <c r="O189" t="s">
        <v>39</v>
      </c>
      <c r="P189" t="s">
        <v>38</v>
      </c>
      <c r="Q189" t="s">
        <v>38</v>
      </c>
      <c r="R189" t="s">
        <v>39</v>
      </c>
      <c r="S189" t="s">
        <v>906</v>
      </c>
      <c r="T189" t="s">
        <v>252</v>
      </c>
      <c r="U189" t="s">
        <v>59</v>
      </c>
      <c r="V189" t="s">
        <v>44</v>
      </c>
      <c r="W189" t="s">
        <v>60</v>
      </c>
      <c r="X189" t="s">
        <v>41</v>
      </c>
      <c r="Z189" t="s">
        <v>46</v>
      </c>
      <c r="AA189" t="s">
        <v>327</v>
      </c>
      <c r="AB189" t="s">
        <v>238</v>
      </c>
      <c r="AC189">
        <f>COUNTIF(C:C,QLKV_gui_ket_qua_ra_soat[[#This Row],[Mã điểm bán]])</f>
        <v>1</v>
      </c>
    </row>
    <row r="190" spans="1:29" x14ac:dyDescent="0.45">
      <c r="A190" t="s">
        <v>10783</v>
      </c>
      <c r="B190">
        <v>261</v>
      </c>
      <c r="C190" t="s">
        <v>921</v>
      </c>
      <c r="D190" t="s">
        <v>922</v>
      </c>
      <c r="E190" t="s">
        <v>109</v>
      </c>
      <c r="F190" t="s">
        <v>53</v>
      </c>
      <c r="G190" t="s">
        <v>34</v>
      </c>
      <c r="H190" t="s">
        <v>54</v>
      </c>
      <c r="I190" t="s">
        <v>816</v>
      </c>
      <c r="J190" t="s">
        <v>38</v>
      </c>
      <c r="K190" t="s">
        <v>38</v>
      </c>
      <c r="L190" t="s">
        <v>40</v>
      </c>
      <c r="M190" t="s">
        <v>38</v>
      </c>
      <c r="N190" t="s">
        <v>38</v>
      </c>
      <c r="O190" t="s">
        <v>40</v>
      </c>
      <c r="P190" t="s">
        <v>38</v>
      </c>
      <c r="Q190" t="s">
        <v>38</v>
      </c>
      <c r="R190" t="s">
        <v>40</v>
      </c>
      <c r="S190" t="s">
        <v>41</v>
      </c>
      <c r="T190" t="s">
        <v>367</v>
      </c>
      <c r="U190" t="s">
        <v>59</v>
      </c>
      <c r="V190" t="s">
        <v>44</v>
      </c>
      <c r="W190" t="s">
        <v>154</v>
      </c>
      <c r="X190" t="s">
        <v>46</v>
      </c>
      <c r="Z190" t="s">
        <v>41</v>
      </c>
      <c r="AC190">
        <f>COUNTIF(C:C,QLKV_gui_ket_qua_ra_soat[[#This Row],[Mã điểm bán]])</f>
        <v>1</v>
      </c>
    </row>
    <row r="191" spans="1:29" x14ac:dyDescent="0.45">
      <c r="A191" t="s">
        <v>10783</v>
      </c>
      <c r="B191">
        <v>262</v>
      </c>
      <c r="C191" t="s">
        <v>925</v>
      </c>
      <c r="D191" t="s">
        <v>926</v>
      </c>
      <c r="E191" t="s">
        <v>108</v>
      </c>
      <c r="F191" t="s">
        <v>53</v>
      </c>
      <c r="G191" t="s">
        <v>34</v>
      </c>
      <c r="H191" t="s">
        <v>54</v>
      </c>
      <c r="I191" t="s">
        <v>231</v>
      </c>
      <c r="J191" t="s">
        <v>56</v>
      </c>
      <c r="K191" t="s">
        <v>38</v>
      </c>
      <c r="L191" t="s">
        <v>39</v>
      </c>
      <c r="M191" t="s">
        <v>38</v>
      </c>
      <c r="N191" t="s">
        <v>56</v>
      </c>
      <c r="O191" t="s">
        <v>39</v>
      </c>
      <c r="P191" t="s">
        <v>38</v>
      </c>
      <c r="Q191" t="s">
        <v>38</v>
      </c>
      <c r="R191" t="s">
        <v>40</v>
      </c>
      <c r="S191" t="s">
        <v>927</v>
      </c>
      <c r="T191" t="s">
        <v>153</v>
      </c>
      <c r="U191" t="s">
        <v>59</v>
      </c>
      <c r="V191" t="s">
        <v>44</v>
      </c>
      <c r="W191" t="s">
        <v>154</v>
      </c>
      <c r="X191" t="s">
        <v>41</v>
      </c>
      <c r="Z191" t="s">
        <v>46</v>
      </c>
      <c r="AA191" t="s">
        <v>327</v>
      </c>
      <c r="AB191" t="s">
        <v>238</v>
      </c>
      <c r="AC191">
        <f>COUNTIF(C:C,QLKV_gui_ket_qua_ra_soat[[#This Row],[Mã điểm bán]])</f>
        <v>1</v>
      </c>
    </row>
    <row r="192" spans="1:29" x14ac:dyDescent="0.45">
      <c r="A192" t="s">
        <v>10783</v>
      </c>
      <c r="B192">
        <v>263</v>
      </c>
      <c r="C192" t="s">
        <v>948</v>
      </c>
      <c r="D192" t="s">
        <v>949</v>
      </c>
      <c r="E192" t="s">
        <v>882</v>
      </c>
      <c r="F192" t="s">
        <v>53</v>
      </c>
      <c r="G192" t="s">
        <v>34</v>
      </c>
      <c r="H192" t="s">
        <v>54</v>
      </c>
      <c r="I192" t="s">
        <v>950</v>
      </c>
      <c r="J192" t="s">
        <v>38</v>
      </c>
      <c r="K192" t="s">
        <v>38</v>
      </c>
      <c r="L192" t="s">
        <v>39</v>
      </c>
      <c r="M192" t="s">
        <v>38</v>
      </c>
      <c r="N192" t="s">
        <v>38</v>
      </c>
      <c r="O192" t="s">
        <v>39</v>
      </c>
      <c r="P192" t="s">
        <v>38</v>
      </c>
      <c r="Q192" t="s">
        <v>38</v>
      </c>
      <c r="R192" t="s">
        <v>39</v>
      </c>
      <c r="S192" t="s">
        <v>41</v>
      </c>
      <c r="T192" t="s">
        <v>367</v>
      </c>
      <c r="U192" t="s">
        <v>59</v>
      </c>
      <c r="V192" t="s">
        <v>44</v>
      </c>
      <c r="W192" t="s">
        <v>154</v>
      </c>
      <c r="X192" t="s">
        <v>46</v>
      </c>
      <c r="Z192" t="s">
        <v>41</v>
      </c>
      <c r="AC192">
        <f>COUNTIF(C:C,QLKV_gui_ket_qua_ra_soat[[#This Row],[Mã điểm bán]])</f>
        <v>1</v>
      </c>
    </row>
    <row r="193" spans="1:29" x14ac:dyDescent="0.45">
      <c r="A193" t="s">
        <v>10783</v>
      </c>
      <c r="B193">
        <v>264</v>
      </c>
      <c r="C193" t="s">
        <v>954</v>
      </c>
      <c r="D193" t="s">
        <v>955</v>
      </c>
      <c r="E193" t="s">
        <v>109</v>
      </c>
      <c r="F193" t="s">
        <v>53</v>
      </c>
      <c r="G193" t="s">
        <v>34</v>
      </c>
      <c r="H193" t="s">
        <v>54</v>
      </c>
      <c r="I193" t="s">
        <v>816</v>
      </c>
      <c r="J193" t="s">
        <v>38</v>
      </c>
      <c r="K193" t="s">
        <v>38</v>
      </c>
      <c r="L193" t="s">
        <v>40</v>
      </c>
      <c r="M193" t="s">
        <v>38</v>
      </c>
      <c r="N193" t="s">
        <v>38</v>
      </c>
      <c r="O193" t="s">
        <v>40</v>
      </c>
      <c r="P193" t="s">
        <v>38</v>
      </c>
      <c r="Q193" t="s">
        <v>38</v>
      </c>
      <c r="R193" t="s">
        <v>39</v>
      </c>
      <c r="S193" t="s">
        <v>41</v>
      </c>
      <c r="T193" t="s">
        <v>367</v>
      </c>
      <c r="U193" t="s">
        <v>59</v>
      </c>
      <c r="V193" t="s">
        <v>44</v>
      </c>
      <c r="W193" t="s">
        <v>154</v>
      </c>
      <c r="X193" t="s">
        <v>46</v>
      </c>
      <c r="Z193" t="s">
        <v>41</v>
      </c>
      <c r="AC193">
        <f>COUNTIF(C:C,QLKV_gui_ket_qua_ra_soat[[#This Row],[Mã điểm bán]])</f>
        <v>1</v>
      </c>
    </row>
    <row r="194" spans="1:29" x14ac:dyDescent="0.45">
      <c r="A194" t="s">
        <v>10783</v>
      </c>
      <c r="B194">
        <v>265</v>
      </c>
      <c r="C194" t="s">
        <v>962</v>
      </c>
      <c r="D194" t="s">
        <v>963</v>
      </c>
      <c r="E194" t="s">
        <v>87</v>
      </c>
      <c r="F194" t="s">
        <v>53</v>
      </c>
      <c r="G194" t="s">
        <v>177</v>
      </c>
      <c r="H194" t="s">
        <v>54</v>
      </c>
      <c r="I194" t="s">
        <v>964</v>
      </c>
      <c r="J194" t="s">
        <v>38</v>
      </c>
      <c r="K194" t="s">
        <v>38</v>
      </c>
      <c r="L194" t="s">
        <v>39</v>
      </c>
      <c r="M194" t="s">
        <v>38</v>
      </c>
      <c r="N194" t="s">
        <v>37</v>
      </c>
      <c r="O194" t="s">
        <v>39</v>
      </c>
      <c r="P194" t="s">
        <v>38</v>
      </c>
      <c r="Q194" t="s">
        <v>38</v>
      </c>
      <c r="R194" t="s">
        <v>40</v>
      </c>
      <c r="S194" t="s">
        <v>41</v>
      </c>
      <c r="T194" t="s">
        <v>367</v>
      </c>
      <c r="U194" t="s">
        <v>59</v>
      </c>
      <c r="V194" t="s">
        <v>44</v>
      </c>
      <c r="W194" t="s">
        <v>154</v>
      </c>
      <c r="X194" t="s">
        <v>46</v>
      </c>
      <c r="Z194" t="s">
        <v>41</v>
      </c>
      <c r="AC194">
        <f>COUNTIF(C:C,QLKV_gui_ket_qua_ra_soat[[#This Row],[Mã điểm bán]])</f>
        <v>1</v>
      </c>
    </row>
    <row r="195" spans="1:29" x14ac:dyDescent="0.45">
      <c r="A195" t="s">
        <v>10783</v>
      </c>
      <c r="B195">
        <v>266</v>
      </c>
      <c r="C195" t="s">
        <v>965</v>
      </c>
      <c r="D195" t="s">
        <v>966</v>
      </c>
      <c r="E195" t="s">
        <v>87</v>
      </c>
      <c r="F195" t="s">
        <v>53</v>
      </c>
      <c r="G195" t="s">
        <v>34</v>
      </c>
      <c r="H195" t="s">
        <v>54</v>
      </c>
      <c r="I195" t="s">
        <v>968</v>
      </c>
      <c r="J195" t="s">
        <v>56</v>
      </c>
      <c r="K195" t="s">
        <v>775</v>
      </c>
      <c r="L195" t="s">
        <v>39</v>
      </c>
      <c r="M195" t="s">
        <v>56</v>
      </c>
      <c r="N195" t="s">
        <v>56</v>
      </c>
      <c r="O195" t="s">
        <v>39</v>
      </c>
      <c r="P195" t="s">
        <v>38</v>
      </c>
      <c r="Q195" t="s">
        <v>38</v>
      </c>
      <c r="R195" t="s">
        <v>39</v>
      </c>
      <c r="S195" t="s">
        <v>969</v>
      </c>
      <c r="T195" t="s">
        <v>252</v>
      </c>
      <c r="U195" t="s">
        <v>59</v>
      </c>
      <c r="V195" t="s">
        <v>44</v>
      </c>
      <c r="W195" t="s">
        <v>60</v>
      </c>
      <c r="X195" t="s">
        <v>46</v>
      </c>
      <c r="Z195" t="s">
        <v>41</v>
      </c>
      <c r="AC195">
        <f>COUNTIF(C:C,QLKV_gui_ket_qua_ra_soat[[#This Row],[Mã điểm bán]])</f>
        <v>1</v>
      </c>
    </row>
    <row r="196" spans="1:29" x14ac:dyDescent="0.45">
      <c r="A196" t="s">
        <v>10783</v>
      </c>
      <c r="B196">
        <v>267</v>
      </c>
      <c r="C196" t="s">
        <v>974</v>
      </c>
      <c r="D196" t="s">
        <v>975</v>
      </c>
      <c r="E196" t="s">
        <v>976</v>
      </c>
      <c r="F196" t="s">
        <v>53</v>
      </c>
      <c r="G196" t="s">
        <v>34</v>
      </c>
      <c r="H196" t="s">
        <v>685</v>
      </c>
      <c r="I196" t="s">
        <v>977</v>
      </c>
      <c r="J196" t="s">
        <v>38</v>
      </c>
      <c r="K196" t="s">
        <v>56</v>
      </c>
      <c r="L196" t="s">
        <v>39</v>
      </c>
      <c r="M196" t="s">
        <v>38</v>
      </c>
      <c r="N196" t="s">
        <v>37</v>
      </c>
      <c r="O196" t="s">
        <v>39</v>
      </c>
      <c r="P196" t="s">
        <v>38</v>
      </c>
      <c r="Q196" t="s">
        <v>38</v>
      </c>
      <c r="R196" t="s">
        <v>40</v>
      </c>
      <c r="S196" t="s">
        <v>41</v>
      </c>
      <c r="T196" t="s">
        <v>153</v>
      </c>
      <c r="U196" t="s">
        <v>59</v>
      </c>
      <c r="V196" t="s">
        <v>44</v>
      </c>
      <c r="W196" t="s">
        <v>154</v>
      </c>
      <c r="X196" t="s">
        <v>41</v>
      </c>
      <c r="Z196" t="s">
        <v>46</v>
      </c>
      <c r="AA196" t="s">
        <v>327</v>
      </c>
      <c r="AB196" t="s">
        <v>238</v>
      </c>
      <c r="AC196">
        <f>COUNTIF(C:C,QLKV_gui_ket_qua_ra_soat[[#This Row],[Mã điểm bán]])</f>
        <v>1</v>
      </c>
    </row>
    <row r="197" spans="1:29" x14ac:dyDescent="0.45">
      <c r="A197" t="s">
        <v>10783</v>
      </c>
      <c r="B197">
        <v>268</v>
      </c>
      <c r="C197" t="s">
        <v>980</v>
      </c>
      <c r="D197" t="s">
        <v>981</v>
      </c>
      <c r="E197" t="s">
        <v>529</v>
      </c>
      <c r="F197" t="s">
        <v>53</v>
      </c>
      <c r="G197" t="s">
        <v>34</v>
      </c>
      <c r="H197" t="s">
        <v>54</v>
      </c>
      <c r="I197" t="s">
        <v>982</v>
      </c>
      <c r="J197" t="s">
        <v>38</v>
      </c>
      <c r="K197" t="s">
        <v>38</v>
      </c>
      <c r="L197" t="s">
        <v>39</v>
      </c>
      <c r="M197" t="s">
        <v>38</v>
      </c>
      <c r="N197" t="s">
        <v>56</v>
      </c>
      <c r="O197" t="s">
        <v>39</v>
      </c>
      <c r="P197" t="s">
        <v>38</v>
      </c>
      <c r="Q197" t="s">
        <v>38</v>
      </c>
      <c r="R197" t="s">
        <v>40</v>
      </c>
      <c r="S197" t="s">
        <v>983</v>
      </c>
      <c r="T197" t="s">
        <v>153</v>
      </c>
      <c r="U197" t="s">
        <v>59</v>
      </c>
      <c r="V197" t="s">
        <v>44</v>
      </c>
      <c r="W197" t="s">
        <v>154</v>
      </c>
      <c r="X197" t="s">
        <v>41</v>
      </c>
      <c r="Z197" t="s">
        <v>46</v>
      </c>
      <c r="AA197" t="s">
        <v>327</v>
      </c>
      <c r="AB197" t="s">
        <v>238</v>
      </c>
      <c r="AC197">
        <f>COUNTIF(C:C,QLKV_gui_ket_qua_ra_soat[[#This Row],[Mã điểm bán]])</f>
        <v>1</v>
      </c>
    </row>
    <row r="198" spans="1:29" x14ac:dyDescent="0.45">
      <c r="A198" t="s">
        <v>10783</v>
      </c>
      <c r="B198">
        <v>269</v>
      </c>
      <c r="C198" t="s">
        <v>984</v>
      </c>
      <c r="D198" t="s">
        <v>985</v>
      </c>
      <c r="E198" t="s">
        <v>515</v>
      </c>
      <c r="F198" t="s">
        <v>53</v>
      </c>
      <c r="G198" t="s">
        <v>34</v>
      </c>
      <c r="H198" t="s">
        <v>54</v>
      </c>
      <c r="I198" t="s">
        <v>986</v>
      </c>
      <c r="J198" t="s">
        <v>38</v>
      </c>
      <c r="K198" t="s">
        <v>38</v>
      </c>
      <c r="L198" t="s">
        <v>40</v>
      </c>
      <c r="M198" t="s">
        <v>38</v>
      </c>
      <c r="N198" t="s">
        <v>38</v>
      </c>
      <c r="O198" t="s">
        <v>40</v>
      </c>
      <c r="P198" t="s">
        <v>38</v>
      </c>
      <c r="Q198" t="s">
        <v>38</v>
      </c>
      <c r="R198" t="s">
        <v>40</v>
      </c>
      <c r="S198" t="s">
        <v>41</v>
      </c>
      <c r="T198" t="s">
        <v>367</v>
      </c>
      <c r="U198" t="s">
        <v>59</v>
      </c>
      <c r="V198" t="s">
        <v>44</v>
      </c>
      <c r="W198" t="s">
        <v>154</v>
      </c>
      <c r="X198" t="s">
        <v>41</v>
      </c>
      <c r="Z198" t="s">
        <v>46</v>
      </c>
      <c r="AA198" t="s">
        <v>327</v>
      </c>
      <c r="AB198" t="s">
        <v>238</v>
      </c>
      <c r="AC198">
        <f>COUNTIF(C:C,QLKV_gui_ket_qua_ra_soat[[#This Row],[Mã điểm bán]])</f>
        <v>1</v>
      </c>
    </row>
    <row r="199" spans="1:29" x14ac:dyDescent="0.45">
      <c r="A199" t="s">
        <v>10783</v>
      </c>
      <c r="B199">
        <v>270</v>
      </c>
      <c r="C199" t="s">
        <v>987</v>
      </c>
      <c r="D199" t="s">
        <v>988</v>
      </c>
      <c r="E199" t="s">
        <v>64</v>
      </c>
      <c r="F199" t="s">
        <v>53</v>
      </c>
      <c r="G199" t="s">
        <v>34</v>
      </c>
      <c r="H199" t="s">
        <v>54</v>
      </c>
      <c r="I199" t="s">
        <v>990</v>
      </c>
      <c r="J199" t="s">
        <v>56</v>
      </c>
      <c r="K199" t="s">
        <v>38</v>
      </c>
      <c r="L199" t="s">
        <v>39</v>
      </c>
      <c r="M199" t="s">
        <v>38</v>
      </c>
      <c r="N199" t="s">
        <v>56</v>
      </c>
      <c r="O199" t="s">
        <v>39</v>
      </c>
      <c r="P199" t="s">
        <v>38</v>
      </c>
      <c r="Q199" t="s">
        <v>38</v>
      </c>
      <c r="R199" t="s">
        <v>40</v>
      </c>
      <c r="S199" t="s">
        <v>991</v>
      </c>
      <c r="T199" t="s">
        <v>153</v>
      </c>
      <c r="U199" t="s">
        <v>59</v>
      </c>
      <c r="V199" t="s">
        <v>44</v>
      </c>
      <c r="W199" t="s">
        <v>154</v>
      </c>
      <c r="X199" t="s">
        <v>46</v>
      </c>
      <c r="Z199" t="s">
        <v>41</v>
      </c>
      <c r="AC199">
        <f>COUNTIF(C:C,QLKV_gui_ket_qua_ra_soat[[#This Row],[Mã điểm bán]])</f>
        <v>1</v>
      </c>
    </row>
    <row r="200" spans="1:29" x14ac:dyDescent="0.45">
      <c r="A200" t="s">
        <v>10783</v>
      </c>
      <c r="B200">
        <v>271</v>
      </c>
      <c r="C200" t="s">
        <v>995</v>
      </c>
      <c r="D200" t="s">
        <v>996</v>
      </c>
      <c r="E200" t="s">
        <v>407</v>
      </c>
      <c r="F200" t="s">
        <v>53</v>
      </c>
      <c r="G200" t="s">
        <v>34</v>
      </c>
      <c r="H200" t="s">
        <v>54</v>
      </c>
      <c r="I200" t="s">
        <v>231</v>
      </c>
      <c r="J200" t="s">
        <v>56</v>
      </c>
      <c r="K200" t="s">
        <v>38</v>
      </c>
      <c r="L200" t="s">
        <v>39</v>
      </c>
      <c r="M200" t="s">
        <v>38</v>
      </c>
      <c r="N200" t="s">
        <v>56</v>
      </c>
      <c r="O200" t="s">
        <v>39</v>
      </c>
      <c r="P200" t="s">
        <v>38</v>
      </c>
      <c r="Q200" t="s">
        <v>38</v>
      </c>
      <c r="R200" t="s">
        <v>40</v>
      </c>
      <c r="S200" t="s">
        <v>997</v>
      </c>
      <c r="T200" t="s">
        <v>153</v>
      </c>
      <c r="U200" t="s">
        <v>59</v>
      </c>
      <c r="V200" t="s">
        <v>44</v>
      </c>
      <c r="W200" t="s">
        <v>154</v>
      </c>
      <c r="X200" t="s">
        <v>46</v>
      </c>
      <c r="Z200" t="s">
        <v>41</v>
      </c>
      <c r="AC200">
        <f>COUNTIF(C:C,QLKV_gui_ket_qua_ra_soat[[#This Row],[Mã điểm bán]])</f>
        <v>1</v>
      </c>
    </row>
    <row r="201" spans="1:29" x14ac:dyDescent="0.45">
      <c r="A201" t="s">
        <v>10783</v>
      </c>
      <c r="B201">
        <v>272</v>
      </c>
      <c r="C201" t="s">
        <v>998</v>
      </c>
      <c r="D201" t="s">
        <v>999</v>
      </c>
      <c r="E201" t="s">
        <v>1000</v>
      </c>
      <c r="F201" t="s">
        <v>53</v>
      </c>
      <c r="G201" t="s">
        <v>34</v>
      </c>
      <c r="H201" t="s">
        <v>54</v>
      </c>
      <c r="I201" t="s">
        <v>1001</v>
      </c>
      <c r="J201" t="s">
        <v>38</v>
      </c>
      <c r="K201" t="s">
        <v>38</v>
      </c>
      <c r="L201" t="s">
        <v>40</v>
      </c>
      <c r="M201" t="s">
        <v>38</v>
      </c>
      <c r="N201" t="s">
        <v>38</v>
      </c>
      <c r="O201" t="s">
        <v>40</v>
      </c>
      <c r="P201" t="s">
        <v>38</v>
      </c>
      <c r="Q201" t="s">
        <v>38</v>
      </c>
      <c r="R201" t="s">
        <v>40</v>
      </c>
      <c r="S201" t="s">
        <v>41</v>
      </c>
      <c r="T201" t="s">
        <v>58</v>
      </c>
      <c r="U201" t="s">
        <v>59</v>
      </c>
      <c r="V201" t="s">
        <v>44</v>
      </c>
      <c r="W201" t="s">
        <v>60</v>
      </c>
      <c r="X201" t="s">
        <v>46</v>
      </c>
      <c r="Z201" t="s">
        <v>41</v>
      </c>
      <c r="AA201" t="s">
        <v>327</v>
      </c>
      <c r="AC201">
        <f>COUNTIF(C:C,QLKV_gui_ket_qua_ra_soat[[#This Row],[Mã điểm bán]])</f>
        <v>1</v>
      </c>
    </row>
    <row r="202" spans="1:29" x14ac:dyDescent="0.45">
      <c r="A202" t="s">
        <v>10783</v>
      </c>
      <c r="B202">
        <v>273</v>
      </c>
      <c r="C202" t="s">
        <v>1002</v>
      </c>
      <c r="D202" t="s">
        <v>1003</v>
      </c>
      <c r="E202" t="s">
        <v>421</v>
      </c>
      <c r="F202" t="s">
        <v>166</v>
      </c>
      <c r="G202" t="s">
        <v>34</v>
      </c>
      <c r="H202" t="s">
        <v>54</v>
      </c>
      <c r="I202" t="s">
        <v>1004</v>
      </c>
      <c r="J202" t="s">
        <v>56</v>
      </c>
      <c r="K202" t="s">
        <v>38</v>
      </c>
      <c r="L202" t="s">
        <v>39</v>
      </c>
      <c r="M202" t="s">
        <v>56</v>
      </c>
      <c r="N202" t="s">
        <v>56</v>
      </c>
      <c r="O202" t="s">
        <v>39</v>
      </c>
      <c r="P202" t="s">
        <v>38</v>
      </c>
      <c r="Q202" t="s">
        <v>38</v>
      </c>
      <c r="R202" t="s">
        <v>40</v>
      </c>
      <c r="S202" t="s">
        <v>1005</v>
      </c>
      <c r="T202" t="s">
        <v>153</v>
      </c>
      <c r="U202" t="s">
        <v>59</v>
      </c>
      <c r="V202" t="s">
        <v>44</v>
      </c>
      <c r="W202" t="s">
        <v>154</v>
      </c>
      <c r="X202" t="s">
        <v>46</v>
      </c>
      <c r="Z202" t="s">
        <v>41</v>
      </c>
      <c r="AC202">
        <f>COUNTIF(C:C,QLKV_gui_ket_qua_ra_soat[[#This Row],[Mã điểm bán]])</f>
        <v>1</v>
      </c>
    </row>
    <row r="203" spans="1:29" x14ac:dyDescent="0.45">
      <c r="A203" t="s">
        <v>10783</v>
      </c>
      <c r="B203">
        <v>274</v>
      </c>
      <c r="C203" t="s">
        <v>1006</v>
      </c>
      <c r="D203" t="s">
        <v>1007</v>
      </c>
      <c r="E203" t="s">
        <v>1009</v>
      </c>
      <c r="F203" t="s">
        <v>934</v>
      </c>
      <c r="G203" t="s">
        <v>34</v>
      </c>
      <c r="H203" t="s">
        <v>1010</v>
      </c>
      <c r="I203" t="s">
        <v>1011</v>
      </c>
      <c r="J203" t="s">
        <v>56</v>
      </c>
      <c r="K203" t="s">
        <v>56</v>
      </c>
      <c r="L203" t="s">
        <v>39</v>
      </c>
      <c r="M203" t="s">
        <v>56</v>
      </c>
      <c r="N203" t="s">
        <v>56</v>
      </c>
      <c r="O203" t="s">
        <v>39</v>
      </c>
      <c r="P203" t="s">
        <v>38</v>
      </c>
      <c r="Q203" t="s">
        <v>38</v>
      </c>
      <c r="R203" t="s">
        <v>39</v>
      </c>
      <c r="S203" t="s">
        <v>1012</v>
      </c>
      <c r="T203" t="s">
        <v>252</v>
      </c>
      <c r="U203" t="s">
        <v>59</v>
      </c>
      <c r="V203" t="s">
        <v>44</v>
      </c>
      <c r="W203" t="s">
        <v>60</v>
      </c>
      <c r="X203" t="s">
        <v>41</v>
      </c>
      <c r="Z203" t="s">
        <v>46</v>
      </c>
      <c r="AA203" t="s">
        <v>327</v>
      </c>
      <c r="AB203" t="s">
        <v>238</v>
      </c>
      <c r="AC203">
        <f>COUNTIF(C:C,QLKV_gui_ket_qua_ra_soat[[#This Row],[Mã điểm bán]])</f>
        <v>1</v>
      </c>
    </row>
    <row r="204" spans="1:29" x14ac:dyDescent="0.45">
      <c r="A204" t="s">
        <v>10783</v>
      </c>
      <c r="B204">
        <v>275</v>
      </c>
      <c r="C204" t="s">
        <v>1019</v>
      </c>
      <c r="D204" t="s">
        <v>1020</v>
      </c>
      <c r="E204" t="s">
        <v>207</v>
      </c>
      <c r="F204" t="s">
        <v>53</v>
      </c>
      <c r="G204" t="s">
        <v>34</v>
      </c>
      <c r="H204" t="s">
        <v>54</v>
      </c>
      <c r="I204" t="s">
        <v>257</v>
      </c>
      <c r="J204" t="s">
        <v>37</v>
      </c>
      <c r="K204" t="s">
        <v>37</v>
      </c>
      <c r="L204" t="s">
        <v>39</v>
      </c>
      <c r="M204" t="s">
        <v>56</v>
      </c>
      <c r="N204" t="s">
        <v>56</v>
      </c>
      <c r="O204" t="s">
        <v>39</v>
      </c>
      <c r="P204" t="s">
        <v>38</v>
      </c>
      <c r="Q204" t="s">
        <v>38</v>
      </c>
      <c r="R204" t="s">
        <v>39</v>
      </c>
      <c r="S204" t="s">
        <v>1021</v>
      </c>
      <c r="T204" t="s">
        <v>252</v>
      </c>
      <c r="U204" t="s">
        <v>59</v>
      </c>
      <c r="V204" t="s">
        <v>44</v>
      </c>
      <c r="W204" t="s">
        <v>60</v>
      </c>
      <c r="X204" t="s">
        <v>41</v>
      </c>
      <c r="Z204" t="s">
        <v>46</v>
      </c>
      <c r="AA204" t="s">
        <v>327</v>
      </c>
      <c r="AB204" t="s">
        <v>238</v>
      </c>
      <c r="AC204">
        <f>COUNTIF(C:C,QLKV_gui_ket_qua_ra_soat[[#This Row],[Mã điểm bán]])</f>
        <v>1</v>
      </c>
    </row>
    <row r="205" spans="1:29" x14ac:dyDescent="0.45">
      <c r="A205" t="s">
        <v>10783</v>
      </c>
      <c r="B205">
        <v>276</v>
      </c>
      <c r="C205" t="s">
        <v>1022</v>
      </c>
      <c r="D205" t="s">
        <v>1023</v>
      </c>
      <c r="E205" t="s">
        <v>138</v>
      </c>
      <c r="F205" t="s">
        <v>1024</v>
      </c>
      <c r="G205" t="s">
        <v>34</v>
      </c>
      <c r="H205" t="s">
        <v>1025</v>
      </c>
      <c r="I205" t="s">
        <v>1026</v>
      </c>
      <c r="J205" t="s">
        <v>38</v>
      </c>
      <c r="K205" t="s">
        <v>38</v>
      </c>
      <c r="L205" t="s">
        <v>40</v>
      </c>
      <c r="M205" t="s">
        <v>38</v>
      </c>
      <c r="N205" t="s">
        <v>38</v>
      </c>
      <c r="O205" t="s">
        <v>40</v>
      </c>
      <c r="P205" t="s">
        <v>38</v>
      </c>
      <c r="Q205" t="s">
        <v>38</v>
      </c>
      <c r="R205" t="s">
        <v>40</v>
      </c>
      <c r="S205" t="s">
        <v>41</v>
      </c>
      <c r="T205" t="s">
        <v>153</v>
      </c>
      <c r="U205" t="s">
        <v>59</v>
      </c>
      <c r="V205" t="s">
        <v>44</v>
      </c>
      <c r="W205" t="s">
        <v>154</v>
      </c>
      <c r="X205" t="s">
        <v>41</v>
      </c>
      <c r="Z205" t="s">
        <v>46</v>
      </c>
      <c r="AA205" t="s">
        <v>327</v>
      </c>
      <c r="AB205" t="s">
        <v>238</v>
      </c>
      <c r="AC205">
        <f>COUNTIF(C:C,QLKV_gui_ket_qua_ra_soat[[#This Row],[Mã điểm bán]])</f>
        <v>1</v>
      </c>
    </row>
    <row r="206" spans="1:29" x14ac:dyDescent="0.45">
      <c r="A206" t="s">
        <v>10783</v>
      </c>
      <c r="B206">
        <v>277</v>
      </c>
      <c r="C206" t="s">
        <v>1030</v>
      </c>
      <c r="D206" t="s">
        <v>1031</v>
      </c>
      <c r="E206" t="s">
        <v>87</v>
      </c>
      <c r="F206" t="s">
        <v>53</v>
      </c>
      <c r="G206" t="s">
        <v>34</v>
      </c>
      <c r="H206" t="s">
        <v>54</v>
      </c>
      <c r="I206" t="s">
        <v>879</v>
      </c>
      <c r="J206" t="s">
        <v>38</v>
      </c>
      <c r="K206" t="s">
        <v>38</v>
      </c>
      <c r="L206" t="s">
        <v>39</v>
      </c>
      <c r="M206" t="s">
        <v>38</v>
      </c>
      <c r="N206" t="s">
        <v>38</v>
      </c>
      <c r="O206" t="s">
        <v>39</v>
      </c>
      <c r="P206" t="s">
        <v>38</v>
      </c>
      <c r="Q206" t="s">
        <v>38</v>
      </c>
      <c r="R206" t="s">
        <v>39</v>
      </c>
      <c r="S206" t="s">
        <v>41</v>
      </c>
      <c r="T206" t="s">
        <v>367</v>
      </c>
      <c r="U206" t="s">
        <v>59</v>
      </c>
      <c r="V206" t="s">
        <v>44</v>
      </c>
      <c r="W206" t="s">
        <v>154</v>
      </c>
      <c r="X206" t="s">
        <v>41</v>
      </c>
      <c r="Z206" t="s">
        <v>46</v>
      </c>
      <c r="AA206" t="s">
        <v>327</v>
      </c>
      <c r="AB206" t="s">
        <v>238</v>
      </c>
      <c r="AC206">
        <f>COUNTIF(C:C,QLKV_gui_ket_qua_ra_soat[[#This Row],[Mã điểm bán]])</f>
        <v>1</v>
      </c>
    </row>
    <row r="207" spans="1:29" x14ac:dyDescent="0.45">
      <c r="A207" t="s">
        <v>10783</v>
      </c>
      <c r="B207">
        <v>278</v>
      </c>
      <c r="C207" t="s">
        <v>1032</v>
      </c>
      <c r="D207" t="s">
        <v>1033</v>
      </c>
      <c r="E207" t="s">
        <v>69</v>
      </c>
      <c r="F207" t="s">
        <v>53</v>
      </c>
      <c r="G207" t="s">
        <v>34</v>
      </c>
      <c r="H207" t="s">
        <v>54</v>
      </c>
      <c r="I207" t="s">
        <v>231</v>
      </c>
      <c r="J207" t="s">
        <v>56</v>
      </c>
      <c r="K207" t="s">
        <v>1034</v>
      </c>
      <c r="L207" t="s">
        <v>39</v>
      </c>
      <c r="M207" t="s">
        <v>38</v>
      </c>
      <c r="N207" t="s">
        <v>775</v>
      </c>
      <c r="O207" t="s">
        <v>39</v>
      </c>
      <c r="P207" t="s">
        <v>38</v>
      </c>
      <c r="Q207" t="s">
        <v>38</v>
      </c>
      <c r="R207" t="s">
        <v>40</v>
      </c>
      <c r="S207" t="s">
        <v>1035</v>
      </c>
      <c r="T207" t="s">
        <v>153</v>
      </c>
      <c r="U207" t="s">
        <v>59</v>
      </c>
      <c r="V207" t="s">
        <v>44</v>
      </c>
      <c r="W207" t="s">
        <v>154</v>
      </c>
      <c r="X207" t="s">
        <v>46</v>
      </c>
      <c r="Z207" t="s">
        <v>41</v>
      </c>
      <c r="AC207">
        <f>COUNTIF(C:C,QLKV_gui_ket_qua_ra_soat[[#This Row],[Mã điểm bán]])</f>
        <v>1</v>
      </c>
    </row>
    <row r="208" spans="1:29" x14ac:dyDescent="0.45">
      <c r="A208" t="s">
        <v>10783</v>
      </c>
      <c r="B208">
        <v>279</v>
      </c>
      <c r="C208" t="s">
        <v>1046</v>
      </c>
      <c r="D208" t="s">
        <v>1047</v>
      </c>
      <c r="E208" t="s">
        <v>109</v>
      </c>
      <c r="F208" t="s">
        <v>53</v>
      </c>
      <c r="G208" t="s">
        <v>34</v>
      </c>
      <c r="H208" t="s">
        <v>54</v>
      </c>
      <c r="I208" t="s">
        <v>1048</v>
      </c>
      <c r="J208" t="s">
        <v>38</v>
      </c>
      <c r="K208" t="s">
        <v>38</v>
      </c>
      <c r="L208" t="s">
        <v>40</v>
      </c>
      <c r="M208" t="s">
        <v>38</v>
      </c>
      <c r="N208" t="s">
        <v>38</v>
      </c>
      <c r="O208" t="s">
        <v>40</v>
      </c>
      <c r="P208" t="s">
        <v>38</v>
      </c>
      <c r="Q208" t="s">
        <v>38</v>
      </c>
      <c r="R208" t="s">
        <v>40</v>
      </c>
      <c r="S208" t="s">
        <v>638</v>
      </c>
      <c r="T208" t="s">
        <v>367</v>
      </c>
      <c r="U208" t="s">
        <v>59</v>
      </c>
      <c r="V208" t="s">
        <v>44</v>
      </c>
      <c r="W208" t="s">
        <v>154</v>
      </c>
      <c r="X208" t="s">
        <v>41</v>
      </c>
      <c r="Z208" t="s">
        <v>46</v>
      </c>
      <c r="AA208" t="s">
        <v>327</v>
      </c>
      <c r="AB208" t="s">
        <v>238</v>
      </c>
      <c r="AC208">
        <f>COUNTIF(C:C,QLKV_gui_ket_qua_ra_soat[[#This Row],[Mã điểm bán]])</f>
        <v>1</v>
      </c>
    </row>
    <row r="209" spans="1:29" x14ac:dyDescent="0.45">
      <c r="A209" t="s">
        <v>10783</v>
      </c>
      <c r="B209">
        <v>280</v>
      </c>
      <c r="C209" t="s">
        <v>1049</v>
      </c>
      <c r="D209" t="s">
        <v>1050</v>
      </c>
      <c r="E209" t="s">
        <v>370</v>
      </c>
      <c r="F209" t="s">
        <v>1051</v>
      </c>
      <c r="G209" t="s">
        <v>34</v>
      </c>
      <c r="H209" t="s">
        <v>1052</v>
      </c>
      <c r="I209" t="s">
        <v>1053</v>
      </c>
      <c r="J209" t="s">
        <v>37</v>
      </c>
      <c r="K209" t="s">
        <v>37</v>
      </c>
      <c r="L209" t="s">
        <v>39</v>
      </c>
      <c r="M209" t="s">
        <v>56</v>
      </c>
      <c r="N209" t="s">
        <v>56</v>
      </c>
      <c r="O209" t="s">
        <v>39</v>
      </c>
      <c r="P209" t="s">
        <v>38</v>
      </c>
      <c r="Q209" t="s">
        <v>38</v>
      </c>
      <c r="R209" t="s">
        <v>39</v>
      </c>
      <c r="S209" t="s">
        <v>1054</v>
      </c>
      <c r="T209" t="s">
        <v>252</v>
      </c>
      <c r="U209" t="s">
        <v>59</v>
      </c>
      <c r="V209" t="s">
        <v>44</v>
      </c>
      <c r="W209" t="s">
        <v>60</v>
      </c>
      <c r="X209" t="s">
        <v>41</v>
      </c>
      <c r="Z209" t="s">
        <v>46</v>
      </c>
      <c r="AA209" t="s">
        <v>327</v>
      </c>
      <c r="AB209" t="s">
        <v>238</v>
      </c>
      <c r="AC209">
        <f>COUNTIF(C:C,QLKV_gui_ket_qua_ra_soat[[#This Row],[Mã điểm bán]])</f>
        <v>1</v>
      </c>
    </row>
    <row r="210" spans="1:29" x14ac:dyDescent="0.45">
      <c r="A210" t="s">
        <v>10783</v>
      </c>
      <c r="B210">
        <v>281</v>
      </c>
      <c r="C210" t="s">
        <v>1061</v>
      </c>
      <c r="D210" t="s">
        <v>1062</v>
      </c>
      <c r="E210" t="s">
        <v>64</v>
      </c>
      <c r="F210" t="s">
        <v>53</v>
      </c>
      <c r="G210" t="s">
        <v>34</v>
      </c>
      <c r="H210" t="s">
        <v>54</v>
      </c>
      <c r="I210" t="s">
        <v>231</v>
      </c>
      <c r="J210" t="s">
        <v>56</v>
      </c>
      <c r="K210" t="s">
        <v>1034</v>
      </c>
      <c r="L210" t="s">
        <v>39</v>
      </c>
      <c r="M210" t="s">
        <v>38</v>
      </c>
      <c r="N210" t="s">
        <v>1034</v>
      </c>
      <c r="O210" t="s">
        <v>39</v>
      </c>
      <c r="P210" t="s">
        <v>38</v>
      </c>
      <c r="Q210" t="s">
        <v>38</v>
      </c>
      <c r="R210" t="s">
        <v>40</v>
      </c>
      <c r="S210" t="s">
        <v>1063</v>
      </c>
      <c r="T210" t="s">
        <v>153</v>
      </c>
      <c r="U210" t="s">
        <v>59</v>
      </c>
      <c r="V210" t="s">
        <v>44</v>
      </c>
      <c r="W210" t="s">
        <v>154</v>
      </c>
      <c r="X210" t="s">
        <v>46</v>
      </c>
      <c r="Z210" t="s">
        <v>41</v>
      </c>
      <c r="AC210">
        <f>COUNTIF(C:C,QLKV_gui_ket_qua_ra_soat[[#This Row],[Mã điểm bán]])</f>
        <v>1</v>
      </c>
    </row>
    <row r="211" spans="1:29" x14ac:dyDescent="0.45">
      <c r="A211" t="s">
        <v>10783</v>
      </c>
      <c r="B211">
        <v>282</v>
      </c>
      <c r="C211" t="s">
        <v>1064</v>
      </c>
      <c r="D211" t="s">
        <v>1065</v>
      </c>
      <c r="E211" t="s">
        <v>148</v>
      </c>
      <c r="F211" t="s">
        <v>53</v>
      </c>
      <c r="G211" t="s">
        <v>34</v>
      </c>
      <c r="H211" t="s">
        <v>274</v>
      </c>
      <c r="I211" t="s">
        <v>1066</v>
      </c>
      <c r="J211" t="s">
        <v>38</v>
      </c>
      <c r="K211" t="s">
        <v>38</v>
      </c>
      <c r="L211" t="s">
        <v>39</v>
      </c>
      <c r="M211" t="s">
        <v>56</v>
      </c>
      <c r="N211" t="s">
        <v>56</v>
      </c>
      <c r="O211" t="s">
        <v>39</v>
      </c>
      <c r="P211" t="s">
        <v>38</v>
      </c>
      <c r="Q211" t="s">
        <v>38</v>
      </c>
      <c r="R211" t="s">
        <v>39</v>
      </c>
      <c r="S211" t="s">
        <v>1067</v>
      </c>
      <c r="T211" t="s">
        <v>252</v>
      </c>
      <c r="U211" t="s">
        <v>59</v>
      </c>
      <c r="V211" t="s">
        <v>44</v>
      </c>
      <c r="W211" t="s">
        <v>60</v>
      </c>
      <c r="X211" t="s">
        <v>41</v>
      </c>
      <c r="Z211" t="s">
        <v>46</v>
      </c>
      <c r="AA211" t="s">
        <v>327</v>
      </c>
      <c r="AB211" t="s">
        <v>238</v>
      </c>
      <c r="AC211">
        <f>COUNTIF(C:C,QLKV_gui_ket_qua_ra_soat[[#This Row],[Mã điểm bán]])</f>
        <v>1</v>
      </c>
    </row>
    <row r="212" spans="1:29" x14ac:dyDescent="0.45">
      <c r="A212" t="s">
        <v>10783</v>
      </c>
      <c r="B212">
        <v>283</v>
      </c>
      <c r="C212" t="s">
        <v>1071</v>
      </c>
      <c r="D212" t="s">
        <v>1072</v>
      </c>
      <c r="E212" t="s">
        <v>157</v>
      </c>
      <c r="F212" t="s">
        <v>53</v>
      </c>
      <c r="G212" t="s">
        <v>34</v>
      </c>
      <c r="H212" t="s">
        <v>54</v>
      </c>
      <c r="I212" t="s">
        <v>1073</v>
      </c>
      <c r="J212" t="s">
        <v>38</v>
      </c>
      <c r="K212" t="s">
        <v>38</v>
      </c>
      <c r="L212" t="s">
        <v>40</v>
      </c>
      <c r="M212" t="s">
        <v>38</v>
      </c>
      <c r="N212" t="s">
        <v>38</v>
      </c>
      <c r="O212" t="s">
        <v>40</v>
      </c>
      <c r="P212" t="s">
        <v>38</v>
      </c>
      <c r="Q212" t="s">
        <v>56</v>
      </c>
      <c r="R212" t="s">
        <v>40</v>
      </c>
      <c r="S212" t="s">
        <v>1074</v>
      </c>
      <c r="T212" t="s">
        <v>367</v>
      </c>
      <c r="U212" t="s">
        <v>59</v>
      </c>
      <c r="V212" t="s">
        <v>44</v>
      </c>
      <c r="W212" t="s">
        <v>154</v>
      </c>
      <c r="X212" t="s">
        <v>41</v>
      </c>
      <c r="Z212" t="s">
        <v>46</v>
      </c>
      <c r="AA212" t="s">
        <v>327</v>
      </c>
      <c r="AB212" t="s">
        <v>238</v>
      </c>
      <c r="AC212">
        <f>COUNTIF(C:C,QLKV_gui_ket_qua_ra_soat[[#This Row],[Mã điểm bán]])</f>
        <v>1</v>
      </c>
    </row>
    <row r="213" spans="1:29" x14ac:dyDescent="0.45">
      <c r="A213" t="s">
        <v>10783</v>
      </c>
      <c r="B213">
        <v>284</v>
      </c>
      <c r="C213" t="s">
        <v>1081</v>
      </c>
      <c r="D213" t="s">
        <v>1082</v>
      </c>
      <c r="E213" t="s">
        <v>97</v>
      </c>
      <c r="F213" t="s">
        <v>115</v>
      </c>
      <c r="G213" t="s">
        <v>34</v>
      </c>
      <c r="H213" t="s">
        <v>54</v>
      </c>
      <c r="I213" t="s">
        <v>1083</v>
      </c>
      <c r="J213" t="s">
        <v>38</v>
      </c>
      <c r="K213" t="s">
        <v>38</v>
      </c>
      <c r="L213" t="s">
        <v>40</v>
      </c>
      <c r="M213" t="s">
        <v>38</v>
      </c>
      <c r="N213" t="s">
        <v>38</v>
      </c>
      <c r="O213" t="s">
        <v>40</v>
      </c>
      <c r="P213" t="s">
        <v>38</v>
      </c>
      <c r="Q213" t="s">
        <v>38</v>
      </c>
      <c r="R213" t="s">
        <v>40</v>
      </c>
      <c r="S213" t="s">
        <v>1084</v>
      </c>
      <c r="T213" t="s">
        <v>58</v>
      </c>
      <c r="U213" t="s">
        <v>59</v>
      </c>
      <c r="V213" t="s">
        <v>44</v>
      </c>
      <c r="W213" t="s">
        <v>60</v>
      </c>
      <c r="X213" t="s">
        <v>41</v>
      </c>
      <c r="Z213" t="s">
        <v>46</v>
      </c>
      <c r="AA213" t="s">
        <v>327</v>
      </c>
      <c r="AB213" t="s">
        <v>238</v>
      </c>
      <c r="AC213">
        <f>COUNTIF(C:C,QLKV_gui_ket_qua_ra_soat[[#This Row],[Mã điểm bán]])</f>
        <v>1</v>
      </c>
    </row>
    <row r="214" spans="1:29" x14ac:dyDescent="0.45">
      <c r="A214" t="s">
        <v>10783</v>
      </c>
      <c r="B214">
        <v>285</v>
      </c>
      <c r="C214" t="s">
        <v>1088</v>
      </c>
      <c r="D214" t="s">
        <v>1089</v>
      </c>
      <c r="E214" t="s">
        <v>1090</v>
      </c>
      <c r="F214" t="s">
        <v>53</v>
      </c>
      <c r="G214" t="s">
        <v>34</v>
      </c>
      <c r="H214" t="s">
        <v>54</v>
      </c>
      <c r="I214" t="s">
        <v>1091</v>
      </c>
      <c r="J214" t="s">
        <v>38</v>
      </c>
      <c r="K214" t="s">
        <v>38</v>
      </c>
      <c r="L214" t="s">
        <v>39</v>
      </c>
      <c r="M214" t="s">
        <v>38</v>
      </c>
      <c r="N214" t="s">
        <v>56</v>
      </c>
      <c r="O214" t="s">
        <v>39</v>
      </c>
      <c r="P214" t="s">
        <v>38</v>
      </c>
      <c r="Q214" t="s">
        <v>38</v>
      </c>
      <c r="R214" t="s">
        <v>40</v>
      </c>
      <c r="S214" t="s">
        <v>1092</v>
      </c>
      <c r="T214" t="s">
        <v>367</v>
      </c>
      <c r="U214" t="s">
        <v>59</v>
      </c>
      <c r="V214" t="s">
        <v>44</v>
      </c>
      <c r="W214" t="s">
        <v>154</v>
      </c>
      <c r="X214" t="s">
        <v>41</v>
      </c>
      <c r="Z214" t="s">
        <v>46</v>
      </c>
      <c r="AA214" t="s">
        <v>327</v>
      </c>
      <c r="AB214" t="s">
        <v>238</v>
      </c>
      <c r="AC214">
        <f>COUNTIF(C:C,QLKV_gui_ket_qua_ra_soat[[#This Row],[Mã điểm bán]])</f>
        <v>1</v>
      </c>
    </row>
    <row r="215" spans="1:29" x14ac:dyDescent="0.45">
      <c r="A215" t="s">
        <v>10783</v>
      </c>
      <c r="B215">
        <v>286</v>
      </c>
      <c r="C215" t="s">
        <v>1096</v>
      </c>
      <c r="D215" t="s">
        <v>1097</v>
      </c>
      <c r="E215" t="s">
        <v>857</v>
      </c>
      <c r="F215" t="s">
        <v>53</v>
      </c>
      <c r="G215" t="s">
        <v>34</v>
      </c>
      <c r="H215" t="s">
        <v>54</v>
      </c>
      <c r="I215" t="s">
        <v>1098</v>
      </c>
      <c r="J215" t="s">
        <v>38</v>
      </c>
      <c r="K215" t="s">
        <v>38</v>
      </c>
      <c r="L215" t="s">
        <v>39</v>
      </c>
      <c r="M215" t="s">
        <v>38</v>
      </c>
      <c r="N215" t="s">
        <v>38</v>
      </c>
      <c r="O215" t="s">
        <v>40</v>
      </c>
      <c r="P215" t="s">
        <v>38</v>
      </c>
      <c r="Q215" t="s">
        <v>38</v>
      </c>
      <c r="R215" t="s">
        <v>40</v>
      </c>
      <c r="S215" t="s">
        <v>41</v>
      </c>
      <c r="T215" t="s">
        <v>367</v>
      </c>
      <c r="U215" t="s">
        <v>59</v>
      </c>
      <c r="V215" t="s">
        <v>44</v>
      </c>
      <c r="W215" t="s">
        <v>154</v>
      </c>
      <c r="X215" t="s">
        <v>46</v>
      </c>
      <c r="Z215" t="s">
        <v>41</v>
      </c>
      <c r="AA215" t="s">
        <v>327</v>
      </c>
      <c r="AC215">
        <f>COUNTIF(C:C,QLKV_gui_ket_qua_ra_soat[[#This Row],[Mã điểm bán]])</f>
        <v>1</v>
      </c>
    </row>
    <row r="216" spans="1:29" x14ac:dyDescent="0.45">
      <c r="A216" t="s">
        <v>10783</v>
      </c>
      <c r="B216">
        <v>287</v>
      </c>
      <c r="C216" t="s">
        <v>1102</v>
      </c>
      <c r="D216" t="s">
        <v>1103</v>
      </c>
      <c r="E216" t="s">
        <v>1104</v>
      </c>
      <c r="F216" t="s">
        <v>53</v>
      </c>
      <c r="G216" t="s">
        <v>34</v>
      </c>
      <c r="H216" t="s">
        <v>54</v>
      </c>
      <c r="I216" t="s">
        <v>257</v>
      </c>
      <c r="J216" t="s">
        <v>56</v>
      </c>
      <c r="K216" t="s">
        <v>56</v>
      </c>
      <c r="L216" t="s">
        <v>39</v>
      </c>
      <c r="M216" t="s">
        <v>56</v>
      </c>
      <c r="N216" t="s">
        <v>56</v>
      </c>
      <c r="O216" t="s">
        <v>39</v>
      </c>
      <c r="P216" t="s">
        <v>38</v>
      </c>
      <c r="Q216" t="s">
        <v>38</v>
      </c>
      <c r="R216" t="s">
        <v>39</v>
      </c>
      <c r="S216" t="s">
        <v>1021</v>
      </c>
      <c r="T216" t="s">
        <v>252</v>
      </c>
      <c r="U216" t="s">
        <v>59</v>
      </c>
      <c r="V216" t="s">
        <v>44</v>
      </c>
      <c r="W216" t="s">
        <v>60</v>
      </c>
      <c r="X216" t="s">
        <v>41</v>
      </c>
      <c r="Z216" t="s">
        <v>46</v>
      </c>
      <c r="AA216" t="s">
        <v>327</v>
      </c>
      <c r="AB216" t="s">
        <v>238</v>
      </c>
      <c r="AC216">
        <f>COUNTIF(C:C,QLKV_gui_ket_qua_ra_soat[[#This Row],[Mã điểm bán]])</f>
        <v>1</v>
      </c>
    </row>
    <row r="217" spans="1:29" x14ac:dyDescent="0.45">
      <c r="A217" t="s">
        <v>10783</v>
      </c>
      <c r="B217">
        <v>288</v>
      </c>
      <c r="C217" t="s">
        <v>1112</v>
      </c>
      <c r="D217" t="s">
        <v>1113</v>
      </c>
      <c r="E217" t="s">
        <v>68</v>
      </c>
      <c r="F217" t="s">
        <v>53</v>
      </c>
      <c r="G217" t="s">
        <v>34</v>
      </c>
      <c r="H217" t="s">
        <v>54</v>
      </c>
      <c r="I217" t="s">
        <v>1114</v>
      </c>
      <c r="J217" t="s">
        <v>38</v>
      </c>
      <c r="K217" t="s">
        <v>38</v>
      </c>
      <c r="L217" t="s">
        <v>39</v>
      </c>
      <c r="M217" t="s">
        <v>38</v>
      </c>
      <c r="N217" t="s">
        <v>38</v>
      </c>
      <c r="O217" t="s">
        <v>39</v>
      </c>
      <c r="P217" t="s">
        <v>38</v>
      </c>
      <c r="Q217" t="s">
        <v>38</v>
      </c>
      <c r="R217" t="s">
        <v>39</v>
      </c>
      <c r="S217" t="s">
        <v>1115</v>
      </c>
      <c r="T217" t="s">
        <v>367</v>
      </c>
      <c r="U217" t="s">
        <v>59</v>
      </c>
      <c r="V217" t="s">
        <v>44</v>
      </c>
      <c r="W217" t="s">
        <v>154</v>
      </c>
      <c r="X217" t="s">
        <v>41</v>
      </c>
      <c r="Z217" t="s">
        <v>46</v>
      </c>
      <c r="AA217" t="s">
        <v>327</v>
      </c>
      <c r="AB217" t="s">
        <v>238</v>
      </c>
      <c r="AC217">
        <f>COUNTIF(C:C,QLKV_gui_ket_qua_ra_soat[[#This Row],[Mã điểm bán]])</f>
        <v>1</v>
      </c>
    </row>
    <row r="218" spans="1:29" x14ac:dyDescent="0.45">
      <c r="A218" t="s">
        <v>10783</v>
      </c>
      <c r="B218">
        <v>289</v>
      </c>
      <c r="C218" t="s">
        <v>1116</v>
      </c>
      <c r="D218" t="s">
        <v>1117</v>
      </c>
      <c r="E218" t="s">
        <v>108</v>
      </c>
      <c r="F218" t="s">
        <v>53</v>
      </c>
      <c r="G218" t="s">
        <v>34</v>
      </c>
      <c r="H218" t="s">
        <v>54</v>
      </c>
      <c r="I218" t="s">
        <v>1118</v>
      </c>
      <c r="J218" t="s">
        <v>38</v>
      </c>
      <c r="K218" t="s">
        <v>38</v>
      </c>
      <c r="L218" t="s">
        <v>39</v>
      </c>
      <c r="M218" t="s">
        <v>38</v>
      </c>
      <c r="N218" t="s">
        <v>38</v>
      </c>
      <c r="O218" t="s">
        <v>39</v>
      </c>
      <c r="P218" t="s">
        <v>38</v>
      </c>
      <c r="Q218" t="s">
        <v>38</v>
      </c>
      <c r="R218" t="s">
        <v>40</v>
      </c>
      <c r="S218" t="s">
        <v>1119</v>
      </c>
      <c r="T218" t="s">
        <v>153</v>
      </c>
      <c r="U218" t="s">
        <v>59</v>
      </c>
      <c r="V218" t="s">
        <v>44</v>
      </c>
      <c r="W218" t="s">
        <v>154</v>
      </c>
      <c r="X218" t="s">
        <v>41</v>
      </c>
      <c r="Z218" t="s">
        <v>46</v>
      </c>
      <c r="AA218" t="s">
        <v>327</v>
      </c>
      <c r="AB218" t="s">
        <v>238</v>
      </c>
      <c r="AC218">
        <f>COUNTIF(C:C,QLKV_gui_ket_qua_ra_soat[[#This Row],[Mã điểm bán]])</f>
        <v>1</v>
      </c>
    </row>
    <row r="219" spans="1:29" x14ac:dyDescent="0.45">
      <c r="A219" t="s">
        <v>10783</v>
      </c>
      <c r="B219">
        <v>290</v>
      </c>
      <c r="C219" t="s">
        <v>1131</v>
      </c>
      <c r="D219" t="s">
        <v>1132</v>
      </c>
      <c r="E219" t="s">
        <v>68</v>
      </c>
      <c r="F219" t="s">
        <v>53</v>
      </c>
      <c r="G219" t="s">
        <v>34</v>
      </c>
      <c r="H219" t="s">
        <v>685</v>
      </c>
      <c r="I219" t="s">
        <v>1133</v>
      </c>
      <c r="J219" t="s">
        <v>38</v>
      </c>
      <c r="K219" t="s">
        <v>38</v>
      </c>
      <c r="L219" t="s">
        <v>40</v>
      </c>
      <c r="M219" t="s">
        <v>38</v>
      </c>
      <c r="N219" t="s">
        <v>38</v>
      </c>
      <c r="O219" t="s">
        <v>40</v>
      </c>
      <c r="P219" t="s">
        <v>38</v>
      </c>
      <c r="Q219" t="s">
        <v>38</v>
      </c>
      <c r="R219" t="s">
        <v>40</v>
      </c>
      <c r="S219" t="s">
        <v>1134</v>
      </c>
      <c r="T219" t="s">
        <v>58</v>
      </c>
      <c r="U219" t="s">
        <v>59</v>
      </c>
      <c r="V219" t="s">
        <v>44</v>
      </c>
      <c r="W219" t="s">
        <v>60</v>
      </c>
      <c r="X219" t="s">
        <v>41</v>
      </c>
      <c r="Z219" t="s">
        <v>46</v>
      </c>
      <c r="AA219" t="s">
        <v>327</v>
      </c>
      <c r="AB219" t="s">
        <v>238</v>
      </c>
      <c r="AC219">
        <f>COUNTIF(C:C,QLKV_gui_ket_qua_ra_soat[[#This Row],[Mã điểm bán]])</f>
        <v>1</v>
      </c>
    </row>
    <row r="220" spans="1:29" x14ac:dyDescent="0.45">
      <c r="A220" t="s">
        <v>10783</v>
      </c>
      <c r="B220">
        <v>291</v>
      </c>
      <c r="C220" t="s">
        <v>1135</v>
      </c>
      <c r="D220" t="s">
        <v>1136</v>
      </c>
      <c r="E220" t="s">
        <v>269</v>
      </c>
      <c r="F220" t="s">
        <v>76</v>
      </c>
      <c r="G220" t="s">
        <v>34</v>
      </c>
      <c r="H220" t="s">
        <v>54</v>
      </c>
      <c r="I220" t="s">
        <v>1137</v>
      </c>
      <c r="J220" t="s">
        <v>56</v>
      </c>
      <c r="K220" t="s">
        <v>775</v>
      </c>
      <c r="L220" t="s">
        <v>39</v>
      </c>
      <c r="M220" t="s">
        <v>37</v>
      </c>
      <c r="N220" t="s">
        <v>37</v>
      </c>
      <c r="O220" t="s">
        <v>39</v>
      </c>
      <c r="P220" t="s">
        <v>38</v>
      </c>
      <c r="Q220" t="s">
        <v>38</v>
      </c>
      <c r="R220" t="s">
        <v>39</v>
      </c>
      <c r="S220" t="s">
        <v>1138</v>
      </c>
      <c r="T220" t="s">
        <v>252</v>
      </c>
      <c r="U220" t="s">
        <v>59</v>
      </c>
      <c r="V220" t="s">
        <v>44</v>
      </c>
      <c r="W220" t="s">
        <v>60</v>
      </c>
      <c r="X220" t="s">
        <v>46</v>
      </c>
      <c r="Z220" t="s">
        <v>41</v>
      </c>
      <c r="AA220" t="s">
        <v>327</v>
      </c>
      <c r="AC220">
        <f>COUNTIF(C:C,QLKV_gui_ket_qua_ra_soat[[#This Row],[Mã điểm bán]])</f>
        <v>1</v>
      </c>
    </row>
    <row r="221" spans="1:29" x14ac:dyDescent="0.45">
      <c r="A221" t="s">
        <v>10783</v>
      </c>
      <c r="B221">
        <v>292</v>
      </c>
      <c r="C221" t="s">
        <v>1141</v>
      </c>
      <c r="D221" t="s">
        <v>1142</v>
      </c>
      <c r="E221" t="s">
        <v>176</v>
      </c>
      <c r="F221" t="s">
        <v>53</v>
      </c>
      <c r="G221" t="s">
        <v>34</v>
      </c>
      <c r="H221" t="s">
        <v>620</v>
      </c>
      <c r="I221" t="s">
        <v>1143</v>
      </c>
      <c r="J221" t="s">
        <v>38</v>
      </c>
      <c r="K221" t="s">
        <v>38</v>
      </c>
      <c r="L221" t="s">
        <v>39</v>
      </c>
      <c r="M221" t="s">
        <v>38</v>
      </c>
      <c r="N221" t="s">
        <v>38</v>
      </c>
      <c r="O221" t="s">
        <v>39</v>
      </c>
      <c r="P221" t="s">
        <v>38</v>
      </c>
      <c r="Q221" t="s">
        <v>38</v>
      </c>
      <c r="R221" t="s">
        <v>39</v>
      </c>
      <c r="S221" t="s">
        <v>1144</v>
      </c>
      <c r="T221" t="s">
        <v>367</v>
      </c>
      <c r="U221" t="s">
        <v>59</v>
      </c>
      <c r="V221" t="s">
        <v>44</v>
      </c>
      <c r="W221" t="s">
        <v>154</v>
      </c>
      <c r="X221" t="s">
        <v>41</v>
      </c>
      <c r="Z221" t="s">
        <v>46</v>
      </c>
      <c r="AA221" t="s">
        <v>327</v>
      </c>
      <c r="AB221" t="s">
        <v>238</v>
      </c>
      <c r="AC221">
        <f>COUNTIF(C:C,QLKV_gui_ket_qua_ra_soat[[#This Row],[Mã điểm bán]])</f>
        <v>1</v>
      </c>
    </row>
    <row r="222" spans="1:29" x14ac:dyDescent="0.45">
      <c r="A222" t="s">
        <v>10783</v>
      </c>
      <c r="B222">
        <v>293</v>
      </c>
      <c r="C222" t="s">
        <v>1145</v>
      </c>
      <c r="D222" t="s">
        <v>1146</v>
      </c>
      <c r="E222" t="s">
        <v>69</v>
      </c>
      <c r="F222" t="s">
        <v>53</v>
      </c>
      <c r="G222" t="s">
        <v>34</v>
      </c>
      <c r="H222" t="s">
        <v>54</v>
      </c>
      <c r="I222" t="s">
        <v>1147</v>
      </c>
      <c r="J222" t="s">
        <v>38</v>
      </c>
      <c r="K222" t="s">
        <v>38</v>
      </c>
      <c r="L222" t="s">
        <v>39</v>
      </c>
      <c r="M222" t="s">
        <v>38</v>
      </c>
      <c r="N222" t="s">
        <v>37</v>
      </c>
      <c r="O222" t="s">
        <v>39</v>
      </c>
      <c r="P222" t="s">
        <v>38</v>
      </c>
      <c r="Q222" t="s">
        <v>38</v>
      </c>
      <c r="R222" t="s">
        <v>39</v>
      </c>
      <c r="S222" t="s">
        <v>1148</v>
      </c>
      <c r="T222" t="s">
        <v>367</v>
      </c>
      <c r="U222" t="s">
        <v>59</v>
      </c>
      <c r="V222" t="s">
        <v>44</v>
      </c>
      <c r="W222" t="s">
        <v>154</v>
      </c>
      <c r="X222" t="s">
        <v>41</v>
      </c>
      <c r="Z222" t="s">
        <v>46</v>
      </c>
      <c r="AA222" t="s">
        <v>327</v>
      </c>
      <c r="AB222" t="s">
        <v>238</v>
      </c>
      <c r="AC222">
        <f>COUNTIF(C:C,QLKV_gui_ket_qua_ra_soat[[#This Row],[Mã điểm bán]])</f>
        <v>1</v>
      </c>
    </row>
    <row r="223" spans="1:29" x14ac:dyDescent="0.45">
      <c r="A223" t="s">
        <v>10783</v>
      </c>
      <c r="B223">
        <v>294</v>
      </c>
      <c r="C223" t="s">
        <v>1162</v>
      </c>
      <c r="D223" t="s">
        <v>1163</v>
      </c>
      <c r="E223" t="s">
        <v>212</v>
      </c>
      <c r="F223" t="s">
        <v>417</v>
      </c>
      <c r="G223" t="s">
        <v>34</v>
      </c>
      <c r="H223" t="s">
        <v>1164</v>
      </c>
      <c r="I223" t="s">
        <v>1165</v>
      </c>
      <c r="J223" t="s">
        <v>38</v>
      </c>
      <c r="K223" t="s">
        <v>38</v>
      </c>
      <c r="L223" t="s">
        <v>39</v>
      </c>
      <c r="M223" t="s">
        <v>38</v>
      </c>
      <c r="N223" t="s">
        <v>38</v>
      </c>
      <c r="O223" t="s">
        <v>39</v>
      </c>
      <c r="P223" t="s">
        <v>38</v>
      </c>
      <c r="Q223" t="s">
        <v>38</v>
      </c>
      <c r="R223" t="s">
        <v>39</v>
      </c>
      <c r="S223" t="s">
        <v>41</v>
      </c>
      <c r="T223" t="s">
        <v>367</v>
      </c>
      <c r="U223" t="s">
        <v>59</v>
      </c>
      <c r="V223" t="s">
        <v>44</v>
      </c>
      <c r="W223" t="s">
        <v>154</v>
      </c>
      <c r="X223" t="s">
        <v>41</v>
      </c>
      <c r="Z223" t="s">
        <v>46</v>
      </c>
      <c r="AA223" t="s">
        <v>327</v>
      </c>
      <c r="AB223" t="s">
        <v>238</v>
      </c>
      <c r="AC223">
        <f>COUNTIF(C:C,QLKV_gui_ket_qua_ra_soat[[#This Row],[Mã điểm bán]])</f>
        <v>1</v>
      </c>
    </row>
    <row r="224" spans="1:29" x14ac:dyDescent="0.45">
      <c r="A224" t="s">
        <v>10783</v>
      </c>
      <c r="B224">
        <v>295</v>
      </c>
      <c r="C224" t="s">
        <v>1166</v>
      </c>
      <c r="D224" t="s">
        <v>1167</v>
      </c>
      <c r="E224" t="s">
        <v>69</v>
      </c>
      <c r="F224" t="s">
        <v>53</v>
      </c>
      <c r="G224" t="s">
        <v>34</v>
      </c>
      <c r="H224" t="s">
        <v>54</v>
      </c>
      <c r="I224" t="s">
        <v>1168</v>
      </c>
      <c r="J224" t="s">
        <v>1034</v>
      </c>
      <c r="K224" t="s">
        <v>1034</v>
      </c>
      <c r="L224" t="s">
        <v>121</v>
      </c>
      <c r="M224" t="s">
        <v>38</v>
      </c>
      <c r="N224" t="s">
        <v>1034</v>
      </c>
      <c r="O224" t="s">
        <v>121</v>
      </c>
      <c r="P224" t="s">
        <v>38</v>
      </c>
      <c r="Q224" t="s">
        <v>38</v>
      </c>
      <c r="R224" t="s">
        <v>39</v>
      </c>
      <c r="S224" t="s">
        <v>1169</v>
      </c>
      <c r="T224" t="s">
        <v>153</v>
      </c>
      <c r="U224" t="s">
        <v>59</v>
      </c>
      <c r="V224" t="s">
        <v>44</v>
      </c>
      <c r="W224" t="s">
        <v>154</v>
      </c>
      <c r="X224" t="s">
        <v>41</v>
      </c>
      <c r="Z224" t="s">
        <v>46</v>
      </c>
      <c r="AA224" t="s">
        <v>327</v>
      </c>
      <c r="AB224" t="s">
        <v>238</v>
      </c>
      <c r="AC224">
        <f>COUNTIF(C:C,QLKV_gui_ket_qua_ra_soat[[#This Row],[Mã điểm bán]])</f>
        <v>1</v>
      </c>
    </row>
    <row r="225" spans="1:29" x14ac:dyDescent="0.45">
      <c r="A225" t="s">
        <v>10783</v>
      </c>
      <c r="B225">
        <v>296</v>
      </c>
      <c r="C225" t="s">
        <v>1175</v>
      </c>
      <c r="D225" t="s">
        <v>1176</v>
      </c>
      <c r="E225" t="s">
        <v>64</v>
      </c>
      <c r="F225" t="s">
        <v>53</v>
      </c>
      <c r="G225" t="s">
        <v>34</v>
      </c>
      <c r="H225" t="s">
        <v>1177</v>
      </c>
      <c r="I225" t="s">
        <v>1178</v>
      </c>
      <c r="J225" t="s">
        <v>1034</v>
      </c>
      <c r="K225" t="s">
        <v>1034</v>
      </c>
      <c r="L225" t="s">
        <v>39</v>
      </c>
      <c r="M225" t="s">
        <v>38</v>
      </c>
      <c r="N225" t="s">
        <v>1034</v>
      </c>
      <c r="O225" t="s">
        <v>39</v>
      </c>
      <c r="P225" t="s">
        <v>38</v>
      </c>
      <c r="Q225" t="s">
        <v>38</v>
      </c>
      <c r="R225" t="s">
        <v>39</v>
      </c>
      <c r="S225" t="s">
        <v>1179</v>
      </c>
      <c r="T225" t="s">
        <v>153</v>
      </c>
      <c r="U225" t="s">
        <v>59</v>
      </c>
      <c r="V225" t="s">
        <v>44</v>
      </c>
      <c r="W225" t="s">
        <v>154</v>
      </c>
      <c r="X225" t="s">
        <v>46</v>
      </c>
      <c r="Z225" t="s">
        <v>41</v>
      </c>
      <c r="AC225">
        <f>COUNTIF(C:C,QLKV_gui_ket_qua_ra_soat[[#This Row],[Mã điểm bán]])</f>
        <v>1</v>
      </c>
    </row>
    <row r="226" spans="1:29" x14ac:dyDescent="0.45">
      <c r="A226" t="s">
        <v>10783</v>
      </c>
      <c r="B226">
        <v>297</v>
      </c>
      <c r="C226" t="s">
        <v>1186</v>
      </c>
      <c r="D226" t="s">
        <v>1187</v>
      </c>
      <c r="E226" t="s">
        <v>68</v>
      </c>
      <c r="F226" t="s">
        <v>53</v>
      </c>
      <c r="G226" t="s">
        <v>34</v>
      </c>
      <c r="H226" t="s">
        <v>1188</v>
      </c>
      <c r="I226" t="s">
        <v>1189</v>
      </c>
      <c r="J226" t="s">
        <v>38</v>
      </c>
      <c r="K226" t="s">
        <v>56</v>
      </c>
      <c r="L226" t="s">
        <v>39</v>
      </c>
      <c r="M226" t="s">
        <v>37</v>
      </c>
      <c r="N226" t="s">
        <v>56</v>
      </c>
      <c r="O226" t="s">
        <v>39</v>
      </c>
      <c r="P226" t="s">
        <v>38</v>
      </c>
      <c r="Q226" t="s">
        <v>38</v>
      </c>
      <c r="R226" t="s">
        <v>40</v>
      </c>
      <c r="S226" t="s">
        <v>1190</v>
      </c>
      <c r="T226" t="s">
        <v>153</v>
      </c>
      <c r="U226" t="s">
        <v>59</v>
      </c>
      <c r="V226" t="s">
        <v>44</v>
      </c>
      <c r="W226" t="s">
        <v>154</v>
      </c>
      <c r="X226" t="s">
        <v>46</v>
      </c>
      <c r="Z226" t="s">
        <v>41</v>
      </c>
      <c r="AC226">
        <f>COUNTIF(C:C,QLKV_gui_ket_qua_ra_soat[[#This Row],[Mã điểm bán]])</f>
        <v>1</v>
      </c>
    </row>
    <row r="227" spans="1:29" x14ac:dyDescent="0.45">
      <c r="A227" t="s">
        <v>10783</v>
      </c>
      <c r="B227">
        <v>298</v>
      </c>
      <c r="C227" t="s">
        <v>1194</v>
      </c>
      <c r="D227" t="s">
        <v>1195</v>
      </c>
      <c r="E227" t="s">
        <v>176</v>
      </c>
      <c r="F227" t="s">
        <v>401</v>
      </c>
      <c r="G227" t="s">
        <v>34</v>
      </c>
      <c r="H227" t="s">
        <v>54</v>
      </c>
      <c r="I227" t="s">
        <v>1196</v>
      </c>
      <c r="J227" t="s">
        <v>38</v>
      </c>
      <c r="K227" t="s">
        <v>38</v>
      </c>
      <c r="L227" t="s">
        <v>40</v>
      </c>
      <c r="M227" t="s">
        <v>38</v>
      </c>
      <c r="N227" t="s">
        <v>38</v>
      </c>
      <c r="O227" t="s">
        <v>40</v>
      </c>
      <c r="P227" t="s">
        <v>38</v>
      </c>
      <c r="Q227" t="s">
        <v>38</v>
      </c>
      <c r="R227" t="s">
        <v>40</v>
      </c>
      <c r="S227" t="s">
        <v>41</v>
      </c>
      <c r="T227" t="s">
        <v>58</v>
      </c>
      <c r="U227" t="s">
        <v>59</v>
      </c>
      <c r="V227" t="s">
        <v>44</v>
      </c>
      <c r="W227" t="s">
        <v>60</v>
      </c>
      <c r="X227" t="s">
        <v>46</v>
      </c>
      <c r="Z227" t="s">
        <v>41</v>
      </c>
      <c r="AC227">
        <f>COUNTIF(C:C,QLKV_gui_ket_qua_ra_soat[[#This Row],[Mã điểm bán]])</f>
        <v>1</v>
      </c>
    </row>
    <row r="228" spans="1:29" x14ac:dyDescent="0.45">
      <c r="A228" t="s">
        <v>10783</v>
      </c>
      <c r="B228">
        <v>299</v>
      </c>
      <c r="C228" t="s">
        <v>1201</v>
      </c>
      <c r="D228" t="s">
        <v>1202</v>
      </c>
      <c r="E228" t="s">
        <v>1204</v>
      </c>
      <c r="F228" t="s">
        <v>581</v>
      </c>
      <c r="G228" t="s">
        <v>150</v>
      </c>
      <c r="H228" t="s">
        <v>54</v>
      </c>
      <c r="I228" t="s">
        <v>1205</v>
      </c>
      <c r="J228" t="s">
        <v>56</v>
      </c>
      <c r="K228" t="s">
        <v>56</v>
      </c>
      <c r="L228" t="s">
        <v>39</v>
      </c>
      <c r="M228" t="s">
        <v>56</v>
      </c>
      <c r="N228" t="s">
        <v>37</v>
      </c>
      <c r="O228" t="s">
        <v>39</v>
      </c>
      <c r="P228" t="s">
        <v>38</v>
      </c>
      <c r="Q228" t="s">
        <v>38</v>
      </c>
      <c r="R228" t="s">
        <v>39</v>
      </c>
      <c r="S228" t="s">
        <v>1206</v>
      </c>
      <c r="T228" t="s">
        <v>252</v>
      </c>
      <c r="U228" t="s">
        <v>59</v>
      </c>
      <c r="V228" t="s">
        <v>44</v>
      </c>
      <c r="W228" t="s">
        <v>60</v>
      </c>
      <c r="X228" t="s">
        <v>46</v>
      </c>
      <c r="Z228" t="s">
        <v>41</v>
      </c>
      <c r="AC228">
        <f>COUNTIF(C:C,QLKV_gui_ket_qua_ra_soat[[#This Row],[Mã điểm bán]])</f>
        <v>1</v>
      </c>
    </row>
    <row r="229" spans="1:29" x14ac:dyDescent="0.45">
      <c r="A229" t="s">
        <v>10783</v>
      </c>
      <c r="B229">
        <v>300</v>
      </c>
      <c r="C229" t="s">
        <v>1207</v>
      </c>
      <c r="D229" t="s">
        <v>1208</v>
      </c>
      <c r="E229" t="s">
        <v>97</v>
      </c>
      <c r="F229" t="s">
        <v>166</v>
      </c>
      <c r="G229" t="s">
        <v>34</v>
      </c>
      <c r="H229" t="s">
        <v>697</v>
      </c>
      <c r="I229" t="s">
        <v>1209</v>
      </c>
      <c r="J229" t="s">
        <v>38</v>
      </c>
      <c r="K229" t="s">
        <v>38</v>
      </c>
      <c r="L229" t="s">
        <v>40</v>
      </c>
      <c r="M229" t="s">
        <v>38</v>
      </c>
      <c r="N229" t="s">
        <v>38</v>
      </c>
      <c r="O229" t="s">
        <v>40</v>
      </c>
      <c r="P229" t="s">
        <v>38</v>
      </c>
      <c r="Q229" t="s">
        <v>38</v>
      </c>
      <c r="R229" t="s">
        <v>40</v>
      </c>
      <c r="S229" t="s">
        <v>41</v>
      </c>
      <c r="T229" t="s">
        <v>58</v>
      </c>
      <c r="U229" t="s">
        <v>59</v>
      </c>
      <c r="V229" t="s">
        <v>44</v>
      </c>
      <c r="W229" t="s">
        <v>60</v>
      </c>
      <c r="X229" t="s">
        <v>41</v>
      </c>
      <c r="Z229" t="s">
        <v>46</v>
      </c>
      <c r="AA229" t="s">
        <v>327</v>
      </c>
      <c r="AB229" t="s">
        <v>238</v>
      </c>
      <c r="AC229">
        <f>COUNTIF(C:C,QLKV_gui_ket_qua_ra_soat[[#This Row],[Mã điểm bán]])</f>
        <v>1</v>
      </c>
    </row>
    <row r="230" spans="1:29" x14ac:dyDescent="0.45">
      <c r="A230" t="s">
        <v>10783</v>
      </c>
      <c r="B230">
        <v>301</v>
      </c>
      <c r="C230" t="s">
        <v>1210</v>
      </c>
      <c r="D230" t="s">
        <v>1211</v>
      </c>
      <c r="E230" t="s">
        <v>108</v>
      </c>
      <c r="F230" t="s">
        <v>53</v>
      </c>
      <c r="G230" t="s">
        <v>34</v>
      </c>
      <c r="H230" t="s">
        <v>54</v>
      </c>
      <c r="I230" t="s">
        <v>1212</v>
      </c>
      <c r="J230" t="s">
        <v>38</v>
      </c>
      <c r="K230" t="s">
        <v>38</v>
      </c>
      <c r="L230" t="s">
        <v>40</v>
      </c>
      <c r="M230" t="s">
        <v>38</v>
      </c>
      <c r="N230" t="s">
        <v>38</v>
      </c>
      <c r="O230" t="s">
        <v>40</v>
      </c>
      <c r="P230" t="s">
        <v>38</v>
      </c>
      <c r="Q230" t="s">
        <v>38</v>
      </c>
      <c r="R230" t="s">
        <v>40</v>
      </c>
      <c r="S230" t="s">
        <v>41</v>
      </c>
      <c r="T230" t="s">
        <v>58</v>
      </c>
      <c r="U230" t="s">
        <v>59</v>
      </c>
      <c r="V230" t="s">
        <v>44</v>
      </c>
      <c r="W230" t="s">
        <v>60</v>
      </c>
      <c r="X230" t="s">
        <v>41</v>
      </c>
      <c r="Z230" t="s">
        <v>46</v>
      </c>
      <c r="AA230" t="s">
        <v>327</v>
      </c>
      <c r="AB230" t="s">
        <v>238</v>
      </c>
      <c r="AC230">
        <f>COUNTIF(C:C,QLKV_gui_ket_qua_ra_soat[[#This Row],[Mã điểm bán]])</f>
        <v>1</v>
      </c>
    </row>
    <row r="231" spans="1:29" x14ac:dyDescent="0.45">
      <c r="A231" t="s">
        <v>10783</v>
      </c>
      <c r="B231">
        <v>302</v>
      </c>
      <c r="C231" t="s">
        <v>1218</v>
      </c>
      <c r="D231" t="s">
        <v>1219</v>
      </c>
      <c r="E231" t="s">
        <v>323</v>
      </c>
      <c r="F231" t="s">
        <v>417</v>
      </c>
      <c r="G231" t="s">
        <v>34</v>
      </c>
      <c r="H231" t="s">
        <v>546</v>
      </c>
      <c r="I231" t="s">
        <v>1220</v>
      </c>
      <c r="J231" t="s">
        <v>38</v>
      </c>
      <c r="K231" t="s">
        <v>38</v>
      </c>
      <c r="L231" t="s">
        <v>39</v>
      </c>
      <c r="M231" t="s">
        <v>38</v>
      </c>
      <c r="N231" t="s">
        <v>38</v>
      </c>
      <c r="O231" t="s">
        <v>39</v>
      </c>
      <c r="P231" t="s">
        <v>38</v>
      </c>
      <c r="Q231" t="s">
        <v>38</v>
      </c>
      <c r="R231" t="s">
        <v>39</v>
      </c>
      <c r="S231" t="s">
        <v>1221</v>
      </c>
      <c r="T231" t="s">
        <v>367</v>
      </c>
      <c r="U231" t="s">
        <v>59</v>
      </c>
      <c r="V231" t="s">
        <v>44</v>
      </c>
      <c r="W231" t="s">
        <v>154</v>
      </c>
      <c r="X231" t="s">
        <v>41</v>
      </c>
      <c r="Z231" t="s">
        <v>46</v>
      </c>
      <c r="AA231" t="s">
        <v>327</v>
      </c>
      <c r="AB231" t="s">
        <v>238</v>
      </c>
      <c r="AC231">
        <f>COUNTIF(C:C,QLKV_gui_ket_qua_ra_soat[[#This Row],[Mã điểm bán]])</f>
        <v>1</v>
      </c>
    </row>
    <row r="232" spans="1:29" x14ac:dyDescent="0.45">
      <c r="A232" t="s">
        <v>10783</v>
      </c>
      <c r="B232">
        <v>303</v>
      </c>
      <c r="C232" t="s">
        <v>1237</v>
      </c>
      <c r="D232" t="s">
        <v>1238</v>
      </c>
      <c r="E232" t="s">
        <v>857</v>
      </c>
      <c r="F232" t="s">
        <v>53</v>
      </c>
      <c r="G232" t="s">
        <v>34</v>
      </c>
      <c r="H232" t="s">
        <v>620</v>
      </c>
      <c r="I232" t="s">
        <v>1239</v>
      </c>
      <c r="J232" t="s">
        <v>38</v>
      </c>
      <c r="K232" t="s">
        <v>38</v>
      </c>
      <c r="L232" t="s">
        <v>40</v>
      </c>
      <c r="M232" t="s">
        <v>38</v>
      </c>
      <c r="N232" t="s">
        <v>38</v>
      </c>
      <c r="O232" t="s">
        <v>40</v>
      </c>
      <c r="P232" t="s">
        <v>38</v>
      </c>
      <c r="Q232" t="s">
        <v>38</v>
      </c>
      <c r="R232" t="s">
        <v>40</v>
      </c>
      <c r="S232" t="s">
        <v>41</v>
      </c>
      <c r="T232" t="s">
        <v>367</v>
      </c>
      <c r="U232" t="s">
        <v>59</v>
      </c>
      <c r="V232" t="s">
        <v>44</v>
      </c>
      <c r="W232" t="s">
        <v>154</v>
      </c>
      <c r="X232" t="s">
        <v>41</v>
      </c>
      <c r="Z232" t="s">
        <v>46</v>
      </c>
      <c r="AA232" t="s">
        <v>327</v>
      </c>
      <c r="AB232" t="s">
        <v>238</v>
      </c>
      <c r="AC232">
        <f>COUNTIF(C:C,QLKV_gui_ket_qua_ra_soat[[#This Row],[Mã điểm bán]])</f>
        <v>1</v>
      </c>
    </row>
    <row r="233" spans="1:29" x14ac:dyDescent="0.45">
      <c r="A233" t="s">
        <v>10783</v>
      </c>
      <c r="B233">
        <v>304</v>
      </c>
      <c r="C233" t="s">
        <v>1249</v>
      </c>
      <c r="D233" t="s">
        <v>1250</v>
      </c>
      <c r="E233" t="s">
        <v>407</v>
      </c>
      <c r="F233" t="s">
        <v>53</v>
      </c>
      <c r="G233" t="s">
        <v>34</v>
      </c>
      <c r="H233" t="s">
        <v>54</v>
      </c>
      <c r="I233" t="s">
        <v>1251</v>
      </c>
      <c r="J233" t="s">
        <v>56</v>
      </c>
      <c r="K233" t="s">
        <v>775</v>
      </c>
      <c r="L233" t="s">
        <v>39</v>
      </c>
      <c r="M233" t="s">
        <v>37</v>
      </c>
      <c r="N233" t="s">
        <v>37</v>
      </c>
      <c r="O233" t="s">
        <v>39</v>
      </c>
      <c r="P233" t="s">
        <v>38</v>
      </c>
      <c r="Q233" t="s">
        <v>38</v>
      </c>
      <c r="R233" t="s">
        <v>39</v>
      </c>
      <c r="S233" t="s">
        <v>1252</v>
      </c>
      <c r="T233" t="s">
        <v>252</v>
      </c>
      <c r="U233" t="s">
        <v>59</v>
      </c>
      <c r="V233" t="s">
        <v>44</v>
      </c>
      <c r="W233" t="s">
        <v>60</v>
      </c>
      <c r="X233" t="s">
        <v>46</v>
      </c>
      <c r="Z233" t="s">
        <v>41</v>
      </c>
      <c r="AC233">
        <f>COUNTIF(C:C,QLKV_gui_ket_qua_ra_soat[[#This Row],[Mã điểm bán]])</f>
        <v>1</v>
      </c>
    </row>
    <row r="234" spans="1:29" x14ac:dyDescent="0.45">
      <c r="A234" t="s">
        <v>10783</v>
      </c>
      <c r="B234">
        <v>305</v>
      </c>
      <c r="C234" t="s">
        <v>1253</v>
      </c>
      <c r="D234" t="s">
        <v>1254</v>
      </c>
      <c r="E234" t="s">
        <v>114</v>
      </c>
      <c r="F234" t="s">
        <v>417</v>
      </c>
      <c r="G234" t="s">
        <v>34</v>
      </c>
      <c r="H234" t="s">
        <v>54</v>
      </c>
      <c r="I234" t="s">
        <v>1255</v>
      </c>
      <c r="J234" t="s">
        <v>38</v>
      </c>
      <c r="K234" t="s">
        <v>38</v>
      </c>
      <c r="L234" t="s">
        <v>39</v>
      </c>
      <c r="M234" t="s">
        <v>38</v>
      </c>
      <c r="N234" t="s">
        <v>38</v>
      </c>
      <c r="O234" t="s">
        <v>39</v>
      </c>
      <c r="P234" t="s">
        <v>38</v>
      </c>
      <c r="Q234" t="s">
        <v>38</v>
      </c>
      <c r="R234" t="s">
        <v>39</v>
      </c>
      <c r="S234" t="s">
        <v>41</v>
      </c>
      <c r="T234" t="s">
        <v>367</v>
      </c>
      <c r="U234" t="s">
        <v>59</v>
      </c>
      <c r="V234" t="s">
        <v>44</v>
      </c>
      <c r="W234" t="s">
        <v>154</v>
      </c>
      <c r="X234" t="s">
        <v>46</v>
      </c>
      <c r="Z234" t="s">
        <v>41</v>
      </c>
      <c r="AC234">
        <f>COUNTIF(C:C,QLKV_gui_ket_qua_ra_soat[[#This Row],[Mã điểm bán]])</f>
        <v>1</v>
      </c>
    </row>
    <row r="235" spans="1:29" x14ac:dyDescent="0.45">
      <c r="A235" t="s">
        <v>10783</v>
      </c>
      <c r="B235">
        <v>306</v>
      </c>
      <c r="C235" t="s">
        <v>1265</v>
      </c>
      <c r="D235" t="s">
        <v>1266</v>
      </c>
      <c r="E235" t="s">
        <v>1267</v>
      </c>
      <c r="F235" t="s">
        <v>53</v>
      </c>
      <c r="G235" t="s">
        <v>34</v>
      </c>
      <c r="H235" t="s">
        <v>54</v>
      </c>
      <c r="I235" t="s">
        <v>1268</v>
      </c>
      <c r="J235" t="s">
        <v>56</v>
      </c>
      <c r="K235" t="s">
        <v>775</v>
      </c>
      <c r="L235" t="s">
        <v>39</v>
      </c>
      <c r="M235" t="s">
        <v>37</v>
      </c>
      <c r="N235" t="s">
        <v>56</v>
      </c>
      <c r="O235" t="s">
        <v>39</v>
      </c>
      <c r="P235" t="s">
        <v>38</v>
      </c>
      <c r="Q235" t="s">
        <v>38</v>
      </c>
      <c r="R235" t="s">
        <v>39</v>
      </c>
      <c r="S235" t="s">
        <v>1269</v>
      </c>
      <c r="T235" t="s">
        <v>252</v>
      </c>
      <c r="U235" t="s">
        <v>59</v>
      </c>
      <c r="V235" t="s">
        <v>44</v>
      </c>
      <c r="W235" t="s">
        <v>60</v>
      </c>
      <c r="X235" t="s">
        <v>41</v>
      </c>
      <c r="Z235" t="s">
        <v>46</v>
      </c>
      <c r="AA235" t="s">
        <v>327</v>
      </c>
      <c r="AB235" t="s">
        <v>238</v>
      </c>
      <c r="AC235">
        <f>COUNTIF(C:C,QLKV_gui_ket_qua_ra_soat[[#This Row],[Mã điểm bán]])</f>
        <v>1</v>
      </c>
    </row>
    <row r="236" spans="1:29" x14ac:dyDescent="0.45">
      <c r="A236" t="s">
        <v>10783</v>
      </c>
      <c r="B236">
        <v>307</v>
      </c>
      <c r="C236" t="s">
        <v>1276</v>
      </c>
      <c r="D236" t="s">
        <v>1277</v>
      </c>
      <c r="E236" t="s">
        <v>1278</v>
      </c>
      <c r="F236" t="s">
        <v>1279</v>
      </c>
      <c r="G236" t="s">
        <v>34</v>
      </c>
      <c r="H236" t="s">
        <v>1280</v>
      </c>
      <c r="I236" t="s">
        <v>1281</v>
      </c>
      <c r="J236" t="s">
        <v>38</v>
      </c>
      <c r="K236" t="s">
        <v>38</v>
      </c>
      <c r="L236" t="s">
        <v>40</v>
      </c>
      <c r="M236" t="s">
        <v>38</v>
      </c>
      <c r="N236" t="s">
        <v>38</v>
      </c>
      <c r="O236" t="s">
        <v>40</v>
      </c>
      <c r="P236" t="s">
        <v>38</v>
      </c>
      <c r="Q236" t="s">
        <v>38</v>
      </c>
      <c r="R236" t="s">
        <v>40</v>
      </c>
      <c r="S236" t="s">
        <v>1282</v>
      </c>
      <c r="T236" t="s">
        <v>58</v>
      </c>
      <c r="U236" t="s">
        <v>59</v>
      </c>
      <c r="V236" t="s">
        <v>44</v>
      </c>
      <c r="W236" t="s">
        <v>60</v>
      </c>
      <c r="X236" t="s">
        <v>41</v>
      </c>
      <c r="Z236" t="s">
        <v>46</v>
      </c>
      <c r="AA236" t="s">
        <v>327</v>
      </c>
      <c r="AB236" t="s">
        <v>238</v>
      </c>
      <c r="AC236">
        <f>COUNTIF(C:C,QLKV_gui_ket_qua_ra_soat[[#This Row],[Mã điểm bán]])</f>
        <v>1</v>
      </c>
    </row>
    <row r="237" spans="1:29" x14ac:dyDescent="0.45">
      <c r="A237" t="s">
        <v>10783</v>
      </c>
      <c r="B237">
        <v>308</v>
      </c>
      <c r="C237" t="s">
        <v>1285</v>
      </c>
      <c r="D237" t="s">
        <v>1286</v>
      </c>
      <c r="E237" t="s">
        <v>170</v>
      </c>
      <c r="F237" t="s">
        <v>53</v>
      </c>
      <c r="G237" t="s">
        <v>34</v>
      </c>
      <c r="H237" t="s">
        <v>54</v>
      </c>
      <c r="I237" t="s">
        <v>1287</v>
      </c>
      <c r="J237" t="s">
        <v>56</v>
      </c>
      <c r="K237" t="s">
        <v>775</v>
      </c>
      <c r="L237" t="s">
        <v>121</v>
      </c>
      <c r="M237" t="s">
        <v>38</v>
      </c>
      <c r="N237" t="s">
        <v>38</v>
      </c>
      <c r="O237" t="s">
        <v>40</v>
      </c>
      <c r="P237" t="s">
        <v>38</v>
      </c>
      <c r="Q237" t="s">
        <v>38</v>
      </c>
      <c r="R237" t="s">
        <v>40</v>
      </c>
      <c r="S237" t="s">
        <v>1288</v>
      </c>
      <c r="T237" t="s">
        <v>252</v>
      </c>
      <c r="U237" t="s">
        <v>59</v>
      </c>
      <c r="V237" t="s">
        <v>44</v>
      </c>
      <c r="W237" t="s">
        <v>60</v>
      </c>
      <c r="X237" t="s">
        <v>41</v>
      </c>
      <c r="Z237" t="s">
        <v>46</v>
      </c>
      <c r="AA237" t="s">
        <v>327</v>
      </c>
      <c r="AB237" t="s">
        <v>238</v>
      </c>
      <c r="AC237">
        <f>COUNTIF(C:C,QLKV_gui_ket_qua_ra_soat[[#This Row],[Mã điểm bán]])</f>
        <v>1</v>
      </c>
    </row>
    <row r="238" spans="1:29" x14ac:dyDescent="0.45">
      <c r="A238" t="s">
        <v>10783</v>
      </c>
      <c r="B238">
        <v>309</v>
      </c>
      <c r="C238" t="s">
        <v>1317</v>
      </c>
      <c r="D238" t="s">
        <v>1318</v>
      </c>
      <c r="E238" t="s">
        <v>162</v>
      </c>
      <c r="F238" t="s">
        <v>70</v>
      </c>
      <c r="G238" t="s">
        <v>34</v>
      </c>
      <c r="H238" t="s">
        <v>1320</v>
      </c>
      <c r="I238" t="s">
        <v>1321</v>
      </c>
      <c r="J238" t="s">
        <v>56</v>
      </c>
      <c r="K238" t="s">
        <v>56</v>
      </c>
      <c r="L238" t="s">
        <v>39</v>
      </c>
      <c r="M238" t="s">
        <v>37</v>
      </c>
      <c r="N238" t="s">
        <v>37</v>
      </c>
      <c r="O238" t="s">
        <v>39</v>
      </c>
      <c r="P238" t="s">
        <v>38</v>
      </c>
      <c r="Q238" t="s">
        <v>38</v>
      </c>
      <c r="R238" t="s">
        <v>39</v>
      </c>
      <c r="S238" t="s">
        <v>1322</v>
      </c>
      <c r="T238" t="s">
        <v>252</v>
      </c>
      <c r="U238" t="s">
        <v>59</v>
      </c>
      <c r="V238" t="s">
        <v>44</v>
      </c>
      <c r="W238" t="s">
        <v>60</v>
      </c>
      <c r="X238" t="s">
        <v>41</v>
      </c>
      <c r="Z238" t="s">
        <v>46</v>
      </c>
      <c r="AA238" t="s">
        <v>327</v>
      </c>
      <c r="AB238" t="s">
        <v>238</v>
      </c>
      <c r="AC238">
        <f>COUNTIF(C:C,QLKV_gui_ket_qua_ra_soat[[#This Row],[Mã điểm bán]])</f>
        <v>1</v>
      </c>
    </row>
    <row r="239" spans="1:29" x14ac:dyDescent="0.45">
      <c r="A239" t="s">
        <v>10783</v>
      </c>
      <c r="B239">
        <v>310</v>
      </c>
      <c r="C239" t="s">
        <v>1326</v>
      </c>
      <c r="D239" t="s">
        <v>1327</v>
      </c>
      <c r="E239" t="s">
        <v>297</v>
      </c>
      <c r="F239" t="s">
        <v>401</v>
      </c>
      <c r="G239" t="s">
        <v>34</v>
      </c>
      <c r="H239" t="s">
        <v>473</v>
      </c>
      <c r="I239" t="s">
        <v>1328</v>
      </c>
      <c r="J239" t="s">
        <v>56</v>
      </c>
      <c r="K239" t="s">
        <v>775</v>
      </c>
      <c r="L239" t="s">
        <v>39</v>
      </c>
      <c r="M239" t="s">
        <v>37</v>
      </c>
      <c r="N239" t="s">
        <v>37</v>
      </c>
      <c r="O239" t="s">
        <v>39</v>
      </c>
      <c r="P239" t="s">
        <v>38</v>
      </c>
      <c r="Q239" t="s">
        <v>38</v>
      </c>
      <c r="R239" t="s">
        <v>39</v>
      </c>
      <c r="S239" t="s">
        <v>1329</v>
      </c>
      <c r="T239" t="s">
        <v>252</v>
      </c>
      <c r="U239" t="s">
        <v>59</v>
      </c>
      <c r="V239" t="s">
        <v>44</v>
      </c>
      <c r="W239" t="s">
        <v>60</v>
      </c>
      <c r="X239" t="s">
        <v>41</v>
      </c>
      <c r="Z239" t="s">
        <v>46</v>
      </c>
      <c r="AA239" t="s">
        <v>327</v>
      </c>
      <c r="AB239" t="s">
        <v>238</v>
      </c>
      <c r="AC239">
        <f>COUNTIF(C:C,QLKV_gui_ket_qua_ra_soat[[#This Row],[Mã điểm bán]])</f>
        <v>1</v>
      </c>
    </row>
    <row r="240" spans="1:29" x14ac:dyDescent="0.45">
      <c r="A240" t="s">
        <v>10783</v>
      </c>
      <c r="B240">
        <v>311</v>
      </c>
      <c r="C240" t="s">
        <v>1330</v>
      </c>
      <c r="D240" t="s">
        <v>1331</v>
      </c>
      <c r="E240" t="s">
        <v>69</v>
      </c>
      <c r="F240" t="s">
        <v>53</v>
      </c>
      <c r="G240" t="s">
        <v>34</v>
      </c>
      <c r="H240" t="s">
        <v>54</v>
      </c>
      <c r="I240" t="s">
        <v>1251</v>
      </c>
      <c r="J240" t="s">
        <v>775</v>
      </c>
      <c r="K240" t="s">
        <v>56</v>
      </c>
      <c r="L240" t="s">
        <v>39</v>
      </c>
      <c r="M240" t="s">
        <v>37</v>
      </c>
      <c r="N240" t="s">
        <v>37</v>
      </c>
      <c r="O240" t="s">
        <v>39</v>
      </c>
      <c r="P240" t="s">
        <v>38</v>
      </c>
      <c r="Q240" t="s">
        <v>56</v>
      </c>
      <c r="R240" t="s">
        <v>39</v>
      </c>
      <c r="S240" t="s">
        <v>1332</v>
      </c>
      <c r="T240" t="s">
        <v>252</v>
      </c>
      <c r="U240" t="s">
        <v>59</v>
      </c>
      <c r="V240" t="s">
        <v>44</v>
      </c>
      <c r="W240" t="s">
        <v>60</v>
      </c>
      <c r="X240" t="s">
        <v>46</v>
      </c>
      <c r="Z240" t="s">
        <v>41</v>
      </c>
      <c r="AC240">
        <f>COUNTIF(C:C,QLKV_gui_ket_qua_ra_soat[[#This Row],[Mã điểm bán]])</f>
        <v>1</v>
      </c>
    </row>
    <row r="241" spans="1:29" x14ac:dyDescent="0.45">
      <c r="A241" t="s">
        <v>10783</v>
      </c>
      <c r="B241">
        <v>312</v>
      </c>
      <c r="C241" t="s">
        <v>1343</v>
      </c>
      <c r="D241" t="s">
        <v>1344</v>
      </c>
      <c r="E241" t="s">
        <v>1104</v>
      </c>
      <c r="F241" t="s">
        <v>53</v>
      </c>
      <c r="G241" t="s">
        <v>34</v>
      </c>
      <c r="H241" t="s">
        <v>685</v>
      </c>
      <c r="I241" t="s">
        <v>1345</v>
      </c>
      <c r="J241" t="s">
        <v>38</v>
      </c>
      <c r="K241" t="s">
        <v>38</v>
      </c>
      <c r="L241" t="s">
        <v>39</v>
      </c>
      <c r="M241" t="s">
        <v>38</v>
      </c>
      <c r="N241" t="s">
        <v>38</v>
      </c>
      <c r="O241" t="s">
        <v>39</v>
      </c>
      <c r="P241" t="s">
        <v>38</v>
      </c>
      <c r="Q241" t="s">
        <v>38</v>
      </c>
      <c r="R241" t="s">
        <v>40</v>
      </c>
      <c r="S241" t="s">
        <v>41</v>
      </c>
      <c r="T241" t="s">
        <v>367</v>
      </c>
      <c r="U241" t="s">
        <v>59</v>
      </c>
      <c r="V241" t="s">
        <v>44</v>
      </c>
      <c r="W241" t="s">
        <v>154</v>
      </c>
      <c r="X241" t="s">
        <v>41</v>
      </c>
      <c r="Z241" t="s">
        <v>46</v>
      </c>
      <c r="AA241" t="s">
        <v>327</v>
      </c>
      <c r="AB241" t="s">
        <v>238</v>
      </c>
      <c r="AC241">
        <f>COUNTIF(C:C,QLKV_gui_ket_qua_ra_soat[[#This Row],[Mã điểm bán]])</f>
        <v>1</v>
      </c>
    </row>
    <row r="242" spans="1:29" x14ac:dyDescent="0.45">
      <c r="A242" t="s">
        <v>10783</v>
      </c>
      <c r="B242">
        <v>313</v>
      </c>
      <c r="C242" t="s">
        <v>1346</v>
      </c>
      <c r="D242" t="s">
        <v>1347</v>
      </c>
      <c r="E242" t="s">
        <v>108</v>
      </c>
      <c r="F242" t="s">
        <v>53</v>
      </c>
      <c r="G242" t="s">
        <v>34</v>
      </c>
      <c r="H242" t="s">
        <v>100</v>
      </c>
      <c r="I242" t="s">
        <v>1348</v>
      </c>
      <c r="J242" t="s">
        <v>38</v>
      </c>
      <c r="K242" t="s">
        <v>38</v>
      </c>
      <c r="L242" t="s">
        <v>39</v>
      </c>
      <c r="M242" t="s">
        <v>38</v>
      </c>
      <c r="N242" t="s">
        <v>38</v>
      </c>
      <c r="O242" t="s">
        <v>40</v>
      </c>
      <c r="P242" t="s">
        <v>38</v>
      </c>
      <c r="Q242" t="s">
        <v>38</v>
      </c>
      <c r="R242" t="s">
        <v>40</v>
      </c>
      <c r="S242" t="s">
        <v>1349</v>
      </c>
      <c r="T242" t="s">
        <v>367</v>
      </c>
      <c r="U242" t="s">
        <v>59</v>
      </c>
      <c r="V242" t="s">
        <v>44</v>
      </c>
      <c r="W242" t="s">
        <v>154</v>
      </c>
      <c r="X242" t="s">
        <v>46</v>
      </c>
      <c r="Z242" t="s">
        <v>41</v>
      </c>
      <c r="AC242">
        <f>COUNTIF(C:C,QLKV_gui_ket_qua_ra_soat[[#This Row],[Mã điểm bán]])</f>
        <v>1</v>
      </c>
    </row>
    <row r="243" spans="1:29" x14ac:dyDescent="0.45">
      <c r="A243" t="s">
        <v>10783</v>
      </c>
      <c r="B243">
        <v>314</v>
      </c>
      <c r="C243" t="s">
        <v>1358</v>
      </c>
      <c r="D243" t="s">
        <v>1359</v>
      </c>
      <c r="E243" t="s">
        <v>32</v>
      </c>
      <c r="F243" t="s">
        <v>426</v>
      </c>
      <c r="G243" t="s">
        <v>34</v>
      </c>
      <c r="H243" t="s">
        <v>546</v>
      </c>
      <c r="I243" t="s">
        <v>1361</v>
      </c>
      <c r="J243" t="s">
        <v>56</v>
      </c>
      <c r="K243" t="s">
        <v>775</v>
      </c>
      <c r="L243" t="s">
        <v>39</v>
      </c>
      <c r="M243" t="s">
        <v>37</v>
      </c>
      <c r="N243" t="s">
        <v>37</v>
      </c>
      <c r="O243" t="s">
        <v>39</v>
      </c>
      <c r="P243" t="s">
        <v>38</v>
      </c>
      <c r="Q243" t="s">
        <v>38</v>
      </c>
      <c r="R243" t="s">
        <v>39</v>
      </c>
      <c r="S243" t="s">
        <v>1362</v>
      </c>
      <c r="T243" t="s">
        <v>252</v>
      </c>
      <c r="U243" t="s">
        <v>59</v>
      </c>
      <c r="V243" t="s">
        <v>44</v>
      </c>
      <c r="W243" t="s">
        <v>60</v>
      </c>
      <c r="X243" t="s">
        <v>41</v>
      </c>
      <c r="Z243" t="s">
        <v>46</v>
      </c>
      <c r="AA243" t="s">
        <v>327</v>
      </c>
      <c r="AB243" t="s">
        <v>238</v>
      </c>
      <c r="AC243">
        <f>COUNTIF(C:C,QLKV_gui_ket_qua_ra_soat[[#This Row],[Mã điểm bán]])</f>
        <v>1</v>
      </c>
    </row>
    <row r="244" spans="1:29" x14ac:dyDescent="0.45">
      <c r="A244" t="s">
        <v>10783</v>
      </c>
      <c r="B244">
        <v>315</v>
      </c>
      <c r="C244" t="s">
        <v>1376</v>
      </c>
      <c r="D244" t="s">
        <v>1377</v>
      </c>
      <c r="E244" t="s">
        <v>91</v>
      </c>
      <c r="F244" t="s">
        <v>53</v>
      </c>
      <c r="G244" t="s">
        <v>34</v>
      </c>
      <c r="H244" t="s">
        <v>54</v>
      </c>
      <c r="I244" t="s">
        <v>231</v>
      </c>
      <c r="J244" t="s">
        <v>56</v>
      </c>
      <c r="K244" t="s">
        <v>1034</v>
      </c>
      <c r="L244" t="s">
        <v>39</v>
      </c>
      <c r="M244" t="s">
        <v>38</v>
      </c>
      <c r="N244" t="s">
        <v>1034</v>
      </c>
      <c r="O244" t="s">
        <v>39</v>
      </c>
      <c r="P244" t="s">
        <v>38</v>
      </c>
      <c r="Q244" t="s">
        <v>38</v>
      </c>
      <c r="R244" t="s">
        <v>40</v>
      </c>
      <c r="S244" t="s">
        <v>1378</v>
      </c>
      <c r="T244" t="s">
        <v>153</v>
      </c>
      <c r="U244" t="s">
        <v>59</v>
      </c>
      <c r="V244" t="s">
        <v>44</v>
      </c>
      <c r="W244" t="s">
        <v>154</v>
      </c>
      <c r="X244" t="s">
        <v>41</v>
      </c>
      <c r="Z244" t="s">
        <v>46</v>
      </c>
      <c r="AA244" t="s">
        <v>327</v>
      </c>
      <c r="AB244" t="s">
        <v>238</v>
      </c>
      <c r="AC244">
        <f>COUNTIF(C:C,QLKV_gui_ket_qua_ra_soat[[#This Row],[Mã điểm bán]])</f>
        <v>1</v>
      </c>
    </row>
    <row r="245" spans="1:29" x14ac:dyDescent="0.45">
      <c r="A245" t="s">
        <v>10783</v>
      </c>
      <c r="B245">
        <v>316</v>
      </c>
      <c r="C245" t="s">
        <v>1388</v>
      </c>
      <c r="D245" t="s">
        <v>1389</v>
      </c>
      <c r="E245" t="s">
        <v>176</v>
      </c>
      <c r="F245" t="s">
        <v>53</v>
      </c>
      <c r="G245" t="s">
        <v>34</v>
      </c>
      <c r="H245" t="s">
        <v>54</v>
      </c>
      <c r="I245" t="s">
        <v>1390</v>
      </c>
      <c r="J245" t="s">
        <v>38</v>
      </c>
      <c r="K245" t="s">
        <v>38</v>
      </c>
      <c r="L245" t="s">
        <v>39</v>
      </c>
      <c r="M245" t="s">
        <v>38</v>
      </c>
      <c r="N245" t="s">
        <v>38</v>
      </c>
      <c r="O245" t="s">
        <v>39</v>
      </c>
      <c r="P245" t="s">
        <v>38</v>
      </c>
      <c r="Q245" t="s">
        <v>38</v>
      </c>
      <c r="R245" t="s">
        <v>39</v>
      </c>
      <c r="S245" t="s">
        <v>41</v>
      </c>
      <c r="T245" t="s">
        <v>367</v>
      </c>
      <c r="U245" t="s">
        <v>59</v>
      </c>
      <c r="V245" t="s">
        <v>44</v>
      </c>
      <c r="W245" t="s">
        <v>154</v>
      </c>
      <c r="X245" t="s">
        <v>46</v>
      </c>
      <c r="Z245" t="s">
        <v>41</v>
      </c>
      <c r="AC245">
        <f>COUNTIF(C:C,QLKV_gui_ket_qua_ra_soat[[#This Row],[Mã điểm bán]])</f>
        <v>1</v>
      </c>
    </row>
    <row r="246" spans="1:29" x14ac:dyDescent="0.45">
      <c r="A246" t="s">
        <v>10783</v>
      </c>
      <c r="B246">
        <v>317</v>
      </c>
      <c r="C246" t="s">
        <v>1398</v>
      </c>
      <c r="D246" t="s">
        <v>1399</v>
      </c>
      <c r="E246" t="s">
        <v>1203</v>
      </c>
      <c r="F246" t="s">
        <v>417</v>
      </c>
      <c r="G246" t="s">
        <v>34</v>
      </c>
      <c r="H246" t="s">
        <v>54</v>
      </c>
      <c r="I246" t="s">
        <v>1400</v>
      </c>
      <c r="J246" t="s">
        <v>56</v>
      </c>
      <c r="K246" t="s">
        <v>56</v>
      </c>
      <c r="L246" t="s">
        <v>121</v>
      </c>
      <c r="M246" t="s">
        <v>37</v>
      </c>
      <c r="N246" t="s">
        <v>56</v>
      </c>
      <c r="O246" t="s">
        <v>39</v>
      </c>
      <c r="P246" t="s">
        <v>38</v>
      </c>
      <c r="Q246" t="s">
        <v>37</v>
      </c>
      <c r="R246" t="s">
        <v>39</v>
      </c>
      <c r="S246" t="s">
        <v>1401</v>
      </c>
      <c r="T246" t="s">
        <v>252</v>
      </c>
      <c r="U246" t="s">
        <v>59</v>
      </c>
      <c r="V246" t="s">
        <v>44</v>
      </c>
      <c r="W246" t="s">
        <v>60</v>
      </c>
      <c r="X246" t="s">
        <v>46</v>
      </c>
      <c r="Z246" t="s">
        <v>41</v>
      </c>
      <c r="AC246">
        <f>COUNTIF(C:C,QLKV_gui_ket_qua_ra_soat[[#This Row],[Mã điểm bán]])</f>
        <v>1</v>
      </c>
    </row>
    <row r="247" spans="1:29" x14ac:dyDescent="0.45">
      <c r="A247" t="s">
        <v>10783</v>
      </c>
      <c r="B247">
        <v>318</v>
      </c>
      <c r="C247" t="s">
        <v>1406</v>
      </c>
      <c r="D247" t="s">
        <v>1407</v>
      </c>
      <c r="E247" t="s">
        <v>108</v>
      </c>
      <c r="F247" t="s">
        <v>53</v>
      </c>
      <c r="G247" t="s">
        <v>34</v>
      </c>
      <c r="H247" t="s">
        <v>35</v>
      </c>
      <c r="I247" t="s">
        <v>1408</v>
      </c>
      <c r="J247" t="s">
        <v>38</v>
      </c>
      <c r="K247" t="s">
        <v>56</v>
      </c>
      <c r="L247" t="s">
        <v>39</v>
      </c>
      <c r="M247" t="s">
        <v>38</v>
      </c>
      <c r="N247" t="s">
        <v>38</v>
      </c>
      <c r="O247" t="s">
        <v>39</v>
      </c>
      <c r="P247" t="s">
        <v>38</v>
      </c>
      <c r="Q247" t="s">
        <v>38</v>
      </c>
      <c r="R247" t="s">
        <v>40</v>
      </c>
      <c r="S247" t="s">
        <v>1409</v>
      </c>
      <c r="T247" t="s">
        <v>367</v>
      </c>
      <c r="U247" t="s">
        <v>59</v>
      </c>
      <c r="V247" t="s">
        <v>44</v>
      </c>
      <c r="W247" t="s">
        <v>154</v>
      </c>
      <c r="X247" t="s">
        <v>41</v>
      </c>
      <c r="Z247" t="s">
        <v>46</v>
      </c>
      <c r="AA247" t="s">
        <v>327</v>
      </c>
      <c r="AB247" t="s">
        <v>238</v>
      </c>
      <c r="AC247">
        <f>COUNTIF(C:C,QLKV_gui_ket_qua_ra_soat[[#This Row],[Mã điểm bán]])</f>
        <v>1</v>
      </c>
    </row>
    <row r="248" spans="1:29" x14ac:dyDescent="0.45">
      <c r="A248" t="s">
        <v>10783</v>
      </c>
      <c r="B248">
        <v>319</v>
      </c>
      <c r="C248" t="s">
        <v>1410</v>
      </c>
      <c r="D248" t="s">
        <v>1411</v>
      </c>
      <c r="E248" t="s">
        <v>108</v>
      </c>
      <c r="F248" t="s">
        <v>53</v>
      </c>
      <c r="G248" t="s">
        <v>34</v>
      </c>
      <c r="H248" t="s">
        <v>54</v>
      </c>
      <c r="I248" t="s">
        <v>1412</v>
      </c>
      <c r="J248" t="s">
        <v>38</v>
      </c>
      <c r="K248" t="s">
        <v>38</v>
      </c>
      <c r="L248" t="s">
        <v>40</v>
      </c>
      <c r="M248" t="s">
        <v>38</v>
      </c>
      <c r="N248" t="s">
        <v>38</v>
      </c>
      <c r="O248" t="s">
        <v>39</v>
      </c>
      <c r="P248" t="s">
        <v>38</v>
      </c>
      <c r="Q248" t="s">
        <v>38</v>
      </c>
      <c r="R248" t="s">
        <v>40</v>
      </c>
      <c r="S248" t="s">
        <v>41</v>
      </c>
      <c r="T248" t="s">
        <v>58</v>
      </c>
      <c r="U248" t="s">
        <v>59</v>
      </c>
      <c r="V248" t="s">
        <v>44</v>
      </c>
      <c r="W248" t="s">
        <v>60</v>
      </c>
      <c r="X248" t="s">
        <v>41</v>
      </c>
      <c r="Z248" t="s">
        <v>46</v>
      </c>
      <c r="AA248" t="s">
        <v>327</v>
      </c>
      <c r="AB248" t="s">
        <v>238</v>
      </c>
      <c r="AC248">
        <f>COUNTIF(C:C,QLKV_gui_ket_qua_ra_soat[[#This Row],[Mã điểm bán]])</f>
        <v>1</v>
      </c>
    </row>
    <row r="249" spans="1:29" x14ac:dyDescent="0.45">
      <c r="A249" t="s">
        <v>10783</v>
      </c>
      <c r="B249">
        <v>320</v>
      </c>
      <c r="C249" t="s">
        <v>1413</v>
      </c>
      <c r="D249" t="s">
        <v>1414</v>
      </c>
      <c r="E249" t="s">
        <v>69</v>
      </c>
      <c r="F249" t="s">
        <v>53</v>
      </c>
      <c r="G249" t="s">
        <v>34</v>
      </c>
      <c r="H249" t="s">
        <v>35</v>
      </c>
      <c r="I249" t="s">
        <v>1415</v>
      </c>
      <c r="J249" t="s">
        <v>38</v>
      </c>
      <c r="K249" t="s">
        <v>38</v>
      </c>
      <c r="L249" t="s">
        <v>39</v>
      </c>
      <c r="M249" t="s">
        <v>38</v>
      </c>
      <c r="N249" t="s">
        <v>38</v>
      </c>
      <c r="O249" t="s">
        <v>39</v>
      </c>
      <c r="P249" t="s">
        <v>38</v>
      </c>
      <c r="Q249" t="s">
        <v>38</v>
      </c>
      <c r="R249" t="s">
        <v>40</v>
      </c>
      <c r="S249" t="s">
        <v>1416</v>
      </c>
      <c r="T249" t="s">
        <v>367</v>
      </c>
      <c r="U249" t="s">
        <v>59</v>
      </c>
      <c r="V249" t="s">
        <v>44</v>
      </c>
      <c r="W249" t="s">
        <v>154</v>
      </c>
      <c r="X249" t="s">
        <v>41</v>
      </c>
      <c r="Z249" t="s">
        <v>46</v>
      </c>
      <c r="AA249" t="s">
        <v>327</v>
      </c>
      <c r="AB249" t="s">
        <v>238</v>
      </c>
      <c r="AC249">
        <f>COUNTIF(C:C,QLKV_gui_ket_qua_ra_soat[[#This Row],[Mã điểm bán]])</f>
        <v>1</v>
      </c>
    </row>
    <row r="250" spans="1:29" x14ac:dyDescent="0.45">
      <c r="A250" t="s">
        <v>10783</v>
      </c>
      <c r="B250">
        <v>321</v>
      </c>
      <c r="C250" t="s">
        <v>1474</v>
      </c>
      <c r="D250" t="s">
        <v>1475</v>
      </c>
      <c r="E250" t="s">
        <v>376</v>
      </c>
      <c r="F250" t="s">
        <v>1476</v>
      </c>
      <c r="G250" t="s">
        <v>34</v>
      </c>
      <c r="H250" t="s">
        <v>685</v>
      </c>
      <c r="I250" t="s">
        <v>1477</v>
      </c>
      <c r="J250" t="s">
        <v>56</v>
      </c>
      <c r="K250" t="s">
        <v>38</v>
      </c>
      <c r="L250" t="s">
        <v>39</v>
      </c>
      <c r="M250" t="s">
        <v>56</v>
      </c>
      <c r="N250" t="s">
        <v>56</v>
      </c>
      <c r="O250" t="s">
        <v>39</v>
      </c>
      <c r="P250" t="s">
        <v>38</v>
      </c>
      <c r="Q250" t="s">
        <v>38</v>
      </c>
      <c r="R250" t="s">
        <v>40</v>
      </c>
      <c r="S250" t="s">
        <v>1478</v>
      </c>
      <c r="T250" t="s">
        <v>58</v>
      </c>
      <c r="U250" t="s">
        <v>59</v>
      </c>
      <c r="V250" t="s">
        <v>44</v>
      </c>
      <c r="W250" t="s">
        <v>60</v>
      </c>
      <c r="X250" t="s">
        <v>41</v>
      </c>
      <c r="Z250" t="s">
        <v>46</v>
      </c>
      <c r="AA250" t="s">
        <v>327</v>
      </c>
      <c r="AB250" t="s">
        <v>238</v>
      </c>
      <c r="AC250">
        <f>COUNTIF(C:C,QLKV_gui_ket_qua_ra_soat[[#This Row],[Mã điểm bán]])</f>
        <v>1</v>
      </c>
    </row>
    <row r="251" spans="1:29" x14ac:dyDescent="0.45">
      <c r="A251" t="s">
        <v>10783</v>
      </c>
      <c r="B251">
        <v>322</v>
      </c>
      <c r="C251" t="s">
        <v>1506</v>
      </c>
      <c r="D251" t="s">
        <v>1507</v>
      </c>
      <c r="E251" t="s">
        <v>206</v>
      </c>
      <c r="F251" t="s">
        <v>1509</v>
      </c>
      <c r="G251" t="s">
        <v>34</v>
      </c>
      <c r="H251" t="s">
        <v>685</v>
      </c>
      <c r="I251" t="s">
        <v>1510</v>
      </c>
      <c r="J251" t="s">
        <v>38</v>
      </c>
      <c r="K251" t="s">
        <v>38</v>
      </c>
      <c r="L251" t="s">
        <v>40</v>
      </c>
      <c r="M251" t="s">
        <v>38</v>
      </c>
      <c r="N251" t="s">
        <v>38</v>
      </c>
      <c r="O251" t="s">
        <v>40</v>
      </c>
      <c r="P251" t="s">
        <v>38</v>
      </c>
      <c r="Q251" t="s">
        <v>38</v>
      </c>
      <c r="R251" t="s">
        <v>40</v>
      </c>
      <c r="S251" t="s">
        <v>41</v>
      </c>
      <c r="T251" t="s">
        <v>153</v>
      </c>
      <c r="U251" t="s">
        <v>59</v>
      </c>
      <c r="V251" t="s">
        <v>44</v>
      </c>
      <c r="W251" t="s">
        <v>154</v>
      </c>
      <c r="X251" t="s">
        <v>41</v>
      </c>
      <c r="Z251" t="s">
        <v>46</v>
      </c>
      <c r="AA251" t="s">
        <v>327</v>
      </c>
      <c r="AB251" t="s">
        <v>238</v>
      </c>
      <c r="AC251">
        <f>COUNTIF(C:C,QLKV_gui_ket_qua_ra_soat[[#This Row],[Mã điểm bán]])</f>
        <v>1</v>
      </c>
    </row>
    <row r="252" spans="1:29" x14ac:dyDescent="0.45">
      <c r="A252" t="s">
        <v>10783</v>
      </c>
      <c r="B252">
        <v>323</v>
      </c>
      <c r="C252" t="s">
        <v>1526</v>
      </c>
      <c r="D252" t="s">
        <v>1527</v>
      </c>
      <c r="E252" t="s">
        <v>176</v>
      </c>
      <c r="F252" t="s">
        <v>53</v>
      </c>
      <c r="G252" t="s">
        <v>34</v>
      </c>
      <c r="H252" t="s">
        <v>54</v>
      </c>
      <c r="I252" t="s">
        <v>1528</v>
      </c>
      <c r="J252" t="s">
        <v>38</v>
      </c>
      <c r="K252" t="s">
        <v>38</v>
      </c>
      <c r="L252" t="s">
        <v>40</v>
      </c>
      <c r="M252" t="s">
        <v>38</v>
      </c>
      <c r="N252" t="s">
        <v>38</v>
      </c>
      <c r="O252" t="s">
        <v>40</v>
      </c>
      <c r="P252" t="s">
        <v>38</v>
      </c>
      <c r="Q252" t="s">
        <v>38</v>
      </c>
      <c r="R252" t="s">
        <v>40</v>
      </c>
      <c r="S252" t="s">
        <v>41</v>
      </c>
      <c r="T252" t="s">
        <v>58</v>
      </c>
      <c r="U252" t="s">
        <v>59</v>
      </c>
      <c r="V252" t="s">
        <v>44</v>
      </c>
      <c r="W252" t="s">
        <v>60</v>
      </c>
      <c r="X252" t="s">
        <v>41</v>
      </c>
      <c r="Z252" t="s">
        <v>46</v>
      </c>
      <c r="AA252" t="s">
        <v>327</v>
      </c>
      <c r="AB252" t="s">
        <v>238</v>
      </c>
      <c r="AC252">
        <f>COUNTIF(C:C,QLKV_gui_ket_qua_ra_soat[[#This Row],[Mã điểm bán]])</f>
        <v>1</v>
      </c>
    </row>
    <row r="253" spans="1:29" x14ac:dyDescent="0.45">
      <c r="A253" t="s">
        <v>10783</v>
      </c>
      <c r="B253">
        <v>324</v>
      </c>
      <c r="C253" t="s">
        <v>1532</v>
      </c>
      <c r="D253" t="s">
        <v>1533</v>
      </c>
      <c r="E253" t="s">
        <v>113</v>
      </c>
      <c r="F253" t="s">
        <v>53</v>
      </c>
      <c r="G253" t="s">
        <v>34</v>
      </c>
      <c r="H253" t="s">
        <v>54</v>
      </c>
      <c r="I253" t="s">
        <v>1534</v>
      </c>
      <c r="J253" t="s">
        <v>56</v>
      </c>
      <c r="K253" t="s">
        <v>56</v>
      </c>
      <c r="L253" t="s">
        <v>121</v>
      </c>
      <c r="M253" t="s">
        <v>37</v>
      </c>
      <c r="N253" t="s">
        <v>37</v>
      </c>
      <c r="O253" t="s">
        <v>39</v>
      </c>
      <c r="P253" t="s">
        <v>38</v>
      </c>
      <c r="Q253" t="s">
        <v>37</v>
      </c>
      <c r="R253" t="s">
        <v>39</v>
      </c>
      <c r="S253" t="s">
        <v>1535</v>
      </c>
      <c r="T253" t="s">
        <v>252</v>
      </c>
      <c r="U253" t="s">
        <v>59</v>
      </c>
      <c r="V253" t="s">
        <v>44</v>
      </c>
      <c r="W253" t="s">
        <v>60</v>
      </c>
      <c r="X253" t="s">
        <v>41</v>
      </c>
      <c r="Z253" t="s">
        <v>46</v>
      </c>
      <c r="AA253" t="s">
        <v>327</v>
      </c>
      <c r="AB253" t="s">
        <v>238</v>
      </c>
      <c r="AC253">
        <f>COUNTIF(C:C,QLKV_gui_ket_qua_ra_soat[[#This Row],[Mã điểm bán]])</f>
        <v>1</v>
      </c>
    </row>
    <row r="254" spans="1:29" x14ac:dyDescent="0.45">
      <c r="A254" t="s">
        <v>10783</v>
      </c>
      <c r="B254">
        <v>325</v>
      </c>
      <c r="C254" t="s">
        <v>1544</v>
      </c>
      <c r="D254" t="s">
        <v>1545</v>
      </c>
      <c r="E254" t="s">
        <v>206</v>
      </c>
      <c r="F254" t="s">
        <v>1546</v>
      </c>
      <c r="G254" t="s">
        <v>34</v>
      </c>
      <c r="H254" t="s">
        <v>319</v>
      </c>
      <c r="I254" t="s">
        <v>1547</v>
      </c>
      <c r="J254" t="s">
        <v>38</v>
      </c>
      <c r="K254" t="s">
        <v>38</v>
      </c>
      <c r="L254" t="s">
        <v>40</v>
      </c>
      <c r="M254" t="s">
        <v>38</v>
      </c>
      <c r="N254" t="s">
        <v>38</v>
      </c>
      <c r="O254" t="s">
        <v>40</v>
      </c>
      <c r="P254" t="s">
        <v>38</v>
      </c>
      <c r="Q254" t="s">
        <v>38</v>
      </c>
      <c r="R254" t="s">
        <v>40</v>
      </c>
      <c r="S254" t="s">
        <v>41</v>
      </c>
      <c r="T254" t="s">
        <v>153</v>
      </c>
      <c r="U254" t="s">
        <v>59</v>
      </c>
      <c r="V254" t="s">
        <v>44</v>
      </c>
      <c r="W254" t="s">
        <v>154</v>
      </c>
      <c r="X254" t="s">
        <v>41</v>
      </c>
      <c r="Z254" t="s">
        <v>46</v>
      </c>
      <c r="AA254" t="s">
        <v>327</v>
      </c>
      <c r="AB254" t="s">
        <v>238</v>
      </c>
      <c r="AC254">
        <f>COUNTIF(C:C,QLKV_gui_ket_qua_ra_soat[[#This Row],[Mã điểm bán]])</f>
        <v>1</v>
      </c>
    </row>
    <row r="255" spans="1:29" x14ac:dyDescent="0.45">
      <c r="A255" t="s">
        <v>10783</v>
      </c>
      <c r="B255">
        <v>326</v>
      </c>
      <c r="C255" t="s">
        <v>1567</v>
      </c>
      <c r="D255" t="s">
        <v>1568</v>
      </c>
      <c r="E255" t="s">
        <v>882</v>
      </c>
      <c r="F255" t="s">
        <v>53</v>
      </c>
      <c r="G255" t="s">
        <v>34</v>
      </c>
      <c r="H255" t="s">
        <v>54</v>
      </c>
      <c r="I255" t="s">
        <v>1569</v>
      </c>
      <c r="J255" t="s">
        <v>56</v>
      </c>
      <c r="K255" t="s">
        <v>38</v>
      </c>
      <c r="L255" t="s">
        <v>40</v>
      </c>
      <c r="M255" t="s">
        <v>56</v>
      </c>
      <c r="N255" t="s">
        <v>38</v>
      </c>
      <c r="O255" t="s">
        <v>39</v>
      </c>
      <c r="P255" t="s">
        <v>38</v>
      </c>
      <c r="Q255" t="s">
        <v>38</v>
      </c>
      <c r="R255" t="s">
        <v>40</v>
      </c>
      <c r="S255" t="s">
        <v>1570</v>
      </c>
      <c r="T255" t="s">
        <v>58</v>
      </c>
      <c r="U255" t="s">
        <v>59</v>
      </c>
      <c r="V255" t="s">
        <v>44</v>
      </c>
      <c r="W255" t="s">
        <v>60</v>
      </c>
      <c r="X255" t="s">
        <v>41</v>
      </c>
      <c r="Z255" t="s">
        <v>46</v>
      </c>
      <c r="AA255" t="s">
        <v>327</v>
      </c>
      <c r="AB255" t="s">
        <v>238</v>
      </c>
      <c r="AC255">
        <f>COUNTIF(C:C,QLKV_gui_ket_qua_ra_soat[[#This Row],[Mã điểm bán]])</f>
        <v>1</v>
      </c>
    </row>
    <row r="256" spans="1:29" x14ac:dyDescent="0.45">
      <c r="A256" t="s">
        <v>10783</v>
      </c>
      <c r="B256">
        <v>327</v>
      </c>
      <c r="C256" t="s">
        <v>1585</v>
      </c>
      <c r="D256" t="s">
        <v>1586</v>
      </c>
      <c r="E256" t="s">
        <v>1587</v>
      </c>
      <c r="F256" t="s">
        <v>53</v>
      </c>
      <c r="G256" t="s">
        <v>34</v>
      </c>
      <c r="H256" t="s">
        <v>54</v>
      </c>
      <c r="I256" t="s">
        <v>1588</v>
      </c>
      <c r="J256" t="s">
        <v>56</v>
      </c>
      <c r="K256" t="s">
        <v>56</v>
      </c>
      <c r="L256" t="s">
        <v>39</v>
      </c>
      <c r="M256" t="s">
        <v>38</v>
      </c>
      <c r="N256" t="s">
        <v>38</v>
      </c>
      <c r="O256" t="s">
        <v>39</v>
      </c>
      <c r="P256" t="s">
        <v>38</v>
      </c>
      <c r="Q256" t="s">
        <v>38</v>
      </c>
      <c r="R256" t="s">
        <v>40</v>
      </c>
      <c r="S256" t="s">
        <v>1589</v>
      </c>
      <c r="T256" t="s">
        <v>58</v>
      </c>
      <c r="U256" t="s">
        <v>59</v>
      </c>
      <c r="V256" t="s">
        <v>44</v>
      </c>
      <c r="W256" t="s">
        <v>60</v>
      </c>
      <c r="X256" t="s">
        <v>46</v>
      </c>
      <c r="Z256" t="s">
        <v>41</v>
      </c>
      <c r="AC256">
        <f>COUNTIF(C:C,QLKV_gui_ket_qua_ra_soat[[#This Row],[Mã điểm bán]])</f>
        <v>1</v>
      </c>
    </row>
    <row r="257" spans="1:29" x14ac:dyDescent="0.45">
      <c r="A257" t="s">
        <v>10783</v>
      </c>
      <c r="B257">
        <v>328</v>
      </c>
      <c r="C257" t="s">
        <v>1590</v>
      </c>
      <c r="D257" t="s">
        <v>1309</v>
      </c>
      <c r="E257" t="s">
        <v>64</v>
      </c>
      <c r="F257" t="s">
        <v>53</v>
      </c>
      <c r="G257" t="s">
        <v>34</v>
      </c>
      <c r="H257" t="s">
        <v>54</v>
      </c>
      <c r="I257" t="s">
        <v>1591</v>
      </c>
      <c r="J257" t="s">
        <v>38</v>
      </c>
      <c r="K257" t="s">
        <v>38</v>
      </c>
      <c r="L257" t="s">
        <v>40</v>
      </c>
      <c r="M257" t="s">
        <v>38</v>
      </c>
      <c r="N257" t="s">
        <v>38</v>
      </c>
      <c r="O257" t="s">
        <v>40</v>
      </c>
      <c r="P257" t="s">
        <v>38</v>
      </c>
      <c r="Q257" t="s">
        <v>38</v>
      </c>
      <c r="R257" t="s">
        <v>40</v>
      </c>
      <c r="S257" t="s">
        <v>1592</v>
      </c>
      <c r="T257" t="s">
        <v>58</v>
      </c>
      <c r="U257" t="s">
        <v>59</v>
      </c>
      <c r="V257" t="s">
        <v>44</v>
      </c>
      <c r="W257" t="s">
        <v>60</v>
      </c>
      <c r="X257" t="s">
        <v>46</v>
      </c>
      <c r="Z257" t="s">
        <v>41</v>
      </c>
      <c r="AC257">
        <f>COUNTIF(C:C,QLKV_gui_ket_qua_ra_soat[[#This Row],[Mã điểm bán]])</f>
        <v>1</v>
      </c>
    </row>
    <row r="258" spans="1:29" x14ac:dyDescent="0.45">
      <c r="A258" t="s">
        <v>10783</v>
      </c>
      <c r="B258">
        <v>329</v>
      </c>
      <c r="C258" t="s">
        <v>2352</v>
      </c>
      <c r="D258" t="s">
        <v>2353</v>
      </c>
      <c r="E258" t="s">
        <v>522</v>
      </c>
      <c r="F258" t="s">
        <v>53</v>
      </c>
      <c r="G258" t="s">
        <v>34</v>
      </c>
      <c r="H258" t="s">
        <v>54</v>
      </c>
      <c r="I258" t="s">
        <v>2354</v>
      </c>
      <c r="J258" t="s">
        <v>38</v>
      </c>
      <c r="K258" t="s">
        <v>38</v>
      </c>
      <c r="L258" t="s">
        <v>40</v>
      </c>
      <c r="M258" t="s">
        <v>38</v>
      </c>
      <c r="N258" t="s">
        <v>38</v>
      </c>
      <c r="O258" t="s">
        <v>40</v>
      </c>
      <c r="P258" t="s">
        <v>37</v>
      </c>
      <c r="Q258" t="s">
        <v>37</v>
      </c>
      <c r="R258" t="s">
        <v>39</v>
      </c>
      <c r="S258" t="s">
        <v>2355</v>
      </c>
      <c r="T258" t="s">
        <v>2356</v>
      </c>
      <c r="U258" t="s">
        <v>2357</v>
      </c>
      <c r="V258" t="s">
        <v>2052</v>
      </c>
      <c r="W258" t="s">
        <v>234</v>
      </c>
      <c r="X258" t="s">
        <v>46</v>
      </c>
      <c r="AC258">
        <f>COUNTIF(C:C,QLKV_gui_ket_qua_ra_soat[[#This Row],[Mã điểm bán]])</f>
        <v>1</v>
      </c>
    </row>
    <row r="259" spans="1:29" x14ac:dyDescent="0.45">
      <c r="A259" t="s">
        <v>10783</v>
      </c>
      <c r="B259">
        <v>330</v>
      </c>
      <c r="C259" t="s">
        <v>2377</v>
      </c>
      <c r="D259" t="s">
        <v>2378</v>
      </c>
      <c r="E259" t="s">
        <v>2040</v>
      </c>
      <c r="F259" t="s">
        <v>280</v>
      </c>
      <c r="G259" t="s">
        <v>34</v>
      </c>
      <c r="H259" t="s">
        <v>54</v>
      </c>
      <c r="I259" t="s">
        <v>2380</v>
      </c>
      <c r="J259" t="s">
        <v>38</v>
      </c>
      <c r="K259" t="s">
        <v>38</v>
      </c>
      <c r="L259" t="s">
        <v>40</v>
      </c>
      <c r="M259" t="s">
        <v>37</v>
      </c>
      <c r="N259" t="s">
        <v>37</v>
      </c>
      <c r="O259" t="s">
        <v>39</v>
      </c>
      <c r="P259" t="s">
        <v>37</v>
      </c>
      <c r="Q259" t="s">
        <v>37</v>
      </c>
      <c r="R259" t="s">
        <v>39</v>
      </c>
      <c r="S259" t="s">
        <v>2381</v>
      </c>
      <c r="T259" t="s">
        <v>2356</v>
      </c>
      <c r="U259" t="s">
        <v>2357</v>
      </c>
      <c r="V259" t="s">
        <v>2052</v>
      </c>
      <c r="W259" t="s">
        <v>234</v>
      </c>
      <c r="X259" t="s">
        <v>46</v>
      </c>
      <c r="AC259">
        <f>COUNTIF(C:C,QLKV_gui_ket_qua_ra_soat[[#This Row],[Mã điểm bán]])</f>
        <v>1</v>
      </c>
    </row>
    <row r="260" spans="1:29" x14ac:dyDescent="0.45">
      <c r="A260" t="s">
        <v>10783</v>
      </c>
      <c r="B260">
        <v>331</v>
      </c>
      <c r="C260" t="s">
        <v>2387</v>
      </c>
      <c r="D260" t="s">
        <v>2388</v>
      </c>
      <c r="E260" t="s">
        <v>2390</v>
      </c>
      <c r="F260" t="s">
        <v>2391</v>
      </c>
      <c r="G260" t="s">
        <v>34</v>
      </c>
      <c r="H260" t="s">
        <v>214</v>
      </c>
      <c r="I260" t="s">
        <v>2392</v>
      </c>
      <c r="J260" t="s">
        <v>38</v>
      </c>
      <c r="K260" t="s">
        <v>38</v>
      </c>
      <c r="L260" t="s">
        <v>40</v>
      </c>
      <c r="M260" t="s">
        <v>37</v>
      </c>
      <c r="N260" t="s">
        <v>37</v>
      </c>
      <c r="O260" t="s">
        <v>39</v>
      </c>
      <c r="P260" t="s">
        <v>37</v>
      </c>
      <c r="Q260" t="s">
        <v>37</v>
      </c>
      <c r="R260" t="s">
        <v>39</v>
      </c>
      <c r="S260" t="s">
        <v>41</v>
      </c>
      <c r="T260" t="s">
        <v>2356</v>
      </c>
      <c r="U260" t="s">
        <v>2357</v>
      </c>
      <c r="V260" t="s">
        <v>2052</v>
      </c>
      <c r="W260" t="s">
        <v>234</v>
      </c>
      <c r="Y260" t="s">
        <v>46</v>
      </c>
      <c r="AC260">
        <f>COUNTIF(C:C,QLKV_gui_ket_qua_ra_soat[[#This Row],[Mã điểm bán]])</f>
        <v>1</v>
      </c>
    </row>
    <row r="261" spans="1:29" x14ac:dyDescent="0.45">
      <c r="A261" t="s">
        <v>10783</v>
      </c>
      <c r="B261">
        <v>332</v>
      </c>
      <c r="C261" t="s">
        <v>2399</v>
      </c>
      <c r="D261" t="s">
        <v>2400</v>
      </c>
      <c r="E261" t="s">
        <v>323</v>
      </c>
      <c r="F261" t="s">
        <v>2401</v>
      </c>
      <c r="G261" t="s">
        <v>150</v>
      </c>
      <c r="H261" t="s">
        <v>402</v>
      </c>
      <c r="I261" t="s">
        <v>2402</v>
      </c>
      <c r="J261" t="s">
        <v>38</v>
      </c>
      <c r="K261" t="s">
        <v>38</v>
      </c>
      <c r="L261" t="s">
        <v>40</v>
      </c>
      <c r="M261" t="s">
        <v>38</v>
      </c>
      <c r="N261" t="s">
        <v>38</v>
      </c>
      <c r="O261" t="s">
        <v>40</v>
      </c>
      <c r="P261" t="s">
        <v>37</v>
      </c>
      <c r="Q261" t="s">
        <v>37</v>
      </c>
      <c r="R261" t="s">
        <v>39</v>
      </c>
      <c r="S261" t="s">
        <v>41</v>
      </c>
      <c r="T261" t="s">
        <v>2356</v>
      </c>
      <c r="U261" t="s">
        <v>2357</v>
      </c>
      <c r="V261" t="s">
        <v>2052</v>
      </c>
      <c r="W261" t="s">
        <v>234</v>
      </c>
      <c r="Y261" t="s">
        <v>46</v>
      </c>
      <c r="AC261">
        <f>COUNTIF(C:C,QLKV_gui_ket_qua_ra_soat[[#This Row],[Mã điểm bán]])</f>
        <v>1</v>
      </c>
    </row>
    <row r="262" spans="1:29" x14ac:dyDescent="0.45">
      <c r="A262" t="s">
        <v>10783</v>
      </c>
      <c r="B262">
        <v>333</v>
      </c>
      <c r="C262" t="s">
        <v>2504</v>
      </c>
      <c r="D262" t="s">
        <v>2505</v>
      </c>
      <c r="E262" t="s">
        <v>1372</v>
      </c>
      <c r="F262" t="s">
        <v>2506</v>
      </c>
      <c r="G262" t="s">
        <v>34</v>
      </c>
      <c r="H262" t="s">
        <v>708</v>
      </c>
      <c r="I262" t="s">
        <v>2507</v>
      </c>
      <c r="J262" t="s">
        <v>38</v>
      </c>
      <c r="K262" t="s">
        <v>38</v>
      </c>
      <c r="L262" t="s">
        <v>40</v>
      </c>
      <c r="M262" t="s">
        <v>37</v>
      </c>
      <c r="N262" t="s">
        <v>37</v>
      </c>
      <c r="O262" t="s">
        <v>39</v>
      </c>
      <c r="P262" t="s">
        <v>37</v>
      </c>
      <c r="Q262" t="s">
        <v>37</v>
      </c>
      <c r="R262" t="s">
        <v>39</v>
      </c>
      <c r="S262" t="s">
        <v>2508</v>
      </c>
      <c r="T262" t="s">
        <v>2356</v>
      </c>
      <c r="U262" t="s">
        <v>2357</v>
      </c>
      <c r="V262" t="s">
        <v>2052</v>
      </c>
      <c r="W262" t="s">
        <v>234</v>
      </c>
      <c r="X262" t="s">
        <v>46</v>
      </c>
      <c r="AC262">
        <f>COUNTIF(C:C,QLKV_gui_ket_qua_ra_soat[[#This Row],[Mã điểm bán]])</f>
        <v>1</v>
      </c>
    </row>
    <row r="263" spans="1:29" x14ac:dyDescent="0.45">
      <c r="A263" t="s">
        <v>10783</v>
      </c>
      <c r="B263">
        <v>334</v>
      </c>
      <c r="C263" t="s">
        <v>2531</v>
      </c>
      <c r="D263" t="s">
        <v>2532</v>
      </c>
      <c r="E263" t="s">
        <v>330</v>
      </c>
      <c r="F263" t="s">
        <v>53</v>
      </c>
      <c r="G263" t="s">
        <v>34</v>
      </c>
      <c r="H263" t="s">
        <v>917</v>
      </c>
      <c r="I263" t="s">
        <v>2533</v>
      </c>
      <c r="J263" t="s">
        <v>38</v>
      </c>
      <c r="K263" t="s">
        <v>38</v>
      </c>
      <c r="L263" t="s">
        <v>40</v>
      </c>
      <c r="M263" t="s">
        <v>38</v>
      </c>
      <c r="N263" t="s">
        <v>38</v>
      </c>
      <c r="O263" t="s">
        <v>40</v>
      </c>
      <c r="P263" t="s">
        <v>37</v>
      </c>
      <c r="Q263" t="s">
        <v>37</v>
      </c>
      <c r="R263" t="s">
        <v>39</v>
      </c>
      <c r="S263" t="s">
        <v>41</v>
      </c>
      <c r="T263" t="s">
        <v>2356</v>
      </c>
      <c r="U263" t="s">
        <v>2357</v>
      </c>
      <c r="V263" t="s">
        <v>2052</v>
      </c>
      <c r="W263" t="s">
        <v>234</v>
      </c>
      <c r="X263" t="s">
        <v>46</v>
      </c>
      <c r="AC263">
        <f>COUNTIF(C:C,QLKV_gui_ket_qua_ra_soat[[#This Row],[Mã điểm bán]])</f>
        <v>1</v>
      </c>
    </row>
    <row r="264" spans="1:29" x14ac:dyDescent="0.45">
      <c r="A264" t="s">
        <v>10783</v>
      </c>
      <c r="B264">
        <v>335</v>
      </c>
      <c r="C264" t="s">
        <v>2578</v>
      </c>
      <c r="D264" t="s">
        <v>2579</v>
      </c>
      <c r="E264" t="s">
        <v>2581</v>
      </c>
      <c r="F264" t="s">
        <v>53</v>
      </c>
      <c r="G264" t="s">
        <v>34</v>
      </c>
      <c r="H264" t="s">
        <v>54</v>
      </c>
      <c r="I264" t="s">
        <v>2582</v>
      </c>
      <c r="J264" t="s">
        <v>38</v>
      </c>
      <c r="K264" t="s">
        <v>38</v>
      </c>
      <c r="L264" t="s">
        <v>40</v>
      </c>
      <c r="M264" t="s">
        <v>38</v>
      </c>
      <c r="N264" t="s">
        <v>38</v>
      </c>
      <c r="O264" t="s">
        <v>39</v>
      </c>
      <c r="P264" t="s">
        <v>37</v>
      </c>
      <c r="Q264" t="s">
        <v>37</v>
      </c>
      <c r="R264" t="s">
        <v>39</v>
      </c>
      <c r="S264" t="s">
        <v>2583</v>
      </c>
      <c r="T264" t="s">
        <v>2356</v>
      </c>
      <c r="U264" t="s">
        <v>2357</v>
      </c>
      <c r="V264" t="s">
        <v>2052</v>
      </c>
      <c r="W264" t="s">
        <v>234</v>
      </c>
      <c r="X264" t="s">
        <v>46</v>
      </c>
      <c r="AC264">
        <f>COUNTIF(C:C,QLKV_gui_ket_qua_ra_soat[[#This Row],[Mã điểm bán]])</f>
        <v>1</v>
      </c>
    </row>
    <row r="265" spans="1:29" x14ac:dyDescent="0.45">
      <c r="A265" t="s">
        <v>10783</v>
      </c>
      <c r="B265">
        <v>336</v>
      </c>
      <c r="C265" t="s">
        <v>2628</v>
      </c>
      <c r="D265" t="s">
        <v>2629</v>
      </c>
      <c r="E265" t="s">
        <v>771</v>
      </c>
      <c r="F265" t="s">
        <v>2631</v>
      </c>
      <c r="G265" t="s">
        <v>34</v>
      </c>
      <c r="H265" t="s">
        <v>834</v>
      </c>
      <c r="I265" t="s">
        <v>2632</v>
      </c>
      <c r="J265" t="s">
        <v>38</v>
      </c>
      <c r="K265" t="s">
        <v>38</v>
      </c>
      <c r="L265" t="s">
        <v>40</v>
      </c>
      <c r="M265" t="s">
        <v>38</v>
      </c>
      <c r="N265" t="s">
        <v>38</v>
      </c>
      <c r="O265" t="s">
        <v>40</v>
      </c>
      <c r="P265" t="s">
        <v>37</v>
      </c>
      <c r="Q265" t="s">
        <v>37</v>
      </c>
      <c r="R265" t="s">
        <v>39</v>
      </c>
      <c r="S265" t="s">
        <v>2633</v>
      </c>
      <c r="T265" t="s">
        <v>2356</v>
      </c>
      <c r="U265" t="s">
        <v>2357</v>
      </c>
      <c r="V265" t="s">
        <v>2052</v>
      </c>
      <c r="W265" t="s">
        <v>234</v>
      </c>
      <c r="X265" t="s">
        <v>46</v>
      </c>
      <c r="AC265">
        <f>COUNTIF(C:C,QLKV_gui_ket_qua_ra_soat[[#This Row],[Mã điểm bán]])</f>
        <v>1</v>
      </c>
    </row>
    <row r="266" spans="1:29" x14ac:dyDescent="0.45">
      <c r="A266" t="s">
        <v>10783</v>
      </c>
      <c r="B266">
        <v>337</v>
      </c>
      <c r="C266" t="s">
        <v>2680</v>
      </c>
      <c r="D266" t="s">
        <v>2681</v>
      </c>
      <c r="E266" t="s">
        <v>181</v>
      </c>
      <c r="F266" t="s">
        <v>2682</v>
      </c>
      <c r="G266" t="s">
        <v>34</v>
      </c>
      <c r="H266" t="s">
        <v>917</v>
      </c>
      <c r="I266" t="s">
        <v>2683</v>
      </c>
      <c r="J266" t="s">
        <v>38</v>
      </c>
      <c r="K266" t="s">
        <v>38</v>
      </c>
      <c r="L266" t="s">
        <v>40</v>
      </c>
      <c r="M266" t="s">
        <v>37</v>
      </c>
      <c r="N266" t="s">
        <v>37</v>
      </c>
      <c r="O266" t="s">
        <v>39</v>
      </c>
      <c r="P266" t="s">
        <v>37</v>
      </c>
      <c r="Q266" t="s">
        <v>37</v>
      </c>
      <c r="R266" t="s">
        <v>39</v>
      </c>
      <c r="S266" t="s">
        <v>41</v>
      </c>
      <c r="T266" t="s">
        <v>2356</v>
      </c>
      <c r="U266" t="s">
        <v>2357</v>
      </c>
      <c r="V266" t="s">
        <v>2052</v>
      </c>
      <c r="W266" t="s">
        <v>234</v>
      </c>
      <c r="X266" t="s">
        <v>46</v>
      </c>
      <c r="AC266">
        <f>COUNTIF(C:C,QLKV_gui_ket_qua_ra_soat[[#This Row],[Mã điểm bán]])</f>
        <v>1</v>
      </c>
    </row>
    <row r="267" spans="1:29" x14ac:dyDescent="0.45">
      <c r="A267" t="s">
        <v>10783</v>
      </c>
      <c r="B267">
        <v>338</v>
      </c>
      <c r="C267" t="s">
        <v>2706</v>
      </c>
      <c r="D267" t="s">
        <v>2707</v>
      </c>
      <c r="E267" t="s">
        <v>2708</v>
      </c>
      <c r="F267" t="s">
        <v>2709</v>
      </c>
      <c r="G267" t="s">
        <v>1458</v>
      </c>
      <c r="H267" t="s">
        <v>402</v>
      </c>
      <c r="I267" t="s">
        <v>2710</v>
      </c>
      <c r="J267" t="s">
        <v>37</v>
      </c>
      <c r="K267" t="s">
        <v>37</v>
      </c>
      <c r="L267" t="s">
        <v>40</v>
      </c>
      <c r="M267" t="s">
        <v>56</v>
      </c>
      <c r="N267" t="s">
        <v>37</v>
      </c>
      <c r="O267" t="s">
        <v>39</v>
      </c>
      <c r="P267" t="s">
        <v>38</v>
      </c>
      <c r="Q267" t="s">
        <v>38</v>
      </c>
      <c r="R267" t="s">
        <v>39</v>
      </c>
      <c r="S267" t="s">
        <v>2711</v>
      </c>
      <c r="T267" t="s">
        <v>2356</v>
      </c>
      <c r="U267" t="s">
        <v>2357</v>
      </c>
      <c r="V267" t="s">
        <v>2052</v>
      </c>
      <c r="W267" t="s">
        <v>234</v>
      </c>
      <c r="X267" t="s">
        <v>46</v>
      </c>
      <c r="AC267">
        <f>COUNTIF(C:C,QLKV_gui_ket_qua_ra_soat[[#This Row],[Mã điểm bán]])</f>
        <v>1</v>
      </c>
    </row>
    <row r="268" spans="1:29" x14ac:dyDescent="0.45">
      <c r="A268" t="s">
        <v>10783</v>
      </c>
      <c r="B268">
        <v>339</v>
      </c>
      <c r="C268" t="s">
        <v>2722</v>
      </c>
      <c r="D268" t="s">
        <v>2723</v>
      </c>
      <c r="E268" t="s">
        <v>74</v>
      </c>
      <c r="F268" t="s">
        <v>53</v>
      </c>
      <c r="G268" t="s">
        <v>34</v>
      </c>
      <c r="H268" t="s">
        <v>54</v>
      </c>
      <c r="I268" t="s">
        <v>2724</v>
      </c>
      <c r="J268" t="s">
        <v>38</v>
      </c>
      <c r="K268" t="s">
        <v>38</v>
      </c>
      <c r="L268" t="s">
        <v>40</v>
      </c>
      <c r="M268" t="s">
        <v>38</v>
      </c>
      <c r="N268" t="s">
        <v>38</v>
      </c>
      <c r="O268" t="s">
        <v>40</v>
      </c>
      <c r="P268" t="s">
        <v>37</v>
      </c>
      <c r="Q268" t="s">
        <v>37</v>
      </c>
      <c r="R268" t="s">
        <v>39</v>
      </c>
      <c r="S268" t="s">
        <v>2725</v>
      </c>
      <c r="T268" t="s">
        <v>2356</v>
      </c>
      <c r="U268" t="s">
        <v>2357</v>
      </c>
      <c r="V268" t="s">
        <v>2052</v>
      </c>
      <c r="W268" t="s">
        <v>234</v>
      </c>
      <c r="X268" t="s">
        <v>46</v>
      </c>
      <c r="AC268">
        <f>COUNTIF(C:C,QLKV_gui_ket_qua_ra_soat[[#This Row],[Mã điểm bán]])</f>
        <v>1</v>
      </c>
    </row>
    <row r="269" spans="1:29" x14ac:dyDescent="0.45">
      <c r="A269" t="s">
        <v>10783</v>
      </c>
      <c r="B269">
        <v>340</v>
      </c>
      <c r="C269" t="s">
        <v>2739</v>
      </c>
      <c r="D269" t="s">
        <v>2740</v>
      </c>
      <c r="E269" t="s">
        <v>2741</v>
      </c>
      <c r="F269" t="s">
        <v>325</v>
      </c>
      <c r="G269" t="s">
        <v>150</v>
      </c>
      <c r="H269" t="s">
        <v>54</v>
      </c>
      <c r="I269" t="s">
        <v>2742</v>
      </c>
      <c r="J269" t="s">
        <v>38</v>
      </c>
      <c r="K269" t="s">
        <v>38</v>
      </c>
      <c r="L269" t="s">
        <v>40</v>
      </c>
      <c r="M269" t="s">
        <v>37</v>
      </c>
      <c r="N269" t="s">
        <v>37</v>
      </c>
      <c r="O269" t="s">
        <v>39</v>
      </c>
      <c r="P269" t="s">
        <v>37</v>
      </c>
      <c r="Q269" t="s">
        <v>37</v>
      </c>
      <c r="R269" t="s">
        <v>39</v>
      </c>
      <c r="S269" t="s">
        <v>2743</v>
      </c>
      <c r="T269" t="s">
        <v>2356</v>
      </c>
      <c r="U269" t="s">
        <v>2357</v>
      </c>
      <c r="V269" t="s">
        <v>2052</v>
      </c>
      <c r="W269" t="s">
        <v>234</v>
      </c>
      <c r="X269" t="s">
        <v>46</v>
      </c>
      <c r="AC269">
        <f>COUNTIF(C:C,QLKV_gui_ket_qua_ra_soat[[#This Row],[Mã điểm bán]])</f>
        <v>1</v>
      </c>
    </row>
    <row r="270" spans="1:29" x14ac:dyDescent="0.45">
      <c r="A270" t="s">
        <v>10783</v>
      </c>
      <c r="B270">
        <v>341</v>
      </c>
      <c r="C270" t="s">
        <v>2769</v>
      </c>
      <c r="D270" t="s">
        <v>2770</v>
      </c>
      <c r="E270" t="s">
        <v>2772</v>
      </c>
      <c r="F270" t="s">
        <v>2773</v>
      </c>
      <c r="G270" t="s">
        <v>150</v>
      </c>
      <c r="H270" t="s">
        <v>402</v>
      </c>
      <c r="I270" t="s">
        <v>2774</v>
      </c>
      <c r="J270" t="s">
        <v>38</v>
      </c>
      <c r="K270" t="s">
        <v>38</v>
      </c>
      <c r="L270" t="s">
        <v>40</v>
      </c>
      <c r="M270" t="s">
        <v>38</v>
      </c>
      <c r="N270" t="s">
        <v>38</v>
      </c>
      <c r="O270" t="s">
        <v>40</v>
      </c>
      <c r="P270" t="s">
        <v>37</v>
      </c>
      <c r="Q270" t="s">
        <v>37</v>
      </c>
      <c r="R270" t="s">
        <v>39</v>
      </c>
      <c r="S270" t="s">
        <v>41</v>
      </c>
      <c r="T270" t="s">
        <v>2356</v>
      </c>
      <c r="U270" t="s">
        <v>2357</v>
      </c>
      <c r="V270" t="s">
        <v>2052</v>
      </c>
      <c r="W270" t="s">
        <v>234</v>
      </c>
      <c r="X270" t="s">
        <v>46</v>
      </c>
      <c r="AC270">
        <f>COUNTIF(C:C,QLKV_gui_ket_qua_ra_soat[[#This Row],[Mã điểm bán]])</f>
        <v>1</v>
      </c>
    </row>
    <row r="271" spans="1:29" x14ac:dyDescent="0.45">
      <c r="A271" t="s">
        <v>10783</v>
      </c>
      <c r="B271">
        <v>342</v>
      </c>
      <c r="C271" t="s">
        <v>2795</v>
      </c>
      <c r="D271" t="s">
        <v>2796</v>
      </c>
      <c r="E271" t="s">
        <v>2797</v>
      </c>
      <c r="F271" t="s">
        <v>1914</v>
      </c>
      <c r="G271" t="s">
        <v>34</v>
      </c>
      <c r="H271" t="s">
        <v>917</v>
      </c>
      <c r="I271" t="s">
        <v>2798</v>
      </c>
      <c r="J271" t="s">
        <v>38</v>
      </c>
      <c r="K271" t="s">
        <v>38</v>
      </c>
      <c r="L271" t="s">
        <v>40</v>
      </c>
      <c r="M271" t="s">
        <v>38</v>
      </c>
      <c r="N271" t="s">
        <v>38</v>
      </c>
      <c r="O271" t="s">
        <v>39</v>
      </c>
      <c r="P271" t="s">
        <v>37</v>
      </c>
      <c r="Q271" t="s">
        <v>37</v>
      </c>
      <c r="R271" t="s">
        <v>39</v>
      </c>
      <c r="S271" t="s">
        <v>41</v>
      </c>
      <c r="T271" t="s">
        <v>2356</v>
      </c>
      <c r="U271" t="s">
        <v>2357</v>
      </c>
      <c r="V271" t="s">
        <v>2052</v>
      </c>
      <c r="W271" t="s">
        <v>234</v>
      </c>
      <c r="X271" t="s">
        <v>46</v>
      </c>
      <c r="AC271">
        <f>COUNTIF(C:C,QLKV_gui_ket_qua_ra_soat[[#This Row],[Mã điểm bán]])</f>
        <v>1</v>
      </c>
    </row>
    <row r="272" spans="1:29" x14ac:dyDescent="0.45">
      <c r="A272" t="s">
        <v>10783</v>
      </c>
      <c r="B272">
        <v>343</v>
      </c>
      <c r="C272" t="s">
        <v>2814</v>
      </c>
      <c r="D272" t="s">
        <v>2815</v>
      </c>
      <c r="E272" t="s">
        <v>2182</v>
      </c>
      <c r="F272" t="s">
        <v>2817</v>
      </c>
      <c r="G272" t="s">
        <v>34</v>
      </c>
      <c r="H272" t="s">
        <v>697</v>
      </c>
      <c r="I272" t="s">
        <v>2818</v>
      </c>
      <c r="J272" t="s">
        <v>38</v>
      </c>
      <c r="K272" t="s">
        <v>38</v>
      </c>
      <c r="L272" t="s">
        <v>40</v>
      </c>
      <c r="M272" t="s">
        <v>38</v>
      </c>
      <c r="N272" t="s">
        <v>38</v>
      </c>
      <c r="O272" t="s">
        <v>39</v>
      </c>
      <c r="P272" t="s">
        <v>37</v>
      </c>
      <c r="Q272" t="s">
        <v>37</v>
      </c>
      <c r="R272" t="s">
        <v>39</v>
      </c>
      <c r="S272" t="s">
        <v>41</v>
      </c>
      <c r="T272" t="s">
        <v>2356</v>
      </c>
      <c r="U272" t="s">
        <v>2357</v>
      </c>
      <c r="V272" t="s">
        <v>2052</v>
      </c>
      <c r="W272" t="s">
        <v>234</v>
      </c>
      <c r="X272" t="s">
        <v>46</v>
      </c>
      <c r="AC272">
        <f>COUNTIF(C:C,QLKV_gui_ket_qua_ra_soat[[#This Row],[Mã điểm bán]])</f>
        <v>1</v>
      </c>
    </row>
    <row r="273" spans="1:29" x14ac:dyDescent="0.45">
      <c r="A273" t="s">
        <v>10783</v>
      </c>
      <c r="B273">
        <v>344</v>
      </c>
      <c r="C273" t="s">
        <v>2819</v>
      </c>
      <c r="D273" t="s">
        <v>2820</v>
      </c>
      <c r="E273" t="s">
        <v>2821</v>
      </c>
      <c r="F273" t="s">
        <v>115</v>
      </c>
      <c r="G273" t="s">
        <v>150</v>
      </c>
      <c r="H273" t="s">
        <v>555</v>
      </c>
      <c r="I273" t="s">
        <v>2822</v>
      </c>
      <c r="J273" t="s">
        <v>38</v>
      </c>
      <c r="K273" t="s">
        <v>38</v>
      </c>
      <c r="L273" t="s">
        <v>40</v>
      </c>
      <c r="M273" t="s">
        <v>38</v>
      </c>
      <c r="N273" t="s">
        <v>38</v>
      </c>
      <c r="O273" t="s">
        <v>40</v>
      </c>
      <c r="P273" t="s">
        <v>37</v>
      </c>
      <c r="Q273" t="s">
        <v>37</v>
      </c>
      <c r="R273" t="s">
        <v>39</v>
      </c>
      <c r="S273" t="s">
        <v>41</v>
      </c>
      <c r="T273" t="s">
        <v>2356</v>
      </c>
      <c r="U273" t="s">
        <v>2357</v>
      </c>
      <c r="V273" t="s">
        <v>2052</v>
      </c>
      <c r="W273" t="s">
        <v>234</v>
      </c>
      <c r="X273" t="s">
        <v>46</v>
      </c>
      <c r="AC273">
        <f>COUNTIF(C:C,QLKV_gui_ket_qua_ra_soat[[#This Row],[Mã điểm bán]])</f>
        <v>1</v>
      </c>
    </row>
    <row r="274" spans="1:29" x14ac:dyDescent="0.45">
      <c r="A274" t="s">
        <v>10783</v>
      </c>
      <c r="B274">
        <v>345</v>
      </c>
      <c r="C274" t="s">
        <v>2835</v>
      </c>
      <c r="D274" t="s">
        <v>2836</v>
      </c>
      <c r="E274" t="s">
        <v>2837</v>
      </c>
      <c r="F274" t="s">
        <v>2838</v>
      </c>
      <c r="G274" t="s">
        <v>34</v>
      </c>
      <c r="H274" t="s">
        <v>54</v>
      </c>
      <c r="I274" t="s">
        <v>2839</v>
      </c>
      <c r="J274" t="s">
        <v>38</v>
      </c>
      <c r="K274" t="s">
        <v>38</v>
      </c>
      <c r="L274" t="s">
        <v>40</v>
      </c>
      <c r="M274" t="s">
        <v>37</v>
      </c>
      <c r="N274" t="s">
        <v>37</v>
      </c>
      <c r="O274" t="s">
        <v>39</v>
      </c>
      <c r="P274" t="s">
        <v>37</v>
      </c>
      <c r="Q274" t="s">
        <v>37</v>
      </c>
      <c r="R274" t="s">
        <v>39</v>
      </c>
      <c r="S274" t="s">
        <v>41</v>
      </c>
      <c r="T274" t="s">
        <v>2356</v>
      </c>
      <c r="U274" t="s">
        <v>2357</v>
      </c>
      <c r="V274" t="s">
        <v>2052</v>
      </c>
      <c r="W274" t="s">
        <v>234</v>
      </c>
      <c r="X274" t="s">
        <v>46</v>
      </c>
      <c r="AC274">
        <f>COUNTIF(C:C,QLKV_gui_ket_qua_ra_soat[[#This Row],[Mã điểm bán]])</f>
        <v>1</v>
      </c>
    </row>
    <row r="275" spans="1:29" x14ac:dyDescent="0.45">
      <c r="A275" t="s">
        <v>10783</v>
      </c>
      <c r="B275">
        <v>346</v>
      </c>
      <c r="C275" t="s">
        <v>2851</v>
      </c>
      <c r="D275" t="s">
        <v>2852</v>
      </c>
      <c r="E275" t="s">
        <v>212</v>
      </c>
      <c r="F275" t="s">
        <v>53</v>
      </c>
      <c r="G275" t="s">
        <v>34</v>
      </c>
      <c r="H275" t="s">
        <v>54</v>
      </c>
      <c r="I275" t="s">
        <v>2853</v>
      </c>
      <c r="J275" t="s">
        <v>38</v>
      </c>
      <c r="K275" t="s">
        <v>38</v>
      </c>
      <c r="L275" t="s">
        <v>40</v>
      </c>
      <c r="M275" t="s">
        <v>38</v>
      </c>
      <c r="N275" t="s">
        <v>38</v>
      </c>
      <c r="O275" t="s">
        <v>40</v>
      </c>
      <c r="P275" t="s">
        <v>37</v>
      </c>
      <c r="Q275" t="s">
        <v>37</v>
      </c>
      <c r="R275" t="s">
        <v>39</v>
      </c>
      <c r="S275" t="s">
        <v>41</v>
      </c>
      <c r="T275" t="s">
        <v>2356</v>
      </c>
      <c r="U275" t="s">
        <v>2357</v>
      </c>
      <c r="V275" t="s">
        <v>2052</v>
      </c>
      <c r="W275" t="s">
        <v>234</v>
      </c>
      <c r="Z275" t="s">
        <v>46</v>
      </c>
      <c r="AA275" t="s">
        <v>570</v>
      </c>
      <c r="AB275" t="s">
        <v>238</v>
      </c>
      <c r="AC275">
        <f>COUNTIF(C:C,QLKV_gui_ket_qua_ra_soat[[#This Row],[Mã điểm bán]])</f>
        <v>1</v>
      </c>
    </row>
    <row r="276" spans="1:29" x14ac:dyDescent="0.45">
      <c r="A276" t="s">
        <v>10783</v>
      </c>
      <c r="B276">
        <v>347</v>
      </c>
      <c r="C276" t="s">
        <v>2872</v>
      </c>
      <c r="D276" t="s">
        <v>2873</v>
      </c>
      <c r="E276" t="s">
        <v>2016</v>
      </c>
      <c r="F276" t="s">
        <v>53</v>
      </c>
      <c r="G276" t="s">
        <v>34</v>
      </c>
      <c r="H276" t="s">
        <v>565</v>
      </c>
      <c r="I276" t="s">
        <v>2874</v>
      </c>
      <c r="J276" t="s">
        <v>37</v>
      </c>
      <c r="K276" t="s">
        <v>37</v>
      </c>
      <c r="L276" t="s">
        <v>39</v>
      </c>
      <c r="M276" t="s">
        <v>775</v>
      </c>
      <c r="N276" t="s">
        <v>37</v>
      </c>
      <c r="O276" t="s">
        <v>39</v>
      </c>
      <c r="P276" t="s">
        <v>37</v>
      </c>
      <c r="Q276" t="s">
        <v>38</v>
      </c>
      <c r="R276" t="s">
        <v>40</v>
      </c>
      <c r="S276" t="s">
        <v>41</v>
      </c>
      <c r="T276" t="s">
        <v>2356</v>
      </c>
      <c r="U276" t="s">
        <v>2357</v>
      </c>
      <c r="V276" t="s">
        <v>2052</v>
      </c>
      <c r="W276" t="s">
        <v>234</v>
      </c>
      <c r="Z276" t="s">
        <v>46</v>
      </c>
      <c r="AA276" t="s">
        <v>570</v>
      </c>
      <c r="AB276" t="s">
        <v>238</v>
      </c>
      <c r="AC276">
        <f>COUNTIF(C:C,QLKV_gui_ket_qua_ra_soat[[#This Row],[Mã điểm bán]])</f>
        <v>1</v>
      </c>
    </row>
    <row r="277" spans="1:29" x14ac:dyDescent="0.45">
      <c r="A277" t="s">
        <v>10783</v>
      </c>
      <c r="B277">
        <v>348</v>
      </c>
      <c r="C277" t="s">
        <v>2885</v>
      </c>
      <c r="D277" t="s">
        <v>2886</v>
      </c>
      <c r="E277" t="s">
        <v>2250</v>
      </c>
      <c r="F277" t="s">
        <v>2887</v>
      </c>
      <c r="G277" t="s">
        <v>34</v>
      </c>
      <c r="H277" t="s">
        <v>917</v>
      </c>
      <c r="I277" t="s">
        <v>2888</v>
      </c>
      <c r="J277" t="s">
        <v>38</v>
      </c>
      <c r="K277" t="s">
        <v>38</v>
      </c>
      <c r="L277" t="s">
        <v>40</v>
      </c>
      <c r="M277" t="s">
        <v>37</v>
      </c>
      <c r="N277" t="s">
        <v>37</v>
      </c>
      <c r="O277" t="s">
        <v>39</v>
      </c>
      <c r="P277" t="s">
        <v>37</v>
      </c>
      <c r="Q277" t="s">
        <v>37</v>
      </c>
      <c r="R277" t="s">
        <v>39</v>
      </c>
      <c r="S277" t="s">
        <v>41</v>
      </c>
      <c r="T277" t="s">
        <v>2356</v>
      </c>
      <c r="U277" t="s">
        <v>2357</v>
      </c>
      <c r="V277" t="s">
        <v>2052</v>
      </c>
      <c r="W277" t="s">
        <v>234</v>
      </c>
      <c r="X277" t="s">
        <v>46</v>
      </c>
      <c r="AC277">
        <f>COUNTIF(C:C,QLKV_gui_ket_qua_ra_soat[[#This Row],[Mã điểm bán]])</f>
        <v>1</v>
      </c>
    </row>
    <row r="278" spans="1:29" x14ac:dyDescent="0.45">
      <c r="A278" t="s">
        <v>10783</v>
      </c>
      <c r="B278">
        <v>349</v>
      </c>
      <c r="C278" t="s">
        <v>2903</v>
      </c>
      <c r="D278" t="s">
        <v>2904</v>
      </c>
      <c r="E278" t="s">
        <v>2105</v>
      </c>
      <c r="F278" t="s">
        <v>2905</v>
      </c>
      <c r="G278" t="s">
        <v>34</v>
      </c>
      <c r="H278" t="s">
        <v>685</v>
      </c>
      <c r="I278" t="s">
        <v>2906</v>
      </c>
      <c r="J278" t="s">
        <v>38</v>
      </c>
      <c r="K278" t="s">
        <v>38</v>
      </c>
      <c r="L278" t="s">
        <v>40</v>
      </c>
      <c r="M278" t="s">
        <v>37</v>
      </c>
      <c r="N278" t="s">
        <v>37</v>
      </c>
      <c r="O278" t="s">
        <v>39</v>
      </c>
      <c r="P278" t="s">
        <v>37</v>
      </c>
      <c r="Q278" t="s">
        <v>37</v>
      </c>
      <c r="R278" t="s">
        <v>39</v>
      </c>
      <c r="S278" t="s">
        <v>41</v>
      </c>
      <c r="T278" t="s">
        <v>2356</v>
      </c>
      <c r="U278" t="s">
        <v>2357</v>
      </c>
      <c r="V278" t="s">
        <v>2052</v>
      </c>
      <c r="W278" t="s">
        <v>234</v>
      </c>
      <c r="X278" t="s">
        <v>46</v>
      </c>
      <c r="AC278">
        <f>COUNTIF(C:C,QLKV_gui_ket_qua_ra_soat[[#This Row],[Mã điểm bán]])</f>
        <v>1</v>
      </c>
    </row>
    <row r="279" spans="1:29" x14ac:dyDescent="0.45">
      <c r="A279" t="s">
        <v>10783</v>
      </c>
      <c r="B279">
        <v>350</v>
      </c>
      <c r="C279" t="s">
        <v>2913</v>
      </c>
      <c r="D279" t="s">
        <v>2914</v>
      </c>
      <c r="E279" t="s">
        <v>2915</v>
      </c>
      <c r="F279" t="s">
        <v>53</v>
      </c>
      <c r="G279" t="s">
        <v>34</v>
      </c>
      <c r="H279" t="s">
        <v>54</v>
      </c>
      <c r="I279" t="s">
        <v>2916</v>
      </c>
      <c r="J279" t="s">
        <v>38</v>
      </c>
      <c r="K279" t="s">
        <v>38</v>
      </c>
      <c r="L279" t="s">
        <v>40</v>
      </c>
      <c r="M279" t="s">
        <v>37</v>
      </c>
      <c r="N279" t="s">
        <v>37</v>
      </c>
      <c r="O279" t="s">
        <v>39</v>
      </c>
      <c r="P279" t="s">
        <v>38</v>
      </c>
      <c r="Q279" t="s">
        <v>37</v>
      </c>
      <c r="R279" t="s">
        <v>39</v>
      </c>
      <c r="S279" t="s">
        <v>41</v>
      </c>
      <c r="T279" t="s">
        <v>2356</v>
      </c>
      <c r="U279" t="s">
        <v>2357</v>
      </c>
      <c r="V279" t="s">
        <v>2052</v>
      </c>
      <c r="W279" t="s">
        <v>234</v>
      </c>
      <c r="X279" t="s">
        <v>46</v>
      </c>
      <c r="AC279">
        <f>COUNTIF(C:C,QLKV_gui_ket_qua_ra_soat[[#This Row],[Mã điểm bán]])</f>
        <v>1</v>
      </c>
    </row>
    <row r="280" spans="1:29" x14ac:dyDescent="0.45">
      <c r="A280" t="s">
        <v>10783</v>
      </c>
      <c r="B280">
        <v>442</v>
      </c>
      <c r="C280" t="s">
        <v>2370</v>
      </c>
      <c r="D280" t="s">
        <v>2371</v>
      </c>
      <c r="E280" t="s">
        <v>2373</v>
      </c>
      <c r="F280" t="s">
        <v>1787</v>
      </c>
      <c r="G280" t="s">
        <v>150</v>
      </c>
      <c r="H280" t="s">
        <v>54</v>
      </c>
      <c r="I280" t="s">
        <v>2374</v>
      </c>
      <c r="J280" t="s">
        <v>37</v>
      </c>
      <c r="K280" t="s">
        <v>37</v>
      </c>
      <c r="L280" t="s">
        <v>39</v>
      </c>
      <c r="M280" t="s">
        <v>37</v>
      </c>
      <c r="N280" t="s">
        <v>56</v>
      </c>
      <c r="O280" t="s">
        <v>39</v>
      </c>
      <c r="P280" t="s">
        <v>38</v>
      </c>
      <c r="Q280" t="s">
        <v>38</v>
      </c>
      <c r="R280" t="s">
        <v>39</v>
      </c>
      <c r="S280" t="s">
        <v>41</v>
      </c>
      <c r="T280" t="s">
        <v>2375</v>
      </c>
      <c r="U280" t="s">
        <v>2376</v>
      </c>
      <c r="V280" t="s">
        <v>2052</v>
      </c>
      <c r="W280" t="s">
        <v>154</v>
      </c>
      <c r="X280" t="s">
        <v>46</v>
      </c>
      <c r="AC280">
        <f>COUNTIF(C:C,QLKV_gui_ket_qua_ra_soat[[#This Row],[Mã điểm bán]])</f>
        <v>1</v>
      </c>
    </row>
    <row r="281" spans="1:29" x14ac:dyDescent="0.45">
      <c r="A281" t="s">
        <v>10783</v>
      </c>
      <c r="B281">
        <v>443</v>
      </c>
      <c r="C281" t="s">
        <v>2403</v>
      </c>
      <c r="D281" t="s">
        <v>2404</v>
      </c>
      <c r="E281" t="s">
        <v>695</v>
      </c>
      <c r="F281" t="s">
        <v>2405</v>
      </c>
      <c r="G281" t="s">
        <v>34</v>
      </c>
      <c r="H281" t="s">
        <v>54</v>
      </c>
      <c r="I281" t="s">
        <v>2406</v>
      </c>
      <c r="J281" t="s">
        <v>37</v>
      </c>
      <c r="K281" t="s">
        <v>56</v>
      </c>
      <c r="L281" t="s">
        <v>39</v>
      </c>
      <c r="M281" t="s">
        <v>37</v>
      </c>
      <c r="N281" t="s">
        <v>56</v>
      </c>
      <c r="O281" t="s">
        <v>39</v>
      </c>
      <c r="P281" t="s">
        <v>38</v>
      </c>
      <c r="Q281" t="s">
        <v>56</v>
      </c>
      <c r="R281" t="s">
        <v>39</v>
      </c>
      <c r="S281" t="s">
        <v>627</v>
      </c>
      <c r="T281" t="s">
        <v>2375</v>
      </c>
      <c r="U281" t="s">
        <v>2376</v>
      </c>
      <c r="V281" t="s">
        <v>2052</v>
      </c>
      <c r="W281" t="s">
        <v>154</v>
      </c>
      <c r="X281" t="s">
        <v>46</v>
      </c>
      <c r="AC281">
        <f>COUNTIF(C:C,QLKV_gui_ket_qua_ra_soat[[#This Row],[Mã điểm bán]])</f>
        <v>1</v>
      </c>
    </row>
    <row r="282" spans="1:29" x14ac:dyDescent="0.45">
      <c r="A282" t="s">
        <v>10783</v>
      </c>
      <c r="B282">
        <v>444</v>
      </c>
      <c r="C282" t="s">
        <v>2462</v>
      </c>
      <c r="D282" t="s">
        <v>2463</v>
      </c>
      <c r="E282" t="s">
        <v>2464</v>
      </c>
      <c r="F282" t="s">
        <v>2365</v>
      </c>
      <c r="G282" t="s">
        <v>1624</v>
      </c>
      <c r="H282" t="s">
        <v>54</v>
      </c>
      <c r="I282" t="s">
        <v>2465</v>
      </c>
      <c r="J282" t="s">
        <v>37</v>
      </c>
      <c r="K282" t="s">
        <v>56</v>
      </c>
      <c r="L282" t="s">
        <v>39</v>
      </c>
      <c r="M282" t="s">
        <v>37</v>
      </c>
      <c r="N282" t="s">
        <v>56</v>
      </c>
      <c r="O282" t="s">
        <v>39</v>
      </c>
      <c r="P282" t="s">
        <v>38</v>
      </c>
      <c r="Q282" t="s">
        <v>37</v>
      </c>
      <c r="R282" t="s">
        <v>39</v>
      </c>
      <c r="S282" t="s">
        <v>627</v>
      </c>
      <c r="T282" t="s">
        <v>2375</v>
      </c>
      <c r="U282" t="s">
        <v>2376</v>
      </c>
      <c r="V282" t="s">
        <v>2052</v>
      </c>
      <c r="W282" t="s">
        <v>154</v>
      </c>
      <c r="X282" t="s">
        <v>46</v>
      </c>
      <c r="AC282">
        <f>COUNTIF(C:C,QLKV_gui_ket_qua_ra_soat[[#This Row],[Mã điểm bán]])</f>
        <v>1</v>
      </c>
    </row>
    <row r="283" spans="1:29" x14ac:dyDescent="0.45">
      <c r="A283" t="s">
        <v>10783</v>
      </c>
      <c r="B283">
        <v>445</v>
      </c>
      <c r="C283" t="s">
        <v>2493</v>
      </c>
      <c r="D283" t="s">
        <v>2494</v>
      </c>
      <c r="E283" t="s">
        <v>2035</v>
      </c>
      <c r="F283" t="s">
        <v>2365</v>
      </c>
      <c r="G283" t="s">
        <v>150</v>
      </c>
      <c r="H283" t="s">
        <v>54</v>
      </c>
      <c r="I283" t="s">
        <v>2496</v>
      </c>
      <c r="J283" t="s">
        <v>37</v>
      </c>
      <c r="K283" t="s">
        <v>37</v>
      </c>
      <c r="L283" t="s">
        <v>39</v>
      </c>
      <c r="M283" t="s">
        <v>37</v>
      </c>
      <c r="N283" t="s">
        <v>56</v>
      </c>
      <c r="O283" t="s">
        <v>39</v>
      </c>
      <c r="P283" t="s">
        <v>38</v>
      </c>
      <c r="Q283" t="s">
        <v>37</v>
      </c>
      <c r="R283" t="s">
        <v>39</v>
      </c>
      <c r="S283" t="s">
        <v>2497</v>
      </c>
      <c r="T283" t="s">
        <v>2375</v>
      </c>
      <c r="U283" t="s">
        <v>2376</v>
      </c>
      <c r="V283" t="s">
        <v>2052</v>
      </c>
      <c r="W283" t="s">
        <v>154</v>
      </c>
      <c r="X283" t="s">
        <v>46</v>
      </c>
      <c r="AC283">
        <f>COUNTIF(C:C,QLKV_gui_ket_qua_ra_soat[[#This Row],[Mã điểm bán]])</f>
        <v>1</v>
      </c>
    </row>
    <row r="284" spans="1:29" x14ac:dyDescent="0.45">
      <c r="A284" t="s">
        <v>10783</v>
      </c>
      <c r="B284">
        <v>446</v>
      </c>
      <c r="C284" t="s">
        <v>2604</v>
      </c>
      <c r="D284" t="s">
        <v>2605</v>
      </c>
      <c r="E284" t="s">
        <v>265</v>
      </c>
      <c r="F284" t="s">
        <v>53</v>
      </c>
      <c r="G284" t="s">
        <v>1624</v>
      </c>
      <c r="H284" t="s">
        <v>54</v>
      </c>
      <c r="I284" t="s">
        <v>2607</v>
      </c>
      <c r="J284" t="s">
        <v>37</v>
      </c>
      <c r="K284" t="s">
        <v>37</v>
      </c>
      <c r="L284" t="s">
        <v>39</v>
      </c>
      <c r="M284" t="s">
        <v>37</v>
      </c>
      <c r="N284" t="s">
        <v>56</v>
      </c>
      <c r="O284" t="s">
        <v>39</v>
      </c>
      <c r="P284" t="s">
        <v>38</v>
      </c>
      <c r="Q284" t="s">
        <v>37</v>
      </c>
      <c r="R284" t="s">
        <v>39</v>
      </c>
      <c r="S284" t="s">
        <v>627</v>
      </c>
      <c r="T284" t="s">
        <v>2375</v>
      </c>
      <c r="U284" t="s">
        <v>2376</v>
      </c>
      <c r="V284" t="s">
        <v>2052</v>
      </c>
      <c r="W284" t="s">
        <v>154</v>
      </c>
      <c r="Y284" t="s">
        <v>46</v>
      </c>
      <c r="AC284">
        <f>COUNTIF(C:C,QLKV_gui_ket_qua_ra_soat[[#This Row],[Mã điểm bán]])</f>
        <v>1</v>
      </c>
    </row>
    <row r="285" spans="1:29" x14ac:dyDescent="0.45">
      <c r="A285" t="s">
        <v>10783</v>
      </c>
      <c r="B285">
        <v>447</v>
      </c>
      <c r="C285" t="s">
        <v>2687</v>
      </c>
      <c r="D285" t="s">
        <v>2688</v>
      </c>
      <c r="E285" t="s">
        <v>1646</v>
      </c>
      <c r="F285" t="s">
        <v>166</v>
      </c>
      <c r="G285" t="s">
        <v>150</v>
      </c>
      <c r="H285" t="s">
        <v>54</v>
      </c>
      <c r="I285" t="s">
        <v>2689</v>
      </c>
      <c r="J285" t="s">
        <v>37</v>
      </c>
      <c r="K285" t="s">
        <v>56</v>
      </c>
      <c r="L285" t="s">
        <v>39</v>
      </c>
      <c r="M285" t="s">
        <v>56</v>
      </c>
      <c r="N285" t="s">
        <v>56</v>
      </c>
      <c r="O285" t="s">
        <v>39</v>
      </c>
      <c r="P285" t="s">
        <v>38</v>
      </c>
      <c r="Q285" t="s">
        <v>56</v>
      </c>
      <c r="R285" t="s">
        <v>39</v>
      </c>
      <c r="S285" t="s">
        <v>627</v>
      </c>
      <c r="T285" t="s">
        <v>2375</v>
      </c>
      <c r="U285" t="s">
        <v>2376</v>
      </c>
      <c r="V285" t="s">
        <v>2052</v>
      </c>
      <c r="W285" t="s">
        <v>154</v>
      </c>
      <c r="X285" t="s">
        <v>46</v>
      </c>
      <c r="AC285">
        <f>COUNTIF(C:C,QLKV_gui_ket_qua_ra_soat[[#This Row],[Mã điểm bán]])</f>
        <v>1</v>
      </c>
    </row>
    <row r="286" spans="1:29" x14ac:dyDescent="0.45">
      <c r="A286" t="s">
        <v>10783</v>
      </c>
      <c r="B286">
        <v>448</v>
      </c>
      <c r="C286" t="s">
        <v>2696</v>
      </c>
      <c r="D286" t="s">
        <v>2697</v>
      </c>
      <c r="E286" t="s">
        <v>2698</v>
      </c>
      <c r="F286" t="s">
        <v>53</v>
      </c>
      <c r="G286" t="s">
        <v>150</v>
      </c>
      <c r="H286" t="s">
        <v>54</v>
      </c>
      <c r="I286" t="s">
        <v>2699</v>
      </c>
      <c r="J286" t="s">
        <v>37</v>
      </c>
      <c r="K286" t="s">
        <v>56</v>
      </c>
      <c r="L286" t="s">
        <v>39</v>
      </c>
      <c r="M286" t="s">
        <v>56</v>
      </c>
      <c r="N286" t="s">
        <v>56</v>
      </c>
      <c r="O286" t="s">
        <v>39</v>
      </c>
      <c r="P286" t="s">
        <v>38</v>
      </c>
      <c r="Q286" t="s">
        <v>37</v>
      </c>
      <c r="R286" t="s">
        <v>39</v>
      </c>
      <c r="S286" t="s">
        <v>627</v>
      </c>
      <c r="T286" t="s">
        <v>2375</v>
      </c>
      <c r="U286" t="s">
        <v>2376</v>
      </c>
      <c r="V286" t="s">
        <v>2052</v>
      </c>
      <c r="W286" t="s">
        <v>154</v>
      </c>
      <c r="X286" t="s">
        <v>46</v>
      </c>
      <c r="AC286">
        <f>COUNTIF(C:C,QLKV_gui_ket_qua_ra_soat[[#This Row],[Mã điểm bán]])</f>
        <v>1</v>
      </c>
    </row>
    <row r="287" spans="1:29" x14ac:dyDescent="0.45">
      <c r="A287" t="s">
        <v>10783</v>
      </c>
      <c r="B287">
        <v>449</v>
      </c>
      <c r="C287" t="s">
        <v>2754</v>
      </c>
      <c r="D287" t="s">
        <v>2755</v>
      </c>
      <c r="E287" t="s">
        <v>2555</v>
      </c>
      <c r="F287" t="s">
        <v>2368</v>
      </c>
      <c r="G287" t="s">
        <v>150</v>
      </c>
      <c r="H287" t="s">
        <v>54</v>
      </c>
      <c r="I287" t="s">
        <v>2756</v>
      </c>
      <c r="J287" t="s">
        <v>56</v>
      </c>
      <c r="K287" t="s">
        <v>56</v>
      </c>
      <c r="L287" t="s">
        <v>39</v>
      </c>
      <c r="M287" t="s">
        <v>56</v>
      </c>
      <c r="N287" t="s">
        <v>56</v>
      </c>
      <c r="O287" t="s">
        <v>39</v>
      </c>
      <c r="P287" t="s">
        <v>38</v>
      </c>
      <c r="Q287" t="s">
        <v>37</v>
      </c>
      <c r="R287" t="s">
        <v>40</v>
      </c>
      <c r="S287" t="s">
        <v>627</v>
      </c>
      <c r="T287" t="s">
        <v>2375</v>
      </c>
      <c r="U287" t="s">
        <v>2376</v>
      </c>
      <c r="V287" t="s">
        <v>2052</v>
      </c>
      <c r="W287" t="s">
        <v>154</v>
      </c>
      <c r="X287" t="s">
        <v>46</v>
      </c>
      <c r="AC287">
        <f>COUNTIF(C:C,QLKV_gui_ket_qua_ra_soat[[#This Row],[Mã điểm bán]])</f>
        <v>1</v>
      </c>
    </row>
    <row r="288" spans="1:29" x14ac:dyDescent="0.45">
      <c r="A288" t="s">
        <v>10783</v>
      </c>
      <c r="B288">
        <v>450</v>
      </c>
      <c r="C288" t="s">
        <v>2792</v>
      </c>
      <c r="D288" t="s">
        <v>2793</v>
      </c>
      <c r="E288" t="s">
        <v>1610</v>
      </c>
      <c r="F288" t="s">
        <v>53</v>
      </c>
      <c r="G288" t="s">
        <v>34</v>
      </c>
      <c r="H288" t="s">
        <v>54</v>
      </c>
      <c r="I288" t="s">
        <v>2794</v>
      </c>
      <c r="J288" t="s">
        <v>56</v>
      </c>
      <c r="K288" t="s">
        <v>56</v>
      </c>
      <c r="L288" t="s">
        <v>39</v>
      </c>
      <c r="M288" t="s">
        <v>37</v>
      </c>
      <c r="N288" t="s">
        <v>56</v>
      </c>
      <c r="O288" t="s">
        <v>39</v>
      </c>
      <c r="P288" t="s">
        <v>38</v>
      </c>
      <c r="Q288" t="s">
        <v>56</v>
      </c>
      <c r="R288" t="s">
        <v>39</v>
      </c>
      <c r="S288" t="s">
        <v>627</v>
      </c>
      <c r="T288" t="s">
        <v>2375</v>
      </c>
      <c r="U288" t="s">
        <v>2376</v>
      </c>
      <c r="V288" t="s">
        <v>2052</v>
      </c>
      <c r="W288" t="s">
        <v>154</v>
      </c>
      <c r="X288" t="s">
        <v>46</v>
      </c>
      <c r="AC288">
        <f>COUNTIF(C:C,QLKV_gui_ket_qua_ra_soat[[#This Row],[Mã điểm bán]])</f>
        <v>1</v>
      </c>
    </row>
    <row r="289" spans="1:29" x14ac:dyDescent="0.45">
      <c r="A289" t="s">
        <v>10783</v>
      </c>
      <c r="B289">
        <v>451</v>
      </c>
      <c r="C289" t="s">
        <v>2799</v>
      </c>
      <c r="D289" t="s">
        <v>2800</v>
      </c>
      <c r="E289" t="s">
        <v>330</v>
      </c>
      <c r="F289" t="s">
        <v>1882</v>
      </c>
      <c r="G289" t="s">
        <v>34</v>
      </c>
      <c r="H289" t="s">
        <v>54</v>
      </c>
      <c r="I289" t="s">
        <v>2801</v>
      </c>
      <c r="J289" t="s">
        <v>37</v>
      </c>
      <c r="K289" t="s">
        <v>56</v>
      </c>
      <c r="L289" t="s">
        <v>39</v>
      </c>
      <c r="M289" t="s">
        <v>37</v>
      </c>
      <c r="N289" t="s">
        <v>56</v>
      </c>
      <c r="O289" t="s">
        <v>39</v>
      </c>
      <c r="P289" t="s">
        <v>38</v>
      </c>
      <c r="Q289" t="s">
        <v>37</v>
      </c>
      <c r="R289" t="s">
        <v>39</v>
      </c>
      <c r="S289" t="s">
        <v>627</v>
      </c>
      <c r="T289" t="s">
        <v>2375</v>
      </c>
      <c r="U289" t="s">
        <v>2376</v>
      </c>
      <c r="V289" t="s">
        <v>2052</v>
      </c>
      <c r="W289" t="s">
        <v>154</v>
      </c>
      <c r="X289" t="s">
        <v>46</v>
      </c>
      <c r="AC289">
        <f>COUNTIF(C:C,QLKV_gui_ket_qua_ra_soat[[#This Row],[Mã điểm bán]])</f>
        <v>1</v>
      </c>
    </row>
    <row r="290" spans="1:29" x14ac:dyDescent="0.45">
      <c r="A290" t="s">
        <v>10783</v>
      </c>
      <c r="B290">
        <v>452</v>
      </c>
      <c r="C290" t="s">
        <v>2810</v>
      </c>
      <c r="D290" t="s">
        <v>2811</v>
      </c>
      <c r="E290" t="s">
        <v>2812</v>
      </c>
      <c r="F290" t="s">
        <v>325</v>
      </c>
      <c r="G290" t="s">
        <v>34</v>
      </c>
      <c r="H290" t="s">
        <v>54</v>
      </c>
      <c r="I290" t="s">
        <v>2813</v>
      </c>
      <c r="J290" t="s">
        <v>37</v>
      </c>
      <c r="K290" t="s">
        <v>56</v>
      </c>
      <c r="L290" t="s">
        <v>39</v>
      </c>
      <c r="M290" t="s">
        <v>37</v>
      </c>
      <c r="N290" t="s">
        <v>56</v>
      </c>
      <c r="O290" t="s">
        <v>39</v>
      </c>
      <c r="P290" t="s">
        <v>38</v>
      </c>
      <c r="Q290" t="s">
        <v>37</v>
      </c>
      <c r="R290" t="s">
        <v>39</v>
      </c>
      <c r="S290" t="s">
        <v>627</v>
      </c>
      <c r="T290" t="s">
        <v>2375</v>
      </c>
      <c r="U290" t="s">
        <v>2376</v>
      </c>
      <c r="V290" t="s">
        <v>2052</v>
      </c>
      <c r="W290" t="s">
        <v>154</v>
      </c>
      <c r="X290" t="s">
        <v>46</v>
      </c>
      <c r="AC290">
        <f>COUNTIF(C:C,QLKV_gui_ket_qua_ra_soat[[#This Row],[Mã điểm bán]])</f>
        <v>1</v>
      </c>
    </row>
    <row r="291" spans="1:29" x14ac:dyDescent="0.45">
      <c r="A291" t="s">
        <v>10783</v>
      </c>
      <c r="B291">
        <v>453</v>
      </c>
      <c r="C291" t="s">
        <v>2869</v>
      </c>
      <c r="D291" t="s">
        <v>2870</v>
      </c>
      <c r="E291" t="s">
        <v>1664</v>
      </c>
      <c r="F291" t="s">
        <v>53</v>
      </c>
      <c r="G291" t="s">
        <v>1624</v>
      </c>
      <c r="H291" t="s">
        <v>54</v>
      </c>
      <c r="I291" t="s">
        <v>2871</v>
      </c>
      <c r="J291" t="s">
        <v>37</v>
      </c>
      <c r="K291" t="s">
        <v>37</v>
      </c>
      <c r="L291" t="s">
        <v>39</v>
      </c>
      <c r="M291" t="s">
        <v>37</v>
      </c>
      <c r="N291" t="s">
        <v>56</v>
      </c>
      <c r="O291" t="s">
        <v>39</v>
      </c>
      <c r="P291" t="s">
        <v>38</v>
      </c>
      <c r="Q291" t="s">
        <v>37</v>
      </c>
      <c r="R291" t="s">
        <v>39</v>
      </c>
      <c r="S291" t="s">
        <v>627</v>
      </c>
      <c r="T291" t="s">
        <v>2375</v>
      </c>
      <c r="U291" t="s">
        <v>2376</v>
      </c>
      <c r="V291" t="s">
        <v>2052</v>
      </c>
      <c r="W291" t="s">
        <v>154</v>
      </c>
      <c r="X291" t="s">
        <v>46</v>
      </c>
      <c r="AC291">
        <f>COUNTIF(C:C,QLKV_gui_ket_qua_ra_soat[[#This Row],[Mã điểm bán]])</f>
        <v>1</v>
      </c>
    </row>
    <row r="292" spans="1:29" x14ac:dyDescent="0.45">
      <c r="A292" t="s">
        <v>10783</v>
      </c>
      <c r="B292">
        <v>454</v>
      </c>
      <c r="C292" t="s">
        <v>2877</v>
      </c>
      <c r="D292" t="s">
        <v>2878</v>
      </c>
      <c r="E292" t="s">
        <v>2373</v>
      </c>
      <c r="F292" t="s">
        <v>325</v>
      </c>
      <c r="G292" t="s">
        <v>34</v>
      </c>
      <c r="H292" t="s">
        <v>54</v>
      </c>
      <c r="I292" t="s">
        <v>2879</v>
      </c>
      <c r="J292" t="s">
        <v>56</v>
      </c>
      <c r="K292" t="s">
        <v>56</v>
      </c>
      <c r="L292" t="s">
        <v>39</v>
      </c>
      <c r="M292" t="s">
        <v>56</v>
      </c>
      <c r="N292" t="s">
        <v>56</v>
      </c>
      <c r="O292" t="s">
        <v>39</v>
      </c>
      <c r="P292" t="s">
        <v>38</v>
      </c>
      <c r="Q292" t="s">
        <v>56</v>
      </c>
      <c r="R292" t="s">
        <v>39</v>
      </c>
      <c r="S292" t="s">
        <v>627</v>
      </c>
      <c r="T292" t="s">
        <v>2375</v>
      </c>
      <c r="U292" t="s">
        <v>2376</v>
      </c>
      <c r="V292" t="s">
        <v>2052</v>
      </c>
      <c r="W292" t="s">
        <v>154</v>
      </c>
      <c r="X292" t="s">
        <v>46</v>
      </c>
      <c r="AC292">
        <f>COUNTIF(C:C,QLKV_gui_ket_qua_ra_soat[[#This Row],[Mã điểm bán]])</f>
        <v>1</v>
      </c>
    </row>
    <row r="293" spans="1:29" x14ac:dyDescent="0.45">
      <c r="A293" t="s">
        <v>10783</v>
      </c>
      <c r="B293">
        <v>455</v>
      </c>
      <c r="C293" t="s">
        <v>2923</v>
      </c>
      <c r="D293" t="s">
        <v>2924</v>
      </c>
      <c r="E293" t="s">
        <v>2630</v>
      </c>
      <c r="F293" t="s">
        <v>53</v>
      </c>
      <c r="G293" t="s">
        <v>34</v>
      </c>
      <c r="H293" t="s">
        <v>54</v>
      </c>
      <c r="I293" t="s">
        <v>2925</v>
      </c>
      <c r="J293" t="s">
        <v>56</v>
      </c>
      <c r="K293" t="s">
        <v>56</v>
      </c>
      <c r="L293" t="s">
        <v>39</v>
      </c>
      <c r="M293" t="s">
        <v>56</v>
      </c>
      <c r="N293" t="s">
        <v>56</v>
      </c>
      <c r="O293" t="s">
        <v>39</v>
      </c>
      <c r="P293" t="s">
        <v>38</v>
      </c>
      <c r="Q293" t="s">
        <v>37</v>
      </c>
      <c r="R293" t="s">
        <v>39</v>
      </c>
      <c r="S293" t="s">
        <v>627</v>
      </c>
      <c r="T293" t="s">
        <v>2375</v>
      </c>
      <c r="U293" t="s">
        <v>2376</v>
      </c>
      <c r="V293" t="s">
        <v>2052</v>
      </c>
      <c r="W293" t="s">
        <v>154</v>
      </c>
      <c r="X293" t="s">
        <v>46</v>
      </c>
      <c r="AC293">
        <f>COUNTIF(C:C,QLKV_gui_ket_qua_ra_soat[[#This Row],[Mã điểm bán]])</f>
        <v>1</v>
      </c>
    </row>
    <row r="294" spans="1:29" x14ac:dyDescent="0.45">
      <c r="A294" t="s">
        <v>10783</v>
      </c>
      <c r="B294">
        <v>456</v>
      </c>
      <c r="C294" t="s">
        <v>2926</v>
      </c>
      <c r="D294" t="s">
        <v>2927</v>
      </c>
      <c r="E294" t="s">
        <v>2928</v>
      </c>
      <c r="F294" t="s">
        <v>1623</v>
      </c>
      <c r="G294" t="s">
        <v>34</v>
      </c>
      <c r="H294" t="s">
        <v>54</v>
      </c>
      <c r="I294" t="s">
        <v>2929</v>
      </c>
      <c r="J294" t="s">
        <v>37</v>
      </c>
      <c r="K294" t="s">
        <v>56</v>
      </c>
      <c r="L294" t="s">
        <v>39</v>
      </c>
      <c r="M294" t="s">
        <v>56</v>
      </c>
      <c r="N294" t="s">
        <v>56</v>
      </c>
      <c r="O294" t="s">
        <v>39</v>
      </c>
      <c r="P294" t="s">
        <v>38</v>
      </c>
      <c r="Q294" t="s">
        <v>37</v>
      </c>
      <c r="R294" t="s">
        <v>39</v>
      </c>
      <c r="S294" t="s">
        <v>627</v>
      </c>
      <c r="T294" t="s">
        <v>2375</v>
      </c>
      <c r="U294" t="s">
        <v>2376</v>
      </c>
      <c r="V294" t="s">
        <v>2052</v>
      </c>
      <c r="W294" t="s">
        <v>154</v>
      </c>
      <c r="Z294" t="s">
        <v>46</v>
      </c>
      <c r="AA294" t="s">
        <v>2930</v>
      </c>
      <c r="AB294" t="s">
        <v>238</v>
      </c>
      <c r="AC294">
        <f>COUNTIF(C:C,QLKV_gui_ket_qua_ra_soat[[#This Row],[Mã điểm bán]])</f>
        <v>1</v>
      </c>
    </row>
    <row r="295" spans="1:29" x14ac:dyDescent="0.45">
      <c r="A295" t="s">
        <v>10783</v>
      </c>
      <c r="B295">
        <v>457</v>
      </c>
      <c r="C295" t="s">
        <v>2954</v>
      </c>
      <c r="D295" t="s">
        <v>2955</v>
      </c>
      <c r="E295" t="s">
        <v>2956</v>
      </c>
      <c r="F295" t="s">
        <v>2957</v>
      </c>
      <c r="G295" t="s">
        <v>34</v>
      </c>
      <c r="H295" t="s">
        <v>565</v>
      </c>
      <c r="I295" t="s">
        <v>2958</v>
      </c>
      <c r="J295" t="s">
        <v>56</v>
      </c>
      <c r="K295" t="s">
        <v>56</v>
      </c>
      <c r="L295" t="s">
        <v>39</v>
      </c>
      <c r="M295" t="s">
        <v>56</v>
      </c>
      <c r="N295" t="s">
        <v>56</v>
      </c>
      <c r="O295" t="s">
        <v>39</v>
      </c>
      <c r="P295" t="s">
        <v>38</v>
      </c>
      <c r="Q295" t="s">
        <v>38</v>
      </c>
      <c r="R295" t="s">
        <v>40</v>
      </c>
      <c r="S295" t="s">
        <v>627</v>
      </c>
      <c r="T295" t="s">
        <v>2375</v>
      </c>
      <c r="U295" t="s">
        <v>2376</v>
      </c>
      <c r="V295" t="s">
        <v>2052</v>
      </c>
      <c r="W295" t="s">
        <v>154</v>
      </c>
      <c r="Z295" t="s">
        <v>46</v>
      </c>
      <c r="AA295" t="s">
        <v>2930</v>
      </c>
      <c r="AB295" t="s">
        <v>238</v>
      </c>
      <c r="AC295">
        <f>COUNTIF(C:C,QLKV_gui_ket_qua_ra_soat[[#This Row],[Mã điểm bán]])</f>
        <v>1</v>
      </c>
    </row>
    <row r="296" spans="1:29" x14ac:dyDescent="0.45">
      <c r="A296" t="s">
        <v>10783</v>
      </c>
      <c r="B296">
        <v>458</v>
      </c>
      <c r="C296" t="s">
        <v>2962</v>
      </c>
      <c r="D296" t="s">
        <v>2963</v>
      </c>
      <c r="E296" t="s">
        <v>2876</v>
      </c>
      <c r="F296" t="s">
        <v>115</v>
      </c>
      <c r="G296" t="s">
        <v>34</v>
      </c>
      <c r="H296" t="s">
        <v>54</v>
      </c>
      <c r="I296" t="s">
        <v>1732</v>
      </c>
      <c r="J296" t="s">
        <v>38</v>
      </c>
      <c r="K296" t="s">
        <v>38</v>
      </c>
      <c r="L296" t="s">
        <v>39</v>
      </c>
      <c r="M296" t="s">
        <v>56</v>
      </c>
      <c r="N296" t="s">
        <v>56</v>
      </c>
      <c r="O296" t="s">
        <v>39</v>
      </c>
      <c r="P296" t="s">
        <v>38</v>
      </c>
      <c r="Q296" t="s">
        <v>38</v>
      </c>
      <c r="R296" t="s">
        <v>39</v>
      </c>
      <c r="S296" t="s">
        <v>627</v>
      </c>
      <c r="T296" t="s">
        <v>2375</v>
      </c>
      <c r="U296" t="s">
        <v>2376</v>
      </c>
      <c r="V296" t="s">
        <v>2052</v>
      </c>
      <c r="W296" t="s">
        <v>154</v>
      </c>
      <c r="X296" t="s">
        <v>46</v>
      </c>
      <c r="AC296">
        <f>COUNTIF(C:C,QLKV_gui_ket_qua_ra_soat[[#This Row],[Mã điểm bán]])</f>
        <v>1</v>
      </c>
    </row>
    <row r="297" spans="1:29" x14ac:dyDescent="0.45">
      <c r="A297" t="s">
        <v>10783</v>
      </c>
      <c r="B297">
        <v>459</v>
      </c>
      <c r="C297" t="s">
        <v>446</v>
      </c>
      <c r="D297" t="s">
        <v>447</v>
      </c>
      <c r="E297" t="s">
        <v>448</v>
      </c>
      <c r="F297" t="s">
        <v>53</v>
      </c>
      <c r="G297" t="s">
        <v>34</v>
      </c>
      <c r="H297" t="s">
        <v>54</v>
      </c>
      <c r="I297" t="s">
        <v>449</v>
      </c>
      <c r="J297" t="s">
        <v>38</v>
      </c>
      <c r="K297" t="s">
        <v>38</v>
      </c>
      <c r="L297" t="s">
        <v>40</v>
      </c>
      <c r="M297" t="s">
        <v>38</v>
      </c>
      <c r="N297" t="s">
        <v>38</v>
      </c>
      <c r="O297" t="s">
        <v>39</v>
      </c>
      <c r="P297" t="s">
        <v>38</v>
      </c>
      <c r="Q297" t="s">
        <v>38</v>
      </c>
      <c r="R297" t="s">
        <v>40</v>
      </c>
      <c r="S297" t="s">
        <v>41</v>
      </c>
      <c r="T297" t="s">
        <v>450</v>
      </c>
      <c r="U297" t="s">
        <v>451</v>
      </c>
      <c r="V297" t="s">
        <v>44</v>
      </c>
      <c r="W297" t="s">
        <v>452</v>
      </c>
      <c r="X297" t="s">
        <v>46</v>
      </c>
      <c r="AC297">
        <f>COUNTIF(C:C,QLKV_gui_ket_qua_ra_soat[[#This Row],[Mã điểm bán]])</f>
        <v>1</v>
      </c>
    </row>
    <row r="298" spans="1:29" x14ac:dyDescent="0.45">
      <c r="A298" t="s">
        <v>10783</v>
      </c>
      <c r="B298">
        <v>460</v>
      </c>
      <c r="C298" t="s">
        <v>490</v>
      </c>
      <c r="D298" t="s">
        <v>491</v>
      </c>
      <c r="E298" t="s">
        <v>330</v>
      </c>
      <c r="F298" t="s">
        <v>492</v>
      </c>
      <c r="G298" t="s">
        <v>34</v>
      </c>
      <c r="H298" t="s">
        <v>54</v>
      </c>
      <c r="I298" t="s">
        <v>493</v>
      </c>
      <c r="J298" t="s">
        <v>38</v>
      </c>
      <c r="K298" t="s">
        <v>38</v>
      </c>
      <c r="L298" t="s">
        <v>40</v>
      </c>
      <c r="M298" t="s">
        <v>38</v>
      </c>
      <c r="N298" t="s">
        <v>38</v>
      </c>
      <c r="O298" t="s">
        <v>40</v>
      </c>
      <c r="P298" t="s">
        <v>38</v>
      </c>
      <c r="Q298" t="s">
        <v>38</v>
      </c>
      <c r="R298" t="s">
        <v>40</v>
      </c>
      <c r="S298" t="s">
        <v>41</v>
      </c>
      <c r="T298" t="s">
        <v>450</v>
      </c>
      <c r="U298" t="s">
        <v>451</v>
      </c>
      <c r="V298" t="s">
        <v>44</v>
      </c>
      <c r="W298" t="s">
        <v>452</v>
      </c>
      <c r="X298" t="s">
        <v>46</v>
      </c>
      <c r="AC298">
        <f>COUNTIF(C:C,QLKV_gui_ket_qua_ra_soat[[#This Row],[Mã điểm bán]])</f>
        <v>1</v>
      </c>
    </row>
    <row r="299" spans="1:29" x14ac:dyDescent="0.45">
      <c r="A299" t="s">
        <v>10783</v>
      </c>
      <c r="B299">
        <v>461</v>
      </c>
      <c r="C299" t="s">
        <v>585</v>
      </c>
      <c r="D299" t="s">
        <v>586</v>
      </c>
      <c r="E299" t="s">
        <v>587</v>
      </c>
      <c r="F299" t="s">
        <v>53</v>
      </c>
      <c r="G299" t="s">
        <v>34</v>
      </c>
      <c r="H299" t="s">
        <v>54</v>
      </c>
      <c r="I299" t="s">
        <v>588</v>
      </c>
      <c r="J299" t="s">
        <v>38</v>
      </c>
      <c r="K299" t="s">
        <v>38</v>
      </c>
      <c r="L299" t="s">
        <v>40</v>
      </c>
      <c r="M299" t="s">
        <v>37</v>
      </c>
      <c r="N299" t="s">
        <v>37</v>
      </c>
      <c r="O299" t="s">
        <v>40</v>
      </c>
      <c r="P299" t="s">
        <v>38</v>
      </c>
      <c r="Q299" t="s">
        <v>38</v>
      </c>
      <c r="R299" t="s">
        <v>40</v>
      </c>
      <c r="S299" t="s">
        <v>41</v>
      </c>
      <c r="T299" t="s">
        <v>450</v>
      </c>
      <c r="U299" t="s">
        <v>451</v>
      </c>
      <c r="V299" t="s">
        <v>44</v>
      </c>
      <c r="W299" t="s">
        <v>452</v>
      </c>
      <c r="X299" t="s">
        <v>46</v>
      </c>
      <c r="AC299">
        <f>COUNTIF(C:C,QLKV_gui_ket_qua_ra_soat[[#This Row],[Mã điểm bán]])</f>
        <v>1</v>
      </c>
    </row>
    <row r="300" spans="1:29" x14ac:dyDescent="0.45">
      <c r="A300" t="s">
        <v>10783</v>
      </c>
      <c r="B300">
        <v>462</v>
      </c>
      <c r="C300" t="s">
        <v>677</v>
      </c>
      <c r="D300" t="s">
        <v>678</v>
      </c>
      <c r="E300" t="s">
        <v>587</v>
      </c>
      <c r="F300" t="s">
        <v>53</v>
      </c>
      <c r="G300" t="s">
        <v>34</v>
      </c>
      <c r="H300" t="s">
        <v>54</v>
      </c>
      <c r="I300" t="s">
        <v>679</v>
      </c>
      <c r="J300" t="s">
        <v>38</v>
      </c>
      <c r="K300" t="s">
        <v>38</v>
      </c>
      <c r="L300" t="s">
        <v>40</v>
      </c>
      <c r="M300" t="s">
        <v>37</v>
      </c>
      <c r="N300" t="s">
        <v>37</v>
      </c>
      <c r="O300" t="s">
        <v>40</v>
      </c>
      <c r="P300" t="s">
        <v>38</v>
      </c>
      <c r="Q300" t="s">
        <v>38</v>
      </c>
      <c r="R300" t="s">
        <v>40</v>
      </c>
      <c r="S300" t="s">
        <v>41</v>
      </c>
      <c r="T300" t="s">
        <v>450</v>
      </c>
      <c r="U300" t="s">
        <v>451</v>
      </c>
      <c r="V300" t="s">
        <v>44</v>
      </c>
      <c r="W300" t="s">
        <v>452</v>
      </c>
      <c r="Z300" t="s">
        <v>46</v>
      </c>
      <c r="AA300" t="s">
        <v>570</v>
      </c>
      <c r="AB300" t="s">
        <v>238</v>
      </c>
      <c r="AC300">
        <f>COUNTIF(C:C,QLKV_gui_ket_qua_ra_soat[[#This Row],[Mã điểm bán]])</f>
        <v>1</v>
      </c>
    </row>
    <row r="301" spans="1:29" x14ac:dyDescent="0.45">
      <c r="A301" t="s">
        <v>10783</v>
      </c>
      <c r="B301">
        <v>463</v>
      </c>
      <c r="C301" t="s">
        <v>907</v>
      </c>
      <c r="D301" t="s">
        <v>908</v>
      </c>
      <c r="E301" t="s">
        <v>587</v>
      </c>
      <c r="F301" t="s">
        <v>53</v>
      </c>
      <c r="G301" t="s">
        <v>34</v>
      </c>
      <c r="H301" t="s">
        <v>54</v>
      </c>
      <c r="I301" t="s">
        <v>909</v>
      </c>
      <c r="J301" t="s">
        <v>38</v>
      </c>
      <c r="K301" t="s">
        <v>38</v>
      </c>
      <c r="L301" t="s">
        <v>40</v>
      </c>
      <c r="M301" t="s">
        <v>37</v>
      </c>
      <c r="N301" t="s">
        <v>37</v>
      </c>
      <c r="O301" t="s">
        <v>40</v>
      </c>
      <c r="P301" t="s">
        <v>38</v>
      </c>
      <c r="Q301" t="s">
        <v>38</v>
      </c>
      <c r="R301" t="s">
        <v>40</v>
      </c>
      <c r="S301" t="s">
        <v>41</v>
      </c>
      <c r="T301" t="s">
        <v>450</v>
      </c>
      <c r="U301" t="s">
        <v>451</v>
      </c>
      <c r="V301" t="s">
        <v>44</v>
      </c>
      <c r="W301" t="s">
        <v>452</v>
      </c>
      <c r="X301" t="s">
        <v>46</v>
      </c>
      <c r="AC301">
        <f>COUNTIF(C:C,QLKV_gui_ket_qua_ra_soat[[#This Row],[Mã điểm bán]])</f>
        <v>1</v>
      </c>
    </row>
    <row r="302" spans="1:29" x14ac:dyDescent="0.45">
      <c r="A302" t="s">
        <v>10783</v>
      </c>
      <c r="B302">
        <v>464</v>
      </c>
      <c r="C302" t="s">
        <v>932</v>
      </c>
      <c r="D302" t="s">
        <v>933</v>
      </c>
      <c r="E302" t="s">
        <v>108</v>
      </c>
      <c r="F302" t="s">
        <v>934</v>
      </c>
      <c r="G302" t="s">
        <v>34</v>
      </c>
      <c r="H302" t="s">
        <v>54</v>
      </c>
      <c r="I302" t="s">
        <v>935</v>
      </c>
      <c r="J302" t="s">
        <v>38</v>
      </c>
      <c r="K302" t="s">
        <v>38</v>
      </c>
      <c r="L302" t="s">
        <v>40</v>
      </c>
      <c r="M302" t="s">
        <v>37</v>
      </c>
      <c r="N302" t="s">
        <v>56</v>
      </c>
      <c r="O302" t="s">
        <v>39</v>
      </c>
      <c r="P302" t="s">
        <v>38</v>
      </c>
      <c r="Q302" t="s">
        <v>38</v>
      </c>
      <c r="R302" t="s">
        <v>40</v>
      </c>
      <c r="S302" t="s">
        <v>41</v>
      </c>
      <c r="T302" t="s">
        <v>450</v>
      </c>
      <c r="U302" t="s">
        <v>451</v>
      </c>
      <c r="V302" t="s">
        <v>44</v>
      </c>
      <c r="W302" t="s">
        <v>452</v>
      </c>
      <c r="X302" t="s">
        <v>46</v>
      </c>
      <c r="AC302">
        <f>COUNTIF(C:C,QLKV_gui_ket_qua_ra_soat[[#This Row],[Mã điểm bán]])</f>
        <v>1</v>
      </c>
    </row>
    <row r="303" spans="1:29" x14ac:dyDescent="0.45">
      <c r="A303" t="s">
        <v>10783</v>
      </c>
      <c r="B303">
        <v>465</v>
      </c>
      <c r="C303" t="s">
        <v>945</v>
      </c>
      <c r="D303" t="s">
        <v>946</v>
      </c>
      <c r="E303" t="s">
        <v>587</v>
      </c>
      <c r="F303" t="s">
        <v>53</v>
      </c>
      <c r="G303" t="s">
        <v>34</v>
      </c>
      <c r="H303" t="s">
        <v>54</v>
      </c>
      <c r="I303" t="s">
        <v>947</v>
      </c>
      <c r="J303" t="s">
        <v>38</v>
      </c>
      <c r="K303" t="s">
        <v>38</v>
      </c>
      <c r="L303" t="s">
        <v>40</v>
      </c>
      <c r="M303" t="s">
        <v>37</v>
      </c>
      <c r="N303" t="s">
        <v>37</v>
      </c>
      <c r="O303" t="s">
        <v>40</v>
      </c>
      <c r="P303" t="s">
        <v>38</v>
      </c>
      <c r="Q303" t="s">
        <v>38</v>
      </c>
      <c r="R303" t="s">
        <v>40</v>
      </c>
      <c r="S303" t="s">
        <v>41</v>
      </c>
      <c r="T303" t="s">
        <v>450</v>
      </c>
      <c r="U303" t="s">
        <v>451</v>
      </c>
      <c r="V303" t="s">
        <v>44</v>
      </c>
      <c r="W303" t="s">
        <v>452</v>
      </c>
      <c r="Z303" t="s">
        <v>46</v>
      </c>
      <c r="AA303" t="s">
        <v>570</v>
      </c>
      <c r="AB303" t="s">
        <v>238</v>
      </c>
      <c r="AC303">
        <f>COUNTIF(C:C,QLKV_gui_ket_qua_ra_soat[[#This Row],[Mã điểm bán]])</f>
        <v>1</v>
      </c>
    </row>
    <row r="304" spans="1:29" x14ac:dyDescent="0.45">
      <c r="A304" t="s">
        <v>10783</v>
      </c>
      <c r="B304">
        <v>466</v>
      </c>
      <c r="C304" t="s">
        <v>992</v>
      </c>
      <c r="D304" t="s">
        <v>993</v>
      </c>
      <c r="E304" t="s">
        <v>69</v>
      </c>
      <c r="F304" t="s">
        <v>53</v>
      </c>
      <c r="G304" t="s">
        <v>34</v>
      </c>
      <c r="H304" t="s">
        <v>54</v>
      </c>
      <c r="I304" t="s">
        <v>994</v>
      </c>
      <c r="J304" t="s">
        <v>38</v>
      </c>
      <c r="K304" t="s">
        <v>38</v>
      </c>
      <c r="L304" t="s">
        <v>40</v>
      </c>
      <c r="M304" t="s">
        <v>37</v>
      </c>
      <c r="N304" t="s">
        <v>37</v>
      </c>
      <c r="O304" t="s">
        <v>40</v>
      </c>
      <c r="P304" t="s">
        <v>38</v>
      </c>
      <c r="Q304" t="s">
        <v>38</v>
      </c>
      <c r="R304" t="s">
        <v>40</v>
      </c>
      <c r="S304" t="s">
        <v>41</v>
      </c>
      <c r="T304" t="s">
        <v>450</v>
      </c>
      <c r="U304" t="s">
        <v>451</v>
      </c>
      <c r="V304" t="s">
        <v>44</v>
      </c>
      <c r="W304" t="s">
        <v>452</v>
      </c>
      <c r="Z304" t="s">
        <v>46</v>
      </c>
      <c r="AA304" t="s">
        <v>570</v>
      </c>
      <c r="AB304" t="s">
        <v>238</v>
      </c>
      <c r="AC304">
        <f>COUNTIF(C:C,QLKV_gui_ket_qua_ra_soat[[#This Row],[Mã điểm bán]])</f>
        <v>1</v>
      </c>
    </row>
    <row r="305" spans="1:29" x14ac:dyDescent="0.45">
      <c r="A305" t="s">
        <v>10783</v>
      </c>
      <c r="B305">
        <v>467</v>
      </c>
      <c r="C305" t="s">
        <v>1075</v>
      </c>
      <c r="D305" t="s">
        <v>1076</v>
      </c>
      <c r="E305" t="s">
        <v>307</v>
      </c>
      <c r="F305" t="s">
        <v>53</v>
      </c>
      <c r="G305" t="s">
        <v>34</v>
      </c>
      <c r="H305" t="s">
        <v>685</v>
      </c>
      <c r="I305" t="s">
        <v>1077</v>
      </c>
      <c r="J305" t="s">
        <v>38</v>
      </c>
      <c r="K305" t="s">
        <v>38</v>
      </c>
      <c r="L305" t="s">
        <v>40</v>
      </c>
      <c r="M305" t="s">
        <v>38</v>
      </c>
      <c r="N305" t="s">
        <v>38</v>
      </c>
      <c r="O305" t="s">
        <v>40</v>
      </c>
      <c r="P305" t="s">
        <v>38</v>
      </c>
      <c r="Q305" t="s">
        <v>38</v>
      </c>
      <c r="R305" t="s">
        <v>40</v>
      </c>
      <c r="S305" t="s">
        <v>41</v>
      </c>
      <c r="T305" t="s">
        <v>450</v>
      </c>
      <c r="U305" t="s">
        <v>451</v>
      </c>
      <c r="V305" t="s">
        <v>44</v>
      </c>
      <c r="W305" t="s">
        <v>452</v>
      </c>
      <c r="X305" t="s">
        <v>46</v>
      </c>
      <c r="AC305">
        <f>COUNTIF(C:C,QLKV_gui_ket_qua_ra_soat[[#This Row],[Mã điểm bán]])</f>
        <v>1</v>
      </c>
    </row>
    <row r="306" spans="1:29" x14ac:dyDescent="0.45">
      <c r="A306" t="s">
        <v>10783</v>
      </c>
      <c r="B306">
        <v>468</v>
      </c>
      <c r="C306" t="s">
        <v>1093</v>
      </c>
      <c r="D306" t="s">
        <v>1094</v>
      </c>
      <c r="E306" t="s">
        <v>109</v>
      </c>
      <c r="F306" t="s">
        <v>53</v>
      </c>
      <c r="G306" t="s">
        <v>34</v>
      </c>
      <c r="H306" t="s">
        <v>54</v>
      </c>
      <c r="I306" t="s">
        <v>1095</v>
      </c>
      <c r="J306" t="s">
        <v>38</v>
      </c>
      <c r="K306" t="s">
        <v>38</v>
      </c>
      <c r="L306" t="s">
        <v>40</v>
      </c>
      <c r="M306" t="s">
        <v>37</v>
      </c>
      <c r="N306" t="s">
        <v>37</v>
      </c>
      <c r="O306" t="s">
        <v>40</v>
      </c>
      <c r="P306" t="s">
        <v>38</v>
      </c>
      <c r="Q306" t="s">
        <v>38</v>
      </c>
      <c r="R306" t="s">
        <v>40</v>
      </c>
      <c r="S306" t="s">
        <v>41</v>
      </c>
      <c r="T306" t="s">
        <v>450</v>
      </c>
      <c r="U306" t="s">
        <v>451</v>
      </c>
      <c r="V306" t="s">
        <v>44</v>
      </c>
      <c r="W306" t="s">
        <v>452</v>
      </c>
      <c r="Z306" t="s">
        <v>46</v>
      </c>
      <c r="AA306" t="s">
        <v>570</v>
      </c>
      <c r="AB306" t="s">
        <v>238</v>
      </c>
      <c r="AC306">
        <f>COUNTIF(C:C,QLKV_gui_ket_qua_ra_soat[[#This Row],[Mã điểm bán]])</f>
        <v>1</v>
      </c>
    </row>
    <row r="307" spans="1:29" x14ac:dyDescent="0.45">
      <c r="A307" t="s">
        <v>10783</v>
      </c>
      <c r="B307">
        <v>469</v>
      </c>
      <c r="C307" t="s">
        <v>1215</v>
      </c>
      <c r="D307" t="s">
        <v>1216</v>
      </c>
      <c r="E307" t="s">
        <v>91</v>
      </c>
      <c r="F307" t="s">
        <v>53</v>
      </c>
      <c r="G307" t="s">
        <v>34</v>
      </c>
      <c r="H307" t="s">
        <v>54</v>
      </c>
      <c r="I307" t="s">
        <v>1217</v>
      </c>
      <c r="J307" t="s">
        <v>38</v>
      </c>
      <c r="K307" t="s">
        <v>38</v>
      </c>
      <c r="L307" t="s">
        <v>40</v>
      </c>
      <c r="M307" t="s">
        <v>38</v>
      </c>
      <c r="N307" t="s">
        <v>38</v>
      </c>
      <c r="O307" t="s">
        <v>40</v>
      </c>
      <c r="P307" t="s">
        <v>38</v>
      </c>
      <c r="Q307" t="s">
        <v>38</v>
      </c>
      <c r="R307" t="s">
        <v>40</v>
      </c>
      <c r="S307" t="s">
        <v>41</v>
      </c>
      <c r="T307" t="s">
        <v>450</v>
      </c>
      <c r="U307" t="s">
        <v>451</v>
      </c>
      <c r="V307" t="s">
        <v>44</v>
      </c>
      <c r="W307" t="s">
        <v>452</v>
      </c>
      <c r="X307" t="s">
        <v>46</v>
      </c>
      <c r="AC307">
        <f>COUNTIF(C:C,QLKV_gui_ket_qua_ra_soat[[#This Row],[Mã điểm bán]])</f>
        <v>1</v>
      </c>
    </row>
    <row r="308" spans="1:29" x14ac:dyDescent="0.45">
      <c r="A308" t="s">
        <v>10783</v>
      </c>
      <c r="B308">
        <v>470</v>
      </c>
      <c r="C308" t="s">
        <v>1227</v>
      </c>
      <c r="D308" t="s">
        <v>1228</v>
      </c>
      <c r="E308" t="s">
        <v>1229</v>
      </c>
      <c r="F308" t="s">
        <v>53</v>
      </c>
      <c r="G308" t="s">
        <v>34</v>
      </c>
      <c r="H308" t="s">
        <v>54</v>
      </c>
      <c r="I308" t="s">
        <v>1230</v>
      </c>
      <c r="J308" t="s">
        <v>38</v>
      </c>
      <c r="K308" t="s">
        <v>38</v>
      </c>
      <c r="L308" t="s">
        <v>40</v>
      </c>
      <c r="M308" t="s">
        <v>37</v>
      </c>
      <c r="N308" t="s">
        <v>37</v>
      </c>
      <c r="O308" t="s">
        <v>40</v>
      </c>
      <c r="P308" t="s">
        <v>38</v>
      </c>
      <c r="Q308" t="s">
        <v>38</v>
      </c>
      <c r="R308" t="s">
        <v>40</v>
      </c>
      <c r="S308" t="s">
        <v>41</v>
      </c>
      <c r="T308" t="s">
        <v>450</v>
      </c>
      <c r="U308" t="s">
        <v>451</v>
      </c>
      <c r="V308" t="s">
        <v>44</v>
      </c>
      <c r="W308" t="s">
        <v>452</v>
      </c>
      <c r="Z308" t="s">
        <v>46</v>
      </c>
      <c r="AA308" t="s">
        <v>570</v>
      </c>
      <c r="AB308" t="s">
        <v>238</v>
      </c>
      <c r="AC308">
        <f>COUNTIF(C:C,QLKV_gui_ket_qua_ra_soat[[#This Row],[Mã điểm bán]])</f>
        <v>1</v>
      </c>
    </row>
    <row r="309" spans="1:29" x14ac:dyDescent="0.45">
      <c r="A309" t="s">
        <v>10783</v>
      </c>
      <c r="B309">
        <v>471</v>
      </c>
      <c r="C309" t="s">
        <v>1231</v>
      </c>
      <c r="D309" t="s">
        <v>1232</v>
      </c>
      <c r="E309" t="s">
        <v>712</v>
      </c>
      <c r="F309" t="s">
        <v>53</v>
      </c>
      <c r="G309" t="s">
        <v>34</v>
      </c>
      <c r="H309" t="s">
        <v>54</v>
      </c>
      <c r="I309" t="s">
        <v>1233</v>
      </c>
      <c r="J309" t="s">
        <v>38</v>
      </c>
      <c r="K309" t="s">
        <v>38</v>
      </c>
      <c r="L309" t="s">
        <v>40</v>
      </c>
      <c r="M309" t="s">
        <v>37</v>
      </c>
      <c r="N309" t="s">
        <v>37</v>
      </c>
      <c r="O309" t="s">
        <v>40</v>
      </c>
      <c r="P309" t="s">
        <v>38</v>
      </c>
      <c r="Q309" t="s">
        <v>38</v>
      </c>
      <c r="R309" t="s">
        <v>40</v>
      </c>
      <c r="S309" t="s">
        <v>41</v>
      </c>
      <c r="T309" t="s">
        <v>450</v>
      </c>
      <c r="U309" t="s">
        <v>451</v>
      </c>
      <c r="V309" t="s">
        <v>44</v>
      </c>
      <c r="W309" t="s">
        <v>452</v>
      </c>
      <c r="Z309" t="s">
        <v>46</v>
      </c>
      <c r="AA309" t="s">
        <v>570</v>
      </c>
      <c r="AB309" t="s">
        <v>238</v>
      </c>
      <c r="AC309">
        <f>COUNTIF(C:C,QLKV_gui_ket_qua_ra_soat[[#This Row],[Mã điểm bán]])</f>
        <v>1</v>
      </c>
    </row>
    <row r="310" spans="1:29" x14ac:dyDescent="0.45">
      <c r="A310" t="s">
        <v>10783</v>
      </c>
      <c r="B310">
        <v>472</v>
      </c>
      <c r="C310" t="s">
        <v>1234</v>
      </c>
      <c r="D310" t="s">
        <v>1235</v>
      </c>
      <c r="E310" t="s">
        <v>587</v>
      </c>
      <c r="F310" t="s">
        <v>53</v>
      </c>
      <c r="G310" t="s">
        <v>34</v>
      </c>
      <c r="H310" t="s">
        <v>54</v>
      </c>
      <c r="I310" t="s">
        <v>1236</v>
      </c>
      <c r="J310" t="s">
        <v>38</v>
      </c>
      <c r="K310" t="s">
        <v>38</v>
      </c>
      <c r="L310" t="s">
        <v>40</v>
      </c>
      <c r="M310" t="s">
        <v>37</v>
      </c>
      <c r="N310" t="s">
        <v>37</v>
      </c>
      <c r="O310" t="s">
        <v>40</v>
      </c>
      <c r="P310" t="s">
        <v>38</v>
      </c>
      <c r="Q310" t="s">
        <v>38</v>
      </c>
      <c r="R310" t="s">
        <v>40</v>
      </c>
      <c r="S310" t="s">
        <v>41</v>
      </c>
      <c r="T310" t="s">
        <v>450</v>
      </c>
      <c r="U310" t="s">
        <v>451</v>
      </c>
      <c r="V310" t="s">
        <v>44</v>
      </c>
      <c r="W310" t="s">
        <v>452</v>
      </c>
      <c r="X310" t="s">
        <v>46</v>
      </c>
      <c r="AC310">
        <f>COUNTIF(C:C,QLKV_gui_ket_qua_ra_soat[[#This Row],[Mã điểm bán]])</f>
        <v>1</v>
      </c>
    </row>
    <row r="311" spans="1:29" x14ac:dyDescent="0.45">
      <c r="A311" t="s">
        <v>10783</v>
      </c>
      <c r="B311">
        <v>473</v>
      </c>
      <c r="C311" t="s">
        <v>1240</v>
      </c>
      <c r="D311" t="s">
        <v>1241</v>
      </c>
      <c r="E311" t="s">
        <v>587</v>
      </c>
      <c r="F311" t="s">
        <v>53</v>
      </c>
      <c r="G311" t="s">
        <v>34</v>
      </c>
      <c r="H311" t="s">
        <v>54</v>
      </c>
      <c r="I311" t="s">
        <v>1242</v>
      </c>
      <c r="J311" t="s">
        <v>38</v>
      </c>
      <c r="K311" t="s">
        <v>38</v>
      </c>
      <c r="L311" t="s">
        <v>40</v>
      </c>
      <c r="M311" t="s">
        <v>37</v>
      </c>
      <c r="N311" t="s">
        <v>37</v>
      </c>
      <c r="O311" t="s">
        <v>39</v>
      </c>
      <c r="P311" t="s">
        <v>38</v>
      </c>
      <c r="Q311" t="s">
        <v>38</v>
      </c>
      <c r="R311" t="s">
        <v>40</v>
      </c>
      <c r="S311" t="s">
        <v>41</v>
      </c>
      <c r="T311" t="s">
        <v>450</v>
      </c>
      <c r="U311" t="s">
        <v>451</v>
      </c>
      <c r="V311" t="s">
        <v>44</v>
      </c>
      <c r="W311" t="s">
        <v>452</v>
      </c>
      <c r="Z311" t="s">
        <v>46</v>
      </c>
      <c r="AA311" t="s">
        <v>570</v>
      </c>
      <c r="AB311" t="s">
        <v>238</v>
      </c>
      <c r="AC311">
        <f>COUNTIF(C:C,QLKV_gui_ket_qua_ra_soat[[#This Row],[Mã điểm bán]])</f>
        <v>1</v>
      </c>
    </row>
    <row r="312" spans="1:29" x14ac:dyDescent="0.45">
      <c r="A312" t="s">
        <v>10783</v>
      </c>
      <c r="B312">
        <v>474</v>
      </c>
      <c r="C312" t="s">
        <v>1245</v>
      </c>
      <c r="D312" t="s">
        <v>1246</v>
      </c>
      <c r="E312" t="s">
        <v>1247</v>
      </c>
      <c r="F312" t="s">
        <v>53</v>
      </c>
      <c r="G312" t="s">
        <v>34</v>
      </c>
      <c r="H312" t="s">
        <v>54</v>
      </c>
      <c r="I312" t="s">
        <v>1248</v>
      </c>
      <c r="J312" t="s">
        <v>38</v>
      </c>
      <c r="K312" t="s">
        <v>38</v>
      </c>
      <c r="L312" t="s">
        <v>40</v>
      </c>
      <c r="M312" t="s">
        <v>37</v>
      </c>
      <c r="N312" t="s">
        <v>37</v>
      </c>
      <c r="O312" t="s">
        <v>40</v>
      </c>
      <c r="P312" t="s">
        <v>38</v>
      </c>
      <c r="Q312" t="s">
        <v>38</v>
      </c>
      <c r="R312" t="s">
        <v>40</v>
      </c>
      <c r="S312" t="s">
        <v>41</v>
      </c>
      <c r="T312" t="s">
        <v>450</v>
      </c>
      <c r="U312" t="s">
        <v>451</v>
      </c>
      <c r="V312" t="s">
        <v>44</v>
      </c>
      <c r="W312" t="s">
        <v>452</v>
      </c>
      <c r="Z312" t="s">
        <v>46</v>
      </c>
      <c r="AA312" t="s">
        <v>570</v>
      </c>
      <c r="AB312" t="s">
        <v>238</v>
      </c>
      <c r="AC312">
        <f>COUNTIF(C:C,QLKV_gui_ket_qua_ra_soat[[#This Row],[Mã điểm bán]])</f>
        <v>1</v>
      </c>
    </row>
    <row r="313" spans="1:29" x14ac:dyDescent="0.45">
      <c r="A313" t="s">
        <v>10783</v>
      </c>
      <c r="B313">
        <v>475</v>
      </c>
      <c r="C313" t="s">
        <v>1258</v>
      </c>
      <c r="D313" t="s">
        <v>1259</v>
      </c>
      <c r="E313" t="s">
        <v>882</v>
      </c>
      <c r="F313" t="s">
        <v>33</v>
      </c>
      <c r="G313" t="s">
        <v>34</v>
      </c>
      <c r="H313" t="s">
        <v>54</v>
      </c>
      <c r="I313" t="s">
        <v>1260</v>
      </c>
      <c r="J313" t="s">
        <v>38</v>
      </c>
      <c r="K313" t="s">
        <v>38</v>
      </c>
      <c r="L313" t="s">
        <v>40</v>
      </c>
      <c r="M313" t="s">
        <v>37</v>
      </c>
      <c r="N313" t="s">
        <v>37</v>
      </c>
      <c r="O313" t="s">
        <v>40</v>
      </c>
      <c r="P313" t="s">
        <v>38</v>
      </c>
      <c r="Q313" t="s">
        <v>38</v>
      </c>
      <c r="R313" t="s">
        <v>40</v>
      </c>
      <c r="S313" t="s">
        <v>41</v>
      </c>
      <c r="T313" t="s">
        <v>450</v>
      </c>
      <c r="U313" t="s">
        <v>451</v>
      </c>
      <c r="V313" t="s">
        <v>44</v>
      </c>
      <c r="W313" t="s">
        <v>452</v>
      </c>
      <c r="X313" t="s">
        <v>46</v>
      </c>
      <c r="AC313">
        <f>COUNTIF(C:C,QLKV_gui_ket_qua_ra_soat[[#This Row],[Mã điểm bán]])</f>
        <v>1</v>
      </c>
    </row>
    <row r="314" spans="1:29" x14ac:dyDescent="0.45">
      <c r="A314" t="s">
        <v>10783</v>
      </c>
      <c r="B314">
        <v>476</v>
      </c>
      <c r="C314" t="s">
        <v>1273</v>
      </c>
      <c r="D314" t="s">
        <v>1274</v>
      </c>
      <c r="E314" t="s">
        <v>416</v>
      </c>
      <c r="F314" t="s">
        <v>53</v>
      </c>
      <c r="G314" t="s">
        <v>34</v>
      </c>
      <c r="H314" t="s">
        <v>54</v>
      </c>
      <c r="I314" t="s">
        <v>1275</v>
      </c>
      <c r="J314" t="s">
        <v>38</v>
      </c>
      <c r="K314" t="s">
        <v>38</v>
      </c>
      <c r="L314" t="s">
        <v>40</v>
      </c>
      <c r="M314" t="s">
        <v>37</v>
      </c>
      <c r="N314" t="s">
        <v>37</v>
      </c>
      <c r="O314" t="s">
        <v>40</v>
      </c>
      <c r="P314" t="s">
        <v>38</v>
      </c>
      <c r="Q314" t="s">
        <v>38</v>
      </c>
      <c r="R314" t="s">
        <v>40</v>
      </c>
      <c r="S314" t="s">
        <v>41</v>
      </c>
      <c r="T314" t="s">
        <v>450</v>
      </c>
      <c r="U314" t="s">
        <v>451</v>
      </c>
      <c r="V314" t="s">
        <v>44</v>
      </c>
      <c r="W314" t="s">
        <v>452</v>
      </c>
      <c r="X314" t="s">
        <v>46</v>
      </c>
      <c r="AC314">
        <f>COUNTIF(C:C,QLKV_gui_ket_qua_ra_soat[[#This Row],[Mã điểm bán]])</f>
        <v>1</v>
      </c>
    </row>
    <row r="315" spans="1:29" x14ac:dyDescent="0.45">
      <c r="A315" t="s">
        <v>10783</v>
      </c>
      <c r="B315">
        <v>477</v>
      </c>
      <c r="C315" t="s">
        <v>1292</v>
      </c>
      <c r="D315" t="s">
        <v>1293</v>
      </c>
      <c r="E315" t="s">
        <v>1104</v>
      </c>
      <c r="F315" t="s">
        <v>53</v>
      </c>
      <c r="G315" t="s">
        <v>34</v>
      </c>
      <c r="H315" t="s">
        <v>54</v>
      </c>
      <c r="I315" t="s">
        <v>1294</v>
      </c>
      <c r="J315" t="s">
        <v>38</v>
      </c>
      <c r="K315" t="s">
        <v>38</v>
      </c>
      <c r="L315" t="s">
        <v>40</v>
      </c>
      <c r="M315" t="s">
        <v>37</v>
      </c>
      <c r="N315" t="s">
        <v>37</v>
      </c>
      <c r="O315" t="s">
        <v>40</v>
      </c>
      <c r="P315" t="s">
        <v>38</v>
      </c>
      <c r="Q315" t="s">
        <v>38</v>
      </c>
      <c r="R315" t="s">
        <v>40</v>
      </c>
      <c r="S315" t="s">
        <v>41</v>
      </c>
      <c r="T315" t="s">
        <v>450</v>
      </c>
      <c r="U315" t="s">
        <v>451</v>
      </c>
      <c r="V315" t="s">
        <v>44</v>
      </c>
      <c r="W315" t="s">
        <v>452</v>
      </c>
      <c r="X315" t="s">
        <v>46</v>
      </c>
      <c r="AC315">
        <f>COUNTIF(C:C,QLKV_gui_ket_qua_ra_soat[[#This Row],[Mã điểm bán]])</f>
        <v>1</v>
      </c>
    </row>
    <row r="316" spans="1:29" x14ac:dyDescent="0.45">
      <c r="A316" t="s">
        <v>10783</v>
      </c>
      <c r="B316">
        <v>478</v>
      </c>
      <c r="C316" t="s">
        <v>1295</v>
      </c>
      <c r="D316" t="s">
        <v>1296</v>
      </c>
      <c r="E316" t="s">
        <v>1297</v>
      </c>
      <c r="F316" t="s">
        <v>53</v>
      </c>
      <c r="G316" t="s">
        <v>34</v>
      </c>
      <c r="H316" t="s">
        <v>54</v>
      </c>
      <c r="I316" t="s">
        <v>1242</v>
      </c>
      <c r="J316" t="s">
        <v>38</v>
      </c>
      <c r="K316" t="s">
        <v>38</v>
      </c>
      <c r="L316" t="s">
        <v>40</v>
      </c>
      <c r="M316" t="s">
        <v>38</v>
      </c>
      <c r="N316" t="s">
        <v>37</v>
      </c>
      <c r="O316" t="s">
        <v>40</v>
      </c>
      <c r="P316" t="s">
        <v>38</v>
      </c>
      <c r="Q316" t="s">
        <v>38</v>
      </c>
      <c r="R316" t="s">
        <v>40</v>
      </c>
      <c r="S316" t="s">
        <v>41</v>
      </c>
      <c r="T316" t="s">
        <v>450</v>
      </c>
      <c r="U316" t="s">
        <v>451</v>
      </c>
      <c r="V316" t="s">
        <v>44</v>
      </c>
      <c r="W316" t="s">
        <v>452</v>
      </c>
      <c r="X316" t="s">
        <v>46</v>
      </c>
      <c r="AC316">
        <f>COUNTIF(C:C,QLKV_gui_ket_qua_ra_soat[[#This Row],[Mã điểm bán]])</f>
        <v>1</v>
      </c>
    </row>
    <row r="317" spans="1:29" x14ac:dyDescent="0.45">
      <c r="A317" t="s">
        <v>10783</v>
      </c>
      <c r="B317">
        <v>479</v>
      </c>
      <c r="C317" t="s">
        <v>1298</v>
      </c>
      <c r="D317" t="s">
        <v>1299</v>
      </c>
      <c r="E317" t="s">
        <v>1300</v>
      </c>
      <c r="F317" t="s">
        <v>53</v>
      </c>
      <c r="G317" t="s">
        <v>34</v>
      </c>
      <c r="H317" t="s">
        <v>54</v>
      </c>
      <c r="I317" t="s">
        <v>1242</v>
      </c>
      <c r="J317" t="s">
        <v>38</v>
      </c>
      <c r="K317" t="s">
        <v>38</v>
      </c>
      <c r="L317" t="s">
        <v>40</v>
      </c>
      <c r="M317" t="s">
        <v>38</v>
      </c>
      <c r="N317" t="s">
        <v>37</v>
      </c>
      <c r="O317" t="s">
        <v>40</v>
      </c>
      <c r="P317" t="s">
        <v>38</v>
      </c>
      <c r="Q317" t="s">
        <v>38</v>
      </c>
      <c r="R317" t="s">
        <v>40</v>
      </c>
      <c r="S317" t="s">
        <v>41</v>
      </c>
      <c r="T317" t="s">
        <v>450</v>
      </c>
      <c r="U317" t="s">
        <v>451</v>
      </c>
      <c r="V317" t="s">
        <v>44</v>
      </c>
      <c r="W317" t="s">
        <v>452</v>
      </c>
      <c r="X317" t="s">
        <v>46</v>
      </c>
      <c r="AC317">
        <f>COUNTIF(C:C,QLKV_gui_ket_qua_ra_soat[[#This Row],[Mã điểm bán]])</f>
        <v>1</v>
      </c>
    </row>
    <row r="318" spans="1:29" x14ac:dyDescent="0.45">
      <c r="A318" t="s">
        <v>10783</v>
      </c>
      <c r="B318">
        <v>480</v>
      </c>
      <c r="C318" t="s">
        <v>1301</v>
      </c>
      <c r="D318" t="s">
        <v>1302</v>
      </c>
      <c r="E318" t="s">
        <v>1303</v>
      </c>
      <c r="F318" t="s">
        <v>115</v>
      </c>
      <c r="G318" t="s">
        <v>34</v>
      </c>
      <c r="H318" t="s">
        <v>54</v>
      </c>
      <c r="I318" t="s">
        <v>1304</v>
      </c>
      <c r="J318" t="s">
        <v>38</v>
      </c>
      <c r="K318" t="s">
        <v>38</v>
      </c>
      <c r="L318" t="s">
        <v>40</v>
      </c>
      <c r="M318" t="s">
        <v>37</v>
      </c>
      <c r="N318" t="s">
        <v>37</v>
      </c>
      <c r="O318" t="s">
        <v>39</v>
      </c>
      <c r="P318" t="s">
        <v>38</v>
      </c>
      <c r="Q318" t="s">
        <v>38</v>
      </c>
      <c r="R318" t="s">
        <v>40</v>
      </c>
      <c r="S318" t="s">
        <v>41</v>
      </c>
      <c r="T318" t="s">
        <v>450</v>
      </c>
      <c r="U318" t="s">
        <v>451</v>
      </c>
      <c r="V318" t="s">
        <v>44</v>
      </c>
      <c r="W318" t="s">
        <v>452</v>
      </c>
      <c r="X318" t="s">
        <v>46</v>
      </c>
      <c r="AC318">
        <f>COUNTIF(C:C,QLKV_gui_ket_qua_ra_soat[[#This Row],[Mã điểm bán]])</f>
        <v>1</v>
      </c>
    </row>
    <row r="319" spans="1:29" x14ac:dyDescent="0.45">
      <c r="A319" t="s">
        <v>10783</v>
      </c>
      <c r="B319">
        <v>481</v>
      </c>
      <c r="C319" t="s">
        <v>1305</v>
      </c>
      <c r="D319" t="s">
        <v>1306</v>
      </c>
      <c r="E319" t="s">
        <v>587</v>
      </c>
      <c r="F319" t="s">
        <v>53</v>
      </c>
      <c r="G319" t="s">
        <v>34</v>
      </c>
      <c r="H319" t="s">
        <v>54</v>
      </c>
      <c r="I319" t="s">
        <v>1307</v>
      </c>
      <c r="J319" t="s">
        <v>38</v>
      </c>
      <c r="K319" t="s">
        <v>38</v>
      </c>
      <c r="L319" t="s">
        <v>40</v>
      </c>
      <c r="M319" t="s">
        <v>38</v>
      </c>
      <c r="N319" t="s">
        <v>37</v>
      </c>
      <c r="O319" t="s">
        <v>40</v>
      </c>
      <c r="P319" t="s">
        <v>38</v>
      </c>
      <c r="Q319" t="s">
        <v>38</v>
      </c>
      <c r="R319" t="s">
        <v>40</v>
      </c>
      <c r="S319" t="s">
        <v>41</v>
      </c>
      <c r="T319" t="s">
        <v>450</v>
      </c>
      <c r="U319" t="s">
        <v>451</v>
      </c>
      <c r="V319" t="s">
        <v>44</v>
      </c>
      <c r="W319" t="s">
        <v>452</v>
      </c>
      <c r="X319" t="s">
        <v>46</v>
      </c>
      <c r="AC319">
        <f>COUNTIF(C:C,QLKV_gui_ket_qua_ra_soat[[#This Row],[Mã điểm bán]])</f>
        <v>1</v>
      </c>
    </row>
    <row r="320" spans="1:29" x14ac:dyDescent="0.45">
      <c r="A320" t="s">
        <v>10783</v>
      </c>
      <c r="B320">
        <v>482</v>
      </c>
      <c r="C320" t="s">
        <v>1308</v>
      </c>
      <c r="D320" t="s">
        <v>1309</v>
      </c>
      <c r="E320" t="s">
        <v>1310</v>
      </c>
      <c r="F320" t="s">
        <v>426</v>
      </c>
      <c r="G320" t="s">
        <v>34</v>
      </c>
      <c r="H320" t="s">
        <v>54</v>
      </c>
      <c r="I320" t="s">
        <v>1311</v>
      </c>
      <c r="J320" t="s">
        <v>38</v>
      </c>
      <c r="K320" t="s">
        <v>38</v>
      </c>
      <c r="L320" t="s">
        <v>40</v>
      </c>
      <c r="M320" t="s">
        <v>38</v>
      </c>
      <c r="N320" t="s">
        <v>37</v>
      </c>
      <c r="O320" t="s">
        <v>39</v>
      </c>
      <c r="P320" t="s">
        <v>38</v>
      </c>
      <c r="Q320" t="s">
        <v>38</v>
      </c>
      <c r="R320" t="s">
        <v>40</v>
      </c>
      <c r="S320" t="s">
        <v>41</v>
      </c>
      <c r="T320" t="s">
        <v>450</v>
      </c>
      <c r="U320" t="s">
        <v>451</v>
      </c>
      <c r="V320" t="s">
        <v>44</v>
      </c>
      <c r="W320" t="s">
        <v>452</v>
      </c>
      <c r="Z320" t="s">
        <v>46</v>
      </c>
      <c r="AA320" t="s">
        <v>570</v>
      </c>
      <c r="AB320" t="s">
        <v>238</v>
      </c>
      <c r="AC320">
        <f>COUNTIF(C:C,QLKV_gui_ket_qua_ra_soat[[#This Row],[Mã điểm bán]])</f>
        <v>1</v>
      </c>
    </row>
    <row r="321" spans="1:29" x14ac:dyDescent="0.45">
      <c r="A321" t="s">
        <v>10783</v>
      </c>
      <c r="B321">
        <v>483</v>
      </c>
      <c r="C321" t="s">
        <v>1391</v>
      </c>
      <c r="D321" t="s">
        <v>1392</v>
      </c>
      <c r="E321" t="s">
        <v>587</v>
      </c>
      <c r="F321" t="s">
        <v>53</v>
      </c>
      <c r="G321" t="s">
        <v>34</v>
      </c>
      <c r="H321" t="s">
        <v>54</v>
      </c>
      <c r="I321" t="s">
        <v>1393</v>
      </c>
      <c r="J321" t="s">
        <v>38</v>
      </c>
      <c r="K321" t="s">
        <v>38</v>
      </c>
      <c r="L321" t="s">
        <v>40</v>
      </c>
      <c r="M321" t="s">
        <v>37</v>
      </c>
      <c r="N321" t="s">
        <v>37</v>
      </c>
      <c r="O321" t="s">
        <v>39</v>
      </c>
      <c r="P321" t="s">
        <v>38</v>
      </c>
      <c r="Q321" t="s">
        <v>38</v>
      </c>
      <c r="R321" t="s">
        <v>40</v>
      </c>
      <c r="S321" t="s">
        <v>41</v>
      </c>
      <c r="T321" t="s">
        <v>450</v>
      </c>
      <c r="U321" t="s">
        <v>451</v>
      </c>
      <c r="V321" t="s">
        <v>44</v>
      </c>
      <c r="W321" t="s">
        <v>452</v>
      </c>
      <c r="X321" t="s">
        <v>46</v>
      </c>
      <c r="AC321">
        <f>COUNTIF(C:C,QLKV_gui_ket_qua_ra_soat[[#This Row],[Mã điểm bán]])</f>
        <v>1</v>
      </c>
    </row>
    <row r="322" spans="1:29" x14ac:dyDescent="0.45">
      <c r="A322" t="s">
        <v>10783</v>
      </c>
      <c r="B322">
        <v>484</v>
      </c>
      <c r="C322" t="s">
        <v>1394</v>
      </c>
      <c r="D322" t="s">
        <v>1395</v>
      </c>
      <c r="E322" t="s">
        <v>1396</v>
      </c>
      <c r="F322" t="s">
        <v>53</v>
      </c>
      <c r="G322" t="s">
        <v>34</v>
      </c>
      <c r="H322" t="s">
        <v>54</v>
      </c>
      <c r="I322" t="s">
        <v>1397</v>
      </c>
      <c r="J322" t="s">
        <v>38</v>
      </c>
      <c r="K322" t="s">
        <v>38</v>
      </c>
      <c r="L322" t="s">
        <v>40</v>
      </c>
      <c r="M322" t="s">
        <v>37</v>
      </c>
      <c r="N322" t="s">
        <v>38</v>
      </c>
      <c r="O322" t="s">
        <v>39</v>
      </c>
      <c r="P322" t="s">
        <v>38</v>
      </c>
      <c r="Q322" t="s">
        <v>38</v>
      </c>
      <c r="R322" t="s">
        <v>40</v>
      </c>
      <c r="S322" t="s">
        <v>41</v>
      </c>
      <c r="T322" t="s">
        <v>450</v>
      </c>
      <c r="U322" t="s">
        <v>451</v>
      </c>
      <c r="V322" t="s">
        <v>44</v>
      </c>
      <c r="W322" t="s">
        <v>452</v>
      </c>
      <c r="X322" t="s">
        <v>46</v>
      </c>
      <c r="AC322">
        <f>COUNTIF(C:C,QLKV_gui_ket_qua_ra_soat[[#This Row],[Mã điểm bán]])</f>
        <v>1</v>
      </c>
    </row>
    <row r="323" spans="1:29" x14ac:dyDescent="0.45">
      <c r="A323" t="s">
        <v>10783</v>
      </c>
      <c r="B323">
        <v>485</v>
      </c>
      <c r="C323" t="s">
        <v>1511</v>
      </c>
      <c r="D323" t="s">
        <v>1512</v>
      </c>
      <c r="E323" t="s">
        <v>1513</v>
      </c>
      <c r="F323" t="s">
        <v>401</v>
      </c>
      <c r="G323" t="s">
        <v>34</v>
      </c>
      <c r="H323" t="s">
        <v>54</v>
      </c>
      <c r="I323" t="s">
        <v>1514</v>
      </c>
      <c r="J323" t="s">
        <v>38</v>
      </c>
      <c r="K323" t="s">
        <v>38</v>
      </c>
      <c r="L323" t="s">
        <v>40</v>
      </c>
      <c r="M323" t="s">
        <v>37</v>
      </c>
      <c r="N323" t="s">
        <v>38</v>
      </c>
      <c r="O323" t="s">
        <v>40</v>
      </c>
      <c r="P323" t="s">
        <v>38</v>
      </c>
      <c r="Q323" t="s">
        <v>38</v>
      </c>
      <c r="R323" t="s">
        <v>40</v>
      </c>
      <c r="S323" t="s">
        <v>41</v>
      </c>
      <c r="T323" t="s">
        <v>450</v>
      </c>
      <c r="U323" t="s">
        <v>451</v>
      </c>
      <c r="V323" t="s">
        <v>44</v>
      </c>
      <c r="W323" t="s">
        <v>452</v>
      </c>
      <c r="X323" t="s">
        <v>46</v>
      </c>
      <c r="AC323">
        <f>COUNTIF(C:C,QLKV_gui_ket_qua_ra_soat[[#This Row],[Mã điểm bán]])</f>
        <v>1</v>
      </c>
    </row>
    <row r="324" spans="1:29" x14ac:dyDescent="0.45">
      <c r="A324" t="s">
        <v>10783</v>
      </c>
      <c r="B324">
        <v>486</v>
      </c>
      <c r="C324" t="s">
        <v>1536</v>
      </c>
      <c r="D324" t="s">
        <v>1537</v>
      </c>
      <c r="E324" t="s">
        <v>190</v>
      </c>
      <c r="F324" t="s">
        <v>53</v>
      </c>
      <c r="G324" t="s">
        <v>34</v>
      </c>
      <c r="H324" t="s">
        <v>54</v>
      </c>
      <c r="I324" t="s">
        <v>1242</v>
      </c>
      <c r="J324" t="s">
        <v>38</v>
      </c>
      <c r="K324" t="s">
        <v>38</v>
      </c>
      <c r="L324" t="s">
        <v>40</v>
      </c>
      <c r="M324" t="s">
        <v>37</v>
      </c>
      <c r="N324" t="s">
        <v>38</v>
      </c>
      <c r="O324" t="s">
        <v>40</v>
      </c>
      <c r="P324" t="s">
        <v>38</v>
      </c>
      <c r="Q324" t="s">
        <v>38</v>
      </c>
      <c r="R324" t="s">
        <v>40</v>
      </c>
      <c r="S324" t="s">
        <v>41</v>
      </c>
      <c r="T324" t="s">
        <v>450</v>
      </c>
      <c r="U324" t="s">
        <v>451</v>
      </c>
      <c r="V324" t="s">
        <v>44</v>
      </c>
      <c r="W324" t="s">
        <v>452</v>
      </c>
      <c r="X324" t="s">
        <v>46</v>
      </c>
      <c r="AC324">
        <f>COUNTIF(C:C,QLKV_gui_ket_qua_ra_soat[[#This Row],[Mã điểm bán]])</f>
        <v>1</v>
      </c>
    </row>
    <row r="325" spans="1:29" x14ac:dyDescent="0.45">
      <c r="A325" t="s">
        <v>10783</v>
      </c>
      <c r="B325">
        <v>487</v>
      </c>
      <c r="C325" t="s">
        <v>1563</v>
      </c>
      <c r="D325" t="s">
        <v>1564</v>
      </c>
      <c r="E325" t="s">
        <v>1565</v>
      </c>
      <c r="F325" t="s">
        <v>600</v>
      </c>
      <c r="G325" t="s">
        <v>34</v>
      </c>
      <c r="H325" t="s">
        <v>54</v>
      </c>
      <c r="I325" t="s">
        <v>1566</v>
      </c>
      <c r="J325" t="s">
        <v>38</v>
      </c>
      <c r="K325" t="s">
        <v>38</v>
      </c>
      <c r="L325" t="s">
        <v>40</v>
      </c>
      <c r="M325" t="s">
        <v>38</v>
      </c>
      <c r="N325" t="s">
        <v>37</v>
      </c>
      <c r="O325" t="s">
        <v>39</v>
      </c>
      <c r="P325" t="s">
        <v>38</v>
      </c>
      <c r="Q325" t="s">
        <v>38</v>
      </c>
      <c r="R325" t="s">
        <v>40</v>
      </c>
      <c r="S325" t="s">
        <v>41</v>
      </c>
      <c r="T325" t="s">
        <v>450</v>
      </c>
      <c r="U325" t="s">
        <v>451</v>
      </c>
      <c r="V325" t="s">
        <v>44</v>
      </c>
      <c r="W325" t="s">
        <v>452</v>
      </c>
      <c r="X325" t="s">
        <v>46</v>
      </c>
      <c r="AC325">
        <f>COUNTIF(C:C,QLKV_gui_ket_qua_ra_soat[[#This Row],[Mã điểm bán]])</f>
        <v>1</v>
      </c>
    </row>
    <row r="326" spans="1:29" x14ac:dyDescent="0.45">
      <c r="A326" t="s">
        <v>10783</v>
      </c>
      <c r="B326">
        <v>488</v>
      </c>
      <c r="C326" t="s">
        <v>1577</v>
      </c>
      <c r="D326" t="s">
        <v>1578</v>
      </c>
      <c r="E326" t="s">
        <v>1579</v>
      </c>
      <c r="F326" t="s">
        <v>33</v>
      </c>
      <c r="G326" t="s">
        <v>34</v>
      </c>
      <c r="H326" t="s">
        <v>54</v>
      </c>
      <c r="I326" t="s">
        <v>1580</v>
      </c>
      <c r="J326" t="s">
        <v>38</v>
      </c>
      <c r="K326" t="s">
        <v>38</v>
      </c>
      <c r="L326" t="s">
        <v>40</v>
      </c>
      <c r="M326" t="s">
        <v>38</v>
      </c>
      <c r="N326" t="s">
        <v>37</v>
      </c>
      <c r="O326" t="s">
        <v>39</v>
      </c>
      <c r="P326" t="s">
        <v>38</v>
      </c>
      <c r="Q326" t="s">
        <v>38</v>
      </c>
      <c r="R326" t="s">
        <v>40</v>
      </c>
      <c r="S326" t="s">
        <v>41</v>
      </c>
      <c r="T326" t="s">
        <v>450</v>
      </c>
      <c r="U326" t="s">
        <v>451</v>
      </c>
      <c r="V326" t="s">
        <v>44</v>
      </c>
      <c r="W326" t="s">
        <v>452</v>
      </c>
      <c r="X326" t="s">
        <v>46</v>
      </c>
      <c r="AC326">
        <f>COUNTIF(C:C,QLKV_gui_ket_qua_ra_soat[[#This Row],[Mã điểm bán]])</f>
        <v>1</v>
      </c>
    </row>
    <row r="327" spans="1:29" x14ac:dyDescent="0.45">
      <c r="A327" t="s">
        <v>28</v>
      </c>
      <c r="B327">
        <v>17</v>
      </c>
      <c r="C327" t="s">
        <v>29</v>
      </c>
      <c r="D327" t="s">
        <v>30</v>
      </c>
      <c r="E327" t="s">
        <v>32</v>
      </c>
      <c r="F327" t="s">
        <v>33</v>
      </c>
      <c r="G327" t="s">
        <v>34</v>
      </c>
      <c r="H327" t="s">
        <v>35</v>
      </c>
      <c r="I327" t="s">
        <v>36</v>
      </c>
      <c r="J327" t="s">
        <v>37</v>
      </c>
      <c r="K327" t="s">
        <v>38</v>
      </c>
      <c r="L327" t="s">
        <v>39</v>
      </c>
      <c r="M327" t="s">
        <v>37</v>
      </c>
      <c r="N327" t="s">
        <v>37</v>
      </c>
      <c r="O327" t="s">
        <v>39</v>
      </c>
      <c r="P327" t="s">
        <v>38</v>
      </c>
      <c r="Q327" t="s">
        <v>38</v>
      </c>
      <c r="R327" t="s">
        <v>40</v>
      </c>
      <c r="S327" t="s">
        <v>41</v>
      </c>
      <c r="T327" t="s">
        <v>42</v>
      </c>
      <c r="U327" t="s">
        <v>43</v>
      </c>
      <c r="V327" t="s">
        <v>44</v>
      </c>
      <c r="W327" t="s">
        <v>45</v>
      </c>
      <c r="Z327" t="s">
        <v>46</v>
      </c>
      <c r="AA327" t="s">
        <v>47</v>
      </c>
      <c r="AB327" t="s">
        <v>48</v>
      </c>
      <c r="AC327">
        <f>COUNTIF(C:C,QLKV_gui_ket_qua_ra_soat[[#This Row],[Mã điểm bán]])</f>
        <v>1</v>
      </c>
    </row>
    <row r="328" spans="1:29" x14ac:dyDescent="0.45">
      <c r="A328" t="s">
        <v>28</v>
      </c>
      <c r="B328">
        <v>127</v>
      </c>
      <c r="C328" t="s">
        <v>61</v>
      </c>
      <c r="D328" t="s">
        <v>62</v>
      </c>
      <c r="E328" t="s">
        <v>64</v>
      </c>
      <c r="F328" t="s">
        <v>53</v>
      </c>
      <c r="G328" t="s">
        <v>34</v>
      </c>
      <c r="H328" t="s">
        <v>54</v>
      </c>
      <c r="I328" t="s">
        <v>65</v>
      </c>
      <c r="J328" t="s">
        <v>37</v>
      </c>
      <c r="K328" t="s">
        <v>38</v>
      </c>
      <c r="L328" t="s">
        <v>39</v>
      </c>
      <c r="M328" t="s">
        <v>37</v>
      </c>
      <c r="N328" t="s">
        <v>37</v>
      </c>
      <c r="O328" t="s">
        <v>39</v>
      </c>
      <c r="P328" t="s">
        <v>38</v>
      </c>
      <c r="Q328" t="s">
        <v>38</v>
      </c>
      <c r="R328" t="s">
        <v>40</v>
      </c>
      <c r="S328" t="s">
        <v>41</v>
      </c>
      <c r="T328" t="s">
        <v>42</v>
      </c>
      <c r="U328" t="s">
        <v>43</v>
      </c>
      <c r="V328" t="s">
        <v>44</v>
      </c>
      <c r="W328" t="s">
        <v>45</v>
      </c>
      <c r="X328" t="s">
        <v>46</v>
      </c>
      <c r="AC328">
        <f>COUNTIF(C:C,QLKV_gui_ket_qua_ra_soat[[#This Row],[Mã điểm bán]])</f>
        <v>1</v>
      </c>
    </row>
    <row r="329" spans="1:29" x14ac:dyDescent="0.45">
      <c r="A329" t="s">
        <v>28</v>
      </c>
      <c r="B329">
        <v>271</v>
      </c>
      <c r="C329" t="s">
        <v>66</v>
      </c>
      <c r="D329" t="s">
        <v>67</v>
      </c>
      <c r="E329" t="s">
        <v>69</v>
      </c>
      <c r="F329" t="s">
        <v>70</v>
      </c>
      <c r="G329" t="s">
        <v>34</v>
      </c>
      <c r="H329" t="s">
        <v>54</v>
      </c>
      <c r="I329" t="s">
        <v>71</v>
      </c>
      <c r="J329" t="s">
        <v>37</v>
      </c>
      <c r="K329" t="s">
        <v>37</v>
      </c>
      <c r="L329" t="s">
        <v>39</v>
      </c>
      <c r="M329" t="s">
        <v>37</v>
      </c>
      <c r="N329" t="s">
        <v>37</v>
      </c>
      <c r="O329" t="s">
        <v>39</v>
      </c>
      <c r="P329" t="s">
        <v>38</v>
      </c>
      <c r="Q329" t="s">
        <v>38</v>
      </c>
      <c r="R329" t="s">
        <v>40</v>
      </c>
      <c r="S329" t="s">
        <v>41</v>
      </c>
      <c r="T329" t="s">
        <v>42</v>
      </c>
      <c r="U329" t="s">
        <v>43</v>
      </c>
      <c r="V329" t="s">
        <v>44</v>
      </c>
      <c r="W329" t="s">
        <v>45</v>
      </c>
      <c r="X329" t="s">
        <v>46</v>
      </c>
      <c r="AC329">
        <f>COUNTIF(C:C,QLKV_gui_ket_qua_ra_soat[[#This Row],[Mã điểm bán]])</f>
        <v>1</v>
      </c>
    </row>
    <row r="330" spans="1:29" x14ac:dyDescent="0.45">
      <c r="A330" t="s">
        <v>28</v>
      </c>
      <c r="B330">
        <v>317</v>
      </c>
      <c r="C330" t="s">
        <v>72</v>
      </c>
      <c r="D330" t="s">
        <v>73</v>
      </c>
      <c r="E330" t="s">
        <v>75</v>
      </c>
      <c r="F330" t="s">
        <v>76</v>
      </c>
      <c r="G330" t="s">
        <v>34</v>
      </c>
      <c r="H330" t="s">
        <v>77</v>
      </c>
      <c r="I330" t="s">
        <v>78</v>
      </c>
      <c r="J330" t="s">
        <v>38</v>
      </c>
      <c r="K330" t="s">
        <v>38</v>
      </c>
      <c r="L330" t="s">
        <v>40</v>
      </c>
      <c r="M330" t="s">
        <v>38</v>
      </c>
      <c r="N330" t="s">
        <v>38</v>
      </c>
      <c r="O330" t="s">
        <v>40</v>
      </c>
      <c r="P330" t="s">
        <v>38</v>
      </c>
      <c r="Q330" t="s">
        <v>38</v>
      </c>
      <c r="R330" t="s">
        <v>40</v>
      </c>
      <c r="S330" t="s">
        <v>41</v>
      </c>
      <c r="T330" t="s">
        <v>79</v>
      </c>
      <c r="U330" t="s">
        <v>80</v>
      </c>
      <c r="V330" t="s">
        <v>44</v>
      </c>
      <c r="W330" t="s">
        <v>81</v>
      </c>
      <c r="Z330" t="s">
        <v>46</v>
      </c>
      <c r="AA330" t="s">
        <v>82</v>
      </c>
      <c r="AB330" t="s">
        <v>83</v>
      </c>
      <c r="AC330">
        <f>COUNTIF(C:C,QLKV_gui_ket_qua_ra_soat[[#This Row],[Mã điểm bán]])</f>
        <v>1</v>
      </c>
    </row>
    <row r="331" spans="1:29" x14ac:dyDescent="0.45">
      <c r="A331" t="s">
        <v>28</v>
      </c>
      <c r="B331">
        <v>360</v>
      </c>
      <c r="C331" t="s">
        <v>84</v>
      </c>
      <c r="D331" t="s">
        <v>85</v>
      </c>
      <c r="E331" t="s">
        <v>87</v>
      </c>
      <c r="F331" t="s">
        <v>53</v>
      </c>
      <c r="G331" t="s">
        <v>34</v>
      </c>
      <c r="H331" t="s">
        <v>54</v>
      </c>
      <c r="I331" t="s">
        <v>88</v>
      </c>
      <c r="J331" t="s">
        <v>56</v>
      </c>
      <c r="K331" t="s">
        <v>56</v>
      </c>
      <c r="L331" t="s">
        <v>39</v>
      </c>
      <c r="M331" t="s">
        <v>37</v>
      </c>
      <c r="N331" t="s">
        <v>37</v>
      </c>
      <c r="O331" t="s">
        <v>39</v>
      </c>
      <c r="P331" t="s">
        <v>38</v>
      </c>
      <c r="Q331" t="s">
        <v>38</v>
      </c>
      <c r="R331" t="s">
        <v>40</v>
      </c>
      <c r="S331" t="s">
        <v>41</v>
      </c>
      <c r="T331" t="s">
        <v>42</v>
      </c>
      <c r="U331" t="s">
        <v>43</v>
      </c>
      <c r="V331" t="s">
        <v>44</v>
      </c>
      <c r="W331" t="s">
        <v>45</v>
      </c>
      <c r="X331" t="s">
        <v>46</v>
      </c>
      <c r="AC331">
        <f>COUNTIF(C:C,QLKV_gui_ket_qua_ra_soat[[#This Row],[Mã điểm bán]])</f>
        <v>1</v>
      </c>
    </row>
    <row r="332" spans="1:29" x14ac:dyDescent="0.45">
      <c r="A332" t="s">
        <v>28</v>
      </c>
      <c r="B332">
        <v>368</v>
      </c>
      <c r="C332" t="s">
        <v>89</v>
      </c>
      <c r="D332" t="s">
        <v>90</v>
      </c>
      <c r="E332" t="s">
        <v>92</v>
      </c>
      <c r="F332" t="s">
        <v>70</v>
      </c>
      <c r="G332" t="s">
        <v>34</v>
      </c>
      <c r="H332" t="s">
        <v>54</v>
      </c>
      <c r="I332" t="s">
        <v>93</v>
      </c>
      <c r="J332" t="s">
        <v>37</v>
      </c>
      <c r="K332" t="s">
        <v>37</v>
      </c>
      <c r="L332" t="s">
        <v>39</v>
      </c>
      <c r="M332" t="s">
        <v>37</v>
      </c>
      <c r="N332" t="s">
        <v>37</v>
      </c>
      <c r="O332" t="s">
        <v>39</v>
      </c>
      <c r="P332" t="s">
        <v>37</v>
      </c>
      <c r="Q332" t="s">
        <v>37</v>
      </c>
      <c r="R332" t="s">
        <v>39</v>
      </c>
      <c r="S332" t="s">
        <v>41</v>
      </c>
      <c r="T332" t="s">
        <v>42</v>
      </c>
      <c r="U332" t="s">
        <v>43</v>
      </c>
      <c r="V332" t="s">
        <v>44</v>
      </c>
      <c r="W332" t="s">
        <v>45</v>
      </c>
      <c r="X332" t="s">
        <v>46</v>
      </c>
      <c r="AB332" t="s">
        <v>94</v>
      </c>
      <c r="AC332">
        <f>COUNTIF(C:C,QLKV_gui_ket_qua_ra_soat[[#This Row],[Mã điểm bán]])</f>
        <v>1</v>
      </c>
    </row>
    <row r="333" spans="1:29" x14ac:dyDescent="0.45">
      <c r="A333" t="s">
        <v>28</v>
      </c>
      <c r="B333">
        <v>390</v>
      </c>
      <c r="C333" t="s">
        <v>95</v>
      </c>
      <c r="D333" t="s">
        <v>96</v>
      </c>
      <c r="E333" t="s">
        <v>98</v>
      </c>
      <c r="F333" t="s">
        <v>99</v>
      </c>
      <c r="G333" t="s">
        <v>34</v>
      </c>
      <c r="H333" t="s">
        <v>100</v>
      </c>
      <c r="I333" t="s">
        <v>101</v>
      </c>
      <c r="J333" t="s">
        <v>38</v>
      </c>
      <c r="K333" t="s">
        <v>38</v>
      </c>
      <c r="L333" t="s">
        <v>40</v>
      </c>
      <c r="M333" t="s">
        <v>37</v>
      </c>
      <c r="N333" t="s">
        <v>37</v>
      </c>
      <c r="O333" t="s">
        <v>39</v>
      </c>
      <c r="P333" t="s">
        <v>38</v>
      </c>
      <c r="Q333" t="s">
        <v>38</v>
      </c>
      <c r="R333" t="s">
        <v>40</v>
      </c>
      <c r="S333" t="s">
        <v>102</v>
      </c>
      <c r="T333" t="s">
        <v>103</v>
      </c>
      <c r="U333" t="s">
        <v>104</v>
      </c>
      <c r="V333" t="s">
        <v>44</v>
      </c>
      <c r="W333" t="s">
        <v>105</v>
      </c>
      <c r="Z333" t="s">
        <v>46</v>
      </c>
      <c r="AA333" t="s">
        <v>47</v>
      </c>
      <c r="AB333" t="s">
        <v>48</v>
      </c>
      <c r="AC333">
        <f>COUNTIF(C:C,QLKV_gui_ket_qua_ra_soat[[#This Row],[Mã điểm bán]])</f>
        <v>1</v>
      </c>
    </row>
    <row r="334" spans="1:29" x14ac:dyDescent="0.45">
      <c r="A334" t="s">
        <v>28</v>
      </c>
      <c r="B334">
        <v>411</v>
      </c>
      <c r="C334" t="s">
        <v>106</v>
      </c>
      <c r="D334" t="s">
        <v>107</v>
      </c>
      <c r="E334" t="s">
        <v>109</v>
      </c>
      <c r="F334" t="s">
        <v>53</v>
      </c>
      <c r="G334" t="s">
        <v>34</v>
      </c>
      <c r="H334" t="s">
        <v>54</v>
      </c>
      <c r="I334" t="s">
        <v>110</v>
      </c>
      <c r="J334" t="s">
        <v>38</v>
      </c>
      <c r="K334" t="s">
        <v>38</v>
      </c>
      <c r="L334" t="s">
        <v>40</v>
      </c>
      <c r="M334" t="s">
        <v>38</v>
      </c>
      <c r="N334" t="s">
        <v>38</v>
      </c>
      <c r="O334" t="s">
        <v>40</v>
      </c>
      <c r="P334" t="s">
        <v>38</v>
      </c>
      <c r="Q334" t="s">
        <v>38</v>
      </c>
      <c r="R334" t="s">
        <v>40</v>
      </c>
      <c r="S334" t="s">
        <v>41</v>
      </c>
      <c r="T334" t="s">
        <v>42</v>
      </c>
      <c r="U334" t="s">
        <v>43</v>
      </c>
      <c r="V334" t="s">
        <v>44</v>
      </c>
      <c r="W334" t="s">
        <v>45</v>
      </c>
      <c r="X334" t="s">
        <v>46</v>
      </c>
      <c r="AC334">
        <f>COUNTIF(C:C,QLKV_gui_ket_qua_ra_soat[[#This Row],[Mã điểm bán]])</f>
        <v>1</v>
      </c>
    </row>
    <row r="335" spans="1:29" x14ac:dyDescent="0.45">
      <c r="A335" t="s">
        <v>28</v>
      </c>
      <c r="B335">
        <v>419</v>
      </c>
      <c r="C335" t="s">
        <v>111</v>
      </c>
      <c r="D335" t="s">
        <v>112</v>
      </c>
      <c r="E335" t="s">
        <v>114</v>
      </c>
      <c r="F335" t="s">
        <v>115</v>
      </c>
      <c r="G335" t="s">
        <v>34</v>
      </c>
      <c r="H335" t="s">
        <v>54</v>
      </c>
      <c r="I335" t="s">
        <v>116</v>
      </c>
      <c r="J335" t="s">
        <v>37</v>
      </c>
      <c r="K335" t="s">
        <v>56</v>
      </c>
      <c r="L335" t="s">
        <v>39</v>
      </c>
      <c r="M335" t="s">
        <v>56</v>
      </c>
      <c r="N335" t="s">
        <v>56</v>
      </c>
      <c r="O335" t="s">
        <v>39</v>
      </c>
      <c r="P335" t="s">
        <v>37</v>
      </c>
      <c r="Q335" t="s">
        <v>37</v>
      </c>
      <c r="R335" t="s">
        <v>39</v>
      </c>
      <c r="S335" t="s">
        <v>41</v>
      </c>
      <c r="T335" t="s">
        <v>42</v>
      </c>
      <c r="U335" t="s">
        <v>43</v>
      </c>
      <c r="V335" t="s">
        <v>44</v>
      </c>
      <c r="W335" t="s">
        <v>45</v>
      </c>
      <c r="X335" t="s">
        <v>46</v>
      </c>
      <c r="AB335" t="s">
        <v>117</v>
      </c>
      <c r="AC335">
        <f>COUNTIF(C:C,QLKV_gui_ket_qua_ra_soat[[#This Row],[Mã điểm bán]])</f>
        <v>1</v>
      </c>
    </row>
    <row r="336" spans="1:29" x14ac:dyDescent="0.45">
      <c r="A336" t="s">
        <v>28</v>
      </c>
      <c r="B336">
        <v>421</v>
      </c>
      <c r="C336" t="s">
        <v>118</v>
      </c>
      <c r="D336" t="s">
        <v>119</v>
      </c>
      <c r="E336" t="s">
        <v>64</v>
      </c>
      <c r="F336" t="s">
        <v>53</v>
      </c>
      <c r="G336" t="s">
        <v>34</v>
      </c>
      <c r="H336" t="s">
        <v>54</v>
      </c>
      <c r="I336" t="s">
        <v>120</v>
      </c>
      <c r="J336" t="s">
        <v>38</v>
      </c>
      <c r="K336" t="s">
        <v>38</v>
      </c>
      <c r="L336" t="s">
        <v>40</v>
      </c>
      <c r="M336" t="s">
        <v>38</v>
      </c>
      <c r="N336" t="s">
        <v>38</v>
      </c>
      <c r="O336" t="s">
        <v>40</v>
      </c>
      <c r="P336" t="s">
        <v>38</v>
      </c>
      <c r="Q336" t="s">
        <v>38</v>
      </c>
      <c r="R336" t="s">
        <v>121</v>
      </c>
      <c r="S336" t="s">
        <v>41</v>
      </c>
      <c r="T336" t="s">
        <v>42</v>
      </c>
      <c r="U336" t="s">
        <v>43</v>
      </c>
      <c r="V336" t="s">
        <v>44</v>
      </c>
      <c r="W336" t="s">
        <v>45</v>
      </c>
      <c r="X336" t="s">
        <v>46</v>
      </c>
      <c r="AC336">
        <f>COUNTIF(C:C,QLKV_gui_ket_qua_ra_soat[[#This Row],[Mã điểm bán]])</f>
        <v>1</v>
      </c>
    </row>
    <row r="337" spans="1:29" x14ac:dyDescent="0.45">
      <c r="A337" t="s">
        <v>28</v>
      </c>
      <c r="B337">
        <v>446</v>
      </c>
      <c r="C337" t="s">
        <v>125</v>
      </c>
      <c r="D337" t="s">
        <v>126</v>
      </c>
      <c r="E337" t="s">
        <v>128</v>
      </c>
      <c r="F337" t="s">
        <v>53</v>
      </c>
      <c r="G337" t="s">
        <v>34</v>
      </c>
      <c r="H337" t="s">
        <v>35</v>
      </c>
      <c r="I337" t="s">
        <v>129</v>
      </c>
      <c r="J337" t="s">
        <v>38</v>
      </c>
      <c r="K337" t="s">
        <v>38</v>
      </c>
      <c r="L337" t="s">
        <v>40</v>
      </c>
      <c r="M337" t="s">
        <v>38</v>
      </c>
      <c r="N337" t="s">
        <v>38</v>
      </c>
      <c r="O337" t="s">
        <v>40</v>
      </c>
      <c r="P337" t="s">
        <v>38</v>
      </c>
      <c r="Q337" t="s">
        <v>38</v>
      </c>
      <c r="R337" t="s">
        <v>40</v>
      </c>
      <c r="S337" t="s">
        <v>41</v>
      </c>
      <c r="T337" t="s">
        <v>42</v>
      </c>
      <c r="U337" t="s">
        <v>43</v>
      </c>
      <c r="V337" t="s">
        <v>44</v>
      </c>
      <c r="W337" t="s">
        <v>45</v>
      </c>
      <c r="Z337" t="s">
        <v>46</v>
      </c>
      <c r="AA337" t="s">
        <v>48</v>
      </c>
      <c r="AB337" t="s">
        <v>83</v>
      </c>
      <c r="AC337">
        <f>COUNTIF(C:C,QLKV_gui_ket_qua_ra_soat[[#This Row],[Mã điểm bán]])</f>
        <v>1</v>
      </c>
    </row>
    <row r="338" spans="1:29" x14ac:dyDescent="0.45">
      <c r="A338" t="s">
        <v>28</v>
      </c>
      <c r="B338">
        <v>485</v>
      </c>
      <c r="C338" t="s">
        <v>130</v>
      </c>
      <c r="D338" t="s">
        <v>131</v>
      </c>
      <c r="E338" t="s">
        <v>69</v>
      </c>
      <c r="F338" t="s">
        <v>115</v>
      </c>
      <c r="G338" t="s">
        <v>34</v>
      </c>
      <c r="H338" t="s">
        <v>133</v>
      </c>
      <c r="I338" t="s">
        <v>134</v>
      </c>
      <c r="J338" t="s">
        <v>37</v>
      </c>
      <c r="K338" t="s">
        <v>37</v>
      </c>
      <c r="L338" t="s">
        <v>40</v>
      </c>
      <c r="M338" t="s">
        <v>37</v>
      </c>
      <c r="N338" t="s">
        <v>37</v>
      </c>
      <c r="O338" t="s">
        <v>39</v>
      </c>
      <c r="P338" t="s">
        <v>38</v>
      </c>
      <c r="Q338" t="s">
        <v>38</v>
      </c>
      <c r="R338" t="s">
        <v>40</v>
      </c>
      <c r="S338" t="s">
        <v>135</v>
      </c>
      <c r="T338" t="s">
        <v>103</v>
      </c>
      <c r="U338" t="s">
        <v>104</v>
      </c>
      <c r="V338" t="s">
        <v>44</v>
      </c>
      <c r="W338" t="s">
        <v>105</v>
      </c>
      <c r="X338" t="s">
        <v>46</v>
      </c>
      <c r="AC338">
        <f>COUNTIF(C:C,QLKV_gui_ket_qua_ra_soat[[#This Row],[Mã điểm bán]])</f>
        <v>1</v>
      </c>
    </row>
    <row r="339" spans="1:29" x14ac:dyDescent="0.45">
      <c r="A339" t="s">
        <v>28</v>
      </c>
      <c r="B339">
        <v>487</v>
      </c>
      <c r="C339" t="s">
        <v>136</v>
      </c>
      <c r="D339" t="s">
        <v>137</v>
      </c>
      <c r="E339" t="s">
        <v>138</v>
      </c>
      <c r="F339" t="s">
        <v>53</v>
      </c>
      <c r="G339" t="s">
        <v>34</v>
      </c>
      <c r="H339" t="s">
        <v>35</v>
      </c>
      <c r="I339" t="s">
        <v>139</v>
      </c>
      <c r="J339" t="s">
        <v>37</v>
      </c>
      <c r="K339" t="s">
        <v>37</v>
      </c>
      <c r="L339" t="s">
        <v>39</v>
      </c>
      <c r="M339" t="s">
        <v>37</v>
      </c>
      <c r="N339" t="s">
        <v>37</v>
      </c>
      <c r="O339" t="s">
        <v>39</v>
      </c>
      <c r="P339" t="s">
        <v>38</v>
      </c>
      <c r="Q339" t="s">
        <v>38</v>
      </c>
      <c r="R339" t="s">
        <v>40</v>
      </c>
      <c r="S339" t="s">
        <v>41</v>
      </c>
      <c r="T339" t="s">
        <v>42</v>
      </c>
      <c r="U339" t="s">
        <v>43</v>
      </c>
      <c r="V339" t="s">
        <v>44</v>
      </c>
      <c r="W339" t="s">
        <v>45</v>
      </c>
      <c r="X339" t="s">
        <v>46</v>
      </c>
      <c r="AB339" t="s">
        <v>94</v>
      </c>
      <c r="AC339">
        <f>COUNTIF(C:C,QLKV_gui_ket_qua_ra_soat[[#This Row],[Mã điểm bán]])</f>
        <v>1</v>
      </c>
    </row>
    <row r="340" spans="1:29" x14ac:dyDescent="0.45">
      <c r="A340" t="s">
        <v>28</v>
      </c>
      <c r="B340">
        <v>500</v>
      </c>
      <c r="C340" t="s">
        <v>140</v>
      </c>
      <c r="D340" t="s">
        <v>141</v>
      </c>
      <c r="E340" t="s">
        <v>143</v>
      </c>
      <c r="F340" t="s">
        <v>115</v>
      </c>
      <c r="G340" t="s">
        <v>34</v>
      </c>
      <c r="H340" t="s">
        <v>54</v>
      </c>
      <c r="I340" t="s">
        <v>144</v>
      </c>
      <c r="J340" t="s">
        <v>38</v>
      </c>
      <c r="K340" t="s">
        <v>38</v>
      </c>
      <c r="L340" t="s">
        <v>40</v>
      </c>
      <c r="M340" t="s">
        <v>37</v>
      </c>
      <c r="N340" t="s">
        <v>37</v>
      </c>
      <c r="O340" t="s">
        <v>39</v>
      </c>
      <c r="P340" t="s">
        <v>38</v>
      </c>
      <c r="Q340" t="s">
        <v>38</v>
      </c>
      <c r="R340" t="s">
        <v>40</v>
      </c>
      <c r="S340" t="s">
        <v>145</v>
      </c>
      <c r="T340" t="s">
        <v>103</v>
      </c>
      <c r="U340" t="s">
        <v>104</v>
      </c>
      <c r="V340" t="s">
        <v>44</v>
      </c>
      <c r="W340" t="s">
        <v>105</v>
      </c>
      <c r="Z340" t="s">
        <v>46</v>
      </c>
      <c r="AA340" t="s">
        <v>47</v>
      </c>
      <c r="AB340" t="s">
        <v>48</v>
      </c>
      <c r="AC340">
        <f>COUNTIF(C:C,QLKV_gui_ket_qua_ra_soat[[#This Row],[Mã điểm bán]])</f>
        <v>1</v>
      </c>
    </row>
    <row r="341" spans="1:29" x14ac:dyDescent="0.45">
      <c r="A341" t="s">
        <v>28</v>
      </c>
      <c r="B341">
        <v>578</v>
      </c>
      <c r="C341" t="s">
        <v>160</v>
      </c>
      <c r="D341" t="s">
        <v>161</v>
      </c>
      <c r="E341" t="s">
        <v>162</v>
      </c>
      <c r="F341" t="s">
        <v>33</v>
      </c>
      <c r="G341" t="s">
        <v>34</v>
      </c>
      <c r="H341" t="s">
        <v>35</v>
      </c>
      <c r="I341" t="s">
        <v>163</v>
      </c>
      <c r="J341" t="s">
        <v>37</v>
      </c>
      <c r="K341" t="s">
        <v>37</v>
      </c>
      <c r="L341" t="s">
        <v>39</v>
      </c>
      <c r="M341" t="s">
        <v>37</v>
      </c>
      <c r="N341" t="s">
        <v>37</v>
      </c>
      <c r="O341" t="s">
        <v>39</v>
      </c>
      <c r="P341" t="s">
        <v>38</v>
      </c>
      <c r="Q341" t="s">
        <v>38</v>
      </c>
      <c r="R341" t="s">
        <v>40</v>
      </c>
      <c r="S341" t="s">
        <v>41</v>
      </c>
      <c r="T341" t="s">
        <v>42</v>
      </c>
      <c r="U341" t="s">
        <v>43</v>
      </c>
      <c r="V341" t="s">
        <v>44</v>
      </c>
      <c r="W341" t="s">
        <v>45</v>
      </c>
      <c r="Z341" t="s">
        <v>46</v>
      </c>
      <c r="AA341" t="s">
        <v>48</v>
      </c>
      <c r="AB341" t="s">
        <v>83</v>
      </c>
      <c r="AC341">
        <f>COUNTIF(C:C,QLKV_gui_ket_qua_ra_soat[[#This Row],[Mã điểm bán]])</f>
        <v>1</v>
      </c>
    </row>
    <row r="342" spans="1:29" x14ac:dyDescent="0.45">
      <c r="A342" t="s">
        <v>28</v>
      </c>
      <c r="B342">
        <v>582</v>
      </c>
      <c r="C342" t="s">
        <v>164</v>
      </c>
      <c r="D342" t="s">
        <v>165</v>
      </c>
      <c r="E342" t="s">
        <v>157</v>
      </c>
      <c r="F342" t="s">
        <v>166</v>
      </c>
      <c r="G342" t="s">
        <v>34</v>
      </c>
      <c r="H342" t="s">
        <v>54</v>
      </c>
      <c r="I342" t="s">
        <v>167</v>
      </c>
      <c r="J342" t="s">
        <v>37</v>
      </c>
      <c r="K342" t="s">
        <v>37</v>
      </c>
      <c r="L342" t="s">
        <v>39</v>
      </c>
      <c r="M342" t="s">
        <v>37</v>
      </c>
      <c r="N342" t="s">
        <v>37</v>
      </c>
      <c r="O342" t="s">
        <v>39</v>
      </c>
      <c r="P342" t="s">
        <v>37</v>
      </c>
      <c r="Q342" t="s">
        <v>37</v>
      </c>
      <c r="R342" t="s">
        <v>39</v>
      </c>
      <c r="S342" t="s">
        <v>41</v>
      </c>
      <c r="T342" t="s">
        <v>42</v>
      </c>
      <c r="U342" t="s">
        <v>43</v>
      </c>
      <c r="V342" t="s">
        <v>44</v>
      </c>
      <c r="W342" t="s">
        <v>45</v>
      </c>
      <c r="X342" t="s">
        <v>46</v>
      </c>
      <c r="AC342">
        <f>COUNTIF(C:C,QLKV_gui_ket_qua_ra_soat[[#This Row],[Mã điểm bán]])</f>
        <v>1</v>
      </c>
    </row>
    <row r="343" spans="1:29" x14ac:dyDescent="0.45">
      <c r="A343" t="s">
        <v>28</v>
      </c>
      <c r="B343">
        <v>589</v>
      </c>
      <c r="C343" t="s">
        <v>168</v>
      </c>
      <c r="D343" t="s">
        <v>169</v>
      </c>
      <c r="E343" t="s">
        <v>148</v>
      </c>
      <c r="F343" t="s">
        <v>53</v>
      </c>
      <c r="G343" t="s">
        <v>34</v>
      </c>
      <c r="H343" t="s">
        <v>171</v>
      </c>
      <c r="I343" t="s">
        <v>172</v>
      </c>
      <c r="J343" t="s">
        <v>38</v>
      </c>
      <c r="K343" t="s">
        <v>38</v>
      </c>
      <c r="L343" t="s">
        <v>40</v>
      </c>
      <c r="M343" t="s">
        <v>37</v>
      </c>
      <c r="N343" t="s">
        <v>37</v>
      </c>
      <c r="O343" t="s">
        <v>39</v>
      </c>
      <c r="P343" t="s">
        <v>38</v>
      </c>
      <c r="Q343" t="s">
        <v>38</v>
      </c>
      <c r="R343" t="s">
        <v>40</v>
      </c>
      <c r="S343" t="s">
        <v>173</v>
      </c>
      <c r="T343" t="s">
        <v>103</v>
      </c>
      <c r="U343" t="s">
        <v>104</v>
      </c>
      <c r="V343" t="s">
        <v>44</v>
      </c>
      <c r="W343" t="s">
        <v>105</v>
      </c>
      <c r="X343" t="s">
        <v>46</v>
      </c>
      <c r="AC343">
        <f>COUNTIF(C:C,QLKV_gui_ket_qua_ra_soat[[#This Row],[Mã điểm bán]])</f>
        <v>1</v>
      </c>
    </row>
    <row r="344" spans="1:29" x14ac:dyDescent="0.45">
      <c r="A344" t="s">
        <v>28</v>
      </c>
      <c r="B344">
        <v>602</v>
      </c>
      <c r="C344" t="s">
        <v>174</v>
      </c>
      <c r="D344" t="s">
        <v>175</v>
      </c>
      <c r="E344" t="s">
        <v>176</v>
      </c>
      <c r="F344" t="s">
        <v>53</v>
      </c>
      <c r="G344" t="s">
        <v>177</v>
      </c>
      <c r="H344" t="s">
        <v>54</v>
      </c>
      <c r="I344" t="s">
        <v>178</v>
      </c>
      <c r="J344" t="s">
        <v>38</v>
      </c>
      <c r="K344" t="s">
        <v>38</v>
      </c>
      <c r="L344" t="s">
        <v>40</v>
      </c>
      <c r="M344" t="s">
        <v>38</v>
      </c>
      <c r="N344" t="s">
        <v>38</v>
      </c>
      <c r="O344" t="s">
        <v>40</v>
      </c>
      <c r="P344" t="s">
        <v>38</v>
      </c>
      <c r="Q344" t="s">
        <v>38</v>
      </c>
      <c r="R344" t="s">
        <v>40</v>
      </c>
      <c r="S344" t="s">
        <v>41</v>
      </c>
      <c r="T344" t="s">
        <v>42</v>
      </c>
      <c r="U344" t="s">
        <v>43</v>
      </c>
      <c r="V344" t="s">
        <v>44</v>
      </c>
      <c r="W344" t="s">
        <v>45</v>
      </c>
      <c r="X344" t="s">
        <v>46</v>
      </c>
      <c r="AC344">
        <f>COUNTIF(C:C,QLKV_gui_ket_qua_ra_soat[[#This Row],[Mã điểm bán]])</f>
        <v>1</v>
      </c>
    </row>
    <row r="345" spans="1:29" x14ac:dyDescent="0.45">
      <c r="A345" t="s">
        <v>28</v>
      </c>
      <c r="B345">
        <v>610</v>
      </c>
      <c r="C345" t="s">
        <v>179</v>
      </c>
      <c r="D345" t="s">
        <v>180</v>
      </c>
      <c r="E345" t="s">
        <v>181</v>
      </c>
      <c r="F345" t="s">
        <v>53</v>
      </c>
      <c r="G345" t="s">
        <v>34</v>
      </c>
      <c r="H345" t="s">
        <v>35</v>
      </c>
      <c r="I345" t="s">
        <v>182</v>
      </c>
      <c r="J345" t="s">
        <v>38</v>
      </c>
      <c r="K345" t="s">
        <v>38</v>
      </c>
      <c r="L345" t="s">
        <v>40</v>
      </c>
      <c r="M345" t="s">
        <v>38</v>
      </c>
      <c r="N345" t="s">
        <v>38</v>
      </c>
      <c r="O345" t="s">
        <v>40</v>
      </c>
      <c r="P345" t="s">
        <v>38</v>
      </c>
      <c r="Q345" t="s">
        <v>38</v>
      </c>
      <c r="R345" t="s">
        <v>40</v>
      </c>
      <c r="S345" t="s">
        <v>41</v>
      </c>
      <c r="T345" t="s">
        <v>42</v>
      </c>
      <c r="U345" t="s">
        <v>43</v>
      </c>
      <c r="V345" t="s">
        <v>44</v>
      </c>
      <c r="W345" t="s">
        <v>45</v>
      </c>
      <c r="Y345" t="s">
        <v>46</v>
      </c>
      <c r="AB345" t="s">
        <v>159</v>
      </c>
      <c r="AC345">
        <f>COUNTIF(C:C,QLKV_gui_ket_qua_ra_soat[[#This Row],[Mã điểm bán]])</f>
        <v>1</v>
      </c>
    </row>
    <row r="346" spans="1:29" x14ac:dyDescent="0.45">
      <c r="A346" t="s">
        <v>28</v>
      </c>
      <c r="B346">
        <v>611</v>
      </c>
      <c r="C346" t="s">
        <v>183</v>
      </c>
      <c r="D346" t="s">
        <v>184</v>
      </c>
      <c r="E346" t="s">
        <v>185</v>
      </c>
      <c r="F346" t="s">
        <v>53</v>
      </c>
      <c r="G346" t="s">
        <v>34</v>
      </c>
      <c r="H346" t="s">
        <v>54</v>
      </c>
      <c r="I346" t="s">
        <v>186</v>
      </c>
      <c r="J346" t="s">
        <v>38</v>
      </c>
      <c r="K346" t="s">
        <v>38</v>
      </c>
      <c r="L346" t="s">
        <v>40</v>
      </c>
      <c r="M346" t="s">
        <v>38</v>
      </c>
      <c r="N346" t="s">
        <v>38</v>
      </c>
      <c r="O346" t="s">
        <v>40</v>
      </c>
      <c r="P346" t="s">
        <v>38</v>
      </c>
      <c r="Q346" t="s">
        <v>38</v>
      </c>
      <c r="R346" t="s">
        <v>40</v>
      </c>
      <c r="S346" t="s">
        <v>41</v>
      </c>
      <c r="T346" t="s">
        <v>42</v>
      </c>
      <c r="U346" t="s">
        <v>43</v>
      </c>
      <c r="V346" t="s">
        <v>44</v>
      </c>
      <c r="W346" t="s">
        <v>45</v>
      </c>
      <c r="X346" t="s">
        <v>46</v>
      </c>
      <c r="AC346">
        <f>COUNTIF(C:C,QLKV_gui_ket_qua_ra_soat[[#This Row],[Mã điểm bán]])</f>
        <v>1</v>
      </c>
    </row>
    <row r="347" spans="1:29" x14ac:dyDescent="0.45">
      <c r="A347" t="s">
        <v>28</v>
      </c>
      <c r="B347">
        <v>656</v>
      </c>
      <c r="C347" t="s">
        <v>187</v>
      </c>
      <c r="D347" t="s">
        <v>188</v>
      </c>
      <c r="E347" t="s">
        <v>190</v>
      </c>
      <c r="F347" t="s">
        <v>191</v>
      </c>
      <c r="G347" t="s">
        <v>34</v>
      </c>
      <c r="H347" t="s">
        <v>192</v>
      </c>
      <c r="I347" t="s">
        <v>193</v>
      </c>
      <c r="J347" t="s">
        <v>37</v>
      </c>
      <c r="K347" t="s">
        <v>37</v>
      </c>
      <c r="L347" t="s">
        <v>40</v>
      </c>
      <c r="M347" t="s">
        <v>37</v>
      </c>
      <c r="N347" t="s">
        <v>37</v>
      </c>
      <c r="O347" t="s">
        <v>39</v>
      </c>
      <c r="P347" t="s">
        <v>38</v>
      </c>
      <c r="Q347" t="s">
        <v>38</v>
      </c>
      <c r="R347" t="s">
        <v>40</v>
      </c>
      <c r="S347" t="s">
        <v>194</v>
      </c>
      <c r="T347" t="s">
        <v>103</v>
      </c>
      <c r="U347" t="s">
        <v>104</v>
      </c>
      <c r="V347" t="s">
        <v>44</v>
      </c>
      <c r="W347" t="s">
        <v>105</v>
      </c>
      <c r="X347" t="s">
        <v>46</v>
      </c>
      <c r="AC347">
        <f>COUNTIF(C:C,QLKV_gui_ket_qua_ra_soat[[#This Row],[Mã điểm bán]])</f>
        <v>1</v>
      </c>
    </row>
    <row r="348" spans="1:29" x14ac:dyDescent="0.45">
      <c r="A348" t="s">
        <v>28</v>
      </c>
      <c r="B348">
        <v>672</v>
      </c>
      <c r="C348" t="s">
        <v>195</v>
      </c>
      <c r="D348" t="s">
        <v>196</v>
      </c>
      <c r="E348" t="s">
        <v>197</v>
      </c>
      <c r="F348" t="s">
        <v>53</v>
      </c>
      <c r="G348" t="s">
        <v>34</v>
      </c>
      <c r="H348" t="s">
        <v>54</v>
      </c>
      <c r="I348" t="s">
        <v>198</v>
      </c>
      <c r="J348" t="s">
        <v>37</v>
      </c>
      <c r="K348" t="s">
        <v>37</v>
      </c>
      <c r="L348" t="s">
        <v>39</v>
      </c>
      <c r="M348" t="s">
        <v>37</v>
      </c>
      <c r="N348" t="s">
        <v>37</v>
      </c>
      <c r="O348" t="s">
        <v>39</v>
      </c>
      <c r="P348" t="s">
        <v>38</v>
      </c>
      <c r="Q348" t="s">
        <v>38</v>
      </c>
      <c r="R348" t="s">
        <v>40</v>
      </c>
      <c r="S348" t="s">
        <v>41</v>
      </c>
      <c r="T348" t="s">
        <v>42</v>
      </c>
      <c r="U348" t="s">
        <v>43</v>
      </c>
      <c r="V348" t="s">
        <v>44</v>
      </c>
      <c r="W348" t="s">
        <v>45</v>
      </c>
      <c r="X348" t="s">
        <v>46</v>
      </c>
      <c r="AC348">
        <f>COUNTIF(C:C,QLKV_gui_ket_qua_ra_soat[[#This Row],[Mã điểm bán]])</f>
        <v>1</v>
      </c>
    </row>
    <row r="349" spans="1:29" x14ac:dyDescent="0.45">
      <c r="A349" t="s">
        <v>28</v>
      </c>
      <c r="B349">
        <v>673</v>
      </c>
      <c r="C349" t="s">
        <v>199</v>
      </c>
      <c r="D349" t="s">
        <v>200</v>
      </c>
      <c r="E349" t="s">
        <v>64</v>
      </c>
      <c r="F349" t="s">
        <v>53</v>
      </c>
      <c r="G349" t="s">
        <v>34</v>
      </c>
      <c r="H349" t="s">
        <v>54</v>
      </c>
      <c r="I349" t="s">
        <v>120</v>
      </c>
      <c r="J349" t="s">
        <v>38</v>
      </c>
      <c r="K349" t="s">
        <v>38</v>
      </c>
      <c r="L349" t="s">
        <v>40</v>
      </c>
      <c r="M349" t="s">
        <v>38</v>
      </c>
      <c r="N349" t="s">
        <v>38</v>
      </c>
      <c r="O349" t="s">
        <v>40</v>
      </c>
      <c r="P349" t="s">
        <v>38</v>
      </c>
      <c r="Q349" t="s">
        <v>38</v>
      </c>
      <c r="R349" t="s">
        <v>40</v>
      </c>
      <c r="S349" t="s">
        <v>41</v>
      </c>
      <c r="T349" t="s">
        <v>42</v>
      </c>
      <c r="U349" t="s">
        <v>43</v>
      </c>
      <c r="V349" t="s">
        <v>44</v>
      </c>
      <c r="W349" t="s">
        <v>45</v>
      </c>
      <c r="X349" t="s">
        <v>46</v>
      </c>
      <c r="AC349">
        <f>COUNTIF(C:C,QLKV_gui_ket_qua_ra_soat[[#This Row],[Mã điểm bán]])</f>
        <v>1</v>
      </c>
    </row>
    <row r="350" spans="1:29" x14ac:dyDescent="0.45">
      <c r="A350" t="s">
        <v>28</v>
      </c>
      <c r="B350">
        <v>687</v>
      </c>
      <c r="C350" t="s">
        <v>201</v>
      </c>
      <c r="D350" t="s">
        <v>202</v>
      </c>
      <c r="E350" t="s">
        <v>69</v>
      </c>
      <c r="F350" t="s">
        <v>53</v>
      </c>
      <c r="G350" t="s">
        <v>34</v>
      </c>
      <c r="H350" t="s">
        <v>54</v>
      </c>
      <c r="I350" t="s">
        <v>203</v>
      </c>
      <c r="J350" t="s">
        <v>38</v>
      </c>
      <c r="K350" t="s">
        <v>38</v>
      </c>
      <c r="L350" t="s">
        <v>40</v>
      </c>
      <c r="M350" t="s">
        <v>56</v>
      </c>
      <c r="N350" t="s">
        <v>56</v>
      </c>
      <c r="O350" t="s">
        <v>39</v>
      </c>
      <c r="P350" t="s">
        <v>38</v>
      </c>
      <c r="Q350" t="s">
        <v>38</v>
      </c>
      <c r="R350" t="s">
        <v>40</v>
      </c>
      <c r="S350" t="s">
        <v>41</v>
      </c>
      <c r="T350" t="s">
        <v>103</v>
      </c>
      <c r="U350" t="s">
        <v>104</v>
      </c>
      <c r="V350" t="s">
        <v>44</v>
      </c>
      <c r="W350" t="s">
        <v>105</v>
      </c>
      <c r="X350" t="s">
        <v>46</v>
      </c>
      <c r="AC350">
        <f>COUNTIF(C:C,QLKV_gui_ket_qua_ra_soat[[#This Row],[Mã điểm bán]])</f>
        <v>1</v>
      </c>
    </row>
    <row r="351" spans="1:29" x14ac:dyDescent="0.45">
      <c r="A351" t="s">
        <v>28</v>
      </c>
      <c r="B351">
        <v>712</v>
      </c>
      <c r="C351" t="s">
        <v>204</v>
      </c>
      <c r="D351" t="s">
        <v>205</v>
      </c>
      <c r="E351" t="s">
        <v>207</v>
      </c>
      <c r="F351" t="s">
        <v>33</v>
      </c>
      <c r="G351" t="s">
        <v>34</v>
      </c>
      <c r="H351" t="s">
        <v>54</v>
      </c>
      <c r="I351" t="s">
        <v>208</v>
      </c>
      <c r="J351" t="s">
        <v>37</v>
      </c>
      <c r="K351" t="s">
        <v>37</v>
      </c>
      <c r="L351" t="s">
        <v>39</v>
      </c>
      <c r="M351" t="s">
        <v>37</v>
      </c>
      <c r="N351" t="s">
        <v>37</v>
      </c>
      <c r="O351" t="s">
        <v>39</v>
      </c>
      <c r="P351" t="s">
        <v>38</v>
      </c>
      <c r="Q351" t="s">
        <v>38</v>
      </c>
      <c r="R351" t="s">
        <v>40</v>
      </c>
      <c r="S351" t="s">
        <v>41</v>
      </c>
      <c r="T351" t="s">
        <v>42</v>
      </c>
      <c r="U351" t="s">
        <v>43</v>
      </c>
      <c r="V351" t="s">
        <v>44</v>
      </c>
      <c r="W351" t="s">
        <v>45</v>
      </c>
      <c r="X351" t="s">
        <v>46</v>
      </c>
      <c r="AB351" t="s">
        <v>94</v>
      </c>
      <c r="AC351">
        <f>COUNTIF(C:C,QLKV_gui_ket_qua_ra_soat[[#This Row],[Mã điểm bán]])</f>
        <v>1</v>
      </c>
    </row>
    <row r="352" spans="1:29" x14ac:dyDescent="0.45">
      <c r="A352" t="s">
        <v>28</v>
      </c>
      <c r="B352">
        <v>715</v>
      </c>
      <c r="C352" t="s">
        <v>209</v>
      </c>
      <c r="D352" t="s">
        <v>210</v>
      </c>
      <c r="E352" t="s">
        <v>212</v>
      </c>
      <c r="F352" t="s">
        <v>213</v>
      </c>
      <c r="G352" t="s">
        <v>34</v>
      </c>
      <c r="H352" t="s">
        <v>214</v>
      </c>
      <c r="I352" t="s">
        <v>215</v>
      </c>
      <c r="J352" t="s">
        <v>38</v>
      </c>
      <c r="K352" t="s">
        <v>38</v>
      </c>
      <c r="L352" t="s">
        <v>40</v>
      </c>
      <c r="M352" t="s">
        <v>37</v>
      </c>
      <c r="N352" t="s">
        <v>37</v>
      </c>
      <c r="O352" t="s">
        <v>39</v>
      </c>
      <c r="P352" t="s">
        <v>38</v>
      </c>
      <c r="Q352" t="s">
        <v>38</v>
      </c>
      <c r="R352" t="s">
        <v>40</v>
      </c>
      <c r="S352" t="s">
        <v>216</v>
      </c>
      <c r="T352" t="s">
        <v>103</v>
      </c>
      <c r="U352" t="s">
        <v>104</v>
      </c>
      <c r="V352" t="s">
        <v>44</v>
      </c>
      <c r="W352" t="s">
        <v>105</v>
      </c>
      <c r="Z352" t="s">
        <v>46</v>
      </c>
      <c r="AA352" t="s">
        <v>47</v>
      </c>
      <c r="AB352" t="s">
        <v>48</v>
      </c>
      <c r="AC352">
        <f>COUNTIF(C:C,QLKV_gui_ket_qua_ra_soat[[#This Row],[Mã điểm bán]])</f>
        <v>1</v>
      </c>
    </row>
    <row r="353" spans="1:29" x14ac:dyDescent="0.45">
      <c r="A353" t="s">
        <v>28</v>
      </c>
      <c r="B353">
        <v>718</v>
      </c>
      <c r="C353" t="s">
        <v>217</v>
      </c>
      <c r="D353" t="s">
        <v>218</v>
      </c>
      <c r="E353" t="s">
        <v>113</v>
      </c>
      <c r="F353" t="s">
        <v>53</v>
      </c>
      <c r="G353" t="s">
        <v>34</v>
      </c>
      <c r="H353" t="s">
        <v>35</v>
      </c>
      <c r="I353" t="s">
        <v>220</v>
      </c>
      <c r="J353" t="s">
        <v>38</v>
      </c>
      <c r="K353" t="s">
        <v>38</v>
      </c>
      <c r="L353" t="s">
        <v>40</v>
      </c>
      <c r="M353" t="s">
        <v>38</v>
      </c>
      <c r="N353" t="s">
        <v>38</v>
      </c>
      <c r="O353" t="s">
        <v>40</v>
      </c>
      <c r="P353" t="s">
        <v>38</v>
      </c>
      <c r="Q353" t="s">
        <v>38</v>
      </c>
      <c r="R353" t="s">
        <v>40</v>
      </c>
      <c r="S353" t="s">
        <v>41</v>
      </c>
      <c r="T353" t="s">
        <v>42</v>
      </c>
      <c r="U353" t="s">
        <v>43</v>
      </c>
      <c r="V353" t="s">
        <v>44</v>
      </c>
      <c r="W353" t="s">
        <v>45</v>
      </c>
      <c r="X353" t="s">
        <v>46</v>
      </c>
      <c r="AB353" t="s">
        <v>94</v>
      </c>
      <c r="AC353">
        <f>COUNTIF(C:C,QLKV_gui_ket_qua_ra_soat[[#This Row],[Mã điểm bán]])</f>
        <v>1</v>
      </c>
    </row>
    <row r="354" spans="1:29" x14ac:dyDescent="0.45">
      <c r="A354" t="s">
        <v>28</v>
      </c>
      <c r="B354">
        <v>720</v>
      </c>
      <c r="C354" t="s">
        <v>221</v>
      </c>
      <c r="D354" t="s">
        <v>222</v>
      </c>
      <c r="E354" t="s">
        <v>219</v>
      </c>
      <c r="F354" t="s">
        <v>224</v>
      </c>
      <c r="G354" t="s">
        <v>34</v>
      </c>
      <c r="H354" t="s">
        <v>35</v>
      </c>
      <c r="I354" t="s">
        <v>225</v>
      </c>
      <c r="J354" t="s">
        <v>37</v>
      </c>
      <c r="K354" t="s">
        <v>37</v>
      </c>
      <c r="L354" t="s">
        <v>39</v>
      </c>
      <c r="M354" t="s">
        <v>56</v>
      </c>
      <c r="N354" t="s">
        <v>56</v>
      </c>
      <c r="O354" t="s">
        <v>39</v>
      </c>
      <c r="P354" t="s">
        <v>38</v>
      </c>
      <c r="Q354" t="s">
        <v>38</v>
      </c>
      <c r="R354" t="s">
        <v>40</v>
      </c>
      <c r="S354" t="s">
        <v>41</v>
      </c>
      <c r="T354" t="s">
        <v>42</v>
      </c>
      <c r="U354" t="s">
        <v>43</v>
      </c>
      <c r="V354" t="s">
        <v>44</v>
      </c>
      <c r="W354" t="s">
        <v>45</v>
      </c>
      <c r="Z354" t="s">
        <v>46</v>
      </c>
      <c r="AA354" t="s">
        <v>47</v>
      </c>
      <c r="AB354" t="s">
        <v>48</v>
      </c>
      <c r="AC354">
        <f>COUNTIF(C:C,QLKV_gui_ket_qua_ra_soat[[#This Row],[Mã điểm bán]])</f>
        <v>1</v>
      </c>
    </row>
    <row r="355" spans="1:29" x14ac:dyDescent="0.45">
      <c r="A355" t="s">
        <v>28</v>
      </c>
      <c r="B355">
        <v>728</v>
      </c>
      <c r="C355" t="s">
        <v>226</v>
      </c>
      <c r="D355" t="s">
        <v>227</v>
      </c>
      <c r="E355" t="s">
        <v>176</v>
      </c>
      <c r="F355" t="s">
        <v>53</v>
      </c>
      <c r="G355" t="s">
        <v>34</v>
      </c>
      <c r="H355" t="s">
        <v>54</v>
      </c>
      <c r="I355" t="s">
        <v>228</v>
      </c>
      <c r="J355" t="s">
        <v>38</v>
      </c>
      <c r="K355" t="s">
        <v>37</v>
      </c>
      <c r="L355" t="s">
        <v>40</v>
      </c>
      <c r="M355" t="s">
        <v>38</v>
      </c>
      <c r="N355" t="s">
        <v>38</v>
      </c>
      <c r="O355" t="s">
        <v>40</v>
      </c>
      <c r="P355" t="s">
        <v>38</v>
      </c>
      <c r="Q355" t="s">
        <v>38</v>
      </c>
      <c r="R355" t="s">
        <v>40</v>
      </c>
      <c r="S355" t="s">
        <v>41</v>
      </c>
      <c r="T355" t="s">
        <v>42</v>
      </c>
      <c r="U355" t="s">
        <v>43</v>
      </c>
      <c r="V355" t="s">
        <v>44</v>
      </c>
      <c r="W355" t="s">
        <v>45</v>
      </c>
      <c r="X355" t="s">
        <v>46</v>
      </c>
      <c r="AC355">
        <f>COUNTIF(C:C,QLKV_gui_ket_qua_ra_soat[[#This Row],[Mã điểm bán]])</f>
        <v>1</v>
      </c>
    </row>
    <row r="356" spans="1:29" x14ac:dyDescent="0.45">
      <c r="A356" t="s">
        <v>28</v>
      </c>
      <c r="B356">
        <v>902</v>
      </c>
      <c r="C356" t="s">
        <v>239</v>
      </c>
      <c r="D356" t="s">
        <v>240</v>
      </c>
      <c r="E356" t="s">
        <v>241</v>
      </c>
      <c r="F356" t="s">
        <v>53</v>
      </c>
      <c r="G356" t="s">
        <v>177</v>
      </c>
      <c r="H356" t="s">
        <v>54</v>
      </c>
      <c r="I356" t="s">
        <v>242</v>
      </c>
      <c r="J356" t="s">
        <v>38</v>
      </c>
      <c r="K356" t="s">
        <v>38</v>
      </c>
      <c r="L356" t="s">
        <v>40</v>
      </c>
      <c r="M356" t="s">
        <v>38</v>
      </c>
      <c r="N356" t="s">
        <v>38</v>
      </c>
      <c r="O356" t="s">
        <v>40</v>
      </c>
      <c r="P356" t="s">
        <v>38</v>
      </c>
      <c r="Q356" t="s">
        <v>38</v>
      </c>
      <c r="R356" t="s">
        <v>40</v>
      </c>
      <c r="S356" t="s">
        <v>243</v>
      </c>
      <c r="T356" t="s">
        <v>244</v>
      </c>
      <c r="U356" t="s">
        <v>245</v>
      </c>
      <c r="V356" t="s">
        <v>44</v>
      </c>
      <c r="W356" t="s">
        <v>246</v>
      </c>
      <c r="Z356" t="s">
        <v>46</v>
      </c>
      <c r="AA356" t="s">
        <v>247</v>
      </c>
      <c r="AB356" t="s">
        <v>83</v>
      </c>
      <c r="AC356">
        <f>COUNTIF(C:C,QLKV_gui_ket_qua_ra_soat[[#This Row],[Mã điểm bán]])</f>
        <v>1</v>
      </c>
    </row>
    <row r="357" spans="1:29" x14ac:dyDescent="0.45">
      <c r="A357" t="s">
        <v>28</v>
      </c>
      <c r="B357">
        <v>1005</v>
      </c>
      <c r="C357" t="s">
        <v>271</v>
      </c>
      <c r="D357" t="s">
        <v>272</v>
      </c>
      <c r="E357" t="s">
        <v>273</v>
      </c>
      <c r="F357" t="s">
        <v>53</v>
      </c>
      <c r="G357" t="s">
        <v>177</v>
      </c>
      <c r="H357" t="s">
        <v>274</v>
      </c>
      <c r="I357" t="s">
        <v>275</v>
      </c>
      <c r="J357" t="s">
        <v>38</v>
      </c>
      <c r="K357" t="s">
        <v>38</v>
      </c>
      <c r="L357" t="s">
        <v>40</v>
      </c>
      <c r="M357" t="s">
        <v>38</v>
      </c>
      <c r="N357" t="s">
        <v>38</v>
      </c>
      <c r="O357" t="s">
        <v>40</v>
      </c>
      <c r="P357" t="s">
        <v>38</v>
      </c>
      <c r="Q357" t="s">
        <v>38</v>
      </c>
      <c r="R357" t="s">
        <v>40</v>
      </c>
      <c r="S357" t="s">
        <v>276</v>
      </c>
      <c r="T357" t="s">
        <v>244</v>
      </c>
      <c r="U357" t="s">
        <v>245</v>
      </c>
      <c r="V357" t="s">
        <v>44</v>
      </c>
      <c r="W357" t="s">
        <v>246</v>
      </c>
      <c r="Y357" t="s">
        <v>46</v>
      </c>
      <c r="AC357">
        <f>COUNTIF(C:C,QLKV_gui_ket_qua_ra_soat[[#This Row],[Mã điểm bán]])</f>
        <v>1</v>
      </c>
    </row>
    <row r="358" spans="1:29" x14ac:dyDescent="0.45">
      <c r="A358" t="s">
        <v>28</v>
      </c>
      <c r="B358">
        <v>1117</v>
      </c>
      <c r="C358" t="s">
        <v>305</v>
      </c>
      <c r="D358" t="s">
        <v>306</v>
      </c>
      <c r="E358" t="s">
        <v>307</v>
      </c>
      <c r="F358" t="s">
        <v>53</v>
      </c>
      <c r="G358" t="s">
        <v>34</v>
      </c>
      <c r="H358" t="s">
        <v>54</v>
      </c>
      <c r="I358" t="s">
        <v>308</v>
      </c>
      <c r="J358" t="s">
        <v>38</v>
      </c>
      <c r="K358" t="s">
        <v>37</v>
      </c>
      <c r="L358" t="s">
        <v>40</v>
      </c>
      <c r="M358" t="s">
        <v>38</v>
      </c>
      <c r="N358" t="s">
        <v>38</v>
      </c>
      <c r="O358" t="s">
        <v>40</v>
      </c>
      <c r="P358" t="s">
        <v>38</v>
      </c>
      <c r="Q358" t="s">
        <v>37</v>
      </c>
      <c r="R358" t="s">
        <v>40</v>
      </c>
      <c r="S358" t="s">
        <v>41</v>
      </c>
      <c r="T358" t="s">
        <v>309</v>
      </c>
      <c r="U358" t="s">
        <v>245</v>
      </c>
      <c r="V358" t="s">
        <v>44</v>
      </c>
      <c r="W358" t="s">
        <v>246</v>
      </c>
      <c r="Z358" t="s">
        <v>46</v>
      </c>
      <c r="AA358" t="s">
        <v>247</v>
      </c>
      <c r="AB358" t="s">
        <v>83</v>
      </c>
      <c r="AC358">
        <f>COUNTIF(C:C,QLKV_gui_ket_qua_ra_soat[[#This Row],[Mã điểm bán]])</f>
        <v>1</v>
      </c>
    </row>
    <row r="359" spans="1:29" x14ac:dyDescent="0.45">
      <c r="A359" t="s">
        <v>28</v>
      </c>
      <c r="B359">
        <v>1148</v>
      </c>
      <c r="C359" t="s">
        <v>315</v>
      </c>
      <c r="D359" t="s">
        <v>316</v>
      </c>
      <c r="E359" t="s">
        <v>317</v>
      </c>
      <c r="F359" t="s">
        <v>318</v>
      </c>
      <c r="G359" t="s">
        <v>34</v>
      </c>
      <c r="H359" t="s">
        <v>319</v>
      </c>
      <c r="I359" t="s">
        <v>320</v>
      </c>
      <c r="J359" t="s">
        <v>38</v>
      </c>
      <c r="K359" t="s">
        <v>38</v>
      </c>
      <c r="L359" t="s">
        <v>40</v>
      </c>
      <c r="M359" t="s">
        <v>38</v>
      </c>
      <c r="N359" t="s">
        <v>38</v>
      </c>
      <c r="O359" t="s">
        <v>40</v>
      </c>
      <c r="P359" t="s">
        <v>38</v>
      </c>
      <c r="Q359" t="s">
        <v>38</v>
      </c>
      <c r="R359" t="s">
        <v>40</v>
      </c>
      <c r="S359" t="s">
        <v>41</v>
      </c>
      <c r="T359" t="s">
        <v>79</v>
      </c>
      <c r="U359" t="s">
        <v>80</v>
      </c>
      <c r="V359" t="s">
        <v>44</v>
      </c>
      <c r="W359" t="s">
        <v>81</v>
      </c>
      <c r="Z359" t="s">
        <v>46</v>
      </c>
      <c r="AA359" t="s">
        <v>82</v>
      </c>
      <c r="AB359" t="s">
        <v>83</v>
      </c>
      <c r="AC359">
        <f>COUNTIF(C:C,QLKV_gui_ket_qua_ra_soat[[#This Row],[Mã điểm bán]])</f>
        <v>1</v>
      </c>
    </row>
    <row r="360" spans="1:29" x14ac:dyDescent="0.45">
      <c r="A360" t="s">
        <v>28</v>
      </c>
      <c r="B360">
        <v>1208</v>
      </c>
      <c r="C360" t="s">
        <v>328</v>
      </c>
      <c r="D360" t="s">
        <v>329</v>
      </c>
      <c r="E360" t="s">
        <v>223</v>
      </c>
      <c r="F360" t="s">
        <v>331</v>
      </c>
      <c r="G360" t="s">
        <v>34</v>
      </c>
      <c r="H360" t="s">
        <v>332</v>
      </c>
      <c r="I360" t="s">
        <v>333</v>
      </c>
      <c r="J360" t="s">
        <v>37</v>
      </c>
      <c r="K360" t="s">
        <v>37</v>
      </c>
      <c r="L360" t="s">
        <v>39</v>
      </c>
      <c r="M360" t="s">
        <v>56</v>
      </c>
      <c r="N360" t="s">
        <v>56</v>
      </c>
      <c r="O360" t="s">
        <v>39</v>
      </c>
      <c r="P360" t="s">
        <v>38</v>
      </c>
      <c r="Q360" t="s">
        <v>38</v>
      </c>
      <c r="R360" t="s">
        <v>39</v>
      </c>
      <c r="S360" t="s">
        <v>334</v>
      </c>
      <c r="T360" t="s">
        <v>335</v>
      </c>
      <c r="U360" t="s">
        <v>43</v>
      </c>
      <c r="V360" t="s">
        <v>44</v>
      </c>
      <c r="W360" t="s">
        <v>45</v>
      </c>
      <c r="Z360" t="s">
        <v>46</v>
      </c>
      <c r="AA360" t="s">
        <v>47</v>
      </c>
      <c r="AB360" t="s">
        <v>48</v>
      </c>
      <c r="AC360">
        <f>COUNTIF(C:C,QLKV_gui_ket_qua_ra_soat[[#This Row],[Mã điểm bán]])</f>
        <v>1</v>
      </c>
    </row>
    <row r="361" spans="1:29" x14ac:dyDescent="0.45">
      <c r="A361" t="s">
        <v>28</v>
      </c>
      <c r="B361">
        <v>1221</v>
      </c>
      <c r="C361" t="s">
        <v>342</v>
      </c>
      <c r="D361" t="s">
        <v>343</v>
      </c>
      <c r="E361" t="s">
        <v>176</v>
      </c>
      <c r="F361" t="s">
        <v>166</v>
      </c>
      <c r="G361" t="s">
        <v>34</v>
      </c>
      <c r="H361" t="s">
        <v>345</v>
      </c>
      <c r="I361" t="s">
        <v>346</v>
      </c>
      <c r="J361" t="s">
        <v>37</v>
      </c>
      <c r="K361" t="s">
        <v>38</v>
      </c>
      <c r="L361" t="s">
        <v>39</v>
      </c>
      <c r="M361" t="s">
        <v>37</v>
      </c>
      <c r="N361" t="s">
        <v>56</v>
      </c>
      <c r="O361" t="s">
        <v>39</v>
      </c>
      <c r="P361" t="s">
        <v>38</v>
      </c>
      <c r="Q361" t="s">
        <v>38</v>
      </c>
      <c r="R361" t="s">
        <v>39</v>
      </c>
      <c r="S361" t="s">
        <v>347</v>
      </c>
      <c r="T361" t="s">
        <v>335</v>
      </c>
      <c r="U361" t="s">
        <v>43</v>
      </c>
      <c r="V361" t="s">
        <v>44</v>
      </c>
      <c r="W361" t="s">
        <v>45</v>
      </c>
      <c r="Z361" t="s">
        <v>46</v>
      </c>
      <c r="AA361" t="s">
        <v>47</v>
      </c>
      <c r="AB361" t="s">
        <v>48</v>
      </c>
      <c r="AC361">
        <f>COUNTIF(C:C,QLKV_gui_ket_qua_ra_soat[[#This Row],[Mã điểm bán]])</f>
        <v>1</v>
      </c>
    </row>
    <row r="362" spans="1:29" x14ac:dyDescent="0.45">
      <c r="A362" t="s">
        <v>28</v>
      </c>
      <c r="B362">
        <v>1244</v>
      </c>
      <c r="C362" t="s">
        <v>348</v>
      </c>
      <c r="D362" t="s">
        <v>349</v>
      </c>
      <c r="E362" t="s">
        <v>206</v>
      </c>
      <c r="F362" t="s">
        <v>53</v>
      </c>
      <c r="G362" t="s">
        <v>34</v>
      </c>
      <c r="H362" t="s">
        <v>350</v>
      </c>
      <c r="I362" t="s">
        <v>351</v>
      </c>
      <c r="J362" t="s">
        <v>37</v>
      </c>
      <c r="K362" t="s">
        <v>37</v>
      </c>
      <c r="L362" t="s">
        <v>39</v>
      </c>
      <c r="M362" t="s">
        <v>56</v>
      </c>
      <c r="N362" t="s">
        <v>38</v>
      </c>
      <c r="O362" t="s">
        <v>39</v>
      </c>
      <c r="P362" t="s">
        <v>38</v>
      </c>
      <c r="Q362" t="s">
        <v>38</v>
      </c>
      <c r="R362" t="s">
        <v>39</v>
      </c>
      <c r="S362" t="s">
        <v>334</v>
      </c>
      <c r="T362" t="s">
        <v>335</v>
      </c>
      <c r="U362" t="s">
        <v>43</v>
      </c>
      <c r="V362" t="s">
        <v>44</v>
      </c>
      <c r="W362" t="s">
        <v>45</v>
      </c>
      <c r="Z362" t="s">
        <v>46</v>
      </c>
      <c r="AA362" t="s">
        <v>47</v>
      </c>
      <c r="AB362" t="s">
        <v>48</v>
      </c>
      <c r="AC362">
        <f>COUNTIF(C:C,QLKV_gui_ket_qua_ra_soat[[#This Row],[Mã điểm bán]])</f>
        <v>1</v>
      </c>
    </row>
    <row r="363" spans="1:29" x14ac:dyDescent="0.45">
      <c r="A363" t="s">
        <v>28</v>
      </c>
      <c r="B363">
        <v>1254</v>
      </c>
      <c r="C363" t="s">
        <v>352</v>
      </c>
      <c r="D363" t="s">
        <v>353</v>
      </c>
      <c r="E363" t="s">
        <v>355</v>
      </c>
      <c r="F363" t="s">
        <v>166</v>
      </c>
      <c r="G363" t="s">
        <v>34</v>
      </c>
      <c r="H363" t="s">
        <v>356</v>
      </c>
      <c r="I363" t="s">
        <v>357</v>
      </c>
      <c r="J363" t="s">
        <v>37</v>
      </c>
      <c r="K363" t="s">
        <v>38</v>
      </c>
      <c r="L363" t="s">
        <v>39</v>
      </c>
      <c r="M363" t="s">
        <v>56</v>
      </c>
      <c r="N363" t="s">
        <v>56</v>
      </c>
      <c r="O363" t="s">
        <v>39</v>
      </c>
      <c r="P363" t="s">
        <v>38</v>
      </c>
      <c r="Q363" t="s">
        <v>38</v>
      </c>
      <c r="R363" t="s">
        <v>40</v>
      </c>
      <c r="S363" t="s">
        <v>358</v>
      </c>
      <c r="T363" t="s">
        <v>335</v>
      </c>
      <c r="U363" t="s">
        <v>43</v>
      </c>
      <c r="V363" t="s">
        <v>44</v>
      </c>
      <c r="W363" t="s">
        <v>45</v>
      </c>
      <c r="Z363" t="s">
        <v>46</v>
      </c>
      <c r="AA363" t="s">
        <v>48</v>
      </c>
      <c r="AB363" t="s">
        <v>48</v>
      </c>
      <c r="AC363">
        <f>COUNTIF(C:C,QLKV_gui_ket_qua_ra_soat[[#This Row],[Mã điểm bán]])</f>
        <v>1</v>
      </c>
    </row>
    <row r="364" spans="1:29" x14ac:dyDescent="0.45">
      <c r="A364" t="s">
        <v>28</v>
      </c>
      <c r="B364">
        <v>1318</v>
      </c>
      <c r="C364" t="s">
        <v>359</v>
      </c>
      <c r="D364" t="s">
        <v>360</v>
      </c>
      <c r="E364" t="s">
        <v>361</v>
      </c>
      <c r="F364" t="s">
        <v>53</v>
      </c>
      <c r="G364" t="s">
        <v>34</v>
      </c>
      <c r="H364" t="s">
        <v>54</v>
      </c>
      <c r="I364" t="s">
        <v>362</v>
      </c>
      <c r="J364" t="s">
        <v>38</v>
      </c>
      <c r="K364" t="s">
        <v>38</v>
      </c>
      <c r="L364" t="s">
        <v>40</v>
      </c>
      <c r="M364" t="s">
        <v>38</v>
      </c>
      <c r="N364" t="s">
        <v>38</v>
      </c>
      <c r="O364" t="s">
        <v>39</v>
      </c>
      <c r="P364" t="s">
        <v>38</v>
      </c>
      <c r="Q364" t="s">
        <v>38</v>
      </c>
      <c r="R364" t="s">
        <v>40</v>
      </c>
      <c r="S364" t="s">
        <v>41</v>
      </c>
      <c r="T364" t="s">
        <v>309</v>
      </c>
      <c r="U364" t="s">
        <v>245</v>
      </c>
      <c r="V364" t="s">
        <v>44</v>
      </c>
      <c r="W364" t="s">
        <v>246</v>
      </c>
      <c r="X364" t="s">
        <v>46</v>
      </c>
      <c r="AC364">
        <f>COUNTIF(C:C,QLKV_gui_ket_qua_ra_soat[[#This Row],[Mã điểm bán]])</f>
        <v>1</v>
      </c>
    </row>
    <row r="365" spans="1:29" x14ac:dyDescent="0.45">
      <c r="A365" t="s">
        <v>28</v>
      </c>
      <c r="B365">
        <v>1487</v>
      </c>
      <c r="C365" t="s">
        <v>374</v>
      </c>
      <c r="D365" t="s">
        <v>375</v>
      </c>
      <c r="E365" t="s">
        <v>376</v>
      </c>
      <c r="F365" t="s">
        <v>377</v>
      </c>
      <c r="G365" t="s">
        <v>34</v>
      </c>
      <c r="H365" t="s">
        <v>378</v>
      </c>
      <c r="I365" t="s">
        <v>379</v>
      </c>
      <c r="J365" t="s">
        <v>38</v>
      </c>
      <c r="K365" t="s">
        <v>38</v>
      </c>
      <c r="L365" t="s">
        <v>39</v>
      </c>
      <c r="M365" t="s">
        <v>38</v>
      </c>
      <c r="N365" t="s">
        <v>56</v>
      </c>
      <c r="O365" t="s">
        <v>121</v>
      </c>
      <c r="P365" t="s">
        <v>38</v>
      </c>
      <c r="Q365" t="s">
        <v>38</v>
      </c>
      <c r="R365" t="s">
        <v>39</v>
      </c>
      <c r="S365" t="s">
        <v>380</v>
      </c>
      <c r="T365" t="s">
        <v>335</v>
      </c>
      <c r="U365" t="s">
        <v>43</v>
      </c>
      <c r="V365" t="s">
        <v>44</v>
      </c>
      <c r="W365" t="s">
        <v>45</v>
      </c>
      <c r="Z365" t="s">
        <v>46</v>
      </c>
      <c r="AA365" t="s">
        <v>47</v>
      </c>
      <c r="AB365" t="s">
        <v>48</v>
      </c>
      <c r="AC365">
        <f>COUNTIF(C:C,QLKV_gui_ket_qua_ra_soat[[#This Row],[Mã điểm bán]])</f>
        <v>1</v>
      </c>
    </row>
    <row r="366" spans="1:29" x14ac:dyDescent="0.45">
      <c r="A366" t="s">
        <v>28</v>
      </c>
      <c r="B366">
        <v>1594</v>
      </c>
      <c r="C366" t="s">
        <v>391</v>
      </c>
      <c r="D366" t="s">
        <v>392</v>
      </c>
      <c r="E366" t="s">
        <v>256</v>
      </c>
      <c r="F366" t="s">
        <v>393</v>
      </c>
      <c r="G366" t="s">
        <v>34</v>
      </c>
      <c r="H366" t="s">
        <v>35</v>
      </c>
      <c r="I366" t="s">
        <v>394</v>
      </c>
      <c r="J366" t="s">
        <v>37</v>
      </c>
      <c r="K366" t="s">
        <v>56</v>
      </c>
      <c r="L366" t="s">
        <v>39</v>
      </c>
      <c r="M366" t="s">
        <v>56</v>
      </c>
      <c r="N366" t="s">
        <v>56</v>
      </c>
      <c r="O366" t="s">
        <v>39</v>
      </c>
      <c r="P366" t="s">
        <v>38</v>
      </c>
      <c r="Q366" t="s">
        <v>38</v>
      </c>
      <c r="R366" t="s">
        <v>39</v>
      </c>
      <c r="S366" t="s">
        <v>41</v>
      </c>
      <c r="T366" t="s">
        <v>395</v>
      </c>
      <c r="U366" t="s">
        <v>396</v>
      </c>
      <c r="V366" t="s">
        <v>44</v>
      </c>
      <c r="W366" t="s">
        <v>397</v>
      </c>
      <c r="Z366" t="s">
        <v>46</v>
      </c>
      <c r="AA366" t="s">
        <v>398</v>
      </c>
      <c r="AB366" t="s">
        <v>83</v>
      </c>
      <c r="AC366">
        <f>COUNTIF(C:C,QLKV_gui_ket_qua_ra_soat[[#This Row],[Mã điểm bán]])</f>
        <v>1</v>
      </c>
    </row>
    <row r="367" spans="1:29" x14ac:dyDescent="0.45">
      <c r="A367" t="s">
        <v>28</v>
      </c>
      <c r="B367">
        <v>1611</v>
      </c>
      <c r="C367" t="s">
        <v>399</v>
      </c>
      <c r="D367" t="s">
        <v>400</v>
      </c>
      <c r="E367" t="s">
        <v>212</v>
      </c>
      <c r="F367" t="s">
        <v>401</v>
      </c>
      <c r="G367" t="s">
        <v>34</v>
      </c>
      <c r="H367" t="s">
        <v>402</v>
      </c>
      <c r="I367" t="s">
        <v>403</v>
      </c>
      <c r="J367" t="s">
        <v>38</v>
      </c>
      <c r="K367" t="s">
        <v>38</v>
      </c>
      <c r="L367" t="s">
        <v>39</v>
      </c>
      <c r="M367" t="s">
        <v>38</v>
      </c>
      <c r="N367" t="s">
        <v>38</v>
      </c>
      <c r="O367" t="s">
        <v>39</v>
      </c>
      <c r="P367" t="s">
        <v>38</v>
      </c>
      <c r="Q367" t="s">
        <v>37</v>
      </c>
      <c r="R367" t="s">
        <v>39</v>
      </c>
      <c r="S367" t="s">
        <v>404</v>
      </c>
      <c r="T367" t="s">
        <v>335</v>
      </c>
      <c r="U367" t="s">
        <v>43</v>
      </c>
      <c r="V367" t="s">
        <v>44</v>
      </c>
      <c r="W367" t="s">
        <v>45</v>
      </c>
      <c r="Z367" t="s">
        <v>46</v>
      </c>
      <c r="AA367" t="s">
        <v>47</v>
      </c>
      <c r="AB367" t="s">
        <v>48</v>
      </c>
      <c r="AC367">
        <f>COUNTIF(C:C,QLKV_gui_ket_qua_ra_soat[[#This Row],[Mã điểm bán]])</f>
        <v>1</v>
      </c>
    </row>
    <row r="368" spans="1:29" x14ac:dyDescent="0.45">
      <c r="A368" t="s">
        <v>28</v>
      </c>
      <c r="B368">
        <v>1622</v>
      </c>
      <c r="C368" t="s">
        <v>409</v>
      </c>
      <c r="D368" t="s">
        <v>410</v>
      </c>
      <c r="E368" t="s">
        <v>411</v>
      </c>
      <c r="F368" t="s">
        <v>224</v>
      </c>
      <c r="G368" t="s">
        <v>34</v>
      </c>
      <c r="H368" t="s">
        <v>54</v>
      </c>
      <c r="I368" t="s">
        <v>412</v>
      </c>
      <c r="J368" t="s">
        <v>38</v>
      </c>
      <c r="K368" t="s">
        <v>38</v>
      </c>
      <c r="L368" t="s">
        <v>40</v>
      </c>
      <c r="M368" t="s">
        <v>38</v>
      </c>
      <c r="N368" t="s">
        <v>38</v>
      </c>
      <c r="O368" t="s">
        <v>40</v>
      </c>
      <c r="P368" t="s">
        <v>38</v>
      </c>
      <c r="Q368" t="s">
        <v>38</v>
      </c>
      <c r="R368" t="s">
        <v>40</v>
      </c>
      <c r="S368" t="s">
        <v>413</v>
      </c>
      <c r="T368" t="s">
        <v>244</v>
      </c>
      <c r="U368" t="s">
        <v>245</v>
      </c>
      <c r="V368" t="s">
        <v>44</v>
      </c>
      <c r="W368" t="s">
        <v>246</v>
      </c>
      <c r="Z368" t="s">
        <v>46</v>
      </c>
      <c r="AA368" t="s">
        <v>247</v>
      </c>
      <c r="AB368" t="s">
        <v>83</v>
      </c>
      <c r="AC368">
        <f>COUNTIF(C:C,QLKV_gui_ket_qua_ra_soat[[#This Row],[Mã điểm bán]])</f>
        <v>1</v>
      </c>
    </row>
    <row r="369" spans="1:29" x14ac:dyDescent="0.45">
      <c r="A369" t="s">
        <v>28</v>
      </c>
      <c r="B369">
        <v>1625</v>
      </c>
      <c r="C369" t="s">
        <v>414</v>
      </c>
      <c r="D369" t="s">
        <v>415</v>
      </c>
      <c r="E369" t="s">
        <v>157</v>
      </c>
      <c r="F369" t="s">
        <v>417</v>
      </c>
      <c r="G369" t="s">
        <v>34</v>
      </c>
      <c r="H369" t="s">
        <v>54</v>
      </c>
      <c r="I369" t="s">
        <v>418</v>
      </c>
      <c r="J369" t="s">
        <v>38</v>
      </c>
      <c r="K369" t="s">
        <v>38</v>
      </c>
      <c r="L369" t="s">
        <v>40</v>
      </c>
      <c r="M369" t="s">
        <v>37</v>
      </c>
      <c r="N369" t="s">
        <v>38</v>
      </c>
      <c r="O369" t="s">
        <v>39</v>
      </c>
      <c r="P369" t="s">
        <v>38</v>
      </c>
      <c r="Q369" t="s">
        <v>38</v>
      </c>
      <c r="R369" t="s">
        <v>40</v>
      </c>
      <c r="S369" t="s">
        <v>41</v>
      </c>
      <c r="T369" t="s">
        <v>309</v>
      </c>
      <c r="U369" t="s">
        <v>245</v>
      </c>
      <c r="V369" t="s">
        <v>44</v>
      </c>
      <c r="W369" t="s">
        <v>246</v>
      </c>
      <c r="X369" t="s">
        <v>46</v>
      </c>
      <c r="AC369">
        <f>COUNTIF(C:C,QLKV_gui_ket_qua_ra_soat[[#This Row],[Mã điểm bán]])</f>
        <v>1</v>
      </c>
    </row>
    <row r="370" spans="1:29" x14ac:dyDescent="0.45">
      <c r="A370" t="s">
        <v>28</v>
      </c>
      <c r="B370">
        <v>1633</v>
      </c>
      <c r="C370" t="s">
        <v>419</v>
      </c>
      <c r="D370" t="s">
        <v>420</v>
      </c>
      <c r="E370" t="s">
        <v>421</v>
      </c>
      <c r="F370" t="s">
        <v>53</v>
      </c>
      <c r="G370" t="s">
        <v>34</v>
      </c>
      <c r="H370" t="s">
        <v>54</v>
      </c>
      <c r="I370" t="s">
        <v>422</v>
      </c>
      <c r="J370" t="s">
        <v>38</v>
      </c>
      <c r="K370" t="s">
        <v>38</v>
      </c>
      <c r="L370" t="s">
        <v>40</v>
      </c>
      <c r="M370" t="s">
        <v>38</v>
      </c>
      <c r="N370" t="s">
        <v>38</v>
      </c>
      <c r="O370" t="s">
        <v>40</v>
      </c>
      <c r="P370" t="s">
        <v>38</v>
      </c>
      <c r="Q370" t="s">
        <v>38</v>
      </c>
      <c r="R370" t="s">
        <v>40</v>
      </c>
      <c r="S370" t="s">
        <v>41</v>
      </c>
      <c r="T370" t="s">
        <v>309</v>
      </c>
      <c r="U370" t="s">
        <v>245</v>
      </c>
      <c r="V370" t="s">
        <v>44</v>
      </c>
      <c r="W370" t="s">
        <v>246</v>
      </c>
      <c r="X370" t="s">
        <v>46</v>
      </c>
      <c r="AC370">
        <f>COUNTIF(C:C,QLKV_gui_ket_qua_ra_soat[[#This Row],[Mã điểm bán]])</f>
        <v>1</v>
      </c>
    </row>
    <row r="371" spans="1:29" x14ac:dyDescent="0.45">
      <c r="A371" t="s">
        <v>28</v>
      </c>
      <c r="B371">
        <v>1738</v>
      </c>
      <c r="C371" t="s">
        <v>429</v>
      </c>
      <c r="D371" t="s">
        <v>430</v>
      </c>
      <c r="E371" t="s">
        <v>431</v>
      </c>
      <c r="F371" t="s">
        <v>432</v>
      </c>
      <c r="G371" t="s">
        <v>34</v>
      </c>
      <c r="H371" t="s">
        <v>433</v>
      </c>
      <c r="I371" t="s">
        <v>434</v>
      </c>
      <c r="J371" t="s">
        <v>38</v>
      </c>
      <c r="K371" t="s">
        <v>38</v>
      </c>
      <c r="L371" t="s">
        <v>40</v>
      </c>
      <c r="M371" t="s">
        <v>38</v>
      </c>
      <c r="N371" t="s">
        <v>38</v>
      </c>
      <c r="O371" t="s">
        <v>39</v>
      </c>
      <c r="P371" t="s">
        <v>38</v>
      </c>
      <c r="Q371" t="s">
        <v>37</v>
      </c>
      <c r="R371" t="s">
        <v>40</v>
      </c>
      <c r="S371" t="s">
        <v>41</v>
      </c>
      <c r="T371" t="s">
        <v>309</v>
      </c>
      <c r="U371" t="s">
        <v>245</v>
      </c>
      <c r="V371" t="s">
        <v>44</v>
      </c>
      <c r="W371" t="s">
        <v>246</v>
      </c>
      <c r="Z371" t="s">
        <v>46</v>
      </c>
      <c r="AA371" t="s">
        <v>247</v>
      </c>
      <c r="AB371" t="s">
        <v>83</v>
      </c>
      <c r="AC371">
        <f>COUNTIF(C:C,QLKV_gui_ket_qua_ra_soat[[#This Row],[Mã điểm bán]])</f>
        <v>1</v>
      </c>
    </row>
    <row r="372" spans="1:29" x14ac:dyDescent="0.45">
      <c r="A372" t="s">
        <v>28</v>
      </c>
      <c r="B372">
        <v>1757</v>
      </c>
      <c r="C372" t="s">
        <v>435</v>
      </c>
      <c r="D372" t="s">
        <v>436</v>
      </c>
      <c r="E372" t="s">
        <v>87</v>
      </c>
      <c r="F372" t="s">
        <v>53</v>
      </c>
      <c r="G372" t="s">
        <v>34</v>
      </c>
      <c r="H372" t="s">
        <v>54</v>
      </c>
      <c r="I372" t="s">
        <v>437</v>
      </c>
      <c r="J372" t="s">
        <v>38</v>
      </c>
      <c r="K372" t="s">
        <v>38</v>
      </c>
      <c r="L372" t="s">
        <v>39</v>
      </c>
      <c r="M372" t="s">
        <v>38</v>
      </c>
      <c r="N372" t="s">
        <v>38</v>
      </c>
      <c r="O372" t="s">
        <v>40</v>
      </c>
      <c r="P372" t="s">
        <v>38</v>
      </c>
      <c r="Q372" t="s">
        <v>38</v>
      </c>
      <c r="R372" t="s">
        <v>40</v>
      </c>
      <c r="S372" t="s">
        <v>41</v>
      </c>
      <c r="T372" t="s">
        <v>438</v>
      </c>
      <c r="U372" t="s">
        <v>80</v>
      </c>
      <c r="V372" t="s">
        <v>44</v>
      </c>
      <c r="W372" t="s">
        <v>81</v>
      </c>
      <c r="X372" t="s">
        <v>46</v>
      </c>
      <c r="AC372">
        <f>COUNTIF(C:C,QLKV_gui_ket_qua_ra_soat[[#This Row],[Mã điểm bán]])</f>
        <v>1</v>
      </c>
    </row>
    <row r="373" spans="1:29" x14ac:dyDescent="0.45">
      <c r="A373" t="s">
        <v>28</v>
      </c>
      <c r="B373">
        <v>1758</v>
      </c>
      <c r="C373" t="s">
        <v>439</v>
      </c>
      <c r="D373" t="s">
        <v>440</v>
      </c>
      <c r="E373" t="s">
        <v>304</v>
      </c>
      <c r="F373" t="s">
        <v>441</v>
      </c>
      <c r="G373" t="s">
        <v>34</v>
      </c>
      <c r="H373" t="s">
        <v>54</v>
      </c>
      <c r="I373" t="s">
        <v>442</v>
      </c>
      <c r="J373" t="s">
        <v>38</v>
      </c>
      <c r="K373" t="s">
        <v>38</v>
      </c>
      <c r="L373" t="s">
        <v>39</v>
      </c>
      <c r="M373" t="s">
        <v>38</v>
      </c>
      <c r="N373" t="s">
        <v>37</v>
      </c>
      <c r="O373" t="s">
        <v>40</v>
      </c>
      <c r="P373" t="s">
        <v>38</v>
      </c>
      <c r="Q373" t="s">
        <v>37</v>
      </c>
      <c r="R373" t="s">
        <v>40</v>
      </c>
      <c r="S373" t="s">
        <v>41</v>
      </c>
      <c r="T373" t="s">
        <v>438</v>
      </c>
      <c r="U373" t="s">
        <v>80</v>
      </c>
      <c r="V373" t="s">
        <v>44</v>
      </c>
      <c r="W373" t="s">
        <v>81</v>
      </c>
      <c r="X373" t="s">
        <v>46</v>
      </c>
      <c r="AC373">
        <f>COUNTIF(C:C,QLKV_gui_ket_qua_ra_soat[[#This Row],[Mã điểm bán]])</f>
        <v>1</v>
      </c>
    </row>
    <row r="374" spans="1:29" x14ac:dyDescent="0.45">
      <c r="A374" t="s">
        <v>28</v>
      </c>
      <c r="B374">
        <v>1794</v>
      </c>
      <c r="C374" t="s">
        <v>481</v>
      </c>
      <c r="D374" t="s">
        <v>482</v>
      </c>
      <c r="E374" t="s">
        <v>32</v>
      </c>
      <c r="F374" t="s">
        <v>53</v>
      </c>
      <c r="G374" t="s">
        <v>34</v>
      </c>
      <c r="H374" t="s">
        <v>54</v>
      </c>
      <c r="I374" t="s">
        <v>483</v>
      </c>
      <c r="J374" t="s">
        <v>38</v>
      </c>
      <c r="K374" t="s">
        <v>38</v>
      </c>
      <c r="L374" t="s">
        <v>40</v>
      </c>
      <c r="M374" t="s">
        <v>37</v>
      </c>
      <c r="N374" t="s">
        <v>37</v>
      </c>
      <c r="O374" t="s">
        <v>39</v>
      </c>
      <c r="P374" t="s">
        <v>38</v>
      </c>
      <c r="Q374" t="s">
        <v>38</v>
      </c>
      <c r="R374" t="s">
        <v>39</v>
      </c>
      <c r="S374" t="s">
        <v>41</v>
      </c>
      <c r="T374" t="s">
        <v>484</v>
      </c>
      <c r="U374" t="s">
        <v>485</v>
      </c>
      <c r="V374" t="s">
        <v>44</v>
      </c>
      <c r="W374" t="s">
        <v>81</v>
      </c>
      <c r="Z374" t="s">
        <v>46</v>
      </c>
      <c r="AA374" t="s">
        <v>486</v>
      </c>
      <c r="AB374" t="s">
        <v>48</v>
      </c>
      <c r="AC374">
        <f>COUNTIF(C:C,QLKV_gui_ket_qua_ra_soat[[#This Row],[Mã điểm bán]])</f>
        <v>1</v>
      </c>
    </row>
    <row r="375" spans="1:29" x14ac:dyDescent="0.45">
      <c r="A375" t="s">
        <v>28</v>
      </c>
      <c r="B375">
        <v>1871</v>
      </c>
      <c r="C375" t="s">
        <v>497</v>
      </c>
      <c r="D375" t="s">
        <v>498</v>
      </c>
      <c r="E375" t="s">
        <v>157</v>
      </c>
      <c r="F375" t="s">
        <v>53</v>
      </c>
      <c r="G375" t="s">
        <v>34</v>
      </c>
      <c r="H375" t="s">
        <v>54</v>
      </c>
      <c r="I375" t="s">
        <v>500</v>
      </c>
      <c r="J375" t="s">
        <v>37</v>
      </c>
      <c r="K375" t="s">
        <v>38</v>
      </c>
      <c r="L375" t="s">
        <v>40</v>
      </c>
      <c r="M375" t="s">
        <v>37</v>
      </c>
      <c r="N375" t="s">
        <v>37</v>
      </c>
      <c r="O375" t="s">
        <v>39</v>
      </c>
      <c r="P375" t="s">
        <v>38</v>
      </c>
      <c r="Q375" t="s">
        <v>37</v>
      </c>
      <c r="R375" t="s">
        <v>40</v>
      </c>
      <c r="S375" t="s">
        <v>41</v>
      </c>
      <c r="T375" t="s">
        <v>501</v>
      </c>
      <c r="U375" t="s">
        <v>485</v>
      </c>
      <c r="V375" t="s">
        <v>44</v>
      </c>
      <c r="W375" t="s">
        <v>81</v>
      </c>
      <c r="Z375" t="s">
        <v>46</v>
      </c>
      <c r="AA375" t="s">
        <v>486</v>
      </c>
      <c r="AB375" t="s">
        <v>48</v>
      </c>
      <c r="AC375">
        <f>COUNTIF(C:C,QLKV_gui_ket_qua_ra_soat[[#This Row],[Mã điểm bán]])</f>
        <v>1</v>
      </c>
    </row>
    <row r="376" spans="1:29" x14ac:dyDescent="0.45">
      <c r="A376" t="s">
        <v>28</v>
      </c>
      <c r="B376">
        <v>1872</v>
      </c>
      <c r="C376" t="s">
        <v>502</v>
      </c>
      <c r="D376" t="s">
        <v>503</v>
      </c>
      <c r="E376" t="s">
        <v>505</v>
      </c>
      <c r="F376" t="s">
        <v>506</v>
      </c>
      <c r="G376" t="s">
        <v>34</v>
      </c>
      <c r="H376" t="s">
        <v>507</v>
      </c>
      <c r="I376" t="s">
        <v>508</v>
      </c>
      <c r="J376" t="s">
        <v>38</v>
      </c>
      <c r="K376" t="s">
        <v>38</v>
      </c>
      <c r="L376" t="s">
        <v>40</v>
      </c>
      <c r="M376" t="s">
        <v>38</v>
      </c>
      <c r="N376" t="s">
        <v>38</v>
      </c>
      <c r="O376" t="s">
        <v>40</v>
      </c>
      <c r="P376" t="s">
        <v>38</v>
      </c>
      <c r="Q376" t="s">
        <v>38</v>
      </c>
      <c r="R376" t="s">
        <v>40</v>
      </c>
      <c r="S376" t="s">
        <v>509</v>
      </c>
      <c r="T376" t="s">
        <v>79</v>
      </c>
      <c r="U376" t="s">
        <v>80</v>
      </c>
      <c r="V376" t="s">
        <v>44</v>
      </c>
      <c r="W376" t="s">
        <v>81</v>
      </c>
      <c r="X376" t="s">
        <v>46</v>
      </c>
      <c r="AC376">
        <f>COUNTIF(C:C,QLKV_gui_ket_qua_ra_soat[[#This Row],[Mã điểm bán]])</f>
        <v>1</v>
      </c>
    </row>
    <row r="377" spans="1:29" x14ac:dyDescent="0.45">
      <c r="A377" t="s">
        <v>28</v>
      </c>
      <c r="B377">
        <v>1899</v>
      </c>
      <c r="C377" t="s">
        <v>527</v>
      </c>
      <c r="D377" t="s">
        <v>528</v>
      </c>
      <c r="E377" t="s">
        <v>529</v>
      </c>
      <c r="F377" t="s">
        <v>53</v>
      </c>
      <c r="G377" t="s">
        <v>34</v>
      </c>
      <c r="H377" t="s">
        <v>530</v>
      </c>
      <c r="I377" t="s">
        <v>531</v>
      </c>
      <c r="J377" t="s">
        <v>38</v>
      </c>
      <c r="K377" t="s">
        <v>38</v>
      </c>
      <c r="L377" t="s">
        <v>40</v>
      </c>
      <c r="M377" t="s">
        <v>38</v>
      </c>
      <c r="N377" t="s">
        <v>38</v>
      </c>
      <c r="O377" t="s">
        <v>40</v>
      </c>
      <c r="P377" t="s">
        <v>38</v>
      </c>
      <c r="Q377" t="s">
        <v>38</v>
      </c>
      <c r="R377" t="s">
        <v>40</v>
      </c>
      <c r="S377" t="s">
        <v>41</v>
      </c>
      <c r="T377" t="s">
        <v>309</v>
      </c>
      <c r="U377" t="s">
        <v>245</v>
      </c>
      <c r="V377" t="s">
        <v>44</v>
      </c>
      <c r="W377" t="s">
        <v>246</v>
      </c>
      <c r="Y377" t="s">
        <v>46</v>
      </c>
      <c r="AC377">
        <f>COUNTIF(C:C,QLKV_gui_ket_qua_ra_soat[[#This Row],[Mã điểm bán]])</f>
        <v>1</v>
      </c>
    </row>
    <row r="378" spans="1:29" x14ac:dyDescent="0.45">
      <c r="A378" t="s">
        <v>28</v>
      </c>
      <c r="B378">
        <v>1936</v>
      </c>
      <c r="C378" t="s">
        <v>543</v>
      </c>
      <c r="D378" t="s">
        <v>544</v>
      </c>
      <c r="E378" t="s">
        <v>522</v>
      </c>
      <c r="F378" t="s">
        <v>545</v>
      </c>
      <c r="G378" t="s">
        <v>34</v>
      </c>
      <c r="H378" t="s">
        <v>546</v>
      </c>
      <c r="I378" t="s">
        <v>547</v>
      </c>
      <c r="J378" t="s">
        <v>37</v>
      </c>
      <c r="K378" t="s">
        <v>38</v>
      </c>
      <c r="L378" t="s">
        <v>40</v>
      </c>
      <c r="M378" t="s">
        <v>38</v>
      </c>
      <c r="N378" t="s">
        <v>38</v>
      </c>
      <c r="O378" t="s">
        <v>40</v>
      </c>
      <c r="P378" t="s">
        <v>38</v>
      </c>
      <c r="Q378" t="s">
        <v>37</v>
      </c>
      <c r="R378" t="s">
        <v>40</v>
      </c>
      <c r="S378" t="s">
        <v>41</v>
      </c>
      <c r="T378" t="s">
        <v>438</v>
      </c>
      <c r="U378" t="s">
        <v>80</v>
      </c>
      <c r="V378" t="s">
        <v>44</v>
      </c>
      <c r="W378" t="s">
        <v>81</v>
      </c>
      <c r="Z378" t="s">
        <v>46</v>
      </c>
      <c r="AA378" t="s">
        <v>82</v>
      </c>
      <c r="AB378" t="s">
        <v>83</v>
      </c>
      <c r="AC378">
        <f>COUNTIF(C:C,QLKV_gui_ket_qua_ra_soat[[#This Row],[Mã điểm bán]])</f>
        <v>1</v>
      </c>
    </row>
    <row r="379" spans="1:29" x14ac:dyDescent="0.45">
      <c r="A379" t="s">
        <v>28</v>
      </c>
      <c r="B379">
        <v>1944</v>
      </c>
      <c r="C379" t="s">
        <v>553</v>
      </c>
      <c r="D379" t="s">
        <v>554</v>
      </c>
      <c r="E379" t="s">
        <v>416</v>
      </c>
      <c r="F379" t="s">
        <v>339</v>
      </c>
      <c r="G379" t="s">
        <v>34</v>
      </c>
      <c r="H379" t="s">
        <v>555</v>
      </c>
      <c r="I379" t="s">
        <v>556</v>
      </c>
      <c r="J379" t="s">
        <v>38</v>
      </c>
      <c r="K379" t="s">
        <v>38</v>
      </c>
      <c r="L379" t="s">
        <v>39</v>
      </c>
      <c r="M379" t="s">
        <v>38</v>
      </c>
      <c r="N379" t="s">
        <v>38</v>
      </c>
      <c r="O379" t="s">
        <v>40</v>
      </c>
      <c r="P379" t="s">
        <v>38</v>
      </c>
      <c r="Q379" t="s">
        <v>37</v>
      </c>
      <c r="R379" t="s">
        <v>40</v>
      </c>
      <c r="S379" t="s">
        <v>41</v>
      </c>
      <c r="T379" t="s">
        <v>438</v>
      </c>
      <c r="U379" t="s">
        <v>80</v>
      </c>
      <c r="V379" t="s">
        <v>44</v>
      </c>
      <c r="W379" t="s">
        <v>81</v>
      </c>
      <c r="X379" t="s">
        <v>46</v>
      </c>
      <c r="AC379">
        <f>COUNTIF(C:C,QLKV_gui_ket_qua_ra_soat[[#This Row],[Mã điểm bán]])</f>
        <v>1</v>
      </c>
    </row>
    <row r="380" spans="1:29" x14ac:dyDescent="0.45">
      <c r="A380" t="s">
        <v>28</v>
      </c>
      <c r="B380">
        <v>1954</v>
      </c>
      <c r="C380" t="s">
        <v>557</v>
      </c>
      <c r="D380" t="s">
        <v>558</v>
      </c>
      <c r="E380" t="s">
        <v>255</v>
      </c>
      <c r="F380" t="s">
        <v>559</v>
      </c>
      <c r="G380" t="s">
        <v>34</v>
      </c>
      <c r="H380" t="s">
        <v>35</v>
      </c>
      <c r="I380" t="s">
        <v>560</v>
      </c>
      <c r="J380" t="s">
        <v>56</v>
      </c>
      <c r="K380" t="s">
        <v>56</v>
      </c>
      <c r="L380" t="s">
        <v>39</v>
      </c>
      <c r="M380" t="s">
        <v>37</v>
      </c>
      <c r="N380" t="s">
        <v>56</v>
      </c>
      <c r="O380" t="s">
        <v>39</v>
      </c>
      <c r="P380" t="s">
        <v>38</v>
      </c>
      <c r="Q380" t="s">
        <v>37</v>
      </c>
      <c r="R380" t="s">
        <v>39</v>
      </c>
      <c r="S380" t="s">
        <v>41</v>
      </c>
      <c r="T380" t="s">
        <v>395</v>
      </c>
      <c r="U380" t="s">
        <v>396</v>
      </c>
      <c r="V380" t="s">
        <v>44</v>
      </c>
      <c r="W380" t="s">
        <v>397</v>
      </c>
      <c r="Z380" t="s">
        <v>46</v>
      </c>
      <c r="AA380" t="s">
        <v>398</v>
      </c>
      <c r="AB380" t="s">
        <v>83</v>
      </c>
      <c r="AC380">
        <f>COUNTIF(C:C,QLKV_gui_ket_qua_ra_soat[[#This Row],[Mã điểm bán]])</f>
        <v>1</v>
      </c>
    </row>
    <row r="381" spans="1:29" x14ac:dyDescent="0.45">
      <c r="A381" t="s">
        <v>28</v>
      </c>
      <c r="B381">
        <v>1966</v>
      </c>
      <c r="C381" t="s">
        <v>561</v>
      </c>
      <c r="D381" t="s">
        <v>562</v>
      </c>
      <c r="E381" t="s">
        <v>563</v>
      </c>
      <c r="F381" t="s">
        <v>564</v>
      </c>
      <c r="G381" t="s">
        <v>34</v>
      </c>
      <c r="H381" t="s">
        <v>565</v>
      </c>
      <c r="I381" t="s">
        <v>566</v>
      </c>
      <c r="J381" t="s">
        <v>38</v>
      </c>
      <c r="K381" t="s">
        <v>38</v>
      </c>
      <c r="L381" t="s">
        <v>39</v>
      </c>
      <c r="M381" t="s">
        <v>38</v>
      </c>
      <c r="N381" t="s">
        <v>38</v>
      </c>
      <c r="O381" t="s">
        <v>40</v>
      </c>
      <c r="P381" t="s">
        <v>38</v>
      </c>
      <c r="Q381" t="s">
        <v>37</v>
      </c>
      <c r="R381" t="s">
        <v>40</v>
      </c>
      <c r="S381" t="s">
        <v>41</v>
      </c>
      <c r="T381" t="s">
        <v>438</v>
      </c>
      <c r="U381" t="s">
        <v>80</v>
      </c>
      <c r="V381" t="s">
        <v>44</v>
      </c>
      <c r="W381" t="s">
        <v>81</v>
      </c>
      <c r="Z381" t="s">
        <v>46</v>
      </c>
      <c r="AA381" t="s">
        <v>82</v>
      </c>
      <c r="AB381" t="s">
        <v>83</v>
      </c>
      <c r="AC381">
        <f>COUNTIF(C:C,QLKV_gui_ket_qua_ra_soat[[#This Row],[Mã điểm bán]])</f>
        <v>1</v>
      </c>
    </row>
    <row r="382" spans="1:29" x14ac:dyDescent="0.45">
      <c r="A382" t="s">
        <v>28</v>
      </c>
      <c r="B382">
        <v>2053</v>
      </c>
      <c r="C382" t="s">
        <v>596</v>
      </c>
      <c r="D382" t="s">
        <v>597</v>
      </c>
      <c r="E382" t="s">
        <v>304</v>
      </c>
      <c r="F382" t="s">
        <v>53</v>
      </c>
      <c r="G382" t="s">
        <v>34</v>
      </c>
      <c r="H382" t="s">
        <v>54</v>
      </c>
      <c r="I382" t="s">
        <v>437</v>
      </c>
      <c r="J382" t="s">
        <v>38</v>
      </c>
      <c r="K382" t="s">
        <v>56</v>
      </c>
      <c r="L382" t="s">
        <v>39</v>
      </c>
      <c r="M382" t="s">
        <v>38</v>
      </c>
      <c r="N382" t="s">
        <v>38</v>
      </c>
      <c r="O382" t="s">
        <v>40</v>
      </c>
      <c r="P382" t="s">
        <v>37</v>
      </c>
      <c r="Q382" t="s">
        <v>37</v>
      </c>
      <c r="R382" t="s">
        <v>40</v>
      </c>
      <c r="S382" t="s">
        <v>41</v>
      </c>
      <c r="T382" t="s">
        <v>438</v>
      </c>
      <c r="U382" t="s">
        <v>80</v>
      </c>
      <c r="V382" t="s">
        <v>44</v>
      </c>
      <c r="W382" t="s">
        <v>81</v>
      </c>
      <c r="X382" t="s">
        <v>46</v>
      </c>
      <c r="AC382">
        <f>COUNTIF(C:C,QLKV_gui_ket_qua_ra_soat[[#This Row],[Mã điểm bán]])</f>
        <v>1</v>
      </c>
    </row>
    <row r="383" spans="1:29" x14ac:dyDescent="0.45">
      <c r="A383" t="s">
        <v>28</v>
      </c>
      <c r="B383">
        <v>2054</v>
      </c>
      <c r="C383" t="s">
        <v>598</v>
      </c>
      <c r="D383" t="s">
        <v>599</v>
      </c>
      <c r="E383" t="s">
        <v>98</v>
      </c>
      <c r="F383" t="s">
        <v>600</v>
      </c>
      <c r="G383" t="s">
        <v>150</v>
      </c>
      <c r="H383" t="s">
        <v>54</v>
      </c>
      <c r="I383" t="s">
        <v>601</v>
      </c>
      <c r="J383" t="s">
        <v>38</v>
      </c>
      <c r="K383" t="s">
        <v>38</v>
      </c>
      <c r="L383" t="s">
        <v>40</v>
      </c>
      <c r="M383" t="s">
        <v>38</v>
      </c>
      <c r="N383" t="s">
        <v>38</v>
      </c>
      <c r="O383" t="s">
        <v>40</v>
      </c>
      <c r="P383" t="s">
        <v>38</v>
      </c>
      <c r="Q383" t="s">
        <v>38</v>
      </c>
      <c r="R383" t="s">
        <v>40</v>
      </c>
      <c r="S383" t="s">
        <v>41</v>
      </c>
      <c r="T383" t="s">
        <v>602</v>
      </c>
      <c r="U383" t="s">
        <v>485</v>
      </c>
      <c r="V383" t="s">
        <v>44</v>
      </c>
      <c r="W383" t="s">
        <v>81</v>
      </c>
      <c r="X383" t="s">
        <v>46</v>
      </c>
      <c r="AC383">
        <f>COUNTIF(C:C,QLKV_gui_ket_qua_ra_soat[[#This Row],[Mã điểm bán]])</f>
        <v>1</v>
      </c>
    </row>
    <row r="384" spans="1:29" x14ac:dyDescent="0.45">
      <c r="A384" t="s">
        <v>28</v>
      </c>
      <c r="B384">
        <v>2061</v>
      </c>
      <c r="C384" t="s">
        <v>606</v>
      </c>
      <c r="D384" t="s">
        <v>607</v>
      </c>
      <c r="E384" t="s">
        <v>608</v>
      </c>
      <c r="F384" t="s">
        <v>53</v>
      </c>
      <c r="G384" t="s">
        <v>34</v>
      </c>
      <c r="H384" t="s">
        <v>54</v>
      </c>
      <c r="I384" t="s">
        <v>609</v>
      </c>
      <c r="J384" t="s">
        <v>38</v>
      </c>
      <c r="K384" t="s">
        <v>38</v>
      </c>
      <c r="L384" t="s">
        <v>39</v>
      </c>
      <c r="M384" t="s">
        <v>38</v>
      </c>
      <c r="N384" t="s">
        <v>38</v>
      </c>
      <c r="O384" t="s">
        <v>40</v>
      </c>
      <c r="P384" t="s">
        <v>38</v>
      </c>
      <c r="Q384" t="s">
        <v>38</v>
      </c>
      <c r="R384" t="s">
        <v>40</v>
      </c>
      <c r="S384" t="s">
        <v>41</v>
      </c>
      <c r="T384" t="s">
        <v>438</v>
      </c>
      <c r="U384" t="s">
        <v>80</v>
      </c>
      <c r="V384" t="s">
        <v>44</v>
      </c>
      <c r="W384" t="s">
        <v>81</v>
      </c>
      <c r="X384" t="s">
        <v>46</v>
      </c>
      <c r="AC384">
        <f>COUNTIF(C:C,QLKV_gui_ket_qua_ra_soat[[#This Row],[Mã điểm bán]])</f>
        <v>1</v>
      </c>
    </row>
    <row r="385" spans="1:29" x14ac:dyDescent="0.45">
      <c r="A385" t="s">
        <v>28</v>
      </c>
      <c r="B385">
        <v>2066</v>
      </c>
      <c r="C385" t="s">
        <v>613</v>
      </c>
      <c r="D385" t="s">
        <v>614</v>
      </c>
      <c r="E385" t="s">
        <v>615</v>
      </c>
      <c r="F385" t="s">
        <v>616</v>
      </c>
      <c r="G385" t="s">
        <v>150</v>
      </c>
      <c r="H385" t="s">
        <v>54</v>
      </c>
      <c r="I385" t="s">
        <v>617</v>
      </c>
      <c r="J385" t="s">
        <v>38</v>
      </c>
      <c r="K385" t="s">
        <v>38</v>
      </c>
      <c r="L385" t="s">
        <v>40</v>
      </c>
      <c r="M385" t="s">
        <v>38</v>
      </c>
      <c r="N385" t="s">
        <v>38</v>
      </c>
      <c r="O385" t="s">
        <v>40</v>
      </c>
      <c r="P385" t="s">
        <v>38</v>
      </c>
      <c r="Q385" t="s">
        <v>38</v>
      </c>
      <c r="R385" t="s">
        <v>40</v>
      </c>
      <c r="S385" t="s">
        <v>41</v>
      </c>
      <c r="T385" t="s">
        <v>602</v>
      </c>
      <c r="U385" t="s">
        <v>485</v>
      </c>
      <c r="V385" t="s">
        <v>44</v>
      </c>
      <c r="W385" t="s">
        <v>81</v>
      </c>
      <c r="Z385" t="s">
        <v>46</v>
      </c>
      <c r="AA385" t="s">
        <v>486</v>
      </c>
      <c r="AB385" t="s">
        <v>48</v>
      </c>
      <c r="AC385">
        <f>COUNTIF(C:C,QLKV_gui_ket_qua_ra_soat[[#This Row],[Mã điểm bán]])</f>
        <v>1</v>
      </c>
    </row>
    <row r="386" spans="1:29" x14ac:dyDescent="0.45">
      <c r="A386" t="s">
        <v>28</v>
      </c>
      <c r="B386">
        <v>2074</v>
      </c>
      <c r="C386" t="s">
        <v>622</v>
      </c>
      <c r="D386" t="s">
        <v>623</v>
      </c>
      <c r="E386" t="s">
        <v>176</v>
      </c>
      <c r="F386" t="s">
        <v>53</v>
      </c>
      <c r="G386" t="s">
        <v>34</v>
      </c>
      <c r="H386" t="s">
        <v>54</v>
      </c>
      <c r="I386" t="s">
        <v>624</v>
      </c>
      <c r="J386" t="s">
        <v>38</v>
      </c>
      <c r="K386" t="s">
        <v>37</v>
      </c>
      <c r="L386" t="s">
        <v>39</v>
      </c>
      <c r="M386" t="s">
        <v>38</v>
      </c>
      <c r="N386" t="s">
        <v>38</v>
      </c>
      <c r="O386" t="s">
        <v>40</v>
      </c>
      <c r="P386" t="s">
        <v>38</v>
      </c>
      <c r="Q386" t="s">
        <v>37</v>
      </c>
      <c r="R386" t="s">
        <v>40</v>
      </c>
      <c r="S386" t="s">
        <v>41</v>
      </c>
      <c r="T386" t="s">
        <v>438</v>
      </c>
      <c r="U386" t="s">
        <v>80</v>
      </c>
      <c r="V386" t="s">
        <v>44</v>
      </c>
      <c r="W386" t="s">
        <v>81</v>
      </c>
      <c r="X386" t="s">
        <v>46</v>
      </c>
      <c r="AC386">
        <f>COUNTIF(C:C,QLKV_gui_ket_qua_ra_soat[[#This Row],[Mã điểm bán]])</f>
        <v>1</v>
      </c>
    </row>
    <row r="387" spans="1:29" x14ac:dyDescent="0.45">
      <c r="A387" t="s">
        <v>28</v>
      </c>
      <c r="B387">
        <v>2078</v>
      </c>
      <c r="C387" t="s">
        <v>625</v>
      </c>
      <c r="D387" t="s">
        <v>626</v>
      </c>
      <c r="E387" t="s">
        <v>628</v>
      </c>
      <c r="F387" t="s">
        <v>629</v>
      </c>
      <c r="G387" t="s">
        <v>34</v>
      </c>
      <c r="H387" t="s">
        <v>54</v>
      </c>
      <c r="I387" t="s">
        <v>630</v>
      </c>
      <c r="J387" t="s">
        <v>41</v>
      </c>
      <c r="K387" t="s">
        <v>41</v>
      </c>
      <c r="L387" t="s">
        <v>41</v>
      </c>
      <c r="M387" t="s">
        <v>41</v>
      </c>
      <c r="N387" t="s">
        <v>41</v>
      </c>
      <c r="O387" t="s">
        <v>41</v>
      </c>
      <c r="P387" t="s">
        <v>41</v>
      </c>
      <c r="Q387" t="s">
        <v>41</v>
      </c>
      <c r="R387" t="s">
        <v>41</v>
      </c>
      <c r="S387" t="s">
        <v>41</v>
      </c>
      <c r="T387" t="s">
        <v>484</v>
      </c>
      <c r="U387" t="s">
        <v>485</v>
      </c>
      <c r="V387" t="s">
        <v>44</v>
      </c>
      <c r="W387" t="s">
        <v>81</v>
      </c>
      <c r="Z387" t="s">
        <v>46</v>
      </c>
      <c r="AA387" t="s">
        <v>486</v>
      </c>
      <c r="AB387" t="s">
        <v>48</v>
      </c>
      <c r="AC387">
        <f>COUNTIF(C:C,QLKV_gui_ket_qua_ra_soat[[#This Row],[Mã điểm bán]])</f>
        <v>1</v>
      </c>
    </row>
    <row r="388" spans="1:29" x14ac:dyDescent="0.45">
      <c r="A388" t="s">
        <v>28</v>
      </c>
      <c r="B388">
        <v>2098</v>
      </c>
      <c r="C388" t="s">
        <v>639</v>
      </c>
      <c r="D388" t="s">
        <v>640</v>
      </c>
      <c r="E388" t="s">
        <v>641</v>
      </c>
      <c r="F388" t="s">
        <v>441</v>
      </c>
      <c r="G388" t="s">
        <v>34</v>
      </c>
      <c r="H388" t="s">
        <v>54</v>
      </c>
      <c r="I388" t="s">
        <v>642</v>
      </c>
      <c r="J388" t="s">
        <v>38</v>
      </c>
      <c r="K388" t="s">
        <v>38</v>
      </c>
      <c r="L388" t="s">
        <v>40</v>
      </c>
      <c r="M388" t="s">
        <v>38</v>
      </c>
      <c r="N388" t="s">
        <v>38</v>
      </c>
      <c r="O388" t="s">
        <v>40</v>
      </c>
      <c r="P388" t="s">
        <v>38</v>
      </c>
      <c r="Q388" t="s">
        <v>38</v>
      </c>
      <c r="R388" t="s">
        <v>40</v>
      </c>
      <c r="S388" t="s">
        <v>41</v>
      </c>
      <c r="T388" t="s">
        <v>602</v>
      </c>
      <c r="U388" t="s">
        <v>485</v>
      </c>
      <c r="V388" t="s">
        <v>44</v>
      </c>
      <c r="W388" t="s">
        <v>81</v>
      </c>
      <c r="X388" t="s">
        <v>46</v>
      </c>
      <c r="AC388">
        <f>COUNTIF(C:C,QLKV_gui_ket_qua_ra_soat[[#This Row],[Mã điểm bán]])</f>
        <v>1</v>
      </c>
    </row>
    <row r="389" spans="1:29" x14ac:dyDescent="0.45">
      <c r="A389" t="s">
        <v>28</v>
      </c>
      <c r="B389">
        <v>2102</v>
      </c>
      <c r="C389" t="s">
        <v>643</v>
      </c>
      <c r="D389" t="s">
        <v>644</v>
      </c>
      <c r="E389" t="s">
        <v>304</v>
      </c>
      <c r="F389" t="s">
        <v>53</v>
      </c>
      <c r="G389" t="s">
        <v>34</v>
      </c>
      <c r="H389" t="s">
        <v>54</v>
      </c>
      <c r="I389" t="s">
        <v>645</v>
      </c>
      <c r="J389" t="s">
        <v>38</v>
      </c>
      <c r="K389" t="s">
        <v>38</v>
      </c>
      <c r="L389" t="s">
        <v>39</v>
      </c>
      <c r="M389" t="s">
        <v>38</v>
      </c>
      <c r="N389" t="s">
        <v>38</v>
      </c>
      <c r="O389" t="s">
        <v>40</v>
      </c>
      <c r="P389" t="s">
        <v>38</v>
      </c>
      <c r="Q389" t="s">
        <v>37</v>
      </c>
      <c r="R389" t="s">
        <v>40</v>
      </c>
      <c r="S389" t="s">
        <v>41</v>
      </c>
      <c r="T389" t="s">
        <v>438</v>
      </c>
      <c r="U389" t="s">
        <v>80</v>
      </c>
      <c r="V389" t="s">
        <v>44</v>
      </c>
      <c r="W389" t="s">
        <v>81</v>
      </c>
      <c r="X389" t="s">
        <v>46</v>
      </c>
      <c r="AC389">
        <f>COUNTIF(C:C,QLKV_gui_ket_qua_ra_soat[[#This Row],[Mã điểm bán]])</f>
        <v>1</v>
      </c>
    </row>
    <row r="390" spans="1:29" x14ac:dyDescent="0.45">
      <c r="A390" t="s">
        <v>28</v>
      </c>
      <c r="B390">
        <v>2107</v>
      </c>
      <c r="C390" t="s">
        <v>646</v>
      </c>
      <c r="D390" t="s">
        <v>647</v>
      </c>
      <c r="E390" t="s">
        <v>648</v>
      </c>
      <c r="F390" t="s">
        <v>649</v>
      </c>
      <c r="G390" t="s">
        <v>34</v>
      </c>
      <c r="H390" t="s">
        <v>550</v>
      </c>
      <c r="I390" t="s">
        <v>650</v>
      </c>
      <c r="J390" t="s">
        <v>38</v>
      </c>
      <c r="K390" t="s">
        <v>38</v>
      </c>
      <c r="L390" t="s">
        <v>39</v>
      </c>
      <c r="M390" t="s">
        <v>38</v>
      </c>
      <c r="N390" t="s">
        <v>38</v>
      </c>
      <c r="O390" t="s">
        <v>40</v>
      </c>
      <c r="P390" t="s">
        <v>38</v>
      </c>
      <c r="Q390" t="s">
        <v>37</v>
      </c>
      <c r="R390" t="s">
        <v>40</v>
      </c>
      <c r="S390" t="s">
        <v>41</v>
      </c>
      <c r="T390" t="s">
        <v>438</v>
      </c>
      <c r="U390" t="s">
        <v>80</v>
      </c>
      <c r="V390" t="s">
        <v>44</v>
      </c>
      <c r="W390" t="s">
        <v>81</v>
      </c>
      <c r="Z390" t="s">
        <v>46</v>
      </c>
      <c r="AA390" t="s">
        <v>82</v>
      </c>
      <c r="AB390" t="s">
        <v>83</v>
      </c>
      <c r="AC390">
        <f>COUNTIF(C:C,QLKV_gui_ket_qua_ra_soat[[#This Row],[Mã điểm bán]])</f>
        <v>1</v>
      </c>
    </row>
    <row r="391" spans="1:29" x14ac:dyDescent="0.45">
      <c r="A391" t="s">
        <v>28</v>
      </c>
      <c r="B391">
        <v>2126</v>
      </c>
      <c r="C391" t="s">
        <v>651</v>
      </c>
      <c r="D391" t="s">
        <v>652</v>
      </c>
      <c r="E391" t="s">
        <v>206</v>
      </c>
      <c r="F391" t="s">
        <v>653</v>
      </c>
      <c r="G391" t="s">
        <v>34</v>
      </c>
      <c r="H391" t="s">
        <v>402</v>
      </c>
      <c r="I391" t="s">
        <v>654</v>
      </c>
      <c r="J391" t="s">
        <v>38</v>
      </c>
      <c r="K391" t="s">
        <v>38</v>
      </c>
      <c r="L391" t="s">
        <v>40</v>
      </c>
      <c r="M391" t="s">
        <v>38</v>
      </c>
      <c r="N391" t="s">
        <v>38</v>
      </c>
      <c r="O391" t="s">
        <v>40</v>
      </c>
      <c r="P391" t="s">
        <v>38</v>
      </c>
      <c r="Q391" t="s">
        <v>38</v>
      </c>
      <c r="R391" t="s">
        <v>40</v>
      </c>
      <c r="S391" t="s">
        <v>41</v>
      </c>
      <c r="T391" t="s">
        <v>602</v>
      </c>
      <c r="U391" t="s">
        <v>485</v>
      </c>
      <c r="V391" t="s">
        <v>44</v>
      </c>
      <c r="W391" t="s">
        <v>81</v>
      </c>
      <c r="Z391" t="s">
        <v>46</v>
      </c>
      <c r="AA391" t="s">
        <v>486</v>
      </c>
      <c r="AB391" t="s">
        <v>48</v>
      </c>
      <c r="AC391">
        <f>COUNTIF(C:C,QLKV_gui_ket_qua_ra_soat[[#This Row],[Mã điểm bán]])</f>
        <v>1</v>
      </c>
    </row>
    <row r="392" spans="1:29" x14ac:dyDescent="0.45">
      <c r="A392" t="s">
        <v>28</v>
      </c>
      <c r="B392">
        <v>2151</v>
      </c>
      <c r="C392" t="s">
        <v>663</v>
      </c>
      <c r="D392" t="s">
        <v>664</v>
      </c>
      <c r="E392" t="s">
        <v>296</v>
      </c>
      <c r="F392" t="s">
        <v>666</v>
      </c>
      <c r="G392" t="s">
        <v>34</v>
      </c>
      <c r="H392" t="s">
        <v>54</v>
      </c>
      <c r="I392" t="s">
        <v>667</v>
      </c>
      <c r="J392" t="s">
        <v>38</v>
      </c>
      <c r="K392" t="s">
        <v>38</v>
      </c>
      <c r="L392" t="s">
        <v>39</v>
      </c>
      <c r="M392" t="s">
        <v>38</v>
      </c>
      <c r="N392" t="s">
        <v>38</v>
      </c>
      <c r="O392" t="s">
        <v>39</v>
      </c>
      <c r="P392" t="s">
        <v>38</v>
      </c>
      <c r="Q392" t="s">
        <v>38</v>
      </c>
      <c r="R392" t="s">
        <v>40</v>
      </c>
      <c r="S392" t="s">
        <v>41</v>
      </c>
      <c r="T392" t="s">
        <v>484</v>
      </c>
      <c r="U392" t="s">
        <v>485</v>
      </c>
      <c r="V392" t="s">
        <v>44</v>
      </c>
      <c r="W392" t="s">
        <v>81</v>
      </c>
      <c r="Z392" t="s">
        <v>46</v>
      </c>
      <c r="AA392" t="s">
        <v>486</v>
      </c>
      <c r="AB392" t="s">
        <v>48</v>
      </c>
      <c r="AC392">
        <f>COUNTIF(C:C,QLKV_gui_ket_qua_ra_soat[[#This Row],[Mã điểm bán]])</f>
        <v>1</v>
      </c>
    </row>
    <row r="393" spans="1:29" x14ac:dyDescent="0.45">
      <c r="A393" t="s">
        <v>28</v>
      </c>
      <c r="B393">
        <v>2231</v>
      </c>
      <c r="C393" t="s">
        <v>704</v>
      </c>
      <c r="D393" t="s">
        <v>705</v>
      </c>
      <c r="E393" t="s">
        <v>706</v>
      </c>
      <c r="F393" t="s">
        <v>707</v>
      </c>
      <c r="G393" t="s">
        <v>34</v>
      </c>
      <c r="H393" t="s">
        <v>708</v>
      </c>
      <c r="I393" t="s">
        <v>709</v>
      </c>
      <c r="J393" t="s">
        <v>38</v>
      </c>
      <c r="K393" t="s">
        <v>38</v>
      </c>
      <c r="L393" t="s">
        <v>40</v>
      </c>
      <c r="M393" t="s">
        <v>38</v>
      </c>
      <c r="N393" t="s">
        <v>38</v>
      </c>
      <c r="O393" t="s">
        <v>40</v>
      </c>
      <c r="P393" t="s">
        <v>38</v>
      </c>
      <c r="Q393" t="s">
        <v>38</v>
      </c>
      <c r="R393" t="s">
        <v>40</v>
      </c>
      <c r="S393" t="s">
        <v>41</v>
      </c>
      <c r="T393" t="s">
        <v>79</v>
      </c>
      <c r="U393" t="s">
        <v>80</v>
      </c>
      <c r="V393" t="s">
        <v>44</v>
      </c>
      <c r="W393" t="s">
        <v>81</v>
      </c>
      <c r="Z393" t="s">
        <v>46</v>
      </c>
      <c r="AA393" t="s">
        <v>82</v>
      </c>
      <c r="AB393" t="s">
        <v>83</v>
      </c>
      <c r="AC393">
        <f>COUNTIF(C:C,QLKV_gui_ket_qua_ra_soat[[#This Row],[Mã điểm bán]])</f>
        <v>1</v>
      </c>
    </row>
    <row r="394" spans="1:29" x14ac:dyDescent="0.45">
      <c r="A394" t="s">
        <v>28</v>
      </c>
      <c r="B394">
        <v>2278</v>
      </c>
      <c r="C394" t="s">
        <v>726</v>
      </c>
      <c r="D394" t="s">
        <v>727</v>
      </c>
      <c r="E394" t="s">
        <v>729</v>
      </c>
      <c r="F394" t="s">
        <v>707</v>
      </c>
      <c r="G394" t="s">
        <v>34</v>
      </c>
      <c r="H394" t="s">
        <v>54</v>
      </c>
      <c r="I394" t="s">
        <v>730</v>
      </c>
      <c r="J394" t="s">
        <v>38</v>
      </c>
      <c r="K394" t="s">
        <v>38</v>
      </c>
      <c r="L394" t="s">
        <v>40</v>
      </c>
      <c r="M394" t="s">
        <v>38</v>
      </c>
      <c r="N394" t="s">
        <v>38</v>
      </c>
      <c r="O394" t="s">
        <v>40</v>
      </c>
      <c r="P394" t="s">
        <v>38</v>
      </c>
      <c r="Q394" t="s">
        <v>38</v>
      </c>
      <c r="R394" t="s">
        <v>40</v>
      </c>
      <c r="S394" t="s">
        <v>41</v>
      </c>
      <c r="T394" t="s">
        <v>79</v>
      </c>
      <c r="U394" t="s">
        <v>80</v>
      </c>
      <c r="V394" t="s">
        <v>44</v>
      </c>
      <c r="W394" t="s">
        <v>81</v>
      </c>
      <c r="Z394" t="s">
        <v>46</v>
      </c>
      <c r="AA394" t="s">
        <v>82</v>
      </c>
      <c r="AB394" t="s">
        <v>83</v>
      </c>
      <c r="AC394">
        <f>COUNTIF(C:C,QLKV_gui_ket_qua_ra_soat[[#This Row],[Mã điểm bán]])</f>
        <v>1</v>
      </c>
    </row>
    <row r="395" spans="1:29" x14ac:dyDescent="0.45">
      <c r="A395" t="s">
        <v>28</v>
      </c>
      <c r="B395">
        <v>2285</v>
      </c>
      <c r="C395" t="s">
        <v>736</v>
      </c>
      <c r="D395" t="s">
        <v>737</v>
      </c>
      <c r="E395" t="s">
        <v>738</v>
      </c>
      <c r="F395" t="s">
        <v>53</v>
      </c>
      <c r="G395" t="s">
        <v>34</v>
      </c>
      <c r="H395" t="s">
        <v>54</v>
      </c>
      <c r="I395" t="s">
        <v>739</v>
      </c>
      <c r="J395" t="s">
        <v>37</v>
      </c>
      <c r="K395" t="s">
        <v>38</v>
      </c>
      <c r="L395" t="s">
        <v>40</v>
      </c>
      <c r="M395" t="s">
        <v>37</v>
      </c>
      <c r="N395" t="s">
        <v>56</v>
      </c>
      <c r="O395" t="s">
        <v>39</v>
      </c>
      <c r="P395" t="s">
        <v>38</v>
      </c>
      <c r="Q395" t="s">
        <v>38</v>
      </c>
      <c r="R395" t="s">
        <v>40</v>
      </c>
      <c r="S395" t="s">
        <v>41</v>
      </c>
      <c r="T395" t="s">
        <v>501</v>
      </c>
      <c r="U395" t="s">
        <v>485</v>
      </c>
      <c r="V395" t="s">
        <v>44</v>
      </c>
      <c r="W395" t="s">
        <v>81</v>
      </c>
      <c r="X395" t="s">
        <v>46</v>
      </c>
      <c r="AC395">
        <f>COUNTIF(C:C,QLKV_gui_ket_qua_ra_soat[[#This Row],[Mã điểm bán]])</f>
        <v>1</v>
      </c>
    </row>
    <row r="396" spans="1:29" x14ac:dyDescent="0.45">
      <c r="A396" t="s">
        <v>28</v>
      </c>
      <c r="B396">
        <v>2320</v>
      </c>
      <c r="C396" t="s">
        <v>760</v>
      </c>
      <c r="D396" t="s">
        <v>761</v>
      </c>
      <c r="E396" t="s">
        <v>92</v>
      </c>
      <c r="F396" t="s">
        <v>762</v>
      </c>
      <c r="G396" t="s">
        <v>34</v>
      </c>
      <c r="H396" t="s">
        <v>54</v>
      </c>
      <c r="I396" t="s">
        <v>763</v>
      </c>
      <c r="J396" t="s">
        <v>38</v>
      </c>
      <c r="K396" t="s">
        <v>38</v>
      </c>
      <c r="L396" t="s">
        <v>40</v>
      </c>
      <c r="M396" t="s">
        <v>38</v>
      </c>
      <c r="N396" t="s">
        <v>38</v>
      </c>
      <c r="O396" t="s">
        <v>40</v>
      </c>
      <c r="P396" t="s">
        <v>38</v>
      </c>
      <c r="Q396" t="s">
        <v>38</v>
      </c>
      <c r="R396" t="s">
        <v>40</v>
      </c>
      <c r="S396" t="s">
        <v>41</v>
      </c>
      <c r="T396" t="s">
        <v>602</v>
      </c>
      <c r="U396" t="s">
        <v>485</v>
      </c>
      <c r="V396" t="s">
        <v>44</v>
      </c>
      <c r="W396" t="s">
        <v>81</v>
      </c>
      <c r="X396" t="s">
        <v>46</v>
      </c>
      <c r="AC396">
        <f>COUNTIF(C:C,QLKV_gui_ket_qua_ra_soat[[#This Row],[Mã điểm bán]])</f>
        <v>1</v>
      </c>
    </row>
    <row r="397" spans="1:29" x14ac:dyDescent="0.45">
      <c r="A397" t="s">
        <v>28</v>
      </c>
      <c r="B397">
        <v>2334</v>
      </c>
      <c r="C397" t="s">
        <v>780</v>
      </c>
      <c r="D397" t="s">
        <v>781</v>
      </c>
      <c r="E397" t="s">
        <v>782</v>
      </c>
      <c r="F397" t="s">
        <v>115</v>
      </c>
      <c r="G397" t="s">
        <v>34</v>
      </c>
      <c r="H397" t="s">
        <v>54</v>
      </c>
      <c r="I397" t="s">
        <v>783</v>
      </c>
      <c r="J397" t="s">
        <v>38</v>
      </c>
      <c r="K397" t="s">
        <v>38</v>
      </c>
      <c r="L397" t="s">
        <v>39</v>
      </c>
      <c r="M397" t="s">
        <v>38</v>
      </c>
      <c r="N397" t="s">
        <v>38</v>
      </c>
      <c r="O397" t="s">
        <v>40</v>
      </c>
      <c r="P397" t="s">
        <v>38</v>
      </c>
      <c r="Q397" t="s">
        <v>37</v>
      </c>
      <c r="R397" t="s">
        <v>40</v>
      </c>
      <c r="S397" t="s">
        <v>41</v>
      </c>
      <c r="T397" t="s">
        <v>438</v>
      </c>
      <c r="U397" t="s">
        <v>80</v>
      </c>
      <c r="V397" t="s">
        <v>44</v>
      </c>
      <c r="W397" t="s">
        <v>81</v>
      </c>
      <c r="X397" t="s">
        <v>46</v>
      </c>
      <c r="AC397">
        <f>COUNTIF(C:C,QLKV_gui_ket_qua_ra_soat[[#This Row],[Mã điểm bán]])</f>
        <v>1</v>
      </c>
    </row>
    <row r="398" spans="1:29" x14ac:dyDescent="0.45">
      <c r="A398" t="s">
        <v>28</v>
      </c>
      <c r="B398">
        <v>2336</v>
      </c>
      <c r="C398" t="s">
        <v>786</v>
      </c>
      <c r="D398" t="s">
        <v>787</v>
      </c>
      <c r="E398" t="s">
        <v>789</v>
      </c>
      <c r="F398" t="s">
        <v>790</v>
      </c>
      <c r="G398" t="s">
        <v>34</v>
      </c>
      <c r="H398" t="s">
        <v>54</v>
      </c>
      <c r="I398" t="s">
        <v>791</v>
      </c>
      <c r="J398" t="s">
        <v>38</v>
      </c>
      <c r="K398" t="s">
        <v>38</v>
      </c>
      <c r="L398" t="s">
        <v>40</v>
      </c>
      <c r="M398" t="s">
        <v>38</v>
      </c>
      <c r="N398" t="s">
        <v>37</v>
      </c>
      <c r="O398" t="s">
        <v>39</v>
      </c>
      <c r="P398" t="s">
        <v>38</v>
      </c>
      <c r="Q398" t="s">
        <v>38</v>
      </c>
      <c r="R398" t="s">
        <v>40</v>
      </c>
      <c r="S398" t="s">
        <v>41</v>
      </c>
      <c r="T398" t="s">
        <v>602</v>
      </c>
      <c r="U398" t="s">
        <v>485</v>
      </c>
      <c r="V398" t="s">
        <v>44</v>
      </c>
      <c r="W398" t="s">
        <v>81</v>
      </c>
      <c r="X398" t="s">
        <v>46</v>
      </c>
      <c r="AC398">
        <f>COUNTIF(C:C,QLKV_gui_ket_qua_ra_soat[[#This Row],[Mã điểm bán]])</f>
        <v>1</v>
      </c>
    </row>
    <row r="399" spans="1:29" x14ac:dyDescent="0.45">
      <c r="A399" t="s">
        <v>28</v>
      </c>
      <c r="B399">
        <v>2353</v>
      </c>
      <c r="C399" t="s">
        <v>805</v>
      </c>
      <c r="D399" t="s">
        <v>806</v>
      </c>
      <c r="E399" t="s">
        <v>807</v>
      </c>
      <c r="F399" t="s">
        <v>53</v>
      </c>
      <c r="G399" t="s">
        <v>34</v>
      </c>
      <c r="H399" t="s">
        <v>54</v>
      </c>
      <c r="I399" t="s">
        <v>808</v>
      </c>
      <c r="J399" t="s">
        <v>38</v>
      </c>
      <c r="K399" t="s">
        <v>38</v>
      </c>
      <c r="L399" t="s">
        <v>39</v>
      </c>
      <c r="M399" t="s">
        <v>38</v>
      </c>
      <c r="N399" t="s">
        <v>38</v>
      </c>
      <c r="O399" t="s">
        <v>40</v>
      </c>
      <c r="P399" t="s">
        <v>38</v>
      </c>
      <c r="Q399" t="s">
        <v>38</v>
      </c>
      <c r="R399" t="s">
        <v>40</v>
      </c>
      <c r="S399" t="s">
        <v>41</v>
      </c>
      <c r="T399" t="s">
        <v>438</v>
      </c>
      <c r="U399" t="s">
        <v>80</v>
      </c>
      <c r="V399" t="s">
        <v>44</v>
      </c>
      <c r="W399" t="s">
        <v>81</v>
      </c>
      <c r="X399" t="s">
        <v>46</v>
      </c>
      <c r="AC399">
        <f>COUNTIF(C:C,QLKV_gui_ket_qua_ra_soat[[#This Row],[Mã điểm bán]])</f>
        <v>1</v>
      </c>
    </row>
    <row r="400" spans="1:29" x14ac:dyDescent="0.45">
      <c r="A400" t="s">
        <v>28</v>
      </c>
      <c r="B400">
        <v>2364</v>
      </c>
      <c r="C400" t="s">
        <v>817</v>
      </c>
      <c r="D400" t="s">
        <v>818</v>
      </c>
      <c r="E400" t="s">
        <v>98</v>
      </c>
      <c r="F400" t="s">
        <v>819</v>
      </c>
      <c r="G400" t="s">
        <v>34</v>
      </c>
      <c r="H400" t="s">
        <v>54</v>
      </c>
      <c r="I400" t="s">
        <v>820</v>
      </c>
      <c r="J400" t="s">
        <v>38</v>
      </c>
      <c r="K400" t="s">
        <v>38</v>
      </c>
      <c r="L400" t="s">
        <v>40</v>
      </c>
      <c r="M400" t="s">
        <v>37</v>
      </c>
      <c r="N400" t="s">
        <v>37</v>
      </c>
      <c r="O400" t="s">
        <v>39</v>
      </c>
      <c r="P400" t="s">
        <v>38</v>
      </c>
      <c r="Q400" t="s">
        <v>38</v>
      </c>
      <c r="R400" t="s">
        <v>40</v>
      </c>
      <c r="S400" t="s">
        <v>41</v>
      </c>
      <c r="T400" t="s">
        <v>602</v>
      </c>
      <c r="U400" t="s">
        <v>485</v>
      </c>
      <c r="V400" t="s">
        <v>44</v>
      </c>
      <c r="W400" t="s">
        <v>81</v>
      </c>
      <c r="Z400" t="s">
        <v>46</v>
      </c>
      <c r="AA400" t="s">
        <v>486</v>
      </c>
      <c r="AB400" t="s">
        <v>48</v>
      </c>
      <c r="AC400">
        <f>COUNTIF(C:C,QLKV_gui_ket_qua_ra_soat[[#This Row],[Mã điểm bán]])</f>
        <v>1</v>
      </c>
    </row>
    <row r="401" spans="1:29" x14ac:dyDescent="0.45">
      <c r="A401" t="s">
        <v>28</v>
      </c>
      <c r="B401">
        <v>2377</v>
      </c>
      <c r="C401" t="s">
        <v>821</v>
      </c>
      <c r="D401" t="s">
        <v>822</v>
      </c>
      <c r="E401" t="s">
        <v>143</v>
      </c>
      <c r="F401" t="s">
        <v>824</v>
      </c>
      <c r="G401" t="s">
        <v>150</v>
      </c>
      <c r="H401" t="s">
        <v>54</v>
      </c>
      <c r="I401" t="s">
        <v>825</v>
      </c>
      <c r="J401" t="s">
        <v>38</v>
      </c>
      <c r="K401" t="s">
        <v>38</v>
      </c>
      <c r="L401" t="s">
        <v>40</v>
      </c>
      <c r="M401" t="s">
        <v>56</v>
      </c>
      <c r="N401" t="s">
        <v>56</v>
      </c>
      <c r="O401" t="s">
        <v>39</v>
      </c>
      <c r="P401" t="s">
        <v>38</v>
      </c>
      <c r="Q401" t="s">
        <v>38</v>
      </c>
      <c r="R401" t="s">
        <v>40</v>
      </c>
      <c r="S401" t="s">
        <v>41</v>
      </c>
      <c r="T401" t="s">
        <v>602</v>
      </c>
      <c r="U401" t="s">
        <v>485</v>
      </c>
      <c r="V401" t="s">
        <v>44</v>
      </c>
      <c r="W401" t="s">
        <v>81</v>
      </c>
      <c r="X401" t="s">
        <v>46</v>
      </c>
      <c r="AC401">
        <f>COUNTIF(C:C,QLKV_gui_ket_qua_ra_soat[[#This Row],[Mã điểm bán]])</f>
        <v>1</v>
      </c>
    </row>
    <row r="402" spans="1:29" x14ac:dyDescent="0.45">
      <c r="A402" t="s">
        <v>28</v>
      </c>
      <c r="B402">
        <v>2389</v>
      </c>
      <c r="C402" t="s">
        <v>836</v>
      </c>
      <c r="D402" t="s">
        <v>837</v>
      </c>
      <c r="E402" t="s">
        <v>838</v>
      </c>
      <c r="F402" t="s">
        <v>53</v>
      </c>
      <c r="G402" t="s">
        <v>34</v>
      </c>
      <c r="H402" t="s">
        <v>54</v>
      </c>
      <c r="I402" t="s">
        <v>839</v>
      </c>
      <c r="J402" t="s">
        <v>38</v>
      </c>
      <c r="K402" t="s">
        <v>37</v>
      </c>
      <c r="L402" t="s">
        <v>39</v>
      </c>
      <c r="M402" t="s">
        <v>38</v>
      </c>
      <c r="N402" t="s">
        <v>37</v>
      </c>
      <c r="O402" t="s">
        <v>40</v>
      </c>
      <c r="P402" t="s">
        <v>38</v>
      </c>
      <c r="Q402" t="s">
        <v>37</v>
      </c>
      <c r="R402" t="s">
        <v>40</v>
      </c>
      <c r="S402" t="s">
        <v>41</v>
      </c>
      <c r="T402" t="s">
        <v>438</v>
      </c>
      <c r="U402" t="s">
        <v>80</v>
      </c>
      <c r="V402" t="s">
        <v>44</v>
      </c>
      <c r="W402" t="s">
        <v>81</v>
      </c>
      <c r="X402" t="s">
        <v>46</v>
      </c>
      <c r="AC402">
        <f>COUNTIF(C:C,QLKV_gui_ket_qua_ra_soat[[#This Row],[Mã điểm bán]])</f>
        <v>1</v>
      </c>
    </row>
    <row r="403" spans="1:29" x14ac:dyDescent="0.45">
      <c r="A403" t="s">
        <v>28</v>
      </c>
      <c r="B403">
        <v>2394</v>
      </c>
      <c r="C403" t="s">
        <v>844</v>
      </c>
      <c r="D403" t="s">
        <v>845</v>
      </c>
      <c r="E403" t="s">
        <v>846</v>
      </c>
      <c r="F403" t="s">
        <v>53</v>
      </c>
      <c r="G403" t="s">
        <v>34</v>
      </c>
      <c r="H403" t="s">
        <v>35</v>
      </c>
      <c r="I403" t="s">
        <v>847</v>
      </c>
      <c r="J403" t="s">
        <v>38</v>
      </c>
      <c r="K403" t="s">
        <v>37</v>
      </c>
      <c r="L403" t="s">
        <v>39</v>
      </c>
      <c r="M403" t="s">
        <v>38</v>
      </c>
      <c r="N403" t="s">
        <v>38</v>
      </c>
      <c r="O403" t="s">
        <v>40</v>
      </c>
      <c r="P403" t="s">
        <v>38</v>
      </c>
      <c r="Q403" t="s">
        <v>38</v>
      </c>
      <c r="R403" t="s">
        <v>40</v>
      </c>
      <c r="S403" t="s">
        <v>41</v>
      </c>
      <c r="T403" t="s">
        <v>438</v>
      </c>
      <c r="U403" t="s">
        <v>80</v>
      </c>
      <c r="V403" t="s">
        <v>44</v>
      </c>
      <c r="W403" t="s">
        <v>81</v>
      </c>
      <c r="X403" t="s">
        <v>46</v>
      </c>
      <c r="AC403">
        <f>COUNTIF(C:C,QLKV_gui_ket_qua_ra_soat[[#This Row],[Mã điểm bán]])</f>
        <v>1</v>
      </c>
    </row>
    <row r="404" spans="1:29" x14ac:dyDescent="0.45">
      <c r="A404" t="s">
        <v>28</v>
      </c>
      <c r="B404">
        <v>2419</v>
      </c>
      <c r="C404" t="s">
        <v>851</v>
      </c>
      <c r="D404" t="s">
        <v>852</v>
      </c>
      <c r="E404" t="s">
        <v>91</v>
      </c>
      <c r="F404" t="s">
        <v>762</v>
      </c>
      <c r="G404" t="s">
        <v>34</v>
      </c>
      <c r="H404" t="s">
        <v>54</v>
      </c>
      <c r="I404" t="s">
        <v>854</v>
      </c>
      <c r="J404" t="s">
        <v>38</v>
      </c>
      <c r="K404" t="s">
        <v>38</v>
      </c>
      <c r="L404" t="s">
        <v>40</v>
      </c>
      <c r="M404" t="s">
        <v>37</v>
      </c>
      <c r="N404" t="s">
        <v>37</v>
      </c>
      <c r="O404" t="s">
        <v>39</v>
      </c>
      <c r="P404" t="s">
        <v>38</v>
      </c>
      <c r="Q404" t="s">
        <v>56</v>
      </c>
      <c r="R404" t="s">
        <v>39</v>
      </c>
      <c r="S404" t="s">
        <v>41</v>
      </c>
      <c r="T404" t="s">
        <v>602</v>
      </c>
      <c r="U404" t="s">
        <v>485</v>
      </c>
      <c r="V404" t="s">
        <v>44</v>
      </c>
      <c r="W404" t="s">
        <v>81</v>
      </c>
      <c r="Z404" t="s">
        <v>46</v>
      </c>
      <c r="AA404" t="s">
        <v>486</v>
      </c>
      <c r="AB404" t="s">
        <v>48</v>
      </c>
      <c r="AC404">
        <f>COUNTIF(C:C,QLKV_gui_ket_qua_ra_soat[[#This Row],[Mã điểm bán]])</f>
        <v>1</v>
      </c>
    </row>
    <row r="405" spans="1:29" x14ac:dyDescent="0.45">
      <c r="A405" t="s">
        <v>28</v>
      </c>
      <c r="B405">
        <v>2454</v>
      </c>
      <c r="C405" t="s">
        <v>855</v>
      </c>
      <c r="D405" t="s">
        <v>856</v>
      </c>
      <c r="E405" t="s">
        <v>857</v>
      </c>
      <c r="F405" t="s">
        <v>53</v>
      </c>
      <c r="G405" t="s">
        <v>34</v>
      </c>
      <c r="H405" t="s">
        <v>54</v>
      </c>
      <c r="I405" t="s">
        <v>858</v>
      </c>
      <c r="J405" t="s">
        <v>38</v>
      </c>
      <c r="K405" t="s">
        <v>38</v>
      </c>
      <c r="L405" t="s">
        <v>40</v>
      </c>
      <c r="M405" t="s">
        <v>37</v>
      </c>
      <c r="N405" t="s">
        <v>37</v>
      </c>
      <c r="O405" t="s">
        <v>39</v>
      </c>
      <c r="P405" t="s">
        <v>38</v>
      </c>
      <c r="Q405" t="s">
        <v>38</v>
      </c>
      <c r="R405" t="s">
        <v>40</v>
      </c>
      <c r="S405" t="s">
        <v>41</v>
      </c>
      <c r="T405" t="s">
        <v>484</v>
      </c>
      <c r="U405" t="s">
        <v>485</v>
      </c>
      <c r="V405" t="s">
        <v>44</v>
      </c>
      <c r="W405" t="s">
        <v>81</v>
      </c>
      <c r="X405" t="s">
        <v>46</v>
      </c>
      <c r="AC405">
        <f>COUNTIF(C:C,QLKV_gui_ket_qua_ra_soat[[#This Row],[Mã điểm bán]])</f>
        <v>1</v>
      </c>
    </row>
    <row r="406" spans="1:29" x14ac:dyDescent="0.45">
      <c r="A406" t="s">
        <v>28</v>
      </c>
      <c r="B406">
        <v>2476</v>
      </c>
      <c r="C406" t="s">
        <v>871</v>
      </c>
      <c r="D406" t="s">
        <v>872</v>
      </c>
      <c r="E406" t="s">
        <v>874</v>
      </c>
      <c r="F406" t="s">
        <v>875</v>
      </c>
      <c r="G406" t="s">
        <v>34</v>
      </c>
      <c r="H406" t="s">
        <v>54</v>
      </c>
      <c r="I406" t="s">
        <v>876</v>
      </c>
      <c r="J406" t="s">
        <v>38</v>
      </c>
      <c r="K406" t="s">
        <v>38</v>
      </c>
      <c r="L406" t="s">
        <v>40</v>
      </c>
      <c r="M406" t="s">
        <v>37</v>
      </c>
      <c r="N406" t="s">
        <v>37</v>
      </c>
      <c r="O406" t="s">
        <v>39</v>
      </c>
      <c r="P406" t="s">
        <v>38</v>
      </c>
      <c r="Q406" t="s">
        <v>38</v>
      </c>
      <c r="R406" t="s">
        <v>40</v>
      </c>
      <c r="S406" t="s">
        <v>41</v>
      </c>
      <c r="T406" t="s">
        <v>484</v>
      </c>
      <c r="U406" t="s">
        <v>485</v>
      </c>
      <c r="V406" t="s">
        <v>44</v>
      </c>
      <c r="W406" t="s">
        <v>81</v>
      </c>
      <c r="Z406" t="s">
        <v>46</v>
      </c>
      <c r="AA406" t="s">
        <v>486</v>
      </c>
      <c r="AB406" t="s">
        <v>48</v>
      </c>
      <c r="AC406">
        <f>COUNTIF(C:C,QLKV_gui_ket_qua_ra_soat[[#This Row],[Mã điểm bán]])</f>
        <v>1</v>
      </c>
    </row>
    <row r="407" spans="1:29" x14ac:dyDescent="0.45">
      <c r="A407" t="s">
        <v>28</v>
      </c>
      <c r="B407">
        <v>2483</v>
      </c>
      <c r="C407" t="s">
        <v>880</v>
      </c>
      <c r="D407" t="s">
        <v>881</v>
      </c>
      <c r="E407" t="s">
        <v>883</v>
      </c>
      <c r="F407" t="s">
        <v>884</v>
      </c>
      <c r="G407" t="s">
        <v>34</v>
      </c>
      <c r="H407" t="s">
        <v>54</v>
      </c>
      <c r="I407" t="s">
        <v>885</v>
      </c>
      <c r="J407" t="s">
        <v>56</v>
      </c>
      <c r="K407" t="s">
        <v>56</v>
      </c>
      <c r="L407" t="s">
        <v>39</v>
      </c>
      <c r="M407" t="s">
        <v>38</v>
      </c>
      <c r="N407" t="s">
        <v>56</v>
      </c>
      <c r="O407" t="s">
        <v>39</v>
      </c>
      <c r="P407" t="s">
        <v>38</v>
      </c>
      <c r="Q407" t="s">
        <v>37</v>
      </c>
      <c r="R407" t="s">
        <v>39</v>
      </c>
      <c r="S407" t="s">
        <v>886</v>
      </c>
      <c r="T407" t="s">
        <v>395</v>
      </c>
      <c r="U407" t="s">
        <v>396</v>
      </c>
      <c r="V407" t="s">
        <v>44</v>
      </c>
      <c r="W407" t="s">
        <v>397</v>
      </c>
      <c r="Z407" t="s">
        <v>46</v>
      </c>
      <c r="AA407" t="s">
        <v>398</v>
      </c>
      <c r="AB407" t="s">
        <v>83</v>
      </c>
      <c r="AC407">
        <f>COUNTIF(C:C,QLKV_gui_ket_qua_ra_soat[[#This Row],[Mã điểm bán]])</f>
        <v>1</v>
      </c>
    </row>
    <row r="408" spans="1:29" x14ac:dyDescent="0.45">
      <c r="A408" t="s">
        <v>28</v>
      </c>
      <c r="B408">
        <v>2497</v>
      </c>
      <c r="C408" t="s">
        <v>900</v>
      </c>
      <c r="D408" t="s">
        <v>901</v>
      </c>
      <c r="E408" t="s">
        <v>297</v>
      </c>
      <c r="F408" t="s">
        <v>666</v>
      </c>
      <c r="G408" t="s">
        <v>34</v>
      </c>
      <c r="H408" t="s">
        <v>54</v>
      </c>
      <c r="I408" t="s">
        <v>902</v>
      </c>
      <c r="J408" t="s">
        <v>38</v>
      </c>
      <c r="K408" t="s">
        <v>38</v>
      </c>
      <c r="L408" t="s">
        <v>40</v>
      </c>
      <c r="M408" t="s">
        <v>38</v>
      </c>
      <c r="N408" t="s">
        <v>38</v>
      </c>
      <c r="O408" t="s">
        <v>40</v>
      </c>
      <c r="P408" t="s">
        <v>38</v>
      </c>
      <c r="Q408" t="s">
        <v>38</v>
      </c>
      <c r="R408" t="s">
        <v>40</v>
      </c>
      <c r="S408" t="s">
        <v>41</v>
      </c>
      <c r="T408" t="s">
        <v>602</v>
      </c>
      <c r="U408" t="s">
        <v>485</v>
      </c>
      <c r="V408" t="s">
        <v>44</v>
      </c>
      <c r="W408" t="s">
        <v>81</v>
      </c>
      <c r="X408" t="s">
        <v>46</v>
      </c>
      <c r="AC408">
        <f>COUNTIF(C:C,QLKV_gui_ket_qua_ra_soat[[#This Row],[Mã điểm bán]])</f>
        <v>1</v>
      </c>
    </row>
    <row r="409" spans="1:29" x14ac:dyDescent="0.45">
      <c r="A409" t="s">
        <v>28</v>
      </c>
      <c r="B409">
        <v>2577</v>
      </c>
      <c r="C409" t="s">
        <v>951</v>
      </c>
      <c r="D409" t="s">
        <v>952</v>
      </c>
      <c r="E409" t="s">
        <v>69</v>
      </c>
      <c r="F409" t="s">
        <v>53</v>
      </c>
      <c r="G409" t="s">
        <v>34</v>
      </c>
      <c r="H409" t="s">
        <v>54</v>
      </c>
      <c r="I409" t="s">
        <v>953</v>
      </c>
      <c r="J409" t="s">
        <v>37</v>
      </c>
      <c r="K409" t="s">
        <v>38</v>
      </c>
      <c r="L409" t="s">
        <v>40</v>
      </c>
      <c r="M409" t="s">
        <v>56</v>
      </c>
      <c r="N409" t="s">
        <v>56</v>
      </c>
      <c r="O409" t="s">
        <v>39</v>
      </c>
      <c r="P409" t="s">
        <v>38</v>
      </c>
      <c r="Q409" t="s">
        <v>38</v>
      </c>
      <c r="R409" t="s">
        <v>40</v>
      </c>
      <c r="S409" t="s">
        <v>41</v>
      </c>
      <c r="T409" t="s">
        <v>501</v>
      </c>
      <c r="U409" t="s">
        <v>485</v>
      </c>
      <c r="V409" t="s">
        <v>44</v>
      </c>
      <c r="W409" t="s">
        <v>81</v>
      </c>
      <c r="X409" t="s">
        <v>46</v>
      </c>
      <c r="AC409">
        <f>COUNTIF(C:C,QLKV_gui_ket_qua_ra_soat[[#This Row],[Mã điểm bán]])</f>
        <v>1</v>
      </c>
    </row>
    <row r="410" spans="1:29" x14ac:dyDescent="0.45">
      <c r="A410" t="s">
        <v>28</v>
      </c>
      <c r="B410">
        <v>2595</v>
      </c>
      <c r="C410" t="s">
        <v>978</v>
      </c>
      <c r="D410" t="s">
        <v>979</v>
      </c>
      <c r="E410" t="s">
        <v>132</v>
      </c>
      <c r="F410" t="s">
        <v>53</v>
      </c>
      <c r="G410" t="s">
        <v>34</v>
      </c>
      <c r="H410" t="s">
        <v>54</v>
      </c>
      <c r="I410" t="s">
        <v>808</v>
      </c>
      <c r="J410" t="s">
        <v>38</v>
      </c>
      <c r="K410" t="s">
        <v>37</v>
      </c>
      <c r="L410" t="s">
        <v>39</v>
      </c>
      <c r="M410" t="s">
        <v>38</v>
      </c>
      <c r="N410" t="s">
        <v>38</v>
      </c>
      <c r="O410" t="s">
        <v>40</v>
      </c>
      <c r="P410" t="s">
        <v>38</v>
      </c>
      <c r="Q410" t="s">
        <v>37</v>
      </c>
      <c r="R410" t="s">
        <v>40</v>
      </c>
      <c r="S410" t="s">
        <v>41</v>
      </c>
      <c r="T410" t="s">
        <v>438</v>
      </c>
      <c r="U410" t="s">
        <v>80</v>
      </c>
      <c r="V410" t="s">
        <v>44</v>
      </c>
      <c r="W410" t="s">
        <v>81</v>
      </c>
      <c r="X410" t="s">
        <v>46</v>
      </c>
      <c r="AC410">
        <f>COUNTIF(C:C,QLKV_gui_ket_qua_ra_soat[[#This Row],[Mã điểm bán]])</f>
        <v>1</v>
      </c>
    </row>
    <row r="411" spans="1:29" x14ac:dyDescent="0.45">
      <c r="A411" t="s">
        <v>28</v>
      </c>
      <c r="B411">
        <v>2643</v>
      </c>
      <c r="C411" t="s">
        <v>1013</v>
      </c>
      <c r="D411" t="s">
        <v>1014</v>
      </c>
      <c r="E411" t="s">
        <v>1016</v>
      </c>
      <c r="F411" t="s">
        <v>1017</v>
      </c>
      <c r="G411" t="s">
        <v>34</v>
      </c>
      <c r="H411" t="s">
        <v>54</v>
      </c>
      <c r="I411" t="s">
        <v>1018</v>
      </c>
      <c r="J411" t="s">
        <v>38</v>
      </c>
      <c r="K411" t="s">
        <v>38</v>
      </c>
      <c r="L411" t="s">
        <v>40</v>
      </c>
      <c r="M411" t="s">
        <v>38</v>
      </c>
      <c r="N411" t="s">
        <v>56</v>
      </c>
      <c r="O411" t="s">
        <v>39</v>
      </c>
      <c r="P411" t="s">
        <v>38</v>
      </c>
      <c r="Q411" t="s">
        <v>38</v>
      </c>
      <c r="R411" t="s">
        <v>40</v>
      </c>
      <c r="S411" t="s">
        <v>41</v>
      </c>
      <c r="T411" t="s">
        <v>602</v>
      </c>
      <c r="U411" t="s">
        <v>485</v>
      </c>
      <c r="V411" t="s">
        <v>44</v>
      </c>
      <c r="W411" t="s">
        <v>81</v>
      </c>
      <c r="Z411" t="s">
        <v>46</v>
      </c>
      <c r="AA411" t="s">
        <v>486</v>
      </c>
      <c r="AB411" t="s">
        <v>48</v>
      </c>
      <c r="AC411">
        <f>COUNTIF(C:C,QLKV_gui_ket_qua_ra_soat[[#This Row],[Mã điểm bán]])</f>
        <v>1</v>
      </c>
    </row>
    <row r="412" spans="1:29" x14ac:dyDescent="0.45">
      <c r="A412" t="s">
        <v>28</v>
      </c>
      <c r="B412">
        <v>2649</v>
      </c>
      <c r="C412" t="s">
        <v>1027</v>
      </c>
      <c r="D412" t="s">
        <v>1028</v>
      </c>
      <c r="E412" t="s">
        <v>108</v>
      </c>
      <c r="F412" t="s">
        <v>600</v>
      </c>
      <c r="G412" t="s">
        <v>34</v>
      </c>
      <c r="H412" t="s">
        <v>54</v>
      </c>
      <c r="I412" t="s">
        <v>1029</v>
      </c>
      <c r="J412" t="s">
        <v>38</v>
      </c>
      <c r="K412" t="s">
        <v>38</v>
      </c>
      <c r="L412" t="s">
        <v>40</v>
      </c>
      <c r="M412" t="s">
        <v>38</v>
      </c>
      <c r="N412" t="s">
        <v>38</v>
      </c>
      <c r="O412" t="s">
        <v>40</v>
      </c>
      <c r="P412" t="s">
        <v>38</v>
      </c>
      <c r="Q412" t="s">
        <v>38</v>
      </c>
      <c r="R412" t="s">
        <v>40</v>
      </c>
      <c r="S412" t="s">
        <v>41</v>
      </c>
      <c r="T412" t="s">
        <v>602</v>
      </c>
      <c r="U412" t="s">
        <v>485</v>
      </c>
      <c r="V412" t="s">
        <v>44</v>
      </c>
      <c r="W412" t="s">
        <v>81</v>
      </c>
      <c r="X412" t="s">
        <v>46</v>
      </c>
      <c r="AC412">
        <f>COUNTIF(C:C,QLKV_gui_ket_qua_ra_soat[[#This Row],[Mã điểm bán]])</f>
        <v>1</v>
      </c>
    </row>
    <row r="413" spans="1:29" x14ac:dyDescent="0.45">
      <c r="A413" t="s">
        <v>28</v>
      </c>
      <c r="B413">
        <v>2744</v>
      </c>
      <c r="C413" t="s">
        <v>1078</v>
      </c>
      <c r="D413" t="s">
        <v>1079</v>
      </c>
      <c r="E413" t="s">
        <v>69</v>
      </c>
      <c r="F413" t="s">
        <v>53</v>
      </c>
      <c r="G413" t="s">
        <v>150</v>
      </c>
      <c r="H413" t="s">
        <v>54</v>
      </c>
      <c r="I413" t="s">
        <v>1080</v>
      </c>
      <c r="J413" t="s">
        <v>38</v>
      </c>
      <c r="K413" t="s">
        <v>38</v>
      </c>
      <c r="L413" t="s">
        <v>40</v>
      </c>
      <c r="M413" t="s">
        <v>38</v>
      </c>
      <c r="N413" t="s">
        <v>38</v>
      </c>
      <c r="O413" t="s">
        <v>40</v>
      </c>
      <c r="P413" t="s">
        <v>38</v>
      </c>
      <c r="Q413" t="s">
        <v>38</v>
      </c>
      <c r="R413" t="s">
        <v>40</v>
      </c>
      <c r="S413" t="s">
        <v>41</v>
      </c>
      <c r="T413" t="s">
        <v>602</v>
      </c>
      <c r="U413" t="s">
        <v>485</v>
      </c>
      <c r="V413" t="s">
        <v>44</v>
      </c>
      <c r="W413" t="s">
        <v>81</v>
      </c>
      <c r="X413" t="s">
        <v>46</v>
      </c>
      <c r="AC413">
        <f>COUNTIF(C:C,QLKV_gui_ket_qua_ra_soat[[#This Row],[Mã điểm bán]])</f>
        <v>1</v>
      </c>
    </row>
    <row r="414" spans="1:29" x14ac:dyDescent="0.45">
      <c r="A414" t="s">
        <v>28</v>
      </c>
      <c r="B414">
        <v>2796</v>
      </c>
      <c r="C414" t="s">
        <v>1105</v>
      </c>
      <c r="D414" t="s">
        <v>1106</v>
      </c>
      <c r="E414" t="s">
        <v>108</v>
      </c>
      <c r="F414" t="s">
        <v>53</v>
      </c>
      <c r="G414" t="s">
        <v>34</v>
      </c>
      <c r="H414" t="s">
        <v>54</v>
      </c>
      <c r="I414" t="s">
        <v>1107</v>
      </c>
      <c r="J414" t="s">
        <v>37</v>
      </c>
      <c r="K414" t="s">
        <v>38</v>
      </c>
      <c r="L414" t="s">
        <v>39</v>
      </c>
      <c r="M414" t="s">
        <v>37</v>
      </c>
      <c r="N414" t="s">
        <v>37</v>
      </c>
      <c r="O414" t="s">
        <v>39</v>
      </c>
      <c r="P414" t="s">
        <v>38</v>
      </c>
      <c r="Q414" t="s">
        <v>38</v>
      </c>
      <c r="R414" t="s">
        <v>39</v>
      </c>
      <c r="S414" t="s">
        <v>41</v>
      </c>
      <c r="T414" t="s">
        <v>484</v>
      </c>
      <c r="U414" t="s">
        <v>485</v>
      </c>
      <c r="V414" t="s">
        <v>44</v>
      </c>
      <c r="W414" t="s">
        <v>81</v>
      </c>
      <c r="X414" t="s">
        <v>46</v>
      </c>
      <c r="AC414">
        <f>COUNTIF(C:C,QLKV_gui_ket_qua_ra_soat[[#This Row],[Mã điểm bán]])</f>
        <v>1</v>
      </c>
    </row>
    <row r="415" spans="1:29" x14ac:dyDescent="0.45">
      <c r="A415" t="s">
        <v>28</v>
      </c>
      <c r="B415">
        <v>2821</v>
      </c>
      <c r="C415" t="s">
        <v>1127</v>
      </c>
      <c r="D415" t="s">
        <v>1128</v>
      </c>
      <c r="E415" t="s">
        <v>68</v>
      </c>
      <c r="F415" t="s">
        <v>53</v>
      </c>
      <c r="G415" t="s">
        <v>34</v>
      </c>
      <c r="H415" t="s">
        <v>54</v>
      </c>
      <c r="I415" t="s">
        <v>1130</v>
      </c>
      <c r="J415" t="s">
        <v>37</v>
      </c>
      <c r="K415" t="s">
        <v>37</v>
      </c>
      <c r="L415" t="s">
        <v>40</v>
      </c>
      <c r="M415" t="s">
        <v>37</v>
      </c>
      <c r="N415" t="s">
        <v>37</v>
      </c>
      <c r="O415" t="s">
        <v>39</v>
      </c>
      <c r="P415" t="s">
        <v>38</v>
      </c>
      <c r="Q415" t="s">
        <v>38</v>
      </c>
      <c r="R415" t="s">
        <v>40</v>
      </c>
      <c r="S415" t="s">
        <v>41</v>
      </c>
      <c r="T415" t="s">
        <v>501</v>
      </c>
      <c r="U415" t="s">
        <v>485</v>
      </c>
      <c r="V415" t="s">
        <v>44</v>
      </c>
      <c r="W415" t="s">
        <v>81</v>
      </c>
      <c r="X415" t="s">
        <v>46</v>
      </c>
      <c r="AC415">
        <f>COUNTIF(C:C,QLKV_gui_ket_qua_ra_soat[[#This Row],[Mã điểm bán]])</f>
        <v>1</v>
      </c>
    </row>
    <row r="416" spans="1:29" x14ac:dyDescent="0.45">
      <c r="A416" t="s">
        <v>28</v>
      </c>
      <c r="B416">
        <v>2853</v>
      </c>
      <c r="C416" t="s">
        <v>1152</v>
      </c>
      <c r="D416" t="s">
        <v>1153</v>
      </c>
      <c r="E416" t="s">
        <v>1155</v>
      </c>
      <c r="F416" t="s">
        <v>1156</v>
      </c>
      <c r="G416" t="s">
        <v>34</v>
      </c>
      <c r="H416" t="s">
        <v>555</v>
      </c>
      <c r="I416" t="s">
        <v>1157</v>
      </c>
      <c r="J416" t="s">
        <v>56</v>
      </c>
      <c r="K416" t="s">
        <v>37</v>
      </c>
      <c r="L416" t="s">
        <v>39</v>
      </c>
      <c r="M416" t="s">
        <v>37</v>
      </c>
      <c r="N416" t="s">
        <v>56</v>
      </c>
      <c r="O416" t="s">
        <v>39</v>
      </c>
      <c r="P416" t="s">
        <v>38</v>
      </c>
      <c r="Q416" t="s">
        <v>37</v>
      </c>
      <c r="R416" t="s">
        <v>39</v>
      </c>
      <c r="S416" t="s">
        <v>41</v>
      </c>
      <c r="T416" t="s">
        <v>501</v>
      </c>
      <c r="U416" t="s">
        <v>485</v>
      </c>
      <c r="V416" t="s">
        <v>44</v>
      </c>
      <c r="W416" t="s">
        <v>81</v>
      </c>
      <c r="Z416" t="s">
        <v>46</v>
      </c>
      <c r="AA416" t="s">
        <v>486</v>
      </c>
      <c r="AB416" t="s">
        <v>48</v>
      </c>
      <c r="AC416">
        <f>COUNTIF(C:C,QLKV_gui_ket_qua_ra_soat[[#This Row],[Mã điểm bán]])</f>
        <v>1</v>
      </c>
    </row>
    <row r="417" spans="1:29" x14ac:dyDescent="0.45">
      <c r="A417" t="s">
        <v>28</v>
      </c>
      <c r="B417">
        <v>2875</v>
      </c>
      <c r="C417" t="s">
        <v>1170</v>
      </c>
      <c r="D417" t="s">
        <v>1171</v>
      </c>
      <c r="E417" t="s">
        <v>74</v>
      </c>
      <c r="F417" t="s">
        <v>1173</v>
      </c>
      <c r="G417" t="s">
        <v>34</v>
      </c>
      <c r="H417" t="s">
        <v>54</v>
      </c>
      <c r="I417" t="s">
        <v>1174</v>
      </c>
      <c r="J417" t="s">
        <v>37</v>
      </c>
      <c r="K417" t="s">
        <v>37</v>
      </c>
      <c r="L417" t="s">
        <v>40</v>
      </c>
      <c r="M417" t="s">
        <v>56</v>
      </c>
      <c r="N417" t="s">
        <v>56</v>
      </c>
      <c r="O417" t="s">
        <v>39</v>
      </c>
      <c r="P417" t="s">
        <v>38</v>
      </c>
      <c r="Q417" t="s">
        <v>38</v>
      </c>
      <c r="R417" t="s">
        <v>40</v>
      </c>
      <c r="S417" t="s">
        <v>41</v>
      </c>
      <c r="T417" t="s">
        <v>501</v>
      </c>
      <c r="U417" t="s">
        <v>485</v>
      </c>
      <c r="V417" t="s">
        <v>44</v>
      </c>
      <c r="W417" t="s">
        <v>81</v>
      </c>
      <c r="Z417" t="s">
        <v>46</v>
      </c>
      <c r="AA417" t="s">
        <v>486</v>
      </c>
      <c r="AB417" t="s">
        <v>48</v>
      </c>
      <c r="AC417">
        <f>COUNTIF(C:C,QLKV_gui_ket_qua_ra_soat[[#This Row],[Mã điểm bán]])</f>
        <v>1</v>
      </c>
    </row>
    <row r="418" spans="1:29" x14ac:dyDescent="0.45">
      <c r="A418" t="s">
        <v>28</v>
      </c>
      <c r="B418">
        <v>3127</v>
      </c>
      <c r="C418" t="s">
        <v>1312</v>
      </c>
      <c r="D418" t="s">
        <v>1313</v>
      </c>
      <c r="E418" t="s">
        <v>68</v>
      </c>
      <c r="F418" t="s">
        <v>53</v>
      </c>
      <c r="G418" t="s">
        <v>34</v>
      </c>
      <c r="H418" t="s">
        <v>54</v>
      </c>
      <c r="I418" t="s">
        <v>1314</v>
      </c>
      <c r="J418" t="s">
        <v>38</v>
      </c>
      <c r="K418" t="s">
        <v>38</v>
      </c>
      <c r="L418" t="s">
        <v>40</v>
      </c>
      <c r="M418" t="s">
        <v>38</v>
      </c>
      <c r="N418" t="s">
        <v>38</v>
      </c>
      <c r="O418" t="s">
        <v>40</v>
      </c>
      <c r="P418" t="s">
        <v>38</v>
      </c>
      <c r="Q418" t="s">
        <v>37</v>
      </c>
      <c r="R418" t="s">
        <v>39</v>
      </c>
      <c r="S418" t="s">
        <v>41</v>
      </c>
      <c r="T418" t="s">
        <v>438</v>
      </c>
      <c r="U418" t="s">
        <v>80</v>
      </c>
      <c r="V418" t="s">
        <v>44</v>
      </c>
      <c r="W418" t="s">
        <v>81</v>
      </c>
      <c r="X418" t="s">
        <v>46</v>
      </c>
      <c r="AC418">
        <f>COUNTIF(C:C,QLKV_gui_ket_qua_ra_soat[[#This Row],[Mã điểm bán]])</f>
        <v>1</v>
      </c>
    </row>
    <row r="419" spans="1:29" x14ac:dyDescent="0.45">
      <c r="A419" t="s">
        <v>28</v>
      </c>
      <c r="B419">
        <v>3131</v>
      </c>
      <c r="C419" t="s">
        <v>1323</v>
      </c>
      <c r="D419" t="s">
        <v>781</v>
      </c>
      <c r="E419" t="s">
        <v>1324</v>
      </c>
      <c r="F419" t="s">
        <v>653</v>
      </c>
      <c r="G419" t="s">
        <v>34</v>
      </c>
      <c r="H419" t="s">
        <v>54</v>
      </c>
      <c r="I419" t="s">
        <v>1325</v>
      </c>
      <c r="J419" t="s">
        <v>38</v>
      </c>
      <c r="K419" t="s">
        <v>37</v>
      </c>
      <c r="L419" t="s">
        <v>39</v>
      </c>
      <c r="M419" t="s">
        <v>38</v>
      </c>
      <c r="N419" t="s">
        <v>38</v>
      </c>
      <c r="O419" t="s">
        <v>40</v>
      </c>
      <c r="P419" t="s">
        <v>38</v>
      </c>
      <c r="Q419" t="s">
        <v>37</v>
      </c>
      <c r="R419" t="s">
        <v>40</v>
      </c>
      <c r="S419" t="s">
        <v>41</v>
      </c>
      <c r="T419" t="s">
        <v>438</v>
      </c>
      <c r="U419" t="s">
        <v>80</v>
      </c>
      <c r="V419" t="s">
        <v>44</v>
      </c>
      <c r="W419" t="s">
        <v>81</v>
      </c>
      <c r="X419" t="s">
        <v>46</v>
      </c>
      <c r="AC419">
        <f>COUNTIF(C:C,QLKV_gui_ket_qua_ra_soat[[#This Row],[Mã điểm bán]])</f>
        <v>1</v>
      </c>
    </row>
    <row r="420" spans="1:29" x14ac:dyDescent="0.45">
      <c r="A420" t="s">
        <v>28</v>
      </c>
      <c r="B420">
        <v>3135</v>
      </c>
      <c r="C420" t="s">
        <v>1333</v>
      </c>
      <c r="D420" t="s">
        <v>1334</v>
      </c>
      <c r="E420" t="s">
        <v>1335</v>
      </c>
      <c r="F420" t="s">
        <v>1336</v>
      </c>
      <c r="G420" t="s">
        <v>34</v>
      </c>
      <c r="H420" t="s">
        <v>54</v>
      </c>
      <c r="I420" t="s">
        <v>1337</v>
      </c>
      <c r="J420" t="s">
        <v>38</v>
      </c>
      <c r="K420" t="s">
        <v>37</v>
      </c>
      <c r="L420" t="s">
        <v>39</v>
      </c>
      <c r="M420" t="s">
        <v>38</v>
      </c>
      <c r="N420" t="s">
        <v>38</v>
      </c>
      <c r="O420" t="s">
        <v>40</v>
      </c>
      <c r="P420" t="s">
        <v>38</v>
      </c>
      <c r="Q420" t="s">
        <v>37</v>
      </c>
      <c r="R420" t="s">
        <v>40</v>
      </c>
      <c r="S420" t="s">
        <v>41</v>
      </c>
      <c r="T420" t="s">
        <v>438</v>
      </c>
      <c r="U420" t="s">
        <v>80</v>
      </c>
      <c r="V420" t="s">
        <v>44</v>
      </c>
      <c r="W420" t="s">
        <v>81</v>
      </c>
      <c r="X420" t="s">
        <v>46</v>
      </c>
      <c r="AC420">
        <f>COUNTIF(C:C,QLKV_gui_ket_qua_ra_soat[[#This Row],[Mã điểm bán]])</f>
        <v>1</v>
      </c>
    </row>
    <row r="421" spans="1:29" x14ac:dyDescent="0.45">
      <c r="A421" t="s">
        <v>28</v>
      </c>
      <c r="B421">
        <v>3143</v>
      </c>
      <c r="C421" t="s">
        <v>1354</v>
      </c>
      <c r="D421" t="s">
        <v>1355</v>
      </c>
      <c r="E421" t="s">
        <v>1356</v>
      </c>
      <c r="F421" t="s">
        <v>53</v>
      </c>
      <c r="G421" t="s">
        <v>34</v>
      </c>
      <c r="H421" t="s">
        <v>54</v>
      </c>
      <c r="I421" t="s">
        <v>1357</v>
      </c>
      <c r="J421" t="s">
        <v>38</v>
      </c>
      <c r="K421" t="s">
        <v>37</v>
      </c>
      <c r="L421" t="s">
        <v>40</v>
      </c>
      <c r="M421" t="s">
        <v>38</v>
      </c>
      <c r="N421" t="s">
        <v>38</v>
      </c>
      <c r="O421" t="s">
        <v>39</v>
      </c>
      <c r="P421" t="s">
        <v>38</v>
      </c>
      <c r="Q421" t="s">
        <v>37</v>
      </c>
      <c r="R421" t="s">
        <v>39</v>
      </c>
      <c r="S421" t="s">
        <v>41</v>
      </c>
      <c r="T421" t="s">
        <v>438</v>
      </c>
      <c r="U421" t="s">
        <v>80</v>
      </c>
      <c r="V421" t="s">
        <v>44</v>
      </c>
      <c r="W421" t="s">
        <v>81</v>
      </c>
      <c r="X421" t="s">
        <v>46</v>
      </c>
      <c r="AC421">
        <f>COUNTIF(C:C,QLKV_gui_ket_qua_ra_soat[[#This Row],[Mã điểm bán]])</f>
        <v>1</v>
      </c>
    </row>
    <row r="422" spans="1:29" x14ac:dyDescent="0.45">
      <c r="A422" t="s">
        <v>28</v>
      </c>
      <c r="B422">
        <v>3153</v>
      </c>
      <c r="C422" t="s">
        <v>1367</v>
      </c>
      <c r="D422" t="s">
        <v>1368</v>
      </c>
      <c r="E422" t="s">
        <v>108</v>
      </c>
      <c r="F422" t="s">
        <v>53</v>
      </c>
      <c r="G422" t="s">
        <v>34</v>
      </c>
      <c r="H422" t="s">
        <v>54</v>
      </c>
      <c r="I422" t="s">
        <v>1369</v>
      </c>
      <c r="J422" t="s">
        <v>38</v>
      </c>
      <c r="K422" t="s">
        <v>38</v>
      </c>
      <c r="L422" t="s">
        <v>40</v>
      </c>
      <c r="M422" t="s">
        <v>38</v>
      </c>
      <c r="N422" t="s">
        <v>38</v>
      </c>
      <c r="O422" t="s">
        <v>40</v>
      </c>
      <c r="P422" t="s">
        <v>38</v>
      </c>
      <c r="Q422" t="s">
        <v>38</v>
      </c>
      <c r="R422" t="s">
        <v>40</v>
      </c>
      <c r="S422" t="s">
        <v>41</v>
      </c>
      <c r="T422" t="s">
        <v>602</v>
      </c>
      <c r="U422" t="s">
        <v>485</v>
      </c>
      <c r="V422" t="s">
        <v>44</v>
      </c>
      <c r="W422" t="s">
        <v>81</v>
      </c>
      <c r="Z422" t="s">
        <v>46</v>
      </c>
      <c r="AA422" t="s">
        <v>486</v>
      </c>
      <c r="AB422" t="s">
        <v>48</v>
      </c>
      <c r="AC422">
        <f>COUNTIF(C:C,QLKV_gui_ket_qua_ra_soat[[#This Row],[Mã điểm bán]])</f>
        <v>1</v>
      </c>
    </row>
    <row r="423" spans="1:29" x14ac:dyDescent="0.45">
      <c r="A423" t="s">
        <v>28</v>
      </c>
      <c r="B423">
        <v>3164</v>
      </c>
      <c r="C423" t="s">
        <v>1370</v>
      </c>
      <c r="D423" t="s">
        <v>1371</v>
      </c>
      <c r="E423" t="s">
        <v>1373</v>
      </c>
      <c r="F423" t="s">
        <v>1374</v>
      </c>
      <c r="G423" t="s">
        <v>34</v>
      </c>
      <c r="H423" t="s">
        <v>620</v>
      </c>
      <c r="I423" t="s">
        <v>1375</v>
      </c>
      <c r="J423" t="s">
        <v>38</v>
      </c>
      <c r="K423" t="s">
        <v>38</v>
      </c>
      <c r="L423" t="s">
        <v>40</v>
      </c>
      <c r="M423" t="s">
        <v>38</v>
      </c>
      <c r="N423" t="s">
        <v>38</v>
      </c>
      <c r="O423" t="s">
        <v>40</v>
      </c>
      <c r="P423" t="s">
        <v>38</v>
      </c>
      <c r="Q423" t="s">
        <v>38</v>
      </c>
      <c r="R423" t="s">
        <v>40</v>
      </c>
      <c r="S423" t="s">
        <v>41</v>
      </c>
      <c r="T423" t="s">
        <v>602</v>
      </c>
      <c r="U423" t="s">
        <v>485</v>
      </c>
      <c r="V423" t="s">
        <v>44</v>
      </c>
      <c r="W423" t="s">
        <v>81</v>
      </c>
      <c r="Z423" t="s">
        <v>46</v>
      </c>
      <c r="AA423" t="s">
        <v>486</v>
      </c>
      <c r="AB423" t="s">
        <v>48</v>
      </c>
      <c r="AC423">
        <f>COUNTIF(C:C,QLKV_gui_ket_qua_ra_soat[[#This Row],[Mã điểm bán]])</f>
        <v>1</v>
      </c>
    </row>
    <row r="424" spans="1:29" x14ac:dyDescent="0.45">
      <c r="A424" t="s">
        <v>28</v>
      </c>
      <c r="B424">
        <v>3208</v>
      </c>
      <c r="C424" t="s">
        <v>1421</v>
      </c>
      <c r="D424" t="s">
        <v>1422</v>
      </c>
      <c r="E424" t="s">
        <v>376</v>
      </c>
      <c r="F424" t="s">
        <v>1423</v>
      </c>
      <c r="G424" t="s">
        <v>34</v>
      </c>
      <c r="H424" t="s">
        <v>54</v>
      </c>
      <c r="I424" t="s">
        <v>1424</v>
      </c>
      <c r="J424" t="s">
        <v>37</v>
      </c>
      <c r="K424" t="s">
        <v>37</v>
      </c>
      <c r="L424" t="s">
        <v>40</v>
      </c>
      <c r="M424" t="s">
        <v>38</v>
      </c>
      <c r="N424" t="s">
        <v>56</v>
      </c>
      <c r="O424" t="s">
        <v>40</v>
      </c>
      <c r="P424" t="s">
        <v>38</v>
      </c>
      <c r="Q424" t="s">
        <v>37</v>
      </c>
      <c r="R424" t="s">
        <v>40</v>
      </c>
      <c r="S424" t="s">
        <v>41</v>
      </c>
      <c r="T424" t="s">
        <v>501</v>
      </c>
      <c r="U424" t="s">
        <v>485</v>
      </c>
      <c r="V424" t="s">
        <v>44</v>
      </c>
      <c r="W424" t="s">
        <v>81</v>
      </c>
      <c r="Z424" t="s">
        <v>46</v>
      </c>
      <c r="AA424" t="s">
        <v>486</v>
      </c>
      <c r="AB424" t="s">
        <v>48</v>
      </c>
      <c r="AC424">
        <f>COUNTIF(C:C,QLKV_gui_ket_qua_ra_soat[[#This Row],[Mã điểm bán]])</f>
        <v>1</v>
      </c>
    </row>
    <row r="425" spans="1:29" x14ac:dyDescent="0.45">
      <c r="A425" t="s">
        <v>28</v>
      </c>
      <c r="B425">
        <v>3216</v>
      </c>
      <c r="C425" t="s">
        <v>1434</v>
      </c>
      <c r="D425" t="s">
        <v>1435</v>
      </c>
      <c r="E425" t="s">
        <v>1436</v>
      </c>
      <c r="F425" t="s">
        <v>70</v>
      </c>
      <c r="G425" t="s">
        <v>34</v>
      </c>
      <c r="H425" t="s">
        <v>54</v>
      </c>
      <c r="I425" t="s">
        <v>1437</v>
      </c>
      <c r="J425" t="s">
        <v>37</v>
      </c>
      <c r="K425" t="s">
        <v>37</v>
      </c>
      <c r="L425" t="s">
        <v>39</v>
      </c>
      <c r="M425" t="s">
        <v>37</v>
      </c>
      <c r="N425" t="s">
        <v>56</v>
      </c>
      <c r="O425" t="s">
        <v>39</v>
      </c>
      <c r="P425" t="s">
        <v>38</v>
      </c>
      <c r="Q425" t="s">
        <v>38</v>
      </c>
      <c r="R425" t="s">
        <v>40</v>
      </c>
      <c r="S425" t="s">
        <v>41</v>
      </c>
      <c r="T425" t="s">
        <v>501</v>
      </c>
      <c r="U425" t="s">
        <v>485</v>
      </c>
      <c r="V425" t="s">
        <v>44</v>
      </c>
      <c r="W425" t="s">
        <v>81</v>
      </c>
      <c r="Z425" t="s">
        <v>46</v>
      </c>
      <c r="AA425" t="s">
        <v>486</v>
      </c>
      <c r="AB425" t="s">
        <v>48</v>
      </c>
      <c r="AC425">
        <f>COUNTIF(C:C,QLKV_gui_ket_qua_ra_soat[[#This Row],[Mã điểm bán]])</f>
        <v>1</v>
      </c>
    </row>
    <row r="426" spans="1:29" x14ac:dyDescent="0.45">
      <c r="A426" t="s">
        <v>28</v>
      </c>
      <c r="B426">
        <v>3217</v>
      </c>
      <c r="C426" t="s">
        <v>1438</v>
      </c>
      <c r="D426" t="s">
        <v>1439</v>
      </c>
      <c r="E426" t="s">
        <v>148</v>
      </c>
      <c r="F426" t="s">
        <v>441</v>
      </c>
      <c r="G426" t="s">
        <v>34</v>
      </c>
      <c r="H426" t="s">
        <v>171</v>
      </c>
      <c r="I426" t="s">
        <v>1440</v>
      </c>
      <c r="J426" t="s">
        <v>38</v>
      </c>
      <c r="K426" t="s">
        <v>37</v>
      </c>
      <c r="L426" t="s">
        <v>39</v>
      </c>
      <c r="M426" t="s">
        <v>38</v>
      </c>
      <c r="N426" t="s">
        <v>38</v>
      </c>
      <c r="O426" t="s">
        <v>40</v>
      </c>
      <c r="P426" t="s">
        <v>38</v>
      </c>
      <c r="Q426" t="s">
        <v>37</v>
      </c>
      <c r="R426" t="s">
        <v>40</v>
      </c>
      <c r="S426" t="s">
        <v>41</v>
      </c>
      <c r="T426" t="s">
        <v>438</v>
      </c>
      <c r="U426" t="s">
        <v>80</v>
      </c>
      <c r="V426" t="s">
        <v>44</v>
      </c>
      <c r="W426" t="s">
        <v>81</v>
      </c>
      <c r="Z426" t="s">
        <v>46</v>
      </c>
      <c r="AA426" t="s">
        <v>82</v>
      </c>
      <c r="AB426" t="s">
        <v>83</v>
      </c>
      <c r="AC426">
        <f>COUNTIF(C:C,QLKV_gui_ket_qua_ra_soat[[#This Row],[Mã điểm bán]])</f>
        <v>1</v>
      </c>
    </row>
    <row r="427" spans="1:29" x14ac:dyDescent="0.45">
      <c r="A427" t="s">
        <v>28</v>
      </c>
      <c r="B427">
        <v>3218</v>
      </c>
      <c r="C427" t="s">
        <v>1441</v>
      </c>
      <c r="D427" t="s">
        <v>1442</v>
      </c>
      <c r="E427" t="s">
        <v>1444</v>
      </c>
      <c r="F427" t="s">
        <v>1445</v>
      </c>
      <c r="G427" t="s">
        <v>34</v>
      </c>
      <c r="H427" t="s">
        <v>834</v>
      </c>
      <c r="I427" t="s">
        <v>1446</v>
      </c>
      <c r="J427" t="s">
        <v>38</v>
      </c>
      <c r="K427" t="s">
        <v>38</v>
      </c>
      <c r="L427" t="s">
        <v>40</v>
      </c>
      <c r="M427" t="s">
        <v>37</v>
      </c>
      <c r="N427" t="s">
        <v>38</v>
      </c>
      <c r="O427" t="s">
        <v>39</v>
      </c>
      <c r="P427" t="s">
        <v>38</v>
      </c>
      <c r="Q427" t="s">
        <v>38</v>
      </c>
      <c r="R427" t="s">
        <v>40</v>
      </c>
      <c r="S427" t="s">
        <v>41</v>
      </c>
      <c r="T427" t="s">
        <v>79</v>
      </c>
      <c r="U427" t="s">
        <v>80</v>
      </c>
      <c r="V427" t="s">
        <v>44</v>
      </c>
      <c r="W427" t="s">
        <v>81</v>
      </c>
      <c r="Z427" t="s">
        <v>46</v>
      </c>
      <c r="AA427" t="s">
        <v>82</v>
      </c>
      <c r="AB427" t="s">
        <v>83</v>
      </c>
      <c r="AC427">
        <f>COUNTIF(C:C,QLKV_gui_ket_qua_ra_soat[[#This Row],[Mã điểm bán]])</f>
        <v>1</v>
      </c>
    </row>
    <row r="428" spans="1:29" x14ac:dyDescent="0.45">
      <c r="A428" t="s">
        <v>28</v>
      </c>
      <c r="B428">
        <v>3219</v>
      </c>
      <c r="C428" t="s">
        <v>1447</v>
      </c>
      <c r="D428" t="s">
        <v>1448</v>
      </c>
      <c r="E428" t="s">
        <v>1449</v>
      </c>
      <c r="F428" t="s">
        <v>1450</v>
      </c>
      <c r="G428" t="s">
        <v>34</v>
      </c>
      <c r="H428" t="s">
        <v>54</v>
      </c>
      <c r="I428" t="s">
        <v>1451</v>
      </c>
      <c r="J428" t="s">
        <v>38</v>
      </c>
      <c r="K428" t="s">
        <v>38</v>
      </c>
      <c r="L428" t="s">
        <v>40</v>
      </c>
      <c r="M428" t="s">
        <v>56</v>
      </c>
      <c r="N428" t="s">
        <v>56</v>
      </c>
      <c r="O428" t="s">
        <v>39</v>
      </c>
      <c r="P428" t="s">
        <v>38</v>
      </c>
      <c r="Q428" t="s">
        <v>38</v>
      </c>
      <c r="R428" t="s">
        <v>40</v>
      </c>
      <c r="S428" t="s">
        <v>1452</v>
      </c>
      <c r="T428" t="s">
        <v>79</v>
      </c>
      <c r="U428" t="s">
        <v>80</v>
      </c>
      <c r="V428" t="s">
        <v>44</v>
      </c>
      <c r="W428" t="s">
        <v>81</v>
      </c>
      <c r="Z428" t="s">
        <v>46</v>
      </c>
      <c r="AA428" t="s">
        <v>82</v>
      </c>
      <c r="AB428" t="s">
        <v>83</v>
      </c>
      <c r="AC428">
        <f>COUNTIF(C:C,QLKV_gui_ket_qua_ra_soat[[#This Row],[Mã điểm bán]])</f>
        <v>1</v>
      </c>
    </row>
    <row r="429" spans="1:29" x14ac:dyDescent="0.45">
      <c r="A429" t="s">
        <v>28</v>
      </c>
      <c r="B429">
        <v>3220</v>
      </c>
      <c r="C429" t="s">
        <v>1453</v>
      </c>
      <c r="D429" t="s">
        <v>881</v>
      </c>
      <c r="E429" t="s">
        <v>138</v>
      </c>
      <c r="F429" t="s">
        <v>1454</v>
      </c>
      <c r="G429" t="s">
        <v>34</v>
      </c>
      <c r="H429" t="s">
        <v>35</v>
      </c>
      <c r="I429" t="s">
        <v>1455</v>
      </c>
      <c r="J429" t="s">
        <v>38</v>
      </c>
      <c r="K429" t="s">
        <v>38</v>
      </c>
      <c r="L429" t="s">
        <v>39</v>
      </c>
      <c r="M429" t="s">
        <v>38</v>
      </c>
      <c r="N429" t="s">
        <v>38</v>
      </c>
      <c r="O429" t="s">
        <v>40</v>
      </c>
      <c r="P429" t="s">
        <v>38</v>
      </c>
      <c r="Q429" t="s">
        <v>38</v>
      </c>
      <c r="R429" t="s">
        <v>40</v>
      </c>
      <c r="S429" t="s">
        <v>41</v>
      </c>
      <c r="T429" t="s">
        <v>438</v>
      </c>
      <c r="U429" t="s">
        <v>80</v>
      </c>
      <c r="V429" t="s">
        <v>44</v>
      </c>
      <c r="W429" t="s">
        <v>81</v>
      </c>
      <c r="Z429" t="s">
        <v>46</v>
      </c>
      <c r="AA429" t="s">
        <v>82</v>
      </c>
      <c r="AB429" t="s">
        <v>83</v>
      </c>
      <c r="AC429">
        <f>COUNTIF(C:C,QLKV_gui_ket_qua_ra_soat[[#This Row],[Mã điểm bán]])</f>
        <v>1</v>
      </c>
    </row>
    <row r="430" spans="1:29" x14ac:dyDescent="0.45">
      <c r="A430" t="s">
        <v>28</v>
      </c>
      <c r="B430">
        <v>3222</v>
      </c>
      <c r="C430" t="s">
        <v>1461</v>
      </c>
      <c r="D430" t="s">
        <v>1462</v>
      </c>
      <c r="E430" t="s">
        <v>1463</v>
      </c>
      <c r="F430" t="s">
        <v>1464</v>
      </c>
      <c r="G430" t="s">
        <v>34</v>
      </c>
      <c r="H430" t="s">
        <v>133</v>
      </c>
      <c r="I430" t="s">
        <v>1465</v>
      </c>
      <c r="J430" t="s">
        <v>38</v>
      </c>
      <c r="K430" t="s">
        <v>38</v>
      </c>
      <c r="L430" t="s">
        <v>40</v>
      </c>
      <c r="M430" t="s">
        <v>38</v>
      </c>
      <c r="N430" t="s">
        <v>56</v>
      </c>
      <c r="O430" t="s">
        <v>39</v>
      </c>
      <c r="P430" t="s">
        <v>38</v>
      </c>
      <c r="Q430" t="s">
        <v>38</v>
      </c>
      <c r="R430" t="s">
        <v>40</v>
      </c>
      <c r="S430" t="s">
        <v>41</v>
      </c>
      <c r="T430" t="s">
        <v>602</v>
      </c>
      <c r="U430" t="s">
        <v>485</v>
      </c>
      <c r="V430" t="s">
        <v>44</v>
      </c>
      <c r="W430" t="s">
        <v>81</v>
      </c>
      <c r="Z430" t="s">
        <v>46</v>
      </c>
      <c r="AA430" t="s">
        <v>486</v>
      </c>
      <c r="AB430" t="s">
        <v>48</v>
      </c>
      <c r="AC430">
        <f>COUNTIF(C:C,QLKV_gui_ket_qua_ra_soat[[#This Row],[Mã điểm bán]])</f>
        <v>1</v>
      </c>
    </row>
    <row r="431" spans="1:29" x14ac:dyDescent="0.45">
      <c r="A431" t="s">
        <v>28</v>
      </c>
      <c r="B431">
        <v>3231</v>
      </c>
      <c r="C431" t="s">
        <v>1479</v>
      </c>
      <c r="D431" t="s">
        <v>1480</v>
      </c>
      <c r="E431" t="s">
        <v>1481</v>
      </c>
      <c r="F431" t="s">
        <v>1482</v>
      </c>
      <c r="G431" t="s">
        <v>34</v>
      </c>
      <c r="H431" t="s">
        <v>1483</v>
      </c>
      <c r="I431" t="s">
        <v>1484</v>
      </c>
      <c r="J431" t="s">
        <v>38</v>
      </c>
      <c r="K431" t="s">
        <v>38</v>
      </c>
      <c r="L431" t="s">
        <v>40</v>
      </c>
      <c r="M431" t="s">
        <v>38</v>
      </c>
      <c r="N431" t="s">
        <v>56</v>
      </c>
      <c r="O431" t="s">
        <v>39</v>
      </c>
      <c r="P431" t="s">
        <v>38</v>
      </c>
      <c r="Q431" t="s">
        <v>38</v>
      </c>
      <c r="R431" t="s">
        <v>40</v>
      </c>
      <c r="S431" t="s">
        <v>41</v>
      </c>
      <c r="T431" t="s">
        <v>79</v>
      </c>
      <c r="U431" t="s">
        <v>80</v>
      </c>
      <c r="V431" t="s">
        <v>44</v>
      </c>
      <c r="W431" t="s">
        <v>81</v>
      </c>
      <c r="Z431" t="s">
        <v>46</v>
      </c>
      <c r="AA431" t="s">
        <v>82</v>
      </c>
      <c r="AB431" t="s">
        <v>83</v>
      </c>
      <c r="AC431">
        <f>COUNTIF(C:C,QLKV_gui_ket_qua_ra_soat[[#This Row],[Mã điểm bán]])</f>
        <v>1</v>
      </c>
    </row>
    <row r="432" spans="1:29" x14ac:dyDescent="0.45">
      <c r="A432" t="s">
        <v>28</v>
      </c>
      <c r="B432">
        <v>3237</v>
      </c>
      <c r="C432" t="s">
        <v>1485</v>
      </c>
      <c r="D432" t="s">
        <v>1486</v>
      </c>
      <c r="E432" t="s">
        <v>1487</v>
      </c>
      <c r="F432" t="s">
        <v>1488</v>
      </c>
      <c r="G432" t="s">
        <v>34</v>
      </c>
      <c r="H432" t="s">
        <v>1483</v>
      </c>
      <c r="I432" t="s">
        <v>1489</v>
      </c>
      <c r="J432" t="s">
        <v>38</v>
      </c>
      <c r="K432" t="s">
        <v>38</v>
      </c>
      <c r="L432" t="s">
        <v>40</v>
      </c>
      <c r="M432" t="s">
        <v>37</v>
      </c>
      <c r="N432" t="s">
        <v>38</v>
      </c>
      <c r="O432" t="s">
        <v>40</v>
      </c>
      <c r="P432" t="s">
        <v>38</v>
      </c>
      <c r="Q432" t="s">
        <v>38</v>
      </c>
      <c r="R432" t="s">
        <v>40</v>
      </c>
      <c r="S432" t="s">
        <v>41</v>
      </c>
      <c r="T432" t="s">
        <v>79</v>
      </c>
      <c r="U432" t="s">
        <v>80</v>
      </c>
      <c r="V432" t="s">
        <v>44</v>
      </c>
      <c r="W432" t="s">
        <v>81</v>
      </c>
      <c r="Z432" t="s">
        <v>46</v>
      </c>
      <c r="AA432" t="s">
        <v>82</v>
      </c>
      <c r="AB432" t="s">
        <v>83</v>
      </c>
      <c r="AC432">
        <f>COUNTIF(C:C,QLKV_gui_ket_qua_ra_soat[[#This Row],[Mã điểm bán]])</f>
        <v>1</v>
      </c>
    </row>
    <row r="433" spans="1:29" x14ac:dyDescent="0.45">
      <c r="A433" t="s">
        <v>28</v>
      </c>
      <c r="B433">
        <v>3242</v>
      </c>
      <c r="C433" t="s">
        <v>1501</v>
      </c>
      <c r="D433" t="s">
        <v>1502</v>
      </c>
      <c r="E433" t="s">
        <v>1503</v>
      </c>
      <c r="F433" t="s">
        <v>1504</v>
      </c>
      <c r="G433" t="s">
        <v>34</v>
      </c>
      <c r="H433" t="s">
        <v>565</v>
      </c>
      <c r="I433" t="s">
        <v>1505</v>
      </c>
      <c r="J433" t="s">
        <v>38</v>
      </c>
      <c r="K433" t="s">
        <v>38</v>
      </c>
      <c r="L433" t="s">
        <v>40</v>
      </c>
      <c r="M433" t="s">
        <v>38</v>
      </c>
      <c r="N433" t="s">
        <v>38</v>
      </c>
      <c r="O433" t="s">
        <v>40</v>
      </c>
      <c r="P433" t="s">
        <v>38</v>
      </c>
      <c r="Q433" t="s">
        <v>38</v>
      </c>
      <c r="R433" t="s">
        <v>40</v>
      </c>
      <c r="S433" t="s">
        <v>41</v>
      </c>
      <c r="T433" t="s">
        <v>79</v>
      </c>
      <c r="U433" t="s">
        <v>80</v>
      </c>
      <c r="V433" t="s">
        <v>44</v>
      </c>
      <c r="W433" t="s">
        <v>81</v>
      </c>
      <c r="Z433" t="s">
        <v>46</v>
      </c>
      <c r="AA433" t="s">
        <v>82</v>
      </c>
      <c r="AB433" t="s">
        <v>83</v>
      </c>
      <c r="AC433">
        <f>COUNTIF(C:C,QLKV_gui_ket_qua_ra_soat[[#This Row],[Mã điểm bán]])</f>
        <v>1</v>
      </c>
    </row>
    <row r="434" spans="1:29" x14ac:dyDescent="0.45">
      <c r="A434" t="s">
        <v>28</v>
      </c>
      <c r="B434">
        <v>3255</v>
      </c>
      <c r="C434" t="s">
        <v>1517</v>
      </c>
      <c r="D434" t="s">
        <v>1518</v>
      </c>
      <c r="E434" t="s">
        <v>1519</v>
      </c>
      <c r="F434" t="s">
        <v>1520</v>
      </c>
      <c r="G434" t="s">
        <v>177</v>
      </c>
      <c r="H434" t="s">
        <v>917</v>
      </c>
      <c r="I434" t="s">
        <v>1521</v>
      </c>
      <c r="J434" t="s">
        <v>38</v>
      </c>
      <c r="K434" t="s">
        <v>38</v>
      </c>
      <c r="L434" t="s">
        <v>40</v>
      </c>
      <c r="M434" t="s">
        <v>56</v>
      </c>
      <c r="N434" t="s">
        <v>38</v>
      </c>
      <c r="O434" t="s">
        <v>39</v>
      </c>
      <c r="P434" t="s">
        <v>38</v>
      </c>
      <c r="Q434" t="s">
        <v>38</v>
      </c>
      <c r="R434" t="s">
        <v>40</v>
      </c>
      <c r="S434" t="s">
        <v>1522</v>
      </c>
      <c r="T434" t="s">
        <v>79</v>
      </c>
      <c r="U434" t="s">
        <v>80</v>
      </c>
      <c r="V434" t="s">
        <v>44</v>
      </c>
      <c r="W434" t="s">
        <v>81</v>
      </c>
      <c r="Z434" t="s">
        <v>46</v>
      </c>
      <c r="AA434" t="s">
        <v>82</v>
      </c>
      <c r="AB434" t="s">
        <v>83</v>
      </c>
      <c r="AC434">
        <f>COUNTIF(C:C,QLKV_gui_ket_qua_ra_soat[[#This Row],[Mã điểm bán]])</f>
        <v>1</v>
      </c>
    </row>
    <row r="435" spans="1:29" x14ac:dyDescent="0.45">
      <c r="A435" t="s">
        <v>28</v>
      </c>
      <c r="B435">
        <v>3256</v>
      </c>
      <c r="C435" t="s">
        <v>1523</v>
      </c>
      <c r="D435" t="s">
        <v>1524</v>
      </c>
      <c r="E435" t="s">
        <v>108</v>
      </c>
      <c r="F435" t="s">
        <v>53</v>
      </c>
      <c r="G435" t="s">
        <v>34</v>
      </c>
      <c r="H435" t="s">
        <v>620</v>
      </c>
      <c r="I435" t="s">
        <v>1525</v>
      </c>
      <c r="J435" t="s">
        <v>38</v>
      </c>
      <c r="K435" t="s">
        <v>38</v>
      </c>
      <c r="L435" t="s">
        <v>40</v>
      </c>
      <c r="M435" t="s">
        <v>38</v>
      </c>
      <c r="N435" t="s">
        <v>38</v>
      </c>
      <c r="O435" t="s">
        <v>40</v>
      </c>
      <c r="P435" t="s">
        <v>38</v>
      </c>
      <c r="Q435" t="s">
        <v>38</v>
      </c>
      <c r="R435" t="s">
        <v>40</v>
      </c>
      <c r="S435" t="s">
        <v>41</v>
      </c>
      <c r="T435" t="s">
        <v>602</v>
      </c>
      <c r="U435" t="s">
        <v>485</v>
      </c>
      <c r="V435" t="s">
        <v>44</v>
      </c>
      <c r="W435" t="s">
        <v>81</v>
      </c>
      <c r="X435" t="s">
        <v>46</v>
      </c>
      <c r="AC435">
        <f>COUNTIF(C:C,QLKV_gui_ket_qua_ra_soat[[#This Row],[Mã điểm bán]])</f>
        <v>1</v>
      </c>
    </row>
    <row r="436" spans="1:29" x14ac:dyDescent="0.45">
      <c r="A436" t="s">
        <v>28</v>
      </c>
      <c r="B436">
        <v>3267</v>
      </c>
      <c r="C436" t="s">
        <v>1538</v>
      </c>
      <c r="D436" t="s">
        <v>1539</v>
      </c>
      <c r="E436" t="s">
        <v>1540</v>
      </c>
      <c r="F436" t="s">
        <v>1541</v>
      </c>
      <c r="G436" t="s">
        <v>34</v>
      </c>
      <c r="H436" t="s">
        <v>1542</v>
      </c>
      <c r="I436" t="s">
        <v>1543</v>
      </c>
      <c r="J436" t="s">
        <v>38</v>
      </c>
      <c r="K436" t="s">
        <v>38</v>
      </c>
      <c r="L436" t="s">
        <v>40</v>
      </c>
      <c r="M436" t="s">
        <v>38</v>
      </c>
      <c r="N436" t="s">
        <v>38</v>
      </c>
      <c r="O436" t="s">
        <v>40</v>
      </c>
      <c r="P436" t="s">
        <v>38</v>
      </c>
      <c r="Q436" t="s">
        <v>38</v>
      </c>
      <c r="R436" t="s">
        <v>40</v>
      </c>
      <c r="S436" t="s">
        <v>41</v>
      </c>
      <c r="T436" t="s">
        <v>602</v>
      </c>
      <c r="U436" t="s">
        <v>485</v>
      </c>
      <c r="V436" t="s">
        <v>44</v>
      </c>
      <c r="W436" t="s">
        <v>81</v>
      </c>
      <c r="X436" t="s">
        <v>46</v>
      </c>
      <c r="AC436">
        <f>COUNTIF(C:C,QLKV_gui_ket_qua_ra_soat[[#This Row],[Mã điểm bán]])</f>
        <v>1</v>
      </c>
    </row>
    <row r="437" spans="1:29" x14ac:dyDescent="0.45">
      <c r="A437" t="s">
        <v>28</v>
      </c>
      <c r="B437">
        <v>3276</v>
      </c>
      <c r="C437" t="s">
        <v>1552</v>
      </c>
      <c r="D437" t="s">
        <v>1553</v>
      </c>
      <c r="E437" t="s">
        <v>1555</v>
      </c>
      <c r="F437" t="s">
        <v>653</v>
      </c>
      <c r="G437" t="s">
        <v>34</v>
      </c>
      <c r="H437" t="s">
        <v>842</v>
      </c>
      <c r="I437" t="s">
        <v>1556</v>
      </c>
      <c r="J437" t="s">
        <v>38</v>
      </c>
      <c r="K437" t="s">
        <v>38</v>
      </c>
      <c r="L437" t="s">
        <v>40</v>
      </c>
      <c r="M437" t="s">
        <v>38</v>
      </c>
      <c r="N437" t="s">
        <v>37</v>
      </c>
      <c r="O437" t="s">
        <v>39</v>
      </c>
      <c r="P437" t="s">
        <v>38</v>
      </c>
      <c r="Q437" t="s">
        <v>38</v>
      </c>
      <c r="R437" t="s">
        <v>40</v>
      </c>
      <c r="S437" t="s">
        <v>1557</v>
      </c>
      <c r="T437" t="s">
        <v>103</v>
      </c>
      <c r="U437" t="s">
        <v>104</v>
      </c>
      <c r="V437" t="s">
        <v>44</v>
      </c>
      <c r="W437" t="s">
        <v>105</v>
      </c>
      <c r="Z437" t="s">
        <v>46</v>
      </c>
      <c r="AA437" t="s">
        <v>47</v>
      </c>
      <c r="AB437" t="s">
        <v>48</v>
      </c>
      <c r="AC437">
        <f>COUNTIF(C:C,QLKV_gui_ket_qua_ra_soat[[#This Row],[Mã điểm bán]])</f>
        <v>1</v>
      </c>
    </row>
    <row r="438" spans="1:29" x14ac:dyDescent="0.45">
      <c r="A438" t="s">
        <v>28</v>
      </c>
      <c r="B438">
        <v>3280</v>
      </c>
      <c r="C438" t="s">
        <v>1558</v>
      </c>
      <c r="D438" t="s">
        <v>1559</v>
      </c>
      <c r="E438" t="s">
        <v>1560</v>
      </c>
      <c r="F438" t="s">
        <v>1561</v>
      </c>
      <c r="G438" t="s">
        <v>177</v>
      </c>
      <c r="H438" t="s">
        <v>1188</v>
      </c>
      <c r="I438" t="s">
        <v>1562</v>
      </c>
      <c r="J438" t="s">
        <v>38</v>
      </c>
      <c r="K438" t="s">
        <v>38</v>
      </c>
      <c r="L438" t="s">
        <v>40</v>
      </c>
      <c r="M438" t="s">
        <v>37</v>
      </c>
      <c r="N438" t="s">
        <v>38</v>
      </c>
      <c r="O438" t="s">
        <v>39</v>
      </c>
      <c r="P438" t="s">
        <v>38</v>
      </c>
      <c r="Q438" t="s">
        <v>38</v>
      </c>
      <c r="R438" t="s">
        <v>40</v>
      </c>
      <c r="S438" t="s">
        <v>41</v>
      </c>
      <c r="T438" t="s">
        <v>79</v>
      </c>
      <c r="U438" t="s">
        <v>80</v>
      </c>
      <c r="V438" t="s">
        <v>44</v>
      </c>
      <c r="W438" t="s">
        <v>81</v>
      </c>
      <c r="Z438" t="s">
        <v>46</v>
      </c>
      <c r="AA438" t="s">
        <v>82</v>
      </c>
      <c r="AB438" t="s">
        <v>83</v>
      </c>
      <c r="AC438">
        <f>COUNTIF(C:C,QLKV_gui_ket_qua_ra_soat[[#This Row],[Mã điểm bán]])</f>
        <v>1</v>
      </c>
    </row>
    <row r="439" spans="1:29" x14ac:dyDescent="0.45">
      <c r="A439" t="s">
        <v>1593</v>
      </c>
      <c r="B439">
        <v>5</v>
      </c>
      <c r="C439" t="s">
        <v>1594</v>
      </c>
      <c r="D439" t="s">
        <v>1595</v>
      </c>
      <c r="E439" t="s">
        <v>1596</v>
      </c>
      <c r="F439" t="s">
        <v>1597</v>
      </c>
      <c r="G439" t="s">
        <v>34</v>
      </c>
      <c r="H439" t="s">
        <v>319</v>
      </c>
      <c r="I439" t="s">
        <v>1598</v>
      </c>
      <c r="J439" t="s">
        <v>37</v>
      </c>
      <c r="K439" t="s">
        <v>37</v>
      </c>
      <c r="L439" t="s">
        <v>39</v>
      </c>
      <c r="M439" t="s">
        <v>37</v>
      </c>
      <c r="N439" t="s">
        <v>37</v>
      </c>
      <c r="O439" t="s">
        <v>39</v>
      </c>
      <c r="P439" t="s">
        <v>38</v>
      </c>
      <c r="Q439" t="s">
        <v>37</v>
      </c>
      <c r="R439" t="s">
        <v>39</v>
      </c>
      <c r="S439" t="s">
        <v>1599</v>
      </c>
      <c r="T439" t="s">
        <v>1600</v>
      </c>
      <c r="U439" t="s">
        <v>1601</v>
      </c>
      <c r="V439" t="s">
        <v>1602</v>
      </c>
      <c r="W439" t="s">
        <v>1603</v>
      </c>
      <c r="X439" t="s">
        <v>46</v>
      </c>
      <c r="AC439">
        <f>COUNTIF(C:C,QLKV_gui_ket_qua_ra_soat[[#This Row],[Mã điểm bán]])</f>
        <v>1</v>
      </c>
    </row>
    <row r="440" spans="1:29" x14ac:dyDescent="0.45">
      <c r="A440" t="s">
        <v>1593</v>
      </c>
      <c r="B440">
        <v>33</v>
      </c>
      <c r="C440" t="s">
        <v>1604</v>
      </c>
      <c r="D440" t="s">
        <v>1605</v>
      </c>
      <c r="E440" t="s">
        <v>206</v>
      </c>
      <c r="F440" t="s">
        <v>115</v>
      </c>
      <c r="G440" t="s">
        <v>34</v>
      </c>
      <c r="H440" t="s">
        <v>1188</v>
      </c>
      <c r="I440" t="s">
        <v>1606</v>
      </c>
      <c r="J440" t="s">
        <v>37</v>
      </c>
      <c r="K440" t="s">
        <v>37</v>
      </c>
      <c r="L440" t="s">
        <v>39</v>
      </c>
      <c r="M440" t="s">
        <v>37</v>
      </c>
      <c r="N440" t="s">
        <v>37</v>
      </c>
      <c r="O440" t="s">
        <v>39</v>
      </c>
      <c r="P440" t="s">
        <v>38</v>
      </c>
      <c r="Q440" t="s">
        <v>38</v>
      </c>
      <c r="R440" t="s">
        <v>39</v>
      </c>
      <c r="S440" t="s">
        <v>41</v>
      </c>
      <c r="T440" t="s">
        <v>1607</v>
      </c>
      <c r="U440" t="s">
        <v>1601</v>
      </c>
      <c r="V440" t="s">
        <v>1602</v>
      </c>
      <c r="W440" t="s">
        <v>1603</v>
      </c>
      <c r="X440" t="s">
        <v>46</v>
      </c>
      <c r="AC440">
        <f>COUNTIF(C:C,QLKV_gui_ket_qua_ra_soat[[#This Row],[Mã điểm bán]])</f>
        <v>1</v>
      </c>
    </row>
    <row r="441" spans="1:29" x14ac:dyDescent="0.45">
      <c r="A441" t="s">
        <v>1593</v>
      </c>
      <c r="B441">
        <v>57</v>
      </c>
      <c r="C441" t="s">
        <v>1608</v>
      </c>
      <c r="D441" t="s">
        <v>1609</v>
      </c>
      <c r="E441" t="s">
        <v>1610</v>
      </c>
      <c r="F441" t="s">
        <v>1611</v>
      </c>
      <c r="G441" t="s">
        <v>34</v>
      </c>
      <c r="H441" t="s">
        <v>171</v>
      </c>
      <c r="I441" t="s">
        <v>1612</v>
      </c>
      <c r="J441" t="s">
        <v>38</v>
      </c>
      <c r="K441" t="s">
        <v>38</v>
      </c>
      <c r="L441" t="s">
        <v>40</v>
      </c>
      <c r="M441" t="s">
        <v>38</v>
      </c>
      <c r="N441" t="s">
        <v>38</v>
      </c>
      <c r="O441" t="s">
        <v>40</v>
      </c>
      <c r="P441" t="s">
        <v>38</v>
      </c>
      <c r="Q441" t="s">
        <v>38</v>
      </c>
      <c r="R441" t="s">
        <v>40</v>
      </c>
      <c r="S441" t="s">
        <v>41</v>
      </c>
      <c r="T441" t="s">
        <v>1607</v>
      </c>
      <c r="U441" t="s">
        <v>1601</v>
      </c>
      <c r="V441" t="s">
        <v>1602</v>
      </c>
      <c r="W441" t="s">
        <v>1603</v>
      </c>
      <c r="X441" t="s">
        <v>46</v>
      </c>
      <c r="AC441">
        <f>COUNTIF(C:C,QLKV_gui_ket_qua_ra_soat[[#This Row],[Mã điểm bán]])</f>
        <v>1</v>
      </c>
    </row>
    <row r="442" spans="1:29" x14ac:dyDescent="0.45">
      <c r="A442" t="s">
        <v>1593</v>
      </c>
      <c r="B442">
        <v>272</v>
      </c>
      <c r="C442" t="s">
        <v>1613</v>
      </c>
      <c r="D442" t="s">
        <v>1614</v>
      </c>
      <c r="E442" t="s">
        <v>523</v>
      </c>
      <c r="F442" t="s">
        <v>1615</v>
      </c>
      <c r="G442" t="s">
        <v>34</v>
      </c>
      <c r="H442" t="s">
        <v>214</v>
      </c>
      <c r="I442" t="s">
        <v>1616</v>
      </c>
      <c r="J442" t="s">
        <v>37</v>
      </c>
      <c r="K442" t="s">
        <v>37</v>
      </c>
      <c r="L442" t="s">
        <v>39</v>
      </c>
      <c r="M442" t="s">
        <v>775</v>
      </c>
      <c r="N442" t="s">
        <v>56</v>
      </c>
      <c r="O442" t="s">
        <v>39</v>
      </c>
      <c r="P442" t="s">
        <v>38</v>
      </c>
      <c r="Q442" t="s">
        <v>38</v>
      </c>
      <c r="R442" t="s">
        <v>40</v>
      </c>
      <c r="S442" t="s">
        <v>41</v>
      </c>
      <c r="T442" t="s">
        <v>1617</v>
      </c>
      <c r="U442" t="s">
        <v>1618</v>
      </c>
      <c r="V442" t="s">
        <v>1602</v>
      </c>
      <c r="W442" t="s">
        <v>246</v>
      </c>
      <c r="X442" t="s">
        <v>46</v>
      </c>
      <c r="AC442">
        <f>COUNTIF(C:C,QLKV_gui_ket_qua_ra_soat[[#This Row],[Mã điểm bán]])</f>
        <v>1</v>
      </c>
    </row>
    <row r="443" spans="1:29" x14ac:dyDescent="0.45">
      <c r="A443" t="s">
        <v>1593</v>
      </c>
      <c r="B443">
        <v>290</v>
      </c>
      <c r="C443" t="s">
        <v>1619</v>
      </c>
      <c r="D443" t="s">
        <v>1620</v>
      </c>
      <c r="E443" t="s">
        <v>1622</v>
      </c>
      <c r="F443" t="s">
        <v>1623</v>
      </c>
      <c r="G443" t="s">
        <v>1624</v>
      </c>
      <c r="H443" t="s">
        <v>1184</v>
      </c>
      <c r="I443" t="s">
        <v>1625</v>
      </c>
      <c r="J443" t="s">
        <v>38</v>
      </c>
      <c r="K443" t="s">
        <v>38</v>
      </c>
      <c r="L443" t="s">
        <v>40</v>
      </c>
      <c r="M443" t="s">
        <v>56</v>
      </c>
      <c r="N443" t="s">
        <v>37</v>
      </c>
      <c r="O443" t="s">
        <v>39</v>
      </c>
      <c r="P443" t="s">
        <v>38</v>
      </c>
      <c r="Q443" t="s">
        <v>38</v>
      </c>
      <c r="R443" t="s">
        <v>39</v>
      </c>
      <c r="S443" t="s">
        <v>41</v>
      </c>
      <c r="T443" t="s">
        <v>1626</v>
      </c>
      <c r="U443" t="s">
        <v>1627</v>
      </c>
      <c r="V443" t="s">
        <v>1602</v>
      </c>
      <c r="W443" t="s">
        <v>1628</v>
      </c>
      <c r="Z443" t="s">
        <v>46</v>
      </c>
      <c r="AA443" t="s">
        <v>1629</v>
      </c>
      <c r="AB443" t="s">
        <v>1630</v>
      </c>
      <c r="AC443">
        <f>COUNTIF(C:C,QLKV_gui_ket_qua_ra_soat[[#This Row],[Mã điểm bán]])</f>
        <v>1</v>
      </c>
    </row>
    <row r="444" spans="1:29" x14ac:dyDescent="0.45">
      <c r="A444" t="s">
        <v>1593</v>
      </c>
      <c r="B444">
        <v>294</v>
      </c>
      <c r="C444" t="s">
        <v>1631</v>
      </c>
      <c r="D444" t="s">
        <v>1632</v>
      </c>
      <c r="E444" t="s">
        <v>1633</v>
      </c>
      <c r="F444" t="s">
        <v>325</v>
      </c>
      <c r="G444" t="s">
        <v>150</v>
      </c>
      <c r="H444" t="s">
        <v>685</v>
      </c>
      <c r="I444" t="s">
        <v>1634</v>
      </c>
      <c r="J444" t="s">
        <v>38</v>
      </c>
      <c r="K444" t="s">
        <v>38</v>
      </c>
      <c r="L444" t="s">
        <v>40</v>
      </c>
      <c r="M444" t="s">
        <v>37</v>
      </c>
      <c r="N444" t="s">
        <v>37</v>
      </c>
      <c r="O444" t="s">
        <v>39</v>
      </c>
      <c r="P444" t="s">
        <v>38</v>
      </c>
      <c r="Q444" t="s">
        <v>38</v>
      </c>
      <c r="R444" t="s">
        <v>39</v>
      </c>
      <c r="S444" t="s">
        <v>41</v>
      </c>
      <c r="T444" t="s">
        <v>1626</v>
      </c>
      <c r="U444" t="s">
        <v>1627</v>
      </c>
      <c r="V444" t="s">
        <v>1602</v>
      </c>
      <c r="W444" t="s">
        <v>1628</v>
      </c>
      <c r="X444" t="s">
        <v>46</v>
      </c>
      <c r="AC444">
        <f>COUNTIF(C:C,QLKV_gui_ket_qua_ra_soat[[#This Row],[Mã điểm bán]])</f>
        <v>1</v>
      </c>
    </row>
    <row r="445" spans="1:29" x14ac:dyDescent="0.45">
      <c r="A445" t="s">
        <v>1593</v>
      </c>
      <c r="B445">
        <v>319</v>
      </c>
      <c r="C445" t="s">
        <v>1635</v>
      </c>
      <c r="D445" t="s">
        <v>1636</v>
      </c>
      <c r="E445" t="s">
        <v>1637</v>
      </c>
      <c r="F445" t="s">
        <v>1638</v>
      </c>
      <c r="G445" t="s">
        <v>34</v>
      </c>
      <c r="H445" t="s">
        <v>1639</v>
      </c>
      <c r="I445" t="s">
        <v>1640</v>
      </c>
      <c r="J445" t="s">
        <v>38</v>
      </c>
      <c r="K445" t="s">
        <v>38</v>
      </c>
      <c r="L445" t="s">
        <v>39</v>
      </c>
      <c r="M445" t="s">
        <v>56</v>
      </c>
      <c r="N445" t="s">
        <v>37</v>
      </c>
      <c r="O445" t="s">
        <v>121</v>
      </c>
      <c r="P445" t="s">
        <v>38</v>
      </c>
      <c r="Q445" t="s">
        <v>38</v>
      </c>
      <c r="R445" t="s">
        <v>39</v>
      </c>
      <c r="S445" t="s">
        <v>41</v>
      </c>
      <c r="T445" t="s">
        <v>1641</v>
      </c>
      <c r="U445" t="s">
        <v>1642</v>
      </c>
      <c r="V445" t="s">
        <v>1602</v>
      </c>
      <c r="W445" t="s">
        <v>105</v>
      </c>
      <c r="Z445" t="s">
        <v>46</v>
      </c>
      <c r="AA445" t="s">
        <v>1643</v>
      </c>
      <c r="AC445">
        <f>COUNTIF(C:C,QLKV_gui_ket_qua_ra_soat[[#This Row],[Mã điểm bán]])</f>
        <v>1</v>
      </c>
    </row>
    <row r="446" spans="1:29" x14ac:dyDescent="0.45">
      <c r="A446" t="s">
        <v>1593</v>
      </c>
      <c r="B446">
        <v>320</v>
      </c>
      <c r="C446" t="s">
        <v>1644</v>
      </c>
      <c r="D446" t="s">
        <v>1645</v>
      </c>
      <c r="E446" t="s">
        <v>1646</v>
      </c>
      <c r="F446" t="s">
        <v>1647</v>
      </c>
      <c r="G446" t="s">
        <v>34</v>
      </c>
      <c r="H446" t="s">
        <v>1648</v>
      </c>
      <c r="I446" t="s">
        <v>1649</v>
      </c>
      <c r="J446" t="s">
        <v>38</v>
      </c>
      <c r="K446" t="s">
        <v>56</v>
      </c>
      <c r="L446" t="s">
        <v>39</v>
      </c>
      <c r="M446" t="s">
        <v>38</v>
      </c>
      <c r="N446" t="s">
        <v>38</v>
      </c>
      <c r="O446" t="s">
        <v>39</v>
      </c>
      <c r="P446" t="s">
        <v>38</v>
      </c>
      <c r="Q446" t="s">
        <v>38</v>
      </c>
      <c r="R446" t="s">
        <v>40</v>
      </c>
      <c r="S446" t="s">
        <v>1650</v>
      </c>
      <c r="T446" t="s">
        <v>1651</v>
      </c>
      <c r="U446" t="s">
        <v>1652</v>
      </c>
      <c r="V446" t="s">
        <v>1602</v>
      </c>
      <c r="W446" t="s">
        <v>1653</v>
      </c>
      <c r="Z446" t="s">
        <v>46</v>
      </c>
      <c r="AA446" t="s">
        <v>1654</v>
      </c>
      <c r="AB446" t="s">
        <v>1630</v>
      </c>
      <c r="AC446">
        <f>COUNTIF(C:C,QLKV_gui_ket_qua_ra_soat[[#This Row],[Mã điểm bán]])</f>
        <v>1</v>
      </c>
    </row>
    <row r="447" spans="1:29" x14ac:dyDescent="0.45">
      <c r="A447" t="s">
        <v>1593</v>
      </c>
      <c r="B447">
        <v>323</v>
      </c>
      <c r="C447" t="s">
        <v>1655</v>
      </c>
      <c r="D447" t="s">
        <v>1656</v>
      </c>
      <c r="E447" t="s">
        <v>1657</v>
      </c>
      <c r="F447" t="s">
        <v>426</v>
      </c>
      <c r="G447" t="s">
        <v>34</v>
      </c>
      <c r="H447" t="s">
        <v>1658</v>
      </c>
      <c r="I447" t="s">
        <v>1659</v>
      </c>
      <c r="J447" t="s">
        <v>37</v>
      </c>
      <c r="K447" t="s">
        <v>37</v>
      </c>
      <c r="L447" t="s">
        <v>39</v>
      </c>
      <c r="M447" t="s">
        <v>38</v>
      </c>
      <c r="N447" t="s">
        <v>38</v>
      </c>
      <c r="O447" t="s">
        <v>40</v>
      </c>
      <c r="P447" t="s">
        <v>38</v>
      </c>
      <c r="Q447" t="s">
        <v>56</v>
      </c>
      <c r="R447" t="s">
        <v>39</v>
      </c>
      <c r="S447" t="s">
        <v>1660</v>
      </c>
      <c r="T447" t="s">
        <v>1651</v>
      </c>
      <c r="U447" t="s">
        <v>1652</v>
      </c>
      <c r="V447" t="s">
        <v>1602</v>
      </c>
      <c r="W447" t="s">
        <v>1653</v>
      </c>
      <c r="Z447" t="s">
        <v>46</v>
      </c>
      <c r="AA447" t="s">
        <v>1654</v>
      </c>
      <c r="AB447" t="s">
        <v>1630</v>
      </c>
      <c r="AC447">
        <f>COUNTIF(C:C,QLKV_gui_ket_qua_ra_soat[[#This Row],[Mã điểm bán]])</f>
        <v>1</v>
      </c>
    </row>
    <row r="448" spans="1:29" x14ac:dyDescent="0.45">
      <c r="A448" t="s">
        <v>1593</v>
      </c>
      <c r="B448">
        <v>333</v>
      </c>
      <c r="C448" t="s">
        <v>1661</v>
      </c>
      <c r="D448" t="s">
        <v>1662</v>
      </c>
      <c r="E448" t="s">
        <v>1664</v>
      </c>
      <c r="F448" t="s">
        <v>1665</v>
      </c>
      <c r="G448" t="s">
        <v>34</v>
      </c>
      <c r="H448" t="s">
        <v>1188</v>
      </c>
      <c r="I448" t="s">
        <v>1666</v>
      </c>
      <c r="J448" t="s">
        <v>37</v>
      </c>
      <c r="K448" t="s">
        <v>37</v>
      </c>
      <c r="L448" t="s">
        <v>39</v>
      </c>
      <c r="M448" t="s">
        <v>775</v>
      </c>
      <c r="N448" t="s">
        <v>775</v>
      </c>
      <c r="O448" t="s">
        <v>121</v>
      </c>
      <c r="P448" t="s">
        <v>38</v>
      </c>
      <c r="Q448" t="s">
        <v>38</v>
      </c>
      <c r="R448" t="s">
        <v>40</v>
      </c>
      <c r="S448" t="s">
        <v>41</v>
      </c>
      <c r="T448" t="s">
        <v>1617</v>
      </c>
      <c r="U448" t="s">
        <v>1618</v>
      </c>
      <c r="V448" t="s">
        <v>1602</v>
      </c>
      <c r="W448" t="s">
        <v>246</v>
      </c>
      <c r="X448" t="s">
        <v>46</v>
      </c>
      <c r="AC448">
        <f>COUNTIF(C:C,QLKV_gui_ket_qua_ra_soat[[#This Row],[Mã điểm bán]])</f>
        <v>1</v>
      </c>
    </row>
    <row r="449" spans="1:29" x14ac:dyDescent="0.45">
      <c r="A449" t="s">
        <v>1593</v>
      </c>
      <c r="B449">
        <v>334</v>
      </c>
      <c r="C449" t="s">
        <v>1667</v>
      </c>
      <c r="D449" t="s">
        <v>1668</v>
      </c>
      <c r="E449" t="s">
        <v>1669</v>
      </c>
      <c r="F449" t="s">
        <v>1670</v>
      </c>
      <c r="G449" t="s">
        <v>34</v>
      </c>
      <c r="H449" t="s">
        <v>1025</v>
      </c>
      <c r="I449" t="s">
        <v>1671</v>
      </c>
      <c r="J449" t="s">
        <v>38</v>
      </c>
      <c r="K449" t="s">
        <v>38</v>
      </c>
      <c r="L449" t="s">
        <v>39</v>
      </c>
      <c r="M449" t="s">
        <v>37</v>
      </c>
      <c r="N449" t="s">
        <v>37</v>
      </c>
      <c r="O449" t="s">
        <v>39</v>
      </c>
      <c r="P449" t="s">
        <v>38</v>
      </c>
      <c r="Q449" t="s">
        <v>38</v>
      </c>
      <c r="R449" t="s">
        <v>39</v>
      </c>
      <c r="S449" t="s">
        <v>41</v>
      </c>
      <c r="T449" t="s">
        <v>1641</v>
      </c>
      <c r="U449" t="s">
        <v>1642</v>
      </c>
      <c r="V449" t="s">
        <v>1602</v>
      </c>
      <c r="W449" t="s">
        <v>105</v>
      </c>
      <c r="X449" t="s">
        <v>46</v>
      </c>
      <c r="AB449" t="s">
        <v>1672</v>
      </c>
      <c r="AC449">
        <f>COUNTIF(C:C,QLKV_gui_ket_qua_ra_soat[[#This Row],[Mã điểm bán]])</f>
        <v>1</v>
      </c>
    </row>
    <row r="450" spans="1:29" x14ac:dyDescent="0.45">
      <c r="A450" t="s">
        <v>1593</v>
      </c>
      <c r="B450">
        <v>413</v>
      </c>
      <c r="C450" t="s">
        <v>1673</v>
      </c>
      <c r="D450" t="s">
        <v>1674</v>
      </c>
      <c r="E450" t="s">
        <v>1675</v>
      </c>
      <c r="F450" t="s">
        <v>1676</v>
      </c>
      <c r="G450" t="s">
        <v>34</v>
      </c>
      <c r="H450" t="s">
        <v>214</v>
      </c>
      <c r="I450" t="s">
        <v>1677</v>
      </c>
      <c r="J450" t="s">
        <v>38</v>
      </c>
      <c r="K450" t="s">
        <v>38</v>
      </c>
      <c r="L450" t="s">
        <v>40</v>
      </c>
      <c r="M450" t="s">
        <v>37</v>
      </c>
      <c r="N450" t="s">
        <v>56</v>
      </c>
      <c r="O450" t="s">
        <v>39</v>
      </c>
      <c r="P450" t="s">
        <v>38</v>
      </c>
      <c r="Q450" t="s">
        <v>38</v>
      </c>
      <c r="R450" t="s">
        <v>39</v>
      </c>
      <c r="S450" t="s">
        <v>41</v>
      </c>
      <c r="T450" t="s">
        <v>1626</v>
      </c>
      <c r="U450" t="s">
        <v>1627</v>
      </c>
      <c r="V450" t="s">
        <v>1602</v>
      </c>
      <c r="W450" t="s">
        <v>1628</v>
      </c>
      <c r="Z450" t="s">
        <v>46</v>
      </c>
      <c r="AA450" t="s">
        <v>1629</v>
      </c>
      <c r="AB450" t="s">
        <v>1630</v>
      </c>
      <c r="AC450">
        <f>COUNTIF(C:C,QLKV_gui_ket_qua_ra_soat[[#This Row],[Mã điểm bán]])</f>
        <v>1</v>
      </c>
    </row>
    <row r="451" spans="1:29" x14ac:dyDescent="0.45">
      <c r="A451" t="s">
        <v>1593</v>
      </c>
      <c r="B451">
        <v>418</v>
      </c>
      <c r="C451" t="s">
        <v>1678</v>
      </c>
      <c r="D451" t="s">
        <v>1679</v>
      </c>
      <c r="E451" t="s">
        <v>771</v>
      </c>
      <c r="F451" t="s">
        <v>325</v>
      </c>
      <c r="G451" t="s">
        <v>34</v>
      </c>
      <c r="H451" t="s">
        <v>54</v>
      </c>
      <c r="I451" t="s">
        <v>1681</v>
      </c>
      <c r="J451" t="s">
        <v>38</v>
      </c>
      <c r="K451" t="s">
        <v>38</v>
      </c>
      <c r="L451" t="s">
        <v>39</v>
      </c>
      <c r="M451" t="s">
        <v>56</v>
      </c>
      <c r="N451" t="s">
        <v>56</v>
      </c>
      <c r="O451" t="s">
        <v>39</v>
      </c>
      <c r="P451" t="s">
        <v>38</v>
      </c>
      <c r="Q451" t="s">
        <v>38</v>
      </c>
      <c r="R451" t="s">
        <v>40</v>
      </c>
      <c r="S451" t="s">
        <v>41</v>
      </c>
      <c r="T451" t="s">
        <v>1626</v>
      </c>
      <c r="U451" t="s">
        <v>1627</v>
      </c>
      <c r="V451" t="s">
        <v>1602</v>
      </c>
      <c r="W451" t="s">
        <v>1628</v>
      </c>
      <c r="AC451">
        <f>COUNTIF(C:C,QLKV_gui_ket_qua_ra_soat[[#This Row],[Mã điểm bán]])</f>
        <v>1</v>
      </c>
    </row>
    <row r="452" spans="1:29" x14ac:dyDescent="0.45">
      <c r="A452" t="s">
        <v>1593</v>
      </c>
      <c r="B452">
        <v>483</v>
      </c>
      <c r="C452" t="s">
        <v>1682</v>
      </c>
      <c r="D452" t="s">
        <v>1683</v>
      </c>
      <c r="E452" t="s">
        <v>265</v>
      </c>
      <c r="F452" t="s">
        <v>1471</v>
      </c>
      <c r="G452" t="s">
        <v>34</v>
      </c>
      <c r="H452" t="s">
        <v>402</v>
      </c>
      <c r="I452" t="s">
        <v>1685</v>
      </c>
      <c r="J452" t="s">
        <v>38</v>
      </c>
      <c r="K452" t="s">
        <v>38</v>
      </c>
      <c r="L452" t="s">
        <v>40</v>
      </c>
      <c r="M452" t="s">
        <v>37</v>
      </c>
      <c r="N452" t="s">
        <v>56</v>
      </c>
      <c r="O452" t="s">
        <v>39</v>
      </c>
      <c r="P452" t="s">
        <v>38</v>
      </c>
      <c r="Q452" t="s">
        <v>38</v>
      </c>
      <c r="R452" t="s">
        <v>39</v>
      </c>
      <c r="S452" t="s">
        <v>41</v>
      </c>
      <c r="T452" t="s">
        <v>1626</v>
      </c>
      <c r="U452" t="s">
        <v>1627</v>
      </c>
      <c r="V452" t="s">
        <v>1602</v>
      </c>
      <c r="W452" t="s">
        <v>1628</v>
      </c>
      <c r="Z452" t="s">
        <v>46</v>
      </c>
      <c r="AA452" t="s">
        <v>1629</v>
      </c>
      <c r="AB452" t="s">
        <v>1630</v>
      </c>
      <c r="AC452">
        <f>COUNTIF(C:C,QLKV_gui_ket_qua_ra_soat[[#This Row],[Mã điểm bán]])</f>
        <v>1</v>
      </c>
    </row>
    <row r="453" spans="1:29" x14ac:dyDescent="0.45">
      <c r="A453" t="s">
        <v>1593</v>
      </c>
      <c r="B453">
        <v>512</v>
      </c>
      <c r="C453" t="s">
        <v>1686</v>
      </c>
      <c r="D453" t="s">
        <v>1687</v>
      </c>
      <c r="E453" t="s">
        <v>682</v>
      </c>
      <c r="F453" t="s">
        <v>426</v>
      </c>
      <c r="G453" t="s">
        <v>34</v>
      </c>
      <c r="H453" t="s">
        <v>402</v>
      </c>
      <c r="I453" t="s">
        <v>1688</v>
      </c>
      <c r="J453" t="s">
        <v>37</v>
      </c>
      <c r="K453" t="s">
        <v>37</v>
      </c>
      <c r="L453" t="s">
        <v>39</v>
      </c>
      <c r="M453" t="s">
        <v>37</v>
      </c>
      <c r="N453" t="s">
        <v>37</v>
      </c>
      <c r="O453" t="s">
        <v>39</v>
      </c>
      <c r="P453" t="s">
        <v>37</v>
      </c>
      <c r="Q453" t="s">
        <v>37</v>
      </c>
      <c r="R453" t="s">
        <v>39</v>
      </c>
      <c r="S453" t="s">
        <v>41</v>
      </c>
      <c r="T453" t="s">
        <v>1607</v>
      </c>
      <c r="U453" t="s">
        <v>1601</v>
      </c>
      <c r="V453" t="s">
        <v>1602</v>
      </c>
      <c r="W453" t="s">
        <v>1603</v>
      </c>
      <c r="X453" t="s">
        <v>46</v>
      </c>
      <c r="AC453">
        <f>COUNTIF(C:C,QLKV_gui_ket_qua_ra_soat[[#This Row],[Mã điểm bán]])</f>
        <v>1</v>
      </c>
    </row>
    <row r="454" spans="1:29" x14ac:dyDescent="0.45">
      <c r="A454" t="s">
        <v>1593</v>
      </c>
      <c r="B454">
        <v>545</v>
      </c>
      <c r="C454" t="s">
        <v>1689</v>
      </c>
      <c r="D454" t="s">
        <v>1690</v>
      </c>
      <c r="E454" t="s">
        <v>1664</v>
      </c>
      <c r="F454" t="s">
        <v>1691</v>
      </c>
      <c r="G454" t="s">
        <v>34</v>
      </c>
      <c r="H454" t="s">
        <v>842</v>
      </c>
      <c r="I454" t="s">
        <v>1692</v>
      </c>
      <c r="J454" t="s">
        <v>38</v>
      </c>
      <c r="K454" t="s">
        <v>37</v>
      </c>
      <c r="L454" t="s">
        <v>39</v>
      </c>
      <c r="M454" t="s">
        <v>37</v>
      </c>
      <c r="N454" t="s">
        <v>37</v>
      </c>
      <c r="O454" t="s">
        <v>39</v>
      </c>
      <c r="P454" t="s">
        <v>38</v>
      </c>
      <c r="Q454" t="s">
        <v>37</v>
      </c>
      <c r="R454" t="s">
        <v>39</v>
      </c>
      <c r="S454" t="s">
        <v>41</v>
      </c>
      <c r="T454" t="s">
        <v>1600</v>
      </c>
      <c r="U454" t="s">
        <v>1601</v>
      </c>
      <c r="V454" t="s">
        <v>1602</v>
      </c>
      <c r="W454" t="s">
        <v>1603</v>
      </c>
      <c r="X454" t="s">
        <v>46</v>
      </c>
      <c r="AC454">
        <f>COUNTIF(C:C,QLKV_gui_ket_qua_ra_soat[[#This Row],[Mã điểm bán]])</f>
        <v>1</v>
      </c>
    </row>
    <row r="455" spans="1:29" x14ac:dyDescent="0.45">
      <c r="A455" t="s">
        <v>1593</v>
      </c>
      <c r="B455">
        <v>681</v>
      </c>
      <c r="C455" t="s">
        <v>1693</v>
      </c>
      <c r="D455" t="s">
        <v>1694</v>
      </c>
      <c r="E455" t="s">
        <v>522</v>
      </c>
      <c r="F455" t="s">
        <v>467</v>
      </c>
      <c r="G455" t="s">
        <v>34</v>
      </c>
      <c r="H455" t="s">
        <v>214</v>
      </c>
      <c r="I455" t="s">
        <v>1696</v>
      </c>
      <c r="J455" t="s">
        <v>37</v>
      </c>
      <c r="K455" t="s">
        <v>37</v>
      </c>
      <c r="L455" t="s">
        <v>39</v>
      </c>
      <c r="M455" t="s">
        <v>37</v>
      </c>
      <c r="N455" t="s">
        <v>37</v>
      </c>
      <c r="O455" t="s">
        <v>39</v>
      </c>
      <c r="P455" t="s">
        <v>38</v>
      </c>
      <c r="Q455" t="s">
        <v>38</v>
      </c>
      <c r="R455" t="s">
        <v>39</v>
      </c>
      <c r="S455" t="s">
        <v>41</v>
      </c>
      <c r="T455" t="s">
        <v>1600</v>
      </c>
      <c r="U455" t="s">
        <v>1601</v>
      </c>
      <c r="V455" t="s">
        <v>1602</v>
      </c>
      <c r="W455" t="s">
        <v>1603</v>
      </c>
      <c r="X455" t="s">
        <v>46</v>
      </c>
      <c r="AC455">
        <f>COUNTIF(C:C,QLKV_gui_ket_qua_ra_soat[[#This Row],[Mã điểm bán]])</f>
        <v>1</v>
      </c>
    </row>
    <row r="456" spans="1:29" x14ac:dyDescent="0.45">
      <c r="A456" t="s">
        <v>1593</v>
      </c>
      <c r="B456">
        <v>683</v>
      </c>
      <c r="C456" t="s">
        <v>1697</v>
      </c>
      <c r="D456" t="s">
        <v>1698</v>
      </c>
      <c r="E456" t="s">
        <v>1699</v>
      </c>
      <c r="F456" t="s">
        <v>53</v>
      </c>
      <c r="G456" t="s">
        <v>34</v>
      </c>
      <c r="H456" t="s">
        <v>54</v>
      </c>
      <c r="I456" t="s">
        <v>1700</v>
      </c>
      <c r="J456" t="s">
        <v>37</v>
      </c>
      <c r="K456" t="s">
        <v>37</v>
      </c>
      <c r="L456" t="s">
        <v>39</v>
      </c>
      <c r="M456" t="s">
        <v>37</v>
      </c>
      <c r="N456" t="s">
        <v>37</v>
      </c>
      <c r="O456" t="s">
        <v>39</v>
      </c>
      <c r="P456" t="s">
        <v>38</v>
      </c>
      <c r="Q456" t="s">
        <v>37</v>
      </c>
      <c r="R456" t="s">
        <v>39</v>
      </c>
      <c r="S456" t="s">
        <v>41</v>
      </c>
      <c r="T456" t="s">
        <v>1600</v>
      </c>
      <c r="U456" t="s">
        <v>1601</v>
      </c>
      <c r="V456" t="s">
        <v>1602</v>
      </c>
      <c r="W456" t="s">
        <v>1603</v>
      </c>
      <c r="X456" t="s">
        <v>46</v>
      </c>
      <c r="AC456">
        <f>COUNTIF(C:C,QLKV_gui_ket_qua_ra_soat[[#This Row],[Mã điểm bán]])</f>
        <v>1</v>
      </c>
    </row>
    <row r="457" spans="1:29" x14ac:dyDescent="0.45">
      <c r="A457" t="s">
        <v>1593</v>
      </c>
      <c r="B457">
        <v>733</v>
      </c>
      <c r="C457" t="s">
        <v>1701</v>
      </c>
      <c r="D457" t="s">
        <v>1702</v>
      </c>
      <c r="E457" t="s">
        <v>32</v>
      </c>
      <c r="F457" t="s">
        <v>53</v>
      </c>
      <c r="G457" t="s">
        <v>34</v>
      </c>
      <c r="H457" t="s">
        <v>171</v>
      </c>
      <c r="I457" t="s">
        <v>1703</v>
      </c>
      <c r="J457" t="s">
        <v>37</v>
      </c>
      <c r="K457" t="s">
        <v>37</v>
      </c>
      <c r="L457" t="s">
        <v>39</v>
      </c>
      <c r="M457" t="s">
        <v>775</v>
      </c>
      <c r="N457" t="s">
        <v>775</v>
      </c>
      <c r="O457" t="s">
        <v>39</v>
      </c>
      <c r="P457" t="s">
        <v>37</v>
      </c>
      <c r="Q457" t="s">
        <v>37</v>
      </c>
      <c r="R457" t="s">
        <v>40</v>
      </c>
      <c r="S457" t="s">
        <v>41</v>
      </c>
      <c r="T457" t="s">
        <v>1617</v>
      </c>
      <c r="U457" t="s">
        <v>1618</v>
      </c>
      <c r="V457" t="s">
        <v>1602</v>
      </c>
      <c r="W457" t="s">
        <v>246</v>
      </c>
      <c r="X457" t="s">
        <v>46</v>
      </c>
      <c r="AC457">
        <f>COUNTIF(C:C,QLKV_gui_ket_qua_ra_soat[[#This Row],[Mã điểm bán]])</f>
        <v>1</v>
      </c>
    </row>
    <row r="458" spans="1:29" x14ac:dyDescent="0.45">
      <c r="A458" t="s">
        <v>1593</v>
      </c>
      <c r="B458">
        <v>758</v>
      </c>
      <c r="C458" t="s">
        <v>1704</v>
      </c>
      <c r="D458" t="s">
        <v>1705</v>
      </c>
      <c r="E458" t="s">
        <v>365</v>
      </c>
      <c r="F458" t="s">
        <v>53</v>
      </c>
      <c r="G458" t="s">
        <v>34</v>
      </c>
      <c r="H458" t="s">
        <v>1706</v>
      </c>
      <c r="I458" t="s">
        <v>1707</v>
      </c>
      <c r="J458" t="s">
        <v>38</v>
      </c>
      <c r="K458" t="s">
        <v>38</v>
      </c>
      <c r="L458" t="s">
        <v>40</v>
      </c>
      <c r="M458" t="s">
        <v>38</v>
      </c>
      <c r="N458" t="s">
        <v>38</v>
      </c>
      <c r="O458" t="s">
        <v>40</v>
      </c>
      <c r="P458" t="s">
        <v>38</v>
      </c>
      <c r="Q458" t="s">
        <v>38</v>
      </c>
      <c r="R458" t="s">
        <v>40</v>
      </c>
      <c r="S458" t="s">
        <v>1708</v>
      </c>
      <c r="T458" t="s">
        <v>1709</v>
      </c>
      <c r="U458" t="s">
        <v>1710</v>
      </c>
      <c r="V458" t="s">
        <v>1602</v>
      </c>
      <c r="W458" t="s">
        <v>1711</v>
      </c>
      <c r="X458" t="s">
        <v>46</v>
      </c>
      <c r="AC458">
        <f>COUNTIF(C:C,QLKV_gui_ket_qua_ra_soat[[#This Row],[Mã điểm bán]])</f>
        <v>1</v>
      </c>
    </row>
    <row r="459" spans="1:29" x14ac:dyDescent="0.45">
      <c r="A459" t="s">
        <v>1593</v>
      </c>
      <c r="B459">
        <v>851</v>
      </c>
      <c r="C459" t="s">
        <v>1722</v>
      </c>
      <c r="D459" t="s">
        <v>1723</v>
      </c>
      <c r="E459" t="s">
        <v>1724</v>
      </c>
      <c r="F459" t="s">
        <v>53</v>
      </c>
      <c r="G459" t="s">
        <v>34</v>
      </c>
      <c r="H459" t="s">
        <v>54</v>
      </c>
      <c r="I459" t="s">
        <v>755</v>
      </c>
      <c r="J459" t="s">
        <v>38</v>
      </c>
      <c r="K459" t="s">
        <v>38</v>
      </c>
      <c r="L459" t="s">
        <v>40</v>
      </c>
      <c r="M459" t="s">
        <v>38</v>
      </c>
      <c r="N459" t="s">
        <v>38</v>
      </c>
      <c r="O459" t="s">
        <v>40</v>
      </c>
      <c r="P459" t="s">
        <v>38</v>
      </c>
      <c r="Q459" t="s">
        <v>38</v>
      </c>
      <c r="R459" t="s">
        <v>40</v>
      </c>
      <c r="S459" t="s">
        <v>41</v>
      </c>
      <c r="T459" t="s">
        <v>1725</v>
      </c>
      <c r="U459" t="s">
        <v>1726</v>
      </c>
      <c r="V459" t="s">
        <v>1602</v>
      </c>
      <c r="W459" t="s">
        <v>1653</v>
      </c>
      <c r="Z459" t="s">
        <v>46</v>
      </c>
      <c r="AA459" t="s">
        <v>1654</v>
      </c>
      <c r="AC459">
        <f>COUNTIF(C:C,QLKV_gui_ket_qua_ra_soat[[#This Row],[Mã điểm bán]])</f>
        <v>1</v>
      </c>
    </row>
    <row r="460" spans="1:29" x14ac:dyDescent="0.45">
      <c r="A460" t="s">
        <v>1593</v>
      </c>
      <c r="B460">
        <v>855</v>
      </c>
      <c r="C460" t="s">
        <v>1727</v>
      </c>
      <c r="D460" t="s">
        <v>781</v>
      </c>
      <c r="E460" t="s">
        <v>407</v>
      </c>
      <c r="F460" t="s">
        <v>53</v>
      </c>
      <c r="G460" t="s">
        <v>34</v>
      </c>
      <c r="H460" t="s">
        <v>54</v>
      </c>
      <c r="I460" t="s">
        <v>1728</v>
      </c>
      <c r="J460" t="s">
        <v>38</v>
      </c>
      <c r="K460" t="s">
        <v>38</v>
      </c>
      <c r="L460" t="s">
        <v>40</v>
      </c>
      <c r="M460" t="s">
        <v>38</v>
      </c>
      <c r="N460" t="s">
        <v>38</v>
      </c>
      <c r="O460" t="s">
        <v>39</v>
      </c>
      <c r="P460" t="s">
        <v>38</v>
      </c>
      <c r="Q460" t="s">
        <v>38</v>
      </c>
      <c r="R460" t="s">
        <v>40</v>
      </c>
      <c r="S460" t="s">
        <v>41</v>
      </c>
      <c r="T460" t="s">
        <v>1725</v>
      </c>
      <c r="U460" t="s">
        <v>1726</v>
      </c>
      <c r="V460" t="s">
        <v>1602</v>
      </c>
      <c r="W460" t="s">
        <v>1653</v>
      </c>
      <c r="Z460" t="s">
        <v>46</v>
      </c>
      <c r="AA460" t="s">
        <v>1654</v>
      </c>
      <c r="AC460">
        <f>COUNTIF(C:C,QLKV_gui_ket_qua_ra_soat[[#This Row],[Mã điểm bán]])</f>
        <v>1</v>
      </c>
    </row>
    <row r="461" spans="1:29" x14ac:dyDescent="0.45">
      <c r="A461" t="s">
        <v>1593</v>
      </c>
      <c r="B461">
        <v>949</v>
      </c>
      <c r="C461" t="s">
        <v>1729</v>
      </c>
      <c r="D461" t="s">
        <v>1730</v>
      </c>
      <c r="E461" t="s">
        <v>330</v>
      </c>
      <c r="F461" t="s">
        <v>417</v>
      </c>
      <c r="G461" t="s">
        <v>34</v>
      </c>
      <c r="H461" t="s">
        <v>1731</v>
      </c>
      <c r="I461" t="s">
        <v>1732</v>
      </c>
      <c r="J461" t="s">
        <v>775</v>
      </c>
      <c r="K461" t="s">
        <v>775</v>
      </c>
      <c r="L461" t="s">
        <v>39</v>
      </c>
      <c r="M461" t="s">
        <v>56</v>
      </c>
      <c r="N461" t="s">
        <v>56</v>
      </c>
      <c r="O461" t="s">
        <v>39</v>
      </c>
      <c r="P461" t="s">
        <v>56</v>
      </c>
      <c r="Q461" t="s">
        <v>56</v>
      </c>
      <c r="R461" t="s">
        <v>39</v>
      </c>
      <c r="S461" t="s">
        <v>41</v>
      </c>
      <c r="T461" t="s">
        <v>1717</v>
      </c>
      <c r="U461" t="s">
        <v>1718</v>
      </c>
      <c r="V461" t="s">
        <v>1602</v>
      </c>
      <c r="W461" t="s">
        <v>1719</v>
      </c>
      <c r="X461" t="s">
        <v>46</v>
      </c>
      <c r="AC461">
        <f>COUNTIF(C:C,QLKV_gui_ket_qua_ra_soat[[#This Row],[Mã điểm bán]])</f>
        <v>1</v>
      </c>
    </row>
    <row r="462" spans="1:29" x14ac:dyDescent="0.45">
      <c r="A462" t="s">
        <v>1593</v>
      </c>
      <c r="B462">
        <v>962</v>
      </c>
      <c r="C462" t="s">
        <v>1733</v>
      </c>
      <c r="D462" t="s">
        <v>1734</v>
      </c>
      <c r="E462" t="s">
        <v>279</v>
      </c>
      <c r="F462" t="s">
        <v>166</v>
      </c>
      <c r="G462" t="s">
        <v>34</v>
      </c>
      <c r="H462" t="s">
        <v>1736</v>
      </c>
      <c r="I462" t="s">
        <v>1737</v>
      </c>
      <c r="J462" t="s">
        <v>38</v>
      </c>
      <c r="K462" t="s">
        <v>38</v>
      </c>
      <c r="L462" t="s">
        <v>39</v>
      </c>
      <c r="M462" t="s">
        <v>38</v>
      </c>
      <c r="N462" t="s">
        <v>37</v>
      </c>
      <c r="O462" t="s">
        <v>40</v>
      </c>
      <c r="P462" t="s">
        <v>38</v>
      </c>
      <c r="Q462" t="s">
        <v>38</v>
      </c>
      <c r="R462" t="s">
        <v>40</v>
      </c>
      <c r="S462" t="s">
        <v>1738</v>
      </c>
      <c r="T462" t="s">
        <v>1709</v>
      </c>
      <c r="U462" t="s">
        <v>1710</v>
      </c>
      <c r="V462" t="s">
        <v>1602</v>
      </c>
      <c r="W462" t="s">
        <v>1711</v>
      </c>
      <c r="X462" t="s">
        <v>46</v>
      </c>
      <c r="AC462">
        <f>COUNTIF(C:C,QLKV_gui_ket_qua_ra_soat[[#This Row],[Mã điểm bán]])</f>
        <v>1</v>
      </c>
    </row>
    <row r="463" spans="1:29" x14ac:dyDescent="0.45">
      <c r="A463" t="s">
        <v>1593</v>
      </c>
      <c r="B463">
        <v>991</v>
      </c>
      <c r="C463" t="s">
        <v>1739</v>
      </c>
      <c r="D463" t="s">
        <v>1740</v>
      </c>
      <c r="E463" t="s">
        <v>87</v>
      </c>
      <c r="F463" t="s">
        <v>53</v>
      </c>
      <c r="G463" t="s">
        <v>34</v>
      </c>
      <c r="H463" t="s">
        <v>54</v>
      </c>
      <c r="I463" t="s">
        <v>1741</v>
      </c>
      <c r="J463" t="s">
        <v>38</v>
      </c>
      <c r="K463" t="s">
        <v>38</v>
      </c>
      <c r="L463" t="s">
        <v>40</v>
      </c>
      <c r="M463" t="s">
        <v>38</v>
      </c>
      <c r="N463" t="s">
        <v>38</v>
      </c>
      <c r="O463" t="s">
        <v>40</v>
      </c>
      <c r="P463" t="s">
        <v>38</v>
      </c>
      <c r="Q463" t="s">
        <v>38</v>
      </c>
      <c r="R463" t="s">
        <v>40</v>
      </c>
      <c r="S463" t="s">
        <v>1742</v>
      </c>
      <c r="T463" t="s">
        <v>1607</v>
      </c>
      <c r="U463" t="s">
        <v>1601</v>
      </c>
      <c r="V463" t="s">
        <v>1602</v>
      </c>
      <c r="W463" t="s">
        <v>1603</v>
      </c>
      <c r="X463" t="s">
        <v>46</v>
      </c>
      <c r="AC463">
        <f>COUNTIF(C:C,QLKV_gui_ket_qua_ra_soat[[#This Row],[Mã điểm bán]])</f>
        <v>1</v>
      </c>
    </row>
    <row r="464" spans="1:29" x14ac:dyDescent="0.45">
      <c r="A464" t="s">
        <v>1593</v>
      </c>
      <c r="B464">
        <v>1031</v>
      </c>
      <c r="C464" t="s">
        <v>1752</v>
      </c>
      <c r="D464" t="s">
        <v>1753</v>
      </c>
      <c r="E464" t="s">
        <v>529</v>
      </c>
      <c r="F464" t="s">
        <v>1754</v>
      </c>
      <c r="G464" t="s">
        <v>34</v>
      </c>
      <c r="H464" t="s">
        <v>402</v>
      </c>
      <c r="I464" t="s">
        <v>1755</v>
      </c>
      <c r="J464" t="s">
        <v>37</v>
      </c>
      <c r="K464" t="s">
        <v>37</v>
      </c>
      <c r="L464" t="s">
        <v>39</v>
      </c>
      <c r="M464" t="s">
        <v>37</v>
      </c>
      <c r="N464" t="s">
        <v>37</v>
      </c>
      <c r="O464" t="s">
        <v>39</v>
      </c>
      <c r="P464" t="s">
        <v>38</v>
      </c>
      <c r="Q464" t="s">
        <v>38</v>
      </c>
      <c r="R464" t="s">
        <v>39</v>
      </c>
      <c r="S464" t="s">
        <v>41</v>
      </c>
      <c r="T464" t="s">
        <v>1617</v>
      </c>
      <c r="U464" t="s">
        <v>1618</v>
      </c>
      <c r="V464" t="s">
        <v>1602</v>
      </c>
      <c r="W464" t="s">
        <v>246</v>
      </c>
      <c r="X464" t="s">
        <v>46</v>
      </c>
      <c r="AC464">
        <f>COUNTIF(C:C,QLKV_gui_ket_qua_ra_soat[[#This Row],[Mã điểm bán]])</f>
        <v>1</v>
      </c>
    </row>
    <row r="465" spans="1:29" x14ac:dyDescent="0.45">
      <c r="A465" t="s">
        <v>1593</v>
      </c>
      <c r="B465">
        <v>1036</v>
      </c>
      <c r="C465" t="s">
        <v>1756</v>
      </c>
      <c r="D465" t="s">
        <v>1757</v>
      </c>
      <c r="E465" t="s">
        <v>128</v>
      </c>
      <c r="F465" t="s">
        <v>53</v>
      </c>
      <c r="G465" t="s">
        <v>34</v>
      </c>
      <c r="H465" t="s">
        <v>402</v>
      </c>
      <c r="I465" t="s">
        <v>1758</v>
      </c>
      <c r="J465" t="s">
        <v>37</v>
      </c>
      <c r="K465" t="s">
        <v>37</v>
      </c>
      <c r="L465" t="s">
        <v>39</v>
      </c>
      <c r="M465" t="s">
        <v>56</v>
      </c>
      <c r="N465" t="s">
        <v>56</v>
      </c>
      <c r="O465" t="s">
        <v>39</v>
      </c>
      <c r="P465" t="s">
        <v>38</v>
      </c>
      <c r="Q465" t="s">
        <v>38</v>
      </c>
      <c r="R465" t="s">
        <v>40</v>
      </c>
      <c r="S465" t="s">
        <v>41</v>
      </c>
      <c r="T465" t="s">
        <v>1617</v>
      </c>
      <c r="U465" t="s">
        <v>1618</v>
      </c>
      <c r="V465" t="s">
        <v>1602</v>
      </c>
      <c r="W465" t="s">
        <v>246</v>
      </c>
      <c r="Z465" t="s">
        <v>46</v>
      </c>
      <c r="AA465" t="s">
        <v>1654</v>
      </c>
      <c r="AB465" t="s">
        <v>1630</v>
      </c>
      <c r="AC465">
        <f>COUNTIF(C:C,QLKV_gui_ket_qua_ra_soat[[#This Row],[Mã điểm bán]])</f>
        <v>1</v>
      </c>
    </row>
    <row r="466" spans="1:29" x14ac:dyDescent="0.45">
      <c r="A466" t="s">
        <v>1593</v>
      </c>
      <c r="B466">
        <v>1037</v>
      </c>
      <c r="C466" t="s">
        <v>1759</v>
      </c>
      <c r="D466" t="s">
        <v>1760</v>
      </c>
      <c r="E466" t="s">
        <v>354</v>
      </c>
      <c r="F466" t="s">
        <v>325</v>
      </c>
      <c r="G466" t="s">
        <v>34</v>
      </c>
      <c r="H466" t="s">
        <v>685</v>
      </c>
      <c r="I466" t="s">
        <v>1762</v>
      </c>
      <c r="J466" t="s">
        <v>37</v>
      </c>
      <c r="K466" t="s">
        <v>37</v>
      </c>
      <c r="L466" t="s">
        <v>40</v>
      </c>
      <c r="M466" t="s">
        <v>775</v>
      </c>
      <c r="N466" t="s">
        <v>56</v>
      </c>
      <c r="O466" t="s">
        <v>121</v>
      </c>
      <c r="P466" t="s">
        <v>38</v>
      </c>
      <c r="Q466" t="s">
        <v>38</v>
      </c>
      <c r="R466" t="s">
        <v>40</v>
      </c>
      <c r="S466" t="s">
        <v>41</v>
      </c>
      <c r="T466" t="s">
        <v>1617</v>
      </c>
      <c r="U466" t="s">
        <v>1618</v>
      </c>
      <c r="V466" t="s">
        <v>1602</v>
      </c>
      <c r="W466" t="s">
        <v>246</v>
      </c>
      <c r="X466" t="s">
        <v>46</v>
      </c>
      <c r="AC466">
        <f>COUNTIF(C:C,QLKV_gui_ket_qua_ra_soat[[#This Row],[Mã điểm bán]])</f>
        <v>1</v>
      </c>
    </row>
    <row r="467" spans="1:29" x14ac:dyDescent="0.45">
      <c r="A467" t="s">
        <v>1593</v>
      </c>
      <c r="B467">
        <v>1084</v>
      </c>
      <c r="C467" t="s">
        <v>1772</v>
      </c>
      <c r="D467" t="s">
        <v>1773</v>
      </c>
      <c r="E467" t="s">
        <v>1775</v>
      </c>
      <c r="F467" t="s">
        <v>1776</v>
      </c>
      <c r="G467" t="s">
        <v>34</v>
      </c>
      <c r="H467" t="s">
        <v>685</v>
      </c>
      <c r="I467" t="s">
        <v>1777</v>
      </c>
      <c r="J467" t="s">
        <v>37</v>
      </c>
      <c r="K467" t="s">
        <v>37</v>
      </c>
      <c r="L467" t="s">
        <v>39</v>
      </c>
      <c r="M467" t="s">
        <v>1034</v>
      </c>
      <c r="N467" t="s">
        <v>775</v>
      </c>
      <c r="O467" t="s">
        <v>39</v>
      </c>
      <c r="P467" t="s">
        <v>38</v>
      </c>
      <c r="Q467" t="s">
        <v>38</v>
      </c>
      <c r="R467" t="s">
        <v>39</v>
      </c>
      <c r="S467" t="s">
        <v>1778</v>
      </c>
      <c r="T467" t="s">
        <v>1617</v>
      </c>
      <c r="U467" t="s">
        <v>1618</v>
      </c>
      <c r="V467" t="s">
        <v>1602</v>
      </c>
      <c r="W467" t="s">
        <v>246</v>
      </c>
      <c r="X467" t="s">
        <v>46</v>
      </c>
      <c r="AC467">
        <f>COUNTIF(C:C,QLKV_gui_ket_qua_ra_soat[[#This Row],[Mã điểm bán]])</f>
        <v>1</v>
      </c>
    </row>
    <row r="468" spans="1:29" x14ac:dyDescent="0.45">
      <c r="A468" t="s">
        <v>1593</v>
      </c>
      <c r="B468">
        <v>1092</v>
      </c>
      <c r="C468" t="s">
        <v>1779</v>
      </c>
      <c r="D468" t="s">
        <v>1780</v>
      </c>
      <c r="E468" t="s">
        <v>1781</v>
      </c>
      <c r="F468" t="s">
        <v>1782</v>
      </c>
      <c r="G468" t="s">
        <v>34</v>
      </c>
      <c r="H468" t="s">
        <v>1648</v>
      </c>
      <c r="I468" t="s">
        <v>1783</v>
      </c>
      <c r="J468" t="s">
        <v>37</v>
      </c>
      <c r="K468" t="s">
        <v>37</v>
      </c>
      <c r="L468" t="s">
        <v>39</v>
      </c>
      <c r="M468" t="s">
        <v>37</v>
      </c>
      <c r="N468" t="s">
        <v>37</v>
      </c>
      <c r="O468" t="s">
        <v>39</v>
      </c>
      <c r="P468" t="s">
        <v>38</v>
      </c>
      <c r="Q468" t="s">
        <v>38</v>
      </c>
      <c r="R468" t="s">
        <v>39</v>
      </c>
      <c r="S468" t="s">
        <v>1784</v>
      </c>
      <c r="T468" t="s">
        <v>1651</v>
      </c>
      <c r="U468" t="s">
        <v>1652</v>
      </c>
      <c r="V468" t="s">
        <v>1602</v>
      </c>
      <c r="W468" t="s">
        <v>1653</v>
      </c>
      <c r="Z468" t="s">
        <v>46</v>
      </c>
      <c r="AA468" t="s">
        <v>1654</v>
      </c>
      <c r="AB468" t="s">
        <v>1630</v>
      </c>
      <c r="AC468">
        <f>COUNTIF(C:C,QLKV_gui_ket_qua_ra_soat[[#This Row],[Mã điểm bán]])</f>
        <v>1</v>
      </c>
    </row>
    <row r="469" spans="1:29" x14ac:dyDescent="0.45">
      <c r="A469" t="s">
        <v>1593</v>
      </c>
      <c r="B469">
        <v>1097</v>
      </c>
      <c r="C469" t="s">
        <v>1785</v>
      </c>
      <c r="D469" t="s">
        <v>1786</v>
      </c>
      <c r="E469" t="s">
        <v>223</v>
      </c>
      <c r="F469" t="s">
        <v>1787</v>
      </c>
      <c r="G469" t="s">
        <v>34</v>
      </c>
      <c r="H469" t="s">
        <v>1788</v>
      </c>
      <c r="I469" t="s">
        <v>1789</v>
      </c>
      <c r="J469" t="s">
        <v>37</v>
      </c>
      <c r="K469" t="s">
        <v>38</v>
      </c>
      <c r="L469" t="s">
        <v>39</v>
      </c>
      <c r="M469" t="s">
        <v>56</v>
      </c>
      <c r="N469" t="s">
        <v>56</v>
      </c>
      <c r="O469" t="s">
        <v>39</v>
      </c>
      <c r="P469" t="s">
        <v>38</v>
      </c>
      <c r="Q469" t="s">
        <v>38</v>
      </c>
      <c r="R469" t="s">
        <v>40</v>
      </c>
      <c r="S469" t="s">
        <v>41</v>
      </c>
      <c r="T469" t="s">
        <v>1651</v>
      </c>
      <c r="U469" t="s">
        <v>1652</v>
      </c>
      <c r="V469" t="s">
        <v>1602</v>
      </c>
      <c r="W469" t="s">
        <v>1653</v>
      </c>
      <c r="X469" t="s">
        <v>46</v>
      </c>
      <c r="AC469">
        <f>COUNTIF(C:C,QLKV_gui_ket_qua_ra_soat[[#This Row],[Mã điểm bán]])</f>
        <v>1</v>
      </c>
    </row>
    <row r="470" spans="1:29" x14ac:dyDescent="0.45">
      <c r="A470" t="s">
        <v>1593</v>
      </c>
      <c r="B470">
        <v>1118</v>
      </c>
      <c r="C470" t="s">
        <v>1790</v>
      </c>
      <c r="D470" t="s">
        <v>1791</v>
      </c>
      <c r="E470" t="s">
        <v>1695</v>
      </c>
      <c r="F470" t="s">
        <v>325</v>
      </c>
      <c r="G470" t="s">
        <v>34</v>
      </c>
      <c r="H470" t="s">
        <v>171</v>
      </c>
      <c r="I470" t="s">
        <v>1793</v>
      </c>
      <c r="J470" t="s">
        <v>37</v>
      </c>
      <c r="K470" t="s">
        <v>37</v>
      </c>
      <c r="L470" t="s">
        <v>39</v>
      </c>
      <c r="M470" t="s">
        <v>775</v>
      </c>
      <c r="N470" t="s">
        <v>56</v>
      </c>
      <c r="O470" t="s">
        <v>121</v>
      </c>
      <c r="P470" t="s">
        <v>38</v>
      </c>
      <c r="Q470" t="s">
        <v>38</v>
      </c>
      <c r="R470" t="s">
        <v>40</v>
      </c>
      <c r="S470" t="s">
        <v>1794</v>
      </c>
      <c r="T470" t="s">
        <v>1617</v>
      </c>
      <c r="U470" t="s">
        <v>1618</v>
      </c>
      <c r="V470" t="s">
        <v>1602</v>
      </c>
      <c r="W470" t="s">
        <v>246</v>
      </c>
      <c r="Z470" t="s">
        <v>46</v>
      </c>
      <c r="AA470" t="s">
        <v>1654</v>
      </c>
      <c r="AB470" t="s">
        <v>1630</v>
      </c>
      <c r="AC470">
        <f>COUNTIF(C:C,QLKV_gui_ket_qua_ra_soat[[#This Row],[Mã điểm bán]])</f>
        <v>1</v>
      </c>
    </row>
    <row r="471" spans="1:29" x14ac:dyDescent="0.45">
      <c r="A471" t="s">
        <v>1593</v>
      </c>
      <c r="B471">
        <v>1128</v>
      </c>
      <c r="C471" t="s">
        <v>1795</v>
      </c>
      <c r="D471" t="s">
        <v>1796</v>
      </c>
      <c r="E471" t="s">
        <v>1797</v>
      </c>
      <c r="F471" t="s">
        <v>1798</v>
      </c>
      <c r="G471" t="s">
        <v>34</v>
      </c>
      <c r="H471" t="s">
        <v>1188</v>
      </c>
      <c r="I471" t="s">
        <v>1799</v>
      </c>
      <c r="J471" t="s">
        <v>37</v>
      </c>
      <c r="K471" t="s">
        <v>37</v>
      </c>
      <c r="L471" t="s">
        <v>39</v>
      </c>
      <c r="M471" t="s">
        <v>775</v>
      </c>
      <c r="N471" t="s">
        <v>1034</v>
      </c>
      <c r="O471" t="s">
        <v>39</v>
      </c>
      <c r="P471" t="s">
        <v>38</v>
      </c>
      <c r="Q471" t="s">
        <v>38</v>
      </c>
      <c r="R471" t="s">
        <v>40</v>
      </c>
      <c r="S471" t="s">
        <v>41</v>
      </c>
      <c r="T471" t="s">
        <v>1617</v>
      </c>
      <c r="U471" t="s">
        <v>1618</v>
      </c>
      <c r="V471" t="s">
        <v>1602</v>
      </c>
      <c r="W471" t="s">
        <v>246</v>
      </c>
      <c r="Z471" t="s">
        <v>46</v>
      </c>
      <c r="AA471" t="s">
        <v>1654</v>
      </c>
      <c r="AB471" t="s">
        <v>1630</v>
      </c>
      <c r="AC471">
        <f>COUNTIF(C:C,QLKV_gui_ket_qua_ra_soat[[#This Row],[Mã điểm bán]])</f>
        <v>1</v>
      </c>
    </row>
    <row r="472" spans="1:29" x14ac:dyDescent="0.45">
      <c r="A472" t="s">
        <v>1593</v>
      </c>
      <c r="B472">
        <v>1136</v>
      </c>
      <c r="C472" t="s">
        <v>1800</v>
      </c>
      <c r="D472" t="s">
        <v>1801</v>
      </c>
      <c r="E472" t="s">
        <v>1803</v>
      </c>
      <c r="F472" t="s">
        <v>1804</v>
      </c>
      <c r="G472" t="s">
        <v>34</v>
      </c>
      <c r="H472" t="s">
        <v>685</v>
      </c>
      <c r="I472" t="s">
        <v>1805</v>
      </c>
      <c r="J472" t="s">
        <v>37</v>
      </c>
      <c r="K472" t="s">
        <v>37</v>
      </c>
      <c r="L472" t="s">
        <v>39</v>
      </c>
      <c r="M472" t="s">
        <v>775</v>
      </c>
      <c r="N472" t="s">
        <v>38</v>
      </c>
      <c r="O472" t="s">
        <v>121</v>
      </c>
      <c r="P472" t="s">
        <v>38</v>
      </c>
      <c r="Q472" t="s">
        <v>38</v>
      </c>
      <c r="R472" t="s">
        <v>39</v>
      </c>
      <c r="S472" t="s">
        <v>41</v>
      </c>
      <c r="T472" t="s">
        <v>1651</v>
      </c>
      <c r="U472" t="s">
        <v>1652</v>
      </c>
      <c r="V472" t="s">
        <v>1602</v>
      </c>
      <c r="W472" t="s">
        <v>1653</v>
      </c>
      <c r="X472" t="s">
        <v>46</v>
      </c>
      <c r="AC472">
        <f>COUNTIF(C:C,QLKV_gui_ket_qua_ra_soat[[#This Row],[Mã điểm bán]])</f>
        <v>1</v>
      </c>
    </row>
    <row r="473" spans="1:29" x14ac:dyDescent="0.45">
      <c r="A473" t="s">
        <v>1593</v>
      </c>
      <c r="B473">
        <v>1201</v>
      </c>
      <c r="C473" t="s">
        <v>1806</v>
      </c>
      <c r="D473" t="s">
        <v>1807</v>
      </c>
      <c r="E473" t="s">
        <v>1808</v>
      </c>
      <c r="F473" t="s">
        <v>166</v>
      </c>
      <c r="G473" t="s">
        <v>34</v>
      </c>
      <c r="H473" t="s">
        <v>35</v>
      </c>
      <c r="I473" t="s">
        <v>1809</v>
      </c>
      <c r="J473" t="s">
        <v>38</v>
      </c>
      <c r="K473" t="s">
        <v>38</v>
      </c>
      <c r="L473" t="s">
        <v>40</v>
      </c>
      <c r="M473" t="s">
        <v>37</v>
      </c>
      <c r="N473" t="s">
        <v>37</v>
      </c>
      <c r="O473" t="s">
        <v>39</v>
      </c>
      <c r="P473" t="s">
        <v>38</v>
      </c>
      <c r="Q473" t="s">
        <v>38</v>
      </c>
      <c r="R473" t="s">
        <v>40</v>
      </c>
      <c r="S473" t="s">
        <v>41</v>
      </c>
      <c r="T473" t="s">
        <v>1767</v>
      </c>
      <c r="U473" t="s">
        <v>1718</v>
      </c>
      <c r="V473" t="s">
        <v>1602</v>
      </c>
      <c r="W473" t="s">
        <v>81</v>
      </c>
      <c r="Z473" t="s">
        <v>46</v>
      </c>
      <c r="AA473" t="s">
        <v>1630</v>
      </c>
      <c r="AC473">
        <f>COUNTIF(C:C,QLKV_gui_ket_qua_ra_soat[[#This Row],[Mã điểm bán]])</f>
        <v>1</v>
      </c>
    </row>
    <row r="474" spans="1:29" x14ac:dyDescent="0.45">
      <c r="A474" t="s">
        <v>1593</v>
      </c>
      <c r="B474">
        <v>1216</v>
      </c>
      <c r="C474" t="s">
        <v>1810</v>
      </c>
      <c r="D474" t="s">
        <v>1811</v>
      </c>
      <c r="E474" t="s">
        <v>1813</v>
      </c>
      <c r="F474" t="s">
        <v>1814</v>
      </c>
      <c r="G474" t="s">
        <v>34</v>
      </c>
      <c r="H474" t="s">
        <v>214</v>
      </c>
      <c r="I474" t="s">
        <v>1815</v>
      </c>
      <c r="J474" t="s">
        <v>56</v>
      </c>
      <c r="K474" t="s">
        <v>37</v>
      </c>
      <c r="L474" t="s">
        <v>39</v>
      </c>
      <c r="M474" t="s">
        <v>1034</v>
      </c>
      <c r="N474" t="s">
        <v>775</v>
      </c>
      <c r="O474" t="s">
        <v>121</v>
      </c>
      <c r="P474" t="s">
        <v>38</v>
      </c>
      <c r="Q474" t="s">
        <v>38</v>
      </c>
      <c r="R474" t="s">
        <v>40</v>
      </c>
      <c r="S474" t="s">
        <v>1816</v>
      </c>
      <c r="T474" t="s">
        <v>1617</v>
      </c>
      <c r="U474" t="s">
        <v>1618</v>
      </c>
      <c r="V474" t="s">
        <v>1602</v>
      </c>
      <c r="W474" t="s">
        <v>246</v>
      </c>
      <c r="X474" t="s">
        <v>46</v>
      </c>
      <c r="AC474">
        <f>COUNTIF(C:C,QLKV_gui_ket_qua_ra_soat[[#This Row],[Mã điểm bán]])</f>
        <v>1</v>
      </c>
    </row>
    <row r="475" spans="1:29" x14ac:dyDescent="0.45">
      <c r="A475" t="s">
        <v>1593</v>
      </c>
      <c r="B475">
        <v>1229</v>
      </c>
      <c r="C475" t="s">
        <v>1817</v>
      </c>
      <c r="D475" t="s">
        <v>1818</v>
      </c>
      <c r="E475" t="s">
        <v>1819</v>
      </c>
      <c r="F475" t="s">
        <v>417</v>
      </c>
      <c r="G475" t="s">
        <v>34</v>
      </c>
      <c r="H475" t="s">
        <v>931</v>
      </c>
      <c r="I475" t="s">
        <v>1820</v>
      </c>
      <c r="J475" t="s">
        <v>56</v>
      </c>
      <c r="K475" t="s">
        <v>56</v>
      </c>
      <c r="L475" t="s">
        <v>39</v>
      </c>
      <c r="M475" t="s">
        <v>56</v>
      </c>
      <c r="N475" t="s">
        <v>56</v>
      </c>
      <c r="O475" t="s">
        <v>39</v>
      </c>
      <c r="P475" t="s">
        <v>56</v>
      </c>
      <c r="Q475" t="s">
        <v>56</v>
      </c>
      <c r="R475" t="s">
        <v>39</v>
      </c>
      <c r="S475" t="s">
        <v>41</v>
      </c>
      <c r="T475" t="s">
        <v>1717</v>
      </c>
      <c r="U475" t="s">
        <v>1718</v>
      </c>
      <c r="V475" t="s">
        <v>1602</v>
      </c>
      <c r="W475" t="s">
        <v>1719</v>
      </c>
      <c r="X475" t="s">
        <v>46</v>
      </c>
      <c r="AC475">
        <f>COUNTIF(C:C,QLKV_gui_ket_qua_ra_soat[[#This Row],[Mã điểm bán]])</f>
        <v>1</v>
      </c>
    </row>
    <row r="476" spans="1:29" x14ac:dyDescent="0.45">
      <c r="A476" t="s">
        <v>1593</v>
      </c>
      <c r="B476">
        <v>1294</v>
      </c>
      <c r="C476" t="s">
        <v>1825</v>
      </c>
      <c r="D476" t="s">
        <v>1826</v>
      </c>
      <c r="E476" t="s">
        <v>181</v>
      </c>
      <c r="F476" t="s">
        <v>1827</v>
      </c>
      <c r="G476" t="s">
        <v>34</v>
      </c>
      <c r="H476" t="s">
        <v>214</v>
      </c>
      <c r="I476" t="s">
        <v>1828</v>
      </c>
      <c r="J476" t="s">
        <v>56</v>
      </c>
      <c r="K476" t="s">
        <v>37</v>
      </c>
      <c r="L476" t="s">
        <v>40</v>
      </c>
      <c r="M476" t="s">
        <v>1034</v>
      </c>
      <c r="N476" t="s">
        <v>775</v>
      </c>
      <c r="O476" t="s">
        <v>121</v>
      </c>
      <c r="P476" t="s">
        <v>38</v>
      </c>
      <c r="Q476" t="s">
        <v>38</v>
      </c>
      <c r="R476" t="s">
        <v>40</v>
      </c>
      <c r="S476" t="s">
        <v>1829</v>
      </c>
      <c r="T476" t="s">
        <v>1617</v>
      </c>
      <c r="U476" t="s">
        <v>1618</v>
      </c>
      <c r="V476" t="s">
        <v>1602</v>
      </c>
      <c r="W476" t="s">
        <v>246</v>
      </c>
      <c r="X476" t="s">
        <v>46</v>
      </c>
      <c r="AC476">
        <f>COUNTIF(C:C,QLKV_gui_ket_qua_ra_soat[[#This Row],[Mã điểm bán]])</f>
        <v>1</v>
      </c>
    </row>
    <row r="477" spans="1:29" x14ac:dyDescent="0.45">
      <c r="A477" t="s">
        <v>1593</v>
      </c>
      <c r="B477">
        <v>1311</v>
      </c>
      <c r="C477" t="s">
        <v>1830</v>
      </c>
      <c r="D477" t="s">
        <v>1831</v>
      </c>
      <c r="E477" t="s">
        <v>1832</v>
      </c>
      <c r="F477" t="s">
        <v>1833</v>
      </c>
      <c r="G477" t="s">
        <v>34</v>
      </c>
      <c r="H477" t="s">
        <v>1177</v>
      </c>
      <c r="I477" t="s">
        <v>1834</v>
      </c>
      <c r="J477" t="s">
        <v>37</v>
      </c>
      <c r="K477" t="s">
        <v>37</v>
      </c>
      <c r="L477" t="s">
        <v>40</v>
      </c>
      <c r="M477" t="s">
        <v>56</v>
      </c>
      <c r="N477" t="s">
        <v>56</v>
      </c>
      <c r="O477" t="s">
        <v>39</v>
      </c>
      <c r="P477" t="s">
        <v>38</v>
      </c>
      <c r="Q477" t="s">
        <v>37</v>
      </c>
      <c r="R477" t="s">
        <v>39</v>
      </c>
      <c r="S477" t="s">
        <v>41</v>
      </c>
      <c r="T477" t="s">
        <v>1641</v>
      </c>
      <c r="U477" t="s">
        <v>1642</v>
      </c>
      <c r="V477" t="s">
        <v>1602</v>
      </c>
      <c r="W477" t="s">
        <v>45</v>
      </c>
      <c r="X477" t="s">
        <v>46</v>
      </c>
      <c r="AC477">
        <f>COUNTIF(C:C,QLKV_gui_ket_qua_ra_soat[[#This Row],[Mã điểm bán]])</f>
        <v>1</v>
      </c>
    </row>
    <row r="478" spans="1:29" x14ac:dyDescent="0.45">
      <c r="A478" t="s">
        <v>1593</v>
      </c>
      <c r="B478">
        <v>1374</v>
      </c>
      <c r="C478" t="s">
        <v>1835</v>
      </c>
      <c r="D478" t="s">
        <v>1836</v>
      </c>
      <c r="E478" t="s">
        <v>127</v>
      </c>
      <c r="F478" t="s">
        <v>166</v>
      </c>
      <c r="G478" t="s">
        <v>150</v>
      </c>
      <c r="H478" t="s">
        <v>54</v>
      </c>
      <c r="I478" t="s">
        <v>1838</v>
      </c>
      <c r="J478" t="s">
        <v>38</v>
      </c>
      <c r="K478" t="s">
        <v>38</v>
      </c>
      <c r="L478" t="s">
        <v>40</v>
      </c>
      <c r="M478" t="s">
        <v>37</v>
      </c>
      <c r="N478" t="s">
        <v>37</v>
      </c>
      <c r="O478" t="s">
        <v>39</v>
      </c>
      <c r="P478" t="s">
        <v>38</v>
      </c>
      <c r="Q478" t="s">
        <v>38</v>
      </c>
      <c r="R478" t="s">
        <v>39</v>
      </c>
      <c r="S478" t="s">
        <v>41</v>
      </c>
      <c r="T478" t="s">
        <v>1626</v>
      </c>
      <c r="U478" t="s">
        <v>1627</v>
      </c>
      <c r="V478" t="s">
        <v>1602</v>
      </c>
      <c r="W478" t="s">
        <v>1628</v>
      </c>
      <c r="X478" t="s">
        <v>46</v>
      </c>
      <c r="AC478">
        <f>COUNTIF(C:C,QLKV_gui_ket_qua_ra_soat[[#This Row],[Mã điểm bán]])</f>
        <v>1</v>
      </c>
    </row>
    <row r="479" spans="1:29" x14ac:dyDescent="0.45">
      <c r="A479" t="s">
        <v>1593</v>
      </c>
      <c r="B479">
        <v>1378</v>
      </c>
      <c r="C479" t="s">
        <v>1839</v>
      </c>
      <c r="D479" t="s">
        <v>1840</v>
      </c>
      <c r="E479" t="s">
        <v>212</v>
      </c>
      <c r="F479" t="s">
        <v>325</v>
      </c>
      <c r="G479" t="s">
        <v>150</v>
      </c>
      <c r="H479" t="s">
        <v>54</v>
      </c>
      <c r="I479" t="s">
        <v>1841</v>
      </c>
      <c r="J479" t="s">
        <v>38</v>
      </c>
      <c r="K479" t="s">
        <v>38</v>
      </c>
      <c r="L479" t="s">
        <v>40</v>
      </c>
      <c r="M479" t="s">
        <v>56</v>
      </c>
      <c r="N479" t="s">
        <v>56</v>
      </c>
      <c r="O479" t="s">
        <v>39</v>
      </c>
      <c r="P479" t="s">
        <v>38</v>
      </c>
      <c r="Q479" t="s">
        <v>38</v>
      </c>
      <c r="R479" t="s">
        <v>39</v>
      </c>
      <c r="S479" t="s">
        <v>41</v>
      </c>
      <c r="T479" t="s">
        <v>1626</v>
      </c>
      <c r="U479" t="s">
        <v>1627</v>
      </c>
      <c r="V479" t="s">
        <v>1602</v>
      </c>
      <c r="W479" t="s">
        <v>1628</v>
      </c>
      <c r="Z479" t="s">
        <v>46</v>
      </c>
      <c r="AA479" t="s">
        <v>1842</v>
      </c>
      <c r="AB479" t="s">
        <v>1630</v>
      </c>
      <c r="AC479">
        <f>COUNTIF(C:C,QLKV_gui_ket_qua_ra_soat[[#This Row],[Mã điểm bán]])</f>
        <v>1</v>
      </c>
    </row>
    <row r="480" spans="1:29" x14ac:dyDescent="0.45">
      <c r="A480" t="s">
        <v>1593</v>
      </c>
      <c r="B480">
        <v>1393</v>
      </c>
      <c r="C480" t="s">
        <v>1843</v>
      </c>
      <c r="D480" t="s">
        <v>1844</v>
      </c>
      <c r="E480" t="s">
        <v>127</v>
      </c>
      <c r="F480" t="s">
        <v>1676</v>
      </c>
      <c r="G480" t="s">
        <v>150</v>
      </c>
      <c r="H480" t="s">
        <v>214</v>
      </c>
      <c r="I480" t="s">
        <v>1845</v>
      </c>
      <c r="J480" t="s">
        <v>38</v>
      </c>
      <c r="K480" t="s">
        <v>38</v>
      </c>
      <c r="L480" t="s">
        <v>40</v>
      </c>
      <c r="M480" t="s">
        <v>37</v>
      </c>
      <c r="N480" t="s">
        <v>37</v>
      </c>
      <c r="O480" t="s">
        <v>39</v>
      </c>
      <c r="P480" t="s">
        <v>38</v>
      </c>
      <c r="Q480" t="s">
        <v>38</v>
      </c>
      <c r="R480" t="s">
        <v>39</v>
      </c>
      <c r="S480" t="s">
        <v>41</v>
      </c>
      <c r="T480" t="s">
        <v>1626</v>
      </c>
      <c r="U480" t="s">
        <v>1627</v>
      </c>
      <c r="V480" t="s">
        <v>1602</v>
      </c>
      <c r="W480" t="s">
        <v>1628</v>
      </c>
      <c r="Z480" t="s">
        <v>46</v>
      </c>
      <c r="AA480" t="s">
        <v>1842</v>
      </c>
      <c r="AB480" t="s">
        <v>1630</v>
      </c>
      <c r="AC480">
        <f>COUNTIF(C:C,QLKV_gui_ket_qua_ra_soat[[#This Row],[Mã điểm bán]])</f>
        <v>1</v>
      </c>
    </row>
    <row r="481" spans="1:29" x14ac:dyDescent="0.45">
      <c r="A481" t="s">
        <v>1593</v>
      </c>
      <c r="B481">
        <v>1395</v>
      </c>
      <c r="C481" t="s">
        <v>1846</v>
      </c>
      <c r="D481" t="s">
        <v>1847</v>
      </c>
      <c r="E481" t="s">
        <v>1848</v>
      </c>
      <c r="F481" t="s">
        <v>53</v>
      </c>
      <c r="G481" t="s">
        <v>1624</v>
      </c>
      <c r="H481" t="s">
        <v>685</v>
      </c>
      <c r="I481" t="s">
        <v>1849</v>
      </c>
      <c r="J481" t="s">
        <v>38</v>
      </c>
      <c r="K481" t="s">
        <v>38</v>
      </c>
      <c r="L481" t="s">
        <v>40</v>
      </c>
      <c r="M481" t="s">
        <v>56</v>
      </c>
      <c r="N481" t="s">
        <v>56</v>
      </c>
      <c r="O481" t="s">
        <v>39</v>
      </c>
      <c r="P481" t="s">
        <v>38</v>
      </c>
      <c r="Q481" t="s">
        <v>38</v>
      </c>
      <c r="R481" t="s">
        <v>39</v>
      </c>
      <c r="S481" t="s">
        <v>41</v>
      </c>
      <c r="T481" t="s">
        <v>1626</v>
      </c>
      <c r="U481" t="s">
        <v>1627</v>
      </c>
      <c r="V481" t="s">
        <v>1602</v>
      </c>
      <c r="W481" t="s">
        <v>1628</v>
      </c>
      <c r="Z481" t="s">
        <v>46</v>
      </c>
      <c r="AA481" t="s">
        <v>1842</v>
      </c>
      <c r="AB481" t="s">
        <v>1630</v>
      </c>
      <c r="AC481">
        <f>COUNTIF(C:C,QLKV_gui_ket_qua_ra_soat[[#This Row],[Mã điểm bán]])</f>
        <v>1</v>
      </c>
    </row>
    <row r="482" spans="1:29" x14ac:dyDescent="0.45">
      <c r="A482" t="s">
        <v>1593</v>
      </c>
      <c r="B482">
        <v>1451</v>
      </c>
      <c r="C482" t="s">
        <v>1850</v>
      </c>
      <c r="D482" t="s">
        <v>1851</v>
      </c>
      <c r="E482" t="s">
        <v>1852</v>
      </c>
      <c r="F482" t="s">
        <v>1833</v>
      </c>
      <c r="G482" t="s">
        <v>34</v>
      </c>
      <c r="H482" t="s">
        <v>1188</v>
      </c>
      <c r="I482" t="s">
        <v>1853</v>
      </c>
      <c r="J482" t="s">
        <v>56</v>
      </c>
      <c r="K482" t="s">
        <v>37</v>
      </c>
      <c r="L482" t="s">
        <v>39</v>
      </c>
      <c r="M482" t="s">
        <v>775</v>
      </c>
      <c r="N482" t="s">
        <v>775</v>
      </c>
      <c r="O482" t="s">
        <v>121</v>
      </c>
      <c r="P482" t="s">
        <v>38</v>
      </c>
      <c r="Q482" t="s">
        <v>38</v>
      </c>
      <c r="R482" t="s">
        <v>40</v>
      </c>
      <c r="S482" t="s">
        <v>1854</v>
      </c>
      <c r="T482" t="s">
        <v>1617</v>
      </c>
      <c r="U482" t="s">
        <v>1618</v>
      </c>
      <c r="V482" t="s">
        <v>1602</v>
      </c>
      <c r="W482" t="s">
        <v>246</v>
      </c>
      <c r="X482" t="s">
        <v>46</v>
      </c>
      <c r="AC482">
        <f>COUNTIF(C:C,QLKV_gui_ket_qua_ra_soat[[#This Row],[Mã điểm bán]])</f>
        <v>1</v>
      </c>
    </row>
    <row r="483" spans="1:29" x14ac:dyDescent="0.45">
      <c r="A483" t="s">
        <v>1593</v>
      </c>
      <c r="B483">
        <v>1461</v>
      </c>
      <c r="C483" t="s">
        <v>1855</v>
      </c>
      <c r="D483" t="s">
        <v>1856</v>
      </c>
      <c r="E483" t="s">
        <v>285</v>
      </c>
      <c r="F483" t="s">
        <v>53</v>
      </c>
      <c r="G483" t="s">
        <v>34</v>
      </c>
      <c r="H483" t="s">
        <v>171</v>
      </c>
      <c r="I483" t="s">
        <v>1857</v>
      </c>
      <c r="J483" t="s">
        <v>37</v>
      </c>
      <c r="K483" t="s">
        <v>38</v>
      </c>
      <c r="L483" t="s">
        <v>39</v>
      </c>
      <c r="M483" t="s">
        <v>775</v>
      </c>
      <c r="N483" t="s">
        <v>1034</v>
      </c>
      <c r="O483" t="s">
        <v>39</v>
      </c>
      <c r="P483" t="s">
        <v>38</v>
      </c>
      <c r="Q483" t="s">
        <v>38</v>
      </c>
      <c r="R483" t="s">
        <v>40</v>
      </c>
      <c r="S483" t="s">
        <v>41</v>
      </c>
      <c r="T483" t="s">
        <v>1617</v>
      </c>
      <c r="U483" t="s">
        <v>1618</v>
      </c>
      <c r="V483" t="s">
        <v>1602</v>
      </c>
      <c r="W483" t="s">
        <v>246</v>
      </c>
      <c r="Z483" t="s">
        <v>46</v>
      </c>
      <c r="AA483" t="s">
        <v>1630</v>
      </c>
      <c r="AB483" t="s">
        <v>1672</v>
      </c>
      <c r="AC483">
        <f>COUNTIF(C:C,QLKV_gui_ket_qua_ra_soat[[#This Row],[Mã điểm bán]])</f>
        <v>1</v>
      </c>
    </row>
    <row r="484" spans="1:29" x14ac:dyDescent="0.45">
      <c r="A484" t="s">
        <v>1593</v>
      </c>
      <c r="B484">
        <v>1499</v>
      </c>
      <c r="C484" t="s">
        <v>1863</v>
      </c>
      <c r="D484" t="s">
        <v>1864</v>
      </c>
      <c r="E484" t="s">
        <v>1866</v>
      </c>
      <c r="F484" t="s">
        <v>325</v>
      </c>
      <c r="G484" t="s">
        <v>1624</v>
      </c>
      <c r="H484" t="s">
        <v>214</v>
      </c>
      <c r="I484" t="s">
        <v>1867</v>
      </c>
      <c r="J484" t="s">
        <v>38</v>
      </c>
      <c r="K484" t="s">
        <v>38</v>
      </c>
      <c r="L484" t="s">
        <v>39</v>
      </c>
      <c r="M484" t="s">
        <v>56</v>
      </c>
      <c r="N484" t="s">
        <v>56</v>
      </c>
      <c r="O484" t="s">
        <v>39</v>
      </c>
      <c r="P484" t="s">
        <v>38</v>
      </c>
      <c r="Q484" t="s">
        <v>37</v>
      </c>
      <c r="R484" t="s">
        <v>39</v>
      </c>
      <c r="S484" t="s">
        <v>41</v>
      </c>
      <c r="T484" t="s">
        <v>1626</v>
      </c>
      <c r="U484" t="s">
        <v>1627</v>
      </c>
      <c r="V484" t="s">
        <v>1602</v>
      </c>
      <c r="W484" t="s">
        <v>1628</v>
      </c>
      <c r="Z484" t="s">
        <v>46</v>
      </c>
      <c r="AA484" t="s">
        <v>1842</v>
      </c>
      <c r="AB484" t="s">
        <v>1630</v>
      </c>
      <c r="AC484">
        <f>COUNTIF(C:C,QLKV_gui_ket_qua_ra_soat[[#This Row],[Mã điểm bán]])</f>
        <v>1</v>
      </c>
    </row>
    <row r="485" spans="1:29" x14ac:dyDescent="0.45">
      <c r="A485" t="s">
        <v>1593</v>
      </c>
      <c r="B485">
        <v>1506</v>
      </c>
      <c r="C485" t="s">
        <v>1868</v>
      </c>
      <c r="D485" t="s">
        <v>1869</v>
      </c>
      <c r="E485" t="s">
        <v>674</v>
      </c>
      <c r="F485" t="s">
        <v>1871</v>
      </c>
      <c r="G485" t="s">
        <v>1624</v>
      </c>
      <c r="H485" t="s">
        <v>54</v>
      </c>
      <c r="I485" t="s">
        <v>1700</v>
      </c>
      <c r="J485" t="s">
        <v>38</v>
      </c>
      <c r="K485" t="s">
        <v>38</v>
      </c>
      <c r="L485" t="s">
        <v>39</v>
      </c>
      <c r="M485" t="s">
        <v>56</v>
      </c>
      <c r="N485" t="s">
        <v>56</v>
      </c>
      <c r="O485" t="s">
        <v>39</v>
      </c>
      <c r="P485" t="s">
        <v>38</v>
      </c>
      <c r="Q485" t="s">
        <v>37</v>
      </c>
      <c r="R485" t="s">
        <v>39</v>
      </c>
      <c r="S485" t="s">
        <v>41</v>
      </c>
      <c r="T485" t="s">
        <v>1626</v>
      </c>
      <c r="U485" t="s">
        <v>1627</v>
      </c>
      <c r="V485" t="s">
        <v>1602</v>
      </c>
      <c r="W485" t="s">
        <v>1628</v>
      </c>
      <c r="Z485" t="s">
        <v>46</v>
      </c>
      <c r="AA485" t="s">
        <v>1842</v>
      </c>
      <c r="AB485" t="s">
        <v>1630</v>
      </c>
      <c r="AC485">
        <f>COUNTIF(C:C,QLKV_gui_ket_qua_ra_soat[[#This Row],[Mã điểm bán]])</f>
        <v>1</v>
      </c>
    </row>
    <row r="486" spans="1:29" x14ac:dyDescent="0.45">
      <c r="A486" t="s">
        <v>1593</v>
      </c>
      <c r="B486">
        <v>1518</v>
      </c>
      <c r="C486" t="s">
        <v>1872</v>
      </c>
      <c r="D486" t="s">
        <v>1873</v>
      </c>
      <c r="E486" t="s">
        <v>563</v>
      </c>
      <c r="F486" t="s">
        <v>53</v>
      </c>
      <c r="G486" t="s">
        <v>1624</v>
      </c>
      <c r="H486" t="s">
        <v>54</v>
      </c>
      <c r="I486" t="s">
        <v>1874</v>
      </c>
      <c r="J486" t="s">
        <v>38</v>
      </c>
      <c r="K486" t="s">
        <v>38</v>
      </c>
      <c r="L486" t="s">
        <v>39</v>
      </c>
      <c r="M486" t="s">
        <v>56</v>
      </c>
      <c r="N486" t="s">
        <v>56</v>
      </c>
      <c r="O486" t="s">
        <v>39</v>
      </c>
      <c r="P486" t="s">
        <v>37</v>
      </c>
      <c r="Q486" t="s">
        <v>37</v>
      </c>
      <c r="R486" t="s">
        <v>39</v>
      </c>
      <c r="S486" t="s">
        <v>41</v>
      </c>
      <c r="T486" t="s">
        <v>1626</v>
      </c>
      <c r="U486" t="s">
        <v>1627</v>
      </c>
      <c r="V486" t="s">
        <v>1602</v>
      </c>
      <c r="W486" t="s">
        <v>1628</v>
      </c>
      <c r="Z486" t="s">
        <v>46</v>
      </c>
      <c r="AA486" t="s">
        <v>1842</v>
      </c>
      <c r="AB486" t="s">
        <v>1630</v>
      </c>
      <c r="AC486">
        <f>COUNTIF(C:C,QLKV_gui_ket_qua_ra_soat[[#This Row],[Mã điểm bán]])</f>
        <v>1</v>
      </c>
    </row>
    <row r="487" spans="1:29" x14ac:dyDescent="0.45">
      <c r="A487" t="s">
        <v>1593</v>
      </c>
      <c r="B487">
        <v>1528</v>
      </c>
      <c r="C487" t="s">
        <v>1875</v>
      </c>
      <c r="D487" t="s">
        <v>1876</v>
      </c>
      <c r="E487" t="s">
        <v>1812</v>
      </c>
      <c r="F487" t="s">
        <v>166</v>
      </c>
      <c r="G487" t="s">
        <v>177</v>
      </c>
      <c r="H487" t="s">
        <v>1877</v>
      </c>
      <c r="I487" t="s">
        <v>1878</v>
      </c>
      <c r="J487" t="s">
        <v>37</v>
      </c>
      <c r="K487" t="s">
        <v>56</v>
      </c>
      <c r="L487" t="s">
        <v>40</v>
      </c>
      <c r="M487" t="s">
        <v>775</v>
      </c>
      <c r="N487" t="s">
        <v>775</v>
      </c>
      <c r="O487" t="s">
        <v>39</v>
      </c>
      <c r="P487" t="s">
        <v>38</v>
      </c>
      <c r="Q487" t="s">
        <v>38</v>
      </c>
      <c r="R487" t="s">
        <v>39</v>
      </c>
      <c r="S487" t="s">
        <v>41</v>
      </c>
      <c r="T487" t="s">
        <v>1626</v>
      </c>
      <c r="U487" t="s">
        <v>1627</v>
      </c>
      <c r="V487" t="s">
        <v>1602</v>
      </c>
      <c r="W487" t="s">
        <v>1628</v>
      </c>
      <c r="Z487" t="s">
        <v>46</v>
      </c>
      <c r="AA487" t="s">
        <v>1842</v>
      </c>
      <c r="AB487" t="s">
        <v>1630</v>
      </c>
      <c r="AC487">
        <f>COUNTIF(C:C,QLKV_gui_ket_qua_ra_soat[[#This Row],[Mã điểm bán]])</f>
        <v>1</v>
      </c>
    </row>
    <row r="488" spans="1:29" x14ac:dyDescent="0.45">
      <c r="A488" t="s">
        <v>1593</v>
      </c>
      <c r="B488">
        <v>1626</v>
      </c>
      <c r="C488" t="s">
        <v>1884</v>
      </c>
      <c r="D488" t="s">
        <v>1885</v>
      </c>
      <c r="E488" t="s">
        <v>1881</v>
      </c>
      <c r="F488" t="s">
        <v>1887</v>
      </c>
      <c r="G488" t="s">
        <v>34</v>
      </c>
      <c r="H488" t="s">
        <v>1877</v>
      </c>
      <c r="I488" t="s">
        <v>1888</v>
      </c>
      <c r="J488" t="s">
        <v>37</v>
      </c>
      <c r="K488" t="s">
        <v>56</v>
      </c>
      <c r="L488" t="s">
        <v>39</v>
      </c>
      <c r="M488" t="s">
        <v>37</v>
      </c>
      <c r="N488" t="s">
        <v>37</v>
      </c>
      <c r="O488" t="s">
        <v>39</v>
      </c>
      <c r="P488" t="s">
        <v>37</v>
      </c>
      <c r="Q488" t="s">
        <v>37</v>
      </c>
      <c r="R488" t="s">
        <v>39</v>
      </c>
      <c r="S488" t="s">
        <v>1889</v>
      </c>
      <c r="T488" t="s">
        <v>1641</v>
      </c>
      <c r="U488" t="s">
        <v>1642</v>
      </c>
      <c r="V488" t="s">
        <v>1602</v>
      </c>
      <c r="W488" t="s">
        <v>105</v>
      </c>
      <c r="Z488" t="s">
        <v>46</v>
      </c>
      <c r="AA488" t="s">
        <v>1643</v>
      </c>
      <c r="AC488">
        <f>COUNTIF(C:C,QLKV_gui_ket_qua_ra_soat[[#This Row],[Mã điểm bán]])</f>
        <v>1</v>
      </c>
    </row>
    <row r="489" spans="1:29" x14ac:dyDescent="0.45">
      <c r="A489" t="s">
        <v>1593</v>
      </c>
      <c r="B489">
        <v>1584</v>
      </c>
      <c r="C489" t="s">
        <v>1890</v>
      </c>
      <c r="D489" t="s">
        <v>1891</v>
      </c>
      <c r="E489" t="s">
        <v>1892</v>
      </c>
      <c r="F489" t="s">
        <v>115</v>
      </c>
      <c r="G489" t="s">
        <v>34</v>
      </c>
      <c r="H489" t="s">
        <v>917</v>
      </c>
      <c r="J489" t="s">
        <v>38</v>
      </c>
      <c r="K489" t="s">
        <v>38</v>
      </c>
      <c r="L489" t="s">
        <v>40</v>
      </c>
      <c r="M489" t="s">
        <v>38</v>
      </c>
      <c r="N489" t="s">
        <v>38</v>
      </c>
      <c r="O489" t="s">
        <v>40</v>
      </c>
      <c r="P489" t="s">
        <v>38</v>
      </c>
      <c r="Q489" t="s">
        <v>38</v>
      </c>
      <c r="R489" t="s">
        <v>40</v>
      </c>
      <c r="S489" t="s">
        <v>1893</v>
      </c>
      <c r="T489" t="s">
        <v>1894</v>
      </c>
      <c r="U489" t="s">
        <v>1895</v>
      </c>
      <c r="V489" t="s">
        <v>1602</v>
      </c>
      <c r="W489" t="s">
        <v>1896</v>
      </c>
      <c r="X489" t="s">
        <v>46</v>
      </c>
      <c r="AC489">
        <f>COUNTIF(C:C,QLKV_gui_ket_qua_ra_soat[[#This Row],[Mã điểm bán]])</f>
        <v>1</v>
      </c>
    </row>
    <row r="490" spans="1:29" x14ac:dyDescent="0.45">
      <c r="A490" t="s">
        <v>1593</v>
      </c>
      <c r="B490">
        <v>1685</v>
      </c>
      <c r="C490" t="s">
        <v>1897</v>
      </c>
      <c r="D490" t="s">
        <v>1898</v>
      </c>
      <c r="E490" t="s">
        <v>1735</v>
      </c>
      <c r="F490" t="s">
        <v>325</v>
      </c>
      <c r="G490" t="s">
        <v>1624</v>
      </c>
      <c r="H490" t="s">
        <v>214</v>
      </c>
      <c r="I490" t="s">
        <v>1899</v>
      </c>
      <c r="J490" t="s">
        <v>38</v>
      </c>
      <c r="K490" t="s">
        <v>38</v>
      </c>
      <c r="L490" t="s">
        <v>39</v>
      </c>
      <c r="M490" t="s">
        <v>37</v>
      </c>
      <c r="N490" t="s">
        <v>37</v>
      </c>
      <c r="O490" t="s">
        <v>39</v>
      </c>
      <c r="P490" t="s">
        <v>38</v>
      </c>
      <c r="Q490" t="s">
        <v>38</v>
      </c>
      <c r="R490" t="s">
        <v>39</v>
      </c>
      <c r="S490" t="s">
        <v>41</v>
      </c>
      <c r="T490" t="s">
        <v>1626</v>
      </c>
      <c r="U490" t="s">
        <v>1627</v>
      </c>
      <c r="V490" t="s">
        <v>1602</v>
      </c>
      <c r="W490" t="s">
        <v>1628</v>
      </c>
      <c r="X490" t="s">
        <v>46</v>
      </c>
      <c r="AC490">
        <f>COUNTIF(C:C,QLKV_gui_ket_qua_ra_soat[[#This Row],[Mã điểm bán]])</f>
        <v>1</v>
      </c>
    </row>
    <row r="491" spans="1:29" x14ac:dyDescent="0.45">
      <c r="A491" t="s">
        <v>1593</v>
      </c>
      <c r="B491">
        <v>1752</v>
      </c>
      <c r="C491" t="s">
        <v>1906</v>
      </c>
      <c r="D491" t="s">
        <v>1907</v>
      </c>
      <c r="E491" t="s">
        <v>1633</v>
      </c>
      <c r="F491" t="s">
        <v>325</v>
      </c>
      <c r="G491" t="s">
        <v>1624</v>
      </c>
      <c r="H491" t="s">
        <v>402</v>
      </c>
      <c r="I491" t="s">
        <v>1909</v>
      </c>
      <c r="J491" t="s">
        <v>38</v>
      </c>
      <c r="K491" t="s">
        <v>38</v>
      </c>
      <c r="L491" t="s">
        <v>39</v>
      </c>
      <c r="M491" t="s">
        <v>37</v>
      </c>
      <c r="N491" t="s">
        <v>37</v>
      </c>
      <c r="O491" t="s">
        <v>39</v>
      </c>
      <c r="P491" t="s">
        <v>38</v>
      </c>
      <c r="Q491" t="s">
        <v>38</v>
      </c>
      <c r="R491" t="s">
        <v>39</v>
      </c>
      <c r="S491" t="s">
        <v>41</v>
      </c>
      <c r="T491" t="s">
        <v>1626</v>
      </c>
      <c r="U491" t="s">
        <v>1627</v>
      </c>
      <c r="V491" t="s">
        <v>1602</v>
      </c>
      <c r="W491" t="s">
        <v>1628</v>
      </c>
      <c r="Z491" t="s">
        <v>46</v>
      </c>
      <c r="AA491" t="s">
        <v>1842</v>
      </c>
      <c r="AB491" t="s">
        <v>1630</v>
      </c>
      <c r="AC491">
        <f>COUNTIF(C:C,QLKV_gui_ket_qua_ra_soat[[#This Row],[Mã điểm bán]])</f>
        <v>1</v>
      </c>
    </row>
    <row r="492" spans="1:29" x14ac:dyDescent="0.45">
      <c r="A492" t="s">
        <v>1593</v>
      </c>
      <c r="B492">
        <v>1793</v>
      </c>
      <c r="C492" t="s">
        <v>1910</v>
      </c>
      <c r="D492" t="s">
        <v>1911</v>
      </c>
      <c r="E492" t="s">
        <v>1913</v>
      </c>
      <c r="F492" t="s">
        <v>1914</v>
      </c>
      <c r="G492" t="s">
        <v>34</v>
      </c>
      <c r="H492" t="s">
        <v>685</v>
      </c>
      <c r="I492" t="s">
        <v>1915</v>
      </c>
      <c r="J492" t="s">
        <v>56</v>
      </c>
      <c r="K492" t="s">
        <v>38</v>
      </c>
      <c r="L492" t="s">
        <v>39</v>
      </c>
      <c r="M492" t="s">
        <v>1034</v>
      </c>
      <c r="N492" t="s">
        <v>1034</v>
      </c>
      <c r="O492" t="s">
        <v>121</v>
      </c>
      <c r="P492" t="s">
        <v>38</v>
      </c>
      <c r="Q492" t="s">
        <v>38</v>
      </c>
      <c r="R492" t="s">
        <v>39</v>
      </c>
      <c r="S492" t="s">
        <v>1916</v>
      </c>
      <c r="T492" t="s">
        <v>1617</v>
      </c>
      <c r="U492" t="s">
        <v>1618</v>
      </c>
      <c r="V492" t="s">
        <v>1602</v>
      </c>
      <c r="W492" t="s">
        <v>246</v>
      </c>
      <c r="Z492" t="s">
        <v>46</v>
      </c>
      <c r="AA492" t="s">
        <v>1654</v>
      </c>
      <c r="AB492" t="s">
        <v>159</v>
      </c>
      <c r="AC492">
        <f>COUNTIF(C:C,QLKV_gui_ket_qua_ra_soat[[#This Row],[Mã điểm bán]])</f>
        <v>1</v>
      </c>
    </row>
    <row r="493" spans="1:29" x14ac:dyDescent="0.45">
      <c r="A493" t="s">
        <v>1593</v>
      </c>
      <c r="B493">
        <v>1799</v>
      </c>
      <c r="C493" t="s">
        <v>1917</v>
      </c>
      <c r="D493" t="s">
        <v>1918</v>
      </c>
      <c r="E493" t="s">
        <v>1919</v>
      </c>
      <c r="F493" t="s">
        <v>1920</v>
      </c>
      <c r="G493" t="s">
        <v>34</v>
      </c>
      <c r="H493" t="s">
        <v>685</v>
      </c>
      <c r="I493" t="s">
        <v>1921</v>
      </c>
      <c r="J493" t="s">
        <v>56</v>
      </c>
      <c r="K493" t="s">
        <v>38</v>
      </c>
      <c r="L493" t="s">
        <v>39</v>
      </c>
      <c r="M493" t="s">
        <v>1034</v>
      </c>
      <c r="N493" t="s">
        <v>1034</v>
      </c>
      <c r="O493" t="s">
        <v>121</v>
      </c>
      <c r="P493" t="s">
        <v>38</v>
      </c>
      <c r="Q493" t="s">
        <v>38</v>
      </c>
      <c r="R493" t="s">
        <v>40</v>
      </c>
      <c r="S493" t="s">
        <v>41</v>
      </c>
      <c r="T493" t="s">
        <v>1617</v>
      </c>
      <c r="U493" t="s">
        <v>1618</v>
      </c>
      <c r="V493" t="s">
        <v>1602</v>
      </c>
      <c r="W493" t="s">
        <v>246</v>
      </c>
      <c r="Y493" t="s">
        <v>46</v>
      </c>
      <c r="AB493" t="s">
        <v>159</v>
      </c>
      <c r="AC493">
        <f>COUNTIF(C:C,QLKV_gui_ket_qua_ra_soat[[#This Row],[Mã điểm bán]])</f>
        <v>1</v>
      </c>
    </row>
    <row r="494" spans="1:29" x14ac:dyDescent="0.45">
      <c r="A494" t="s">
        <v>1593</v>
      </c>
      <c r="B494">
        <v>1806</v>
      </c>
      <c r="C494" t="s">
        <v>1922</v>
      </c>
      <c r="D494" t="s">
        <v>1923</v>
      </c>
      <c r="E494" t="s">
        <v>1554</v>
      </c>
      <c r="F494" t="s">
        <v>1804</v>
      </c>
      <c r="G494" t="s">
        <v>34</v>
      </c>
      <c r="H494" t="s">
        <v>1924</v>
      </c>
      <c r="I494" t="s">
        <v>1925</v>
      </c>
      <c r="J494" t="s">
        <v>37</v>
      </c>
      <c r="K494" t="s">
        <v>37</v>
      </c>
      <c r="L494" t="s">
        <v>39</v>
      </c>
      <c r="M494" t="s">
        <v>37</v>
      </c>
      <c r="N494" t="s">
        <v>37</v>
      </c>
      <c r="O494" t="s">
        <v>39</v>
      </c>
      <c r="P494" t="s">
        <v>37</v>
      </c>
      <c r="Q494" t="s">
        <v>37</v>
      </c>
      <c r="R494" t="s">
        <v>39</v>
      </c>
      <c r="S494" t="s">
        <v>41</v>
      </c>
      <c r="T494" t="s">
        <v>1641</v>
      </c>
      <c r="U494" t="s">
        <v>1642</v>
      </c>
      <c r="V494" t="s">
        <v>1602</v>
      </c>
      <c r="W494" t="s">
        <v>45</v>
      </c>
      <c r="Z494" t="s">
        <v>46</v>
      </c>
      <c r="AA494" t="s">
        <v>1643</v>
      </c>
      <c r="AB494" t="s">
        <v>159</v>
      </c>
      <c r="AC494">
        <f>COUNTIF(C:C,QLKV_gui_ket_qua_ra_soat[[#This Row],[Mã điểm bán]])</f>
        <v>1</v>
      </c>
    </row>
    <row r="495" spans="1:29" x14ac:dyDescent="0.45">
      <c r="A495" t="s">
        <v>1593</v>
      </c>
      <c r="B495">
        <v>1818</v>
      </c>
      <c r="C495" t="s">
        <v>1926</v>
      </c>
      <c r="D495" t="s">
        <v>1927</v>
      </c>
      <c r="E495" t="s">
        <v>1928</v>
      </c>
      <c r="F495" t="s">
        <v>417</v>
      </c>
      <c r="G495" t="s">
        <v>34</v>
      </c>
      <c r="H495" t="s">
        <v>1929</v>
      </c>
      <c r="I495" t="s">
        <v>1930</v>
      </c>
      <c r="J495" t="s">
        <v>38</v>
      </c>
      <c r="K495" t="s">
        <v>38</v>
      </c>
      <c r="L495" t="s">
        <v>39</v>
      </c>
      <c r="M495" t="s">
        <v>38</v>
      </c>
      <c r="N495" t="s">
        <v>37</v>
      </c>
      <c r="O495" t="s">
        <v>39</v>
      </c>
      <c r="P495" t="s">
        <v>38</v>
      </c>
      <c r="Q495" t="s">
        <v>38</v>
      </c>
      <c r="R495" t="s">
        <v>39</v>
      </c>
      <c r="S495" t="s">
        <v>41</v>
      </c>
      <c r="T495" t="s">
        <v>1641</v>
      </c>
      <c r="U495" t="s">
        <v>1642</v>
      </c>
      <c r="V495" t="s">
        <v>1602</v>
      </c>
      <c r="W495" t="s">
        <v>45</v>
      </c>
      <c r="Z495" t="s">
        <v>46</v>
      </c>
      <c r="AA495" t="s">
        <v>1643</v>
      </c>
      <c r="AB495" t="s">
        <v>159</v>
      </c>
      <c r="AC495">
        <f>COUNTIF(C:C,QLKV_gui_ket_qua_ra_soat[[#This Row],[Mã điểm bán]])</f>
        <v>1</v>
      </c>
    </row>
    <row r="496" spans="1:29" x14ac:dyDescent="0.45">
      <c r="A496" t="s">
        <v>1593</v>
      </c>
      <c r="B496">
        <v>1824</v>
      </c>
      <c r="C496" t="s">
        <v>1931</v>
      </c>
      <c r="D496" t="s">
        <v>1932</v>
      </c>
      <c r="E496" t="s">
        <v>1714</v>
      </c>
      <c r="F496" t="s">
        <v>417</v>
      </c>
      <c r="G496" t="s">
        <v>34</v>
      </c>
      <c r="H496" t="s">
        <v>378</v>
      </c>
      <c r="I496" t="s">
        <v>1925</v>
      </c>
      <c r="J496" t="s">
        <v>38</v>
      </c>
      <c r="K496" t="s">
        <v>38</v>
      </c>
      <c r="L496" t="s">
        <v>39</v>
      </c>
      <c r="M496" t="s">
        <v>37</v>
      </c>
      <c r="N496" t="s">
        <v>37</v>
      </c>
      <c r="O496" t="s">
        <v>39</v>
      </c>
      <c r="P496" t="s">
        <v>38</v>
      </c>
      <c r="Q496" t="s">
        <v>37</v>
      </c>
      <c r="R496" t="s">
        <v>39</v>
      </c>
      <c r="S496" t="s">
        <v>41</v>
      </c>
      <c r="T496" t="s">
        <v>1641</v>
      </c>
      <c r="U496" t="s">
        <v>1642</v>
      </c>
      <c r="V496" t="s">
        <v>1602</v>
      </c>
      <c r="W496" t="s">
        <v>45</v>
      </c>
      <c r="Z496" t="s">
        <v>46</v>
      </c>
      <c r="AA496" t="s">
        <v>1643</v>
      </c>
      <c r="AB496" t="s">
        <v>94</v>
      </c>
      <c r="AC496">
        <f>COUNTIF(C:C,QLKV_gui_ket_qua_ra_soat[[#This Row],[Mã điểm bán]])</f>
        <v>1</v>
      </c>
    </row>
    <row r="497" spans="1:29" x14ac:dyDescent="0.45">
      <c r="A497" t="s">
        <v>1593</v>
      </c>
      <c r="B497">
        <v>1854</v>
      </c>
      <c r="C497" t="s">
        <v>1934</v>
      </c>
      <c r="D497" t="s">
        <v>329</v>
      </c>
      <c r="E497" t="s">
        <v>1172</v>
      </c>
      <c r="F497" t="s">
        <v>99</v>
      </c>
      <c r="G497" t="s">
        <v>34</v>
      </c>
      <c r="H497" t="s">
        <v>685</v>
      </c>
      <c r="I497" t="s">
        <v>1935</v>
      </c>
      <c r="J497" t="s">
        <v>37</v>
      </c>
      <c r="K497" t="s">
        <v>37</v>
      </c>
      <c r="L497" t="s">
        <v>39</v>
      </c>
      <c r="M497" t="s">
        <v>56</v>
      </c>
      <c r="N497" t="s">
        <v>37</v>
      </c>
      <c r="O497" t="s">
        <v>121</v>
      </c>
      <c r="P497" t="s">
        <v>38</v>
      </c>
      <c r="Q497" t="s">
        <v>38</v>
      </c>
      <c r="R497" t="s">
        <v>39</v>
      </c>
      <c r="S497" t="s">
        <v>41</v>
      </c>
      <c r="T497" t="s">
        <v>1641</v>
      </c>
      <c r="U497" t="s">
        <v>1642</v>
      </c>
      <c r="V497" t="s">
        <v>1602</v>
      </c>
      <c r="W497" t="s">
        <v>45</v>
      </c>
      <c r="X497" t="s">
        <v>46</v>
      </c>
      <c r="AC497">
        <f>COUNTIF(C:C,QLKV_gui_ket_qua_ra_soat[[#This Row],[Mã điểm bán]])</f>
        <v>1</v>
      </c>
    </row>
    <row r="498" spans="1:29" x14ac:dyDescent="0.45">
      <c r="A498" t="s">
        <v>1593</v>
      </c>
      <c r="B498">
        <v>1797</v>
      </c>
      <c r="C498" t="s">
        <v>1936</v>
      </c>
      <c r="D498" t="s">
        <v>1937</v>
      </c>
      <c r="E498" t="s">
        <v>211</v>
      </c>
      <c r="F498" t="s">
        <v>53</v>
      </c>
      <c r="G498" t="s">
        <v>34</v>
      </c>
      <c r="H498" t="s">
        <v>54</v>
      </c>
      <c r="J498" t="s">
        <v>38</v>
      </c>
      <c r="K498" t="s">
        <v>38</v>
      </c>
      <c r="L498" t="s">
        <v>40</v>
      </c>
      <c r="M498" t="s">
        <v>38</v>
      </c>
      <c r="N498" t="s">
        <v>38</v>
      </c>
      <c r="O498" t="s">
        <v>40</v>
      </c>
      <c r="P498" t="s">
        <v>38</v>
      </c>
      <c r="Q498" t="s">
        <v>38</v>
      </c>
      <c r="R498" t="s">
        <v>40</v>
      </c>
      <c r="S498" t="s">
        <v>1938</v>
      </c>
      <c r="T498" t="s">
        <v>1894</v>
      </c>
      <c r="U498" t="s">
        <v>1895</v>
      </c>
      <c r="V498" t="s">
        <v>1602</v>
      </c>
      <c r="W498" t="s">
        <v>1896</v>
      </c>
      <c r="X498" t="s">
        <v>46</v>
      </c>
      <c r="AC498">
        <f>COUNTIF(C:C,QLKV_gui_ket_qua_ra_soat[[#This Row],[Mã điểm bán]])</f>
        <v>1</v>
      </c>
    </row>
    <row r="499" spans="1:29" x14ac:dyDescent="0.45">
      <c r="A499" t="s">
        <v>1593</v>
      </c>
      <c r="B499">
        <v>1895</v>
      </c>
      <c r="C499" t="s">
        <v>1939</v>
      </c>
      <c r="D499" t="s">
        <v>1940</v>
      </c>
      <c r="E499" t="s">
        <v>1941</v>
      </c>
      <c r="F499" t="s">
        <v>115</v>
      </c>
      <c r="G499" t="s">
        <v>34</v>
      </c>
      <c r="H499" t="s">
        <v>1942</v>
      </c>
      <c r="I499" t="s">
        <v>1943</v>
      </c>
      <c r="J499" t="s">
        <v>37</v>
      </c>
      <c r="K499" t="s">
        <v>38</v>
      </c>
      <c r="L499" t="s">
        <v>39</v>
      </c>
      <c r="M499" t="s">
        <v>37</v>
      </c>
      <c r="N499" t="s">
        <v>56</v>
      </c>
      <c r="O499" t="s">
        <v>121</v>
      </c>
      <c r="P499" t="s">
        <v>38</v>
      </c>
      <c r="Q499" t="s">
        <v>38</v>
      </c>
      <c r="R499" t="s">
        <v>39</v>
      </c>
      <c r="S499" t="s">
        <v>41</v>
      </c>
      <c r="T499" t="s">
        <v>1641</v>
      </c>
      <c r="U499" t="s">
        <v>1642</v>
      </c>
      <c r="V499" t="s">
        <v>1602</v>
      </c>
      <c r="W499" t="s">
        <v>45</v>
      </c>
      <c r="X499" t="s">
        <v>46</v>
      </c>
      <c r="AC499">
        <f>COUNTIF(C:C,QLKV_gui_ket_qua_ra_soat[[#This Row],[Mã điểm bán]])</f>
        <v>1</v>
      </c>
    </row>
    <row r="500" spans="1:29" x14ac:dyDescent="0.45">
      <c r="A500" t="s">
        <v>1593</v>
      </c>
      <c r="B500">
        <v>2229</v>
      </c>
      <c r="C500" t="s">
        <v>1944</v>
      </c>
      <c r="D500" t="s">
        <v>1945</v>
      </c>
      <c r="E500" t="s">
        <v>1946</v>
      </c>
      <c r="F500" t="s">
        <v>115</v>
      </c>
      <c r="G500" t="s">
        <v>34</v>
      </c>
      <c r="H500" t="s">
        <v>1199</v>
      </c>
      <c r="I500" t="s">
        <v>1834</v>
      </c>
      <c r="J500" t="s">
        <v>38</v>
      </c>
      <c r="K500" t="s">
        <v>38</v>
      </c>
      <c r="L500" t="s">
        <v>39</v>
      </c>
      <c r="M500" t="s">
        <v>37</v>
      </c>
      <c r="N500" t="s">
        <v>37</v>
      </c>
      <c r="O500" t="s">
        <v>121</v>
      </c>
      <c r="P500" t="s">
        <v>38</v>
      </c>
      <c r="Q500" t="s">
        <v>38</v>
      </c>
      <c r="R500" t="s">
        <v>39</v>
      </c>
      <c r="S500" t="s">
        <v>41</v>
      </c>
      <c r="T500" t="s">
        <v>1641</v>
      </c>
      <c r="U500" t="s">
        <v>1642</v>
      </c>
      <c r="V500" t="s">
        <v>1602</v>
      </c>
      <c r="W500" t="s">
        <v>45</v>
      </c>
      <c r="X500" t="s">
        <v>46</v>
      </c>
      <c r="AC500">
        <f>COUNTIF(C:C,QLKV_gui_ket_qua_ra_soat[[#This Row],[Mã điểm bán]])</f>
        <v>1</v>
      </c>
    </row>
    <row r="501" spans="1:29" x14ac:dyDescent="0.45">
      <c r="A501" t="s">
        <v>1593</v>
      </c>
      <c r="B501">
        <v>2267</v>
      </c>
      <c r="C501" t="s">
        <v>1947</v>
      </c>
      <c r="D501" t="s">
        <v>1948</v>
      </c>
      <c r="E501" t="s">
        <v>1155</v>
      </c>
      <c r="F501" t="s">
        <v>325</v>
      </c>
      <c r="G501" t="s">
        <v>34</v>
      </c>
      <c r="H501" t="s">
        <v>931</v>
      </c>
      <c r="I501" t="s">
        <v>1834</v>
      </c>
      <c r="J501" t="s">
        <v>38</v>
      </c>
      <c r="K501" t="s">
        <v>38</v>
      </c>
      <c r="L501" t="s">
        <v>39</v>
      </c>
      <c r="M501" t="s">
        <v>37</v>
      </c>
      <c r="N501" t="s">
        <v>37</v>
      </c>
      <c r="O501" t="s">
        <v>121</v>
      </c>
      <c r="P501" t="s">
        <v>38</v>
      </c>
      <c r="Q501" t="s">
        <v>38</v>
      </c>
      <c r="R501" t="s">
        <v>39</v>
      </c>
      <c r="S501" t="s">
        <v>41</v>
      </c>
      <c r="T501" t="s">
        <v>1641</v>
      </c>
      <c r="U501" t="s">
        <v>1642</v>
      </c>
      <c r="V501" t="s">
        <v>1602</v>
      </c>
      <c r="W501" t="s">
        <v>45</v>
      </c>
      <c r="X501" t="s">
        <v>46</v>
      </c>
      <c r="AC501">
        <f>COUNTIF(C:C,QLKV_gui_ket_qua_ra_soat[[#This Row],[Mã điểm bán]])</f>
        <v>1</v>
      </c>
    </row>
    <row r="502" spans="1:29" x14ac:dyDescent="0.45">
      <c r="A502" t="s">
        <v>1593</v>
      </c>
      <c r="B502">
        <v>2458</v>
      </c>
      <c r="C502" t="s">
        <v>1949</v>
      </c>
      <c r="D502" t="s">
        <v>1950</v>
      </c>
      <c r="E502" t="s">
        <v>354</v>
      </c>
      <c r="F502" t="s">
        <v>53</v>
      </c>
      <c r="G502" t="s">
        <v>34</v>
      </c>
      <c r="H502" t="s">
        <v>1706</v>
      </c>
      <c r="I502" t="s">
        <v>1951</v>
      </c>
      <c r="J502" t="s">
        <v>37</v>
      </c>
      <c r="K502" t="s">
        <v>37</v>
      </c>
      <c r="L502" t="s">
        <v>39</v>
      </c>
      <c r="M502" t="s">
        <v>37</v>
      </c>
      <c r="N502" t="s">
        <v>37</v>
      </c>
      <c r="O502" t="s">
        <v>39</v>
      </c>
      <c r="P502" t="s">
        <v>38</v>
      </c>
      <c r="Q502" t="s">
        <v>38</v>
      </c>
      <c r="R502" t="s">
        <v>40</v>
      </c>
      <c r="S502" t="s">
        <v>41</v>
      </c>
      <c r="T502" t="s">
        <v>1641</v>
      </c>
      <c r="U502" t="s">
        <v>1642</v>
      </c>
      <c r="V502" t="s">
        <v>1602</v>
      </c>
      <c r="W502" t="s">
        <v>45</v>
      </c>
      <c r="AA502" t="s">
        <v>1643</v>
      </c>
      <c r="AB502" t="s">
        <v>94</v>
      </c>
      <c r="AC502">
        <f>COUNTIF(C:C,QLKV_gui_ket_qua_ra_soat[[#This Row],[Mã điểm bán]])</f>
        <v>1</v>
      </c>
    </row>
    <row r="503" spans="1:29" x14ac:dyDescent="0.45">
      <c r="A503" t="s">
        <v>1593</v>
      </c>
      <c r="B503">
        <v>2492</v>
      </c>
      <c r="C503" t="s">
        <v>1952</v>
      </c>
      <c r="D503" t="s">
        <v>1953</v>
      </c>
      <c r="E503" t="s">
        <v>455</v>
      </c>
      <c r="F503" t="s">
        <v>115</v>
      </c>
      <c r="G503" t="s">
        <v>177</v>
      </c>
      <c r="H503" t="s">
        <v>1188</v>
      </c>
      <c r="I503" t="s">
        <v>1954</v>
      </c>
      <c r="J503" t="s">
        <v>38</v>
      </c>
      <c r="K503" t="s">
        <v>38</v>
      </c>
      <c r="L503" t="s">
        <v>40</v>
      </c>
      <c r="M503" t="s">
        <v>38</v>
      </c>
      <c r="N503" t="s">
        <v>38</v>
      </c>
      <c r="O503" t="s">
        <v>40</v>
      </c>
      <c r="P503" t="s">
        <v>38</v>
      </c>
      <c r="Q503" t="s">
        <v>38</v>
      </c>
      <c r="R503" t="s">
        <v>40</v>
      </c>
      <c r="S503" t="s">
        <v>1955</v>
      </c>
      <c r="T503" t="s">
        <v>1607</v>
      </c>
      <c r="U503" t="s">
        <v>1601</v>
      </c>
      <c r="V503" t="s">
        <v>1602</v>
      </c>
      <c r="W503" t="s">
        <v>1603</v>
      </c>
      <c r="X503" t="s">
        <v>46</v>
      </c>
      <c r="AC503">
        <f>COUNTIF(C:C,QLKV_gui_ket_qua_ra_soat[[#This Row],[Mã điểm bán]])</f>
        <v>1</v>
      </c>
    </row>
    <row r="504" spans="1:29" x14ac:dyDescent="0.45">
      <c r="A504" t="s">
        <v>1593</v>
      </c>
      <c r="B504">
        <v>2500</v>
      </c>
      <c r="C504" t="s">
        <v>1956</v>
      </c>
      <c r="D504" t="s">
        <v>1957</v>
      </c>
      <c r="E504" t="s">
        <v>1155</v>
      </c>
      <c r="F504" t="s">
        <v>53</v>
      </c>
      <c r="G504" t="s">
        <v>34</v>
      </c>
      <c r="H504" t="s">
        <v>54</v>
      </c>
      <c r="I504" t="s">
        <v>1700</v>
      </c>
      <c r="J504" t="s">
        <v>37</v>
      </c>
      <c r="K504" t="s">
        <v>37</v>
      </c>
      <c r="L504" t="s">
        <v>39</v>
      </c>
      <c r="M504" t="s">
        <v>37</v>
      </c>
      <c r="N504" t="s">
        <v>37</v>
      </c>
      <c r="O504" t="s">
        <v>39</v>
      </c>
      <c r="P504" t="s">
        <v>38</v>
      </c>
      <c r="Q504" t="s">
        <v>37</v>
      </c>
      <c r="R504" t="s">
        <v>39</v>
      </c>
      <c r="S504" t="s">
        <v>41</v>
      </c>
      <c r="T504" t="s">
        <v>1958</v>
      </c>
      <c r="U504" t="s">
        <v>1959</v>
      </c>
      <c r="V504" t="s">
        <v>1602</v>
      </c>
      <c r="W504" t="s">
        <v>1960</v>
      </c>
      <c r="AA504" t="s">
        <v>1961</v>
      </c>
      <c r="AB504" t="s">
        <v>94</v>
      </c>
      <c r="AC504">
        <f>COUNTIF(C:C,QLKV_gui_ket_qua_ra_soat[[#This Row],[Mã điểm bán]])</f>
        <v>1</v>
      </c>
    </row>
    <row r="505" spans="1:29" x14ac:dyDescent="0.45">
      <c r="A505" t="s">
        <v>1593</v>
      </c>
      <c r="B505">
        <v>2450</v>
      </c>
      <c r="C505" t="s">
        <v>1962</v>
      </c>
      <c r="D505" t="s">
        <v>1963</v>
      </c>
      <c r="E505" t="s">
        <v>1964</v>
      </c>
      <c r="F505" t="s">
        <v>401</v>
      </c>
      <c r="G505" t="s">
        <v>34</v>
      </c>
      <c r="H505" t="s">
        <v>1648</v>
      </c>
      <c r="J505" t="s">
        <v>38</v>
      </c>
      <c r="K505" t="s">
        <v>38</v>
      </c>
      <c r="L505" t="s">
        <v>40</v>
      </c>
      <c r="M505" t="s">
        <v>38</v>
      </c>
      <c r="N505" t="s">
        <v>38</v>
      </c>
      <c r="O505" t="s">
        <v>40</v>
      </c>
      <c r="P505" t="s">
        <v>38</v>
      </c>
      <c r="Q505" t="s">
        <v>38</v>
      </c>
      <c r="R505" t="s">
        <v>40</v>
      </c>
      <c r="S505" t="s">
        <v>1965</v>
      </c>
      <c r="T505" t="s">
        <v>1894</v>
      </c>
      <c r="U505" t="s">
        <v>1895</v>
      </c>
      <c r="V505" t="s">
        <v>1602</v>
      </c>
      <c r="W505" t="s">
        <v>1896</v>
      </c>
      <c r="X505" t="s">
        <v>46</v>
      </c>
      <c r="AC505">
        <f>COUNTIF(C:C,QLKV_gui_ket_qua_ra_soat[[#This Row],[Mã điểm bán]])</f>
        <v>1</v>
      </c>
    </row>
    <row r="506" spans="1:29" x14ac:dyDescent="0.45">
      <c r="A506" t="s">
        <v>1593</v>
      </c>
      <c r="B506">
        <v>2572</v>
      </c>
      <c r="C506" t="s">
        <v>1966</v>
      </c>
      <c r="D506" t="s">
        <v>1967</v>
      </c>
      <c r="E506" t="s">
        <v>128</v>
      </c>
      <c r="F506" t="s">
        <v>53</v>
      </c>
      <c r="G506" t="s">
        <v>34</v>
      </c>
      <c r="H506" t="s">
        <v>54</v>
      </c>
      <c r="I506" t="s">
        <v>1968</v>
      </c>
      <c r="J506" t="s">
        <v>37</v>
      </c>
      <c r="K506" t="s">
        <v>37</v>
      </c>
      <c r="L506" t="s">
        <v>39</v>
      </c>
      <c r="M506" t="s">
        <v>37</v>
      </c>
      <c r="N506" t="s">
        <v>56</v>
      </c>
      <c r="O506" t="s">
        <v>39</v>
      </c>
      <c r="P506" t="s">
        <v>38</v>
      </c>
      <c r="Q506" t="s">
        <v>37</v>
      </c>
      <c r="R506" t="s">
        <v>39</v>
      </c>
      <c r="S506" t="s">
        <v>41</v>
      </c>
      <c r="T506" t="s">
        <v>1958</v>
      </c>
      <c r="U506" t="s">
        <v>1959</v>
      </c>
      <c r="V506" t="s">
        <v>1602</v>
      </c>
      <c r="W506" t="s">
        <v>1960</v>
      </c>
      <c r="X506" t="s">
        <v>46</v>
      </c>
      <c r="AC506">
        <f>COUNTIF(C:C,QLKV_gui_ket_qua_ra_soat[[#This Row],[Mã điểm bán]])</f>
        <v>1</v>
      </c>
    </row>
    <row r="507" spans="1:29" x14ac:dyDescent="0.45">
      <c r="A507" t="s">
        <v>1593</v>
      </c>
      <c r="B507">
        <v>2602</v>
      </c>
      <c r="C507" t="s">
        <v>1969</v>
      </c>
      <c r="D507" t="s">
        <v>165</v>
      </c>
      <c r="E507" t="s">
        <v>1384</v>
      </c>
      <c r="F507" t="s">
        <v>115</v>
      </c>
      <c r="G507" t="s">
        <v>34</v>
      </c>
      <c r="H507" t="s">
        <v>1971</v>
      </c>
      <c r="I507" t="s">
        <v>1972</v>
      </c>
      <c r="J507" t="s">
        <v>38</v>
      </c>
      <c r="K507" t="s">
        <v>38</v>
      </c>
      <c r="L507" t="s">
        <v>39</v>
      </c>
      <c r="M507" t="s">
        <v>37</v>
      </c>
      <c r="N507" t="s">
        <v>37</v>
      </c>
      <c r="O507" t="s">
        <v>39</v>
      </c>
      <c r="P507" t="s">
        <v>37</v>
      </c>
      <c r="Q507" t="s">
        <v>38</v>
      </c>
      <c r="R507" t="s">
        <v>39</v>
      </c>
      <c r="S507" t="s">
        <v>41</v>
      </c>
      <c r="T507" t="s">
        <v>1641</v>
      </c>
      <c r="U507" t="s">
        <v>1642</v>
      </c>
      <c r="V507" t="s">
        <v>1602</v>
      </c>
      <c r="W507" t="s">
        <v>105</v>
      </c>
      <c r="AA507" t="s">
        <v>1643</v>
      </c>
      <c r="AB507" t="s">
        <v>94</v>
      </c>
      <c r="AC507">
        <f>COUNTIF(C:C,QLKV_gui_ket_qua_ra_soat[[#This Row],[Mã điểm bán]])</f>
        <v>1</v>
      </c>
    </row>
    <row r="508" spans="1:29" x14ac:dyDescent="0.45">
      <c r="A508" t="s">
        <v>1593</v>
      </c>
      <c r="B508">
        <v>2607</v>
      </c>
      <c r="C508" t="s">
        <v>1973</v>
      </c>
      <c r="D508" t="s">
        <v>1974</v>
      </c>
      <c r="E508" t="s">
        <v>1975</v>
      </c>
      <c r="F508" t="s">
        <v>1976</v>
      </c>
      <c r="G508" t="s">
        <v>34</v>
      </c>
      <c r="H508" t="s">
        <v>402</v>
      </c>
      <c r="I508" t="s">
        <v>1977</v>
      </c>
      <c r="J508" t="s">
        <v>37</v>
      </c>
      <c r="K508" t="s">
        <v>37</v>
      </c>
      <c r="L508" t="s">
        <v>39</v>
      </c>
      <c r="M508" t="s">
        <v>56</v>
      </c>
      <c r="N508" t="s">
        <v>37</v>
      </c>
      <c r="O508" t="s">
        <v>39</v>
      </c>
      <c r="P508" t="s">
        <v>38</v>
      </c>
      <c r="Q508" t="s">
        <v>37</v>
      </c>
      <c r="R508" t="s">
        <v>39</v>
      </c>
      <c r="S508" t="s">
        <v>1978</v>
      </c>
      <c r="T508" t="s">
        <v>1958</v>
      </c>
      <c r="U508" t="s">
        <v>1959</v>
      </c>
      <c r="V508" t="s">
        <v>1602</v>
      </c>
      <c r="W508" t="s">
        <v>1960</v>
      </c>
      <c r="X508" t="s">
        <v>46</v>
      </c>
      <c r="AC508">
        <f>COUNTIF(C:C,QLKV_gui_ket_qua_ra_soat[[#This Row],[Mã điểm bán]])</f>
        <v>1</v>
      </c>
    </row>
    <row r="509" spans="1:29" x14ac:dyDescent="0.45">
      <c r="A509" t="s">
        <v>1593</v>
      </c>
      <c r="B509">
        <v>2610</v>
      </c>
      <c r="C509" t="s">
        <v>1979</v>
      </c>
      <c r="D509" t="s">
        <v>1980</v>
      </c>
      <c r="E509" t="s">
        <v>323</v>
      </c>
      <c r="F509" t="s">
        <v>1981</v>
      </c>
      <c r="G509" t="s">
        <v>34</v>
      </c>
      <c r="H509" t="s">
        <v>1982</v>
      </c>
      <c r="I509" t="s">
        <v>1983</v>
      </c>
      <c r="J509" t="s">
        <v>38</v>
      </c>
      <c r="K509" t="s">
        <v>38</v>
      </c>
      <c r="L509" t="s">
        <v>40</v>
      </c>
      <c r="M509" t="s">
        <v>56</v>
      </c>
      <c r="N509" t="s">
        <v>37</v>
      </c>
      <c r="O509" t="s">
        <v>39</v>
      </c>
      <c r="P509" t="s">
        <v>38</v>
      </c>
      <c r="Q509" t="s">
        <v>38</v>
      </c>
      <c r="R509" t="s">
        <v>39</v>
      </c>
      <c r="S509" t="s">
        <v>41</v>
      </c>
      <c r="T509" t="s">
        <v>1641</v>
      </c>
      <c r="U509" t="s">
        <v>1642</v>
      </c>
      <c r="V509" t="s">
        <v>1602</v>
      </c>
      <c r="W509" t="s">
        <v>105</v>
      </c>
      <c r="X509" t="s">
        <v>46</v>
      </c>
      <c r="AC509">
        <f>COUNTIF(C:C,QLKV_gui_ket_qua_ra_soat[[#This Row],[Mã điểm bán]])</f>
        <v>1</v>
      </c>
    </row>
    <row r="510" spans="1:29" x14ac:dyDescent="0.45">
      <c r="A510" t="s">
        <v>1593</v>
      </c>
      <c r="B510">
        <v>2726</v>
      </c>
      <c r="C510" t="s">
        <v>1984</v>
      </c>
      <c r="D510" t="s">
        <v>1632</v>
      </c>
      <c r="E510" t="s">
        <v>1985</v>
      </c>
      <c r="F510" t="s">
        <v>53</v>
      </c>
      <c r="G510" t="s">
        <v>177</v>
      </c>
      <c r="H510" t="s">
        <v>54</v>
      </c>
      <c r="I510" t="s">
        <v>1986</v>
      </c>
      <c r="J510" t="s">
        <v>37</v>
      </c>
      <c r="K510" t="s">
        <v>37</v>
      </c>
      <c r="L510" t="s">
        <v>40</v>
      </c>
      <c r="M510" t="s">
        <v>37</v>
      </c>
      <c r="N510" t="s">
        <v>37</v>
      </c>
      <c r="O510" t="s">
        <v>39</v>
      </c>
      <c r="P510" t="s">
        <v>38</v>
      </c>
      <c r="Q510" t="s">
        <v>37</v>
      </c>
      <c r="R510" t="s">
        <v>39</v>
      </c>
      <c r="S510" t="s">
        <v>1987</v>
      </c>
      <c r="T510" t="s">
        <v>1958</v>
      </c>
      <c r="U510" t="s">
        <v>1959</v>
      </c>
      <c r="V510" t="s">
        <v>1602</v>
      </c>
      <c r="W510" t="s">
        <v>1960</v>
      </c>
      <c r="X510" t="s">
        <v>46</v>
      </c>
      <c r="AC510">
        <f>COUNTIF(C:C,QLKV_gui_ket_qua_ra_soat[[#This Row],[Mã điểm bán]])</f>
        <v>1</v>
      </c>
    </row>
    <row r="511" spans="1:29" x14ac:dyDescent="0.45">
      <c r="A511" t="s">
        <v>1593</v>
      </c>
      <c r="B511">
        <v>2767</v>
      </c>
      <c r="C511" t="s">
        <v>1988</v>
      </c>
      <c r="D511" t="s">
        <v>1989</v>
      </c>
      <c r="E511" t="s">
        <v>52</v>
      </c>
      <c r="F511" t="s">
        <v>53</v>
      </c>
      <c r="G511" t="s">
        <v>177</v>
      </c>
      <c r="H511" t="s">
        <v>35</v>
      </c>
      <c r="I511" t="s">
        <v>1990</v>
      </c>
      <c r="J511" t="s">
        <v>37</v>
      </c>
      <c r="K511" t="s">
        <v>56</v>
      </c>
      <c r="L511" t="s">
        <v>39</v>
      </c>
      <c r="M511" t="s">
        <v>37</v>
      </c>
      <c r="N511" t="s">
        <v>37</v>
      </c>
      <c r="O511" t="s">
        <v>39</v>
      </c>
      <c r="P511" t="s">
        <v>38</v>
      </c>
      <c r="Q511" t="s">
        <v>37</v>
      </c>
      <c r="R511" t="s">
        <v>39</v>
      </c>
      <c r="S511" t="s">
        <v>41</v>
      </c>
      <c r="T511" t="s">
        <v>1958</v>
      </c>
      <c r="U511" t="s">
        <v>1959</v>
      </c>
      <c r="V511" t="s">
        <v>1602</v>
      </c>
      <c r="W511" t="s">
        <v>1960</v>
      </c>
      <c r="X511" t="s">
        <v>46</v>
      </c>
      <c r="AC511">
        <f>COUNTIF(C:C,QLKV_gui_ket_qua_ra_soat[[#This Row],[Mã điểm bán]])</f>
        <v>1</v>
      </c>
    </row>
    <row r="512" spans="1:29" x14ac:dyDescent="0.45">
      <c r="A512" t="s">
        <v>1593</v>
      </c>
      <c r="B512">
        <v>2722</v>
      </c>
      <c r="C512" t="s">
        <v>1991</v>
      </c>
      <c r="D512" t="s">
        <v>1992</v>
      </c>
      <c r="E512" t="s">
        <v>1993</v>
      </c>
      <c r="F512" t="s">
        <v>1994</v>
      </c>
      <c r="G512" t="s">
        <v>34</v>
      </c>
      <c r="H512" t="s">
        <v>1788</v>
      </c>
      <c r="J512" t="s">
        <v>38</v>
      </c>
      <c r="K512" t="s">
        <v>38</v>
      </c>
      <c r="L512" t="s">
        <v>40</v>
      </c>
      <c r="M512" t="s">
        <v>38</v>
      </c>
      <c r="N512" t="s">
        <v>38</v>
      </c>
      <c r="O512" t="s">
        <v>40</v>
      </c>
      <c r="P512" t="s">
        <v>38</v>
      </c>
      <c r="Q512" t="s">
        <v>38</v>
      </c>
      <c r="R512" t="s">
        <v>40</v>
      </c>
      <c r="S512" t="s">
        <v>1995</v>
      </c>
      <c r="T512" t="s">
        <v>1894</v>
      </c>
      <c r="U512" t="s">
        <v>1895</v>
      </c>
      <c r="V512" t="s">
        <v>1602</v>
      </c>
      <c r="W512" t="s">
        <v>1896</v>
      </c>
      <c r="X512" t="s">
        <v>46</v>
      </c>
      <c r="AC512">
        <f>COUNTIF(C:C,QLKV_gui_ket_qua_ra_soat[[#This Row],[Mã điểm bán]])</f>
        <v>1</v>
      </c>
    </row>
    <row r="513" spans="1:29" x14ac:dyDescent="0.45">
      <c r="A513" t="s">
        <v>1593</v>
      </c>
      <c r="B513">
        <v>2788</v>
      </c>
      <c r="C513" t="s">
        <v>1996</v>
      </c>
      <c r="D513" t="s">
        <v>1997</v>
      </c>
      <c r="E513" t="s">
        <v>297</v>
      </c>
      <c r="F513" t="s">
        <v>53</v>
      </c>
      <c r="G513" t="s">
        <v>34</v>
      </c>
      <c r="H513" t="s">
        <v>1746</v>
      </c>
      <c r="I513" t="s">
        <v>1998</v>
      </c>
      <c r="J513" t="s">
        <v>38</v>
      </c>
      <c r="K513" t="s">
        <v>38</v>
      </c>
      <c r="L513" t="s">
        <v>39</v>
      </c>
      <c r="M513" t="s">
        <v>38</v>
      </c>
      <c r="N513" t="s">
        <v>56</v>
      </c>
      <c r="O513" t="s">
        <v>39</v>
      </c>
      <c r="P513" t="s">
        <v>38</v>
      </c>
      <c r="Q513" t="s">
        <v>38</v>
      </c>
      <c r="R513" t="s">
        <v>39</v>
      </c>
      <c r="S513" t="s">
        <v>1999</v>
      </c>
      <c r="T513" t="s">
        <v>1641</v>
      </c>
      <c r="U513" t="s">
        <v>1642</v>
      </c>
      <c r="V513" t="s">
        <v>1602</v>
      </c>
      <c r="W513" t="s">
        <v>105</v>
      </c>
      <c r="X513" t="s">
        <v>46</v>
      </c>
      <c r="AC513">
        <f>COUNTIF(C:C,QLKV_gui_ket_qua_ra_soat[[#This Row],[Mã điểm bán]])</f>
        <v>1</v>
      </c>
    </row>
    <row r="514" spans="1:29" x14ac:dyDescent="0.45">
      <c r="A514" t="s">
        <v>1593</v>
      </c>
      <c r="B514">
        <v>2866</v>
      </c>
      <c r="C514" t="s">
        <v>2000</v>
      </c>
      <c r="D514" t="s">
        <v>2001</v>
      </c>
      <c r="E514" t="s">
        <v>1870</v>
      </c>
      <c r="F514" t="s">
        <v>53</v>
      </c>
      <c r="G514" t="s">
        <v>34</v>
      </c>
      <c r="H514" t="s">
        <v>214</v>
      </c>
      <c r="I514" t="s">
        <v>1951</v>
      </c>
      <c r="J514" t="s">
        <v>38</v>
      </c>
      <c r="K514" t="s">
        <v>38</v>
      </c>
      <c r="L514" t="s">
        <v>39</v>
      </c>
      <c r="M514" t="s">
        <v>37</v>
      </c>
      <c r="N514" t="s">
        <v>56</v>
      </c>
      <c r="O514" t="s">
        <v>121</v>
      </c>
      <c r="P514" t="s">
        <v>38</v>
      </c>
      <c r="Q514" t="s">
        <v>38</v>
      </c>
      <c r="R514" t="s">
        <v>39</v>
      </c>
      <c r="S514" t="s">
        <v>2002</v>
      </c>
      <c r="T514" t="s">
        <v>1641</v>
      </c>
      <c r="U514" t="s">
        <v>1642</v>
      </c>
      <c r="V514" t="s">
        <v>1602</v>
      </c>
      <c r="W514" t="s">
        <v>105</v>
      </c>
      <c r="X514" t="s">
        <v>46</v>
      </c>
      <c r="AC514">
        <f>COUNTIF(C:C,QLKV_gui_ket_qua_ra_soat[[#This Row],[Mã điểm bán]])</f>
        <v>1</v>
      </c>
    </row>
    <row r="515" spans="1:29" x14ac:dyDescent="0.45">
      <c r="A515" t="s">
        <v>1593</v>
      </c>
      <c r="B515">
        <v>2870</v>
      </c>
      <c r="C515" t="s">
        <v>2003</v>
      </c>
      <c r="D515" t="s">
        <v>2004</v>
      </c>
      <c r="E515" t="s">
        <v>269</v>
      </c>
      <c r="F515" t="s">
        <v>53</v>
      </c>
      <c r="G515" t="s">
        <v>34</v>
      </c>
      <c r="H515" t="s">
        <v>214</v>
      </c>
      <c r="I515" t="s">
        <v>2005</v>
      </c>
      <c r="J515" t="s">
        <v>38</v>
      </c>
      <c r="K515" t="s">
        <v>38</v>
      </c>
      <c r="L515" t="s">
        <v>40</v>
      </c>
      <c r="M515" t="s">
        <v>38</v>
      </c>
      <c r="N515" t="s">
        <v>38</v>
      </c>
      <c r="O515" t="s">
        <v>40</v>
      </c>
      <c r="P515" t="s">
        <v>38</v>
      </c>
      <c r="Q515" t="s">
        <v>38</v>
      </c>
      <c r="R515" t="s">
        <v>40</v>
      </c>
      <c r="S515" t="s">
        <v>41</v>
      </c>
      <c r="T515" t="s">
        <v>1709</v>
      </c>
      <c r="U515" t="s">
        <v>1710</v>
      </c>
      <c r="V515" t="s">
        <v>1602</v>
      </c>
      <c r="W515" t="s">
        <v>1711</v>
      </c>
      <c r="X515" t="s">
        <v>46</v>
      </c>
      <c r="AC515">
        <f>COUNTIF(C:C,QLKV_gui_ket_qua_ra_soat[[#This Row],[Mã điểm bán]])</f>
        <v>1</v>
      </c>
    </row>
    <row r="516" spans="1:29" x14ac:dyDescent="0.45">
      <c r="A516" t="s">
        <v>1593</v>
      </c>
      <c r="B516">
        <v>2884</v>
      </c>
      <c r="C516" t="s">
        <v>2006</v>
      </c>
      <c r="D516" t="s">
        <v>2007</v>
      </c>
      <c r="E516" t="s">
        <v>148</v>
      </c>
      <c r="F516" t="s">
        <v>53</v>
      </c>
      <c r="G516" t="s">
        <v>34</v>
      </c>
      <c r="H516" t="s">
        <v>685</v>
      </c>
      <c r="I516" t="s">
        <v>2008</v>
      </c>
      <c r="J516" t="s">
        <v>38</v>
      </c>
      <c r="K516" t="s">
        <v>56</v>
      </c>
      <c r="L516" t="s">
        <v>39</v>
      </c>
      <c r="M516" t="s">
        <v>38</v>
      </c>
      <c r="N516" t="s">
        <v>38</v>
      </c>
      <c r="O516" t="s">
        <v>40</v>
      </c>
      <c r="P516" t="s">
        <v>38</v>
      </c>
      <c r="Q516" t="s">
        <v>38</v>
      </c>
      <c r="R516" t="s">
        <v>40</v>
      </c>
      <c r="S516" t="s">
        <v>41</v>
      </c>
      <c r="T516" t="s">
        <v>1709</v>
      </c>
      <c r="U516" t="s">
        <v>1710</v>
      </c>
      <c r="V516" t="s">
        <v>1602</v>
      </c>
      <c r="W516" t="s">
        <v>1711</v>
      </c>
      <c r="X516" t="s">
        <v>46</v>
      </c>
      <c r="AC516">
        <f>COUNTIF(C:C,QLKV_gui_ket_qua_ra_soat[[#This Row],[Mã điểm bán]])</f>
        <v>1</v>
      </c>
    </row>
    <row r="517" spans="1:29" x14ac:dyDescent="0.45">
      <c r="A517" t="s">
        <v>1593</v>
      </c>
      <c r="B517">
        <v>3019</v>
      </c>
      <c r="C517" t="s">
        <v>2009</v>
      </c>
      <c r="D517" t="s">
        <v>2010</v>
      </c>
      <c r="E517" t="s">
        <v>2011</v>
      </c>
      <c r="F517" t="s">
        <v>115</v>
      </c>
      <c r="G517" t="s">
        <v>34</v>
      </c>
      <c r="H517" t="s">
        <v>133</v>
      </c>
      <c r="I517" t="s">
        <v>2012</v>
      </c>
      <c r="J517" t="s">
        <v>38</v>
      </c>
      <c r="K517" t="s">
        <v>38</v>
      </c>
      <c r="L517" t="s">
        <v>39</v>
      </c>
      <c r="M517" t="s">
        <v>38</v>
      </c>
      <c r="N517" t="s">
        <v>38</v>
      </c>
      <c r="O517" t="s">
        <v>121</v>
      </c>
      <c r="P517" t="s">
        <v>38</v>
      </c>
      <c r="Q517" t="s">
        <v>38</v>
      </c>
      <c r="R517" t="s">
        <v>39</v>
      </c>
      <c r="S517" t="s">
        <v>2013</v>
      </c>
      <c r="T517" t="s">
        <v>1641</v>
      </c>
      <c r="U517" t="s">
        <v>1642</v>
      </c>
      <c r="V517" t="s">
        <v>1602</v>
      </c>
      <c r="W517" t="s">
        <v>105</v>
      </c>
      <c r="X517" t="s">
        <v>46</v>
      </c>
      <c r="AC517">
        <f>COUNTIF(C:C,QLKV_gui_ket_qua_ra_soat[[#This Row],[Mã điểm bán]])</f>
        <v>1</v>
      </c>
    </row>
    <row r="518" spans="1:29" x14ac:dyDescent="0.45">
      <c r="A518" t="s">
        <v>1593</v>
      </c>
      <c r="B518">
        <v>2974</v>
      </c>
      <c r="C518" t="s">
        <v>2014</v>
      </c>
      <c r="D518" t="s">
        <v>2015</v>
      </c>
      <c r="E518" t="s">
        <v>1735</v>
      </c>
      <c r="F518" t="s">
        <v>115</v>
      </c>
      <c r="G518" t="s">
        <v>34</v>
      </c>
      <c r="H518" t="s">
        <v>917</v>
      </c>
      <c r="J518" t="s">
        <v>38</v>
      </c>
      <c r="K518" t="s">
        <v>38</v>
      </c>
      <c r="L518" t="s">
        <v>40</v>
      </c>
      <c r="M518" t="s">
        <v>37</v>
      </c>
      <c r="N518" t="s">
        <v>38</v>
      </c>
      <c r="O518" t="s">
        <v>39</v>
      </c>
      <c r="P518" t="s">
        <v>38</v>
      </c>
      <c r="Q518" t="s">
        <v>38</v>
      </c>
      <c r="R518" t="s">
        <v>40</v>
      </c>
      <c r="S518" t="s">
        <v>2017</v>
      </c>
      <c r="T518" t="s">
        <v>1894</v>
      </c>
      <c r="U518" t="s">
        <v>1895</v>
      </c>
      <c r="V518" t="s">
        <v>1602</v>
      </c>
      <c r="W518" t="s">
        <v>1896</v>
      </c>
      <c r="X518" t="s">
        <v>46</v>
      </c>
      <c r="AC518">
        <f>COUNTIF(C:C,QLKV_gui_ket_qua_ra_soat[[#This Row],[Mã điểm bán]])</f>
        <v>1</v>
      </c>
    </row>
    <row r="519" spans="1:29" x14ac:dyDescent="0.45">
      <c r="A519" t="s">
        <v>1593</v>
      </c>
      <c r="B519">
        <v>3059</v>
      </c>
      <c r="C519" t="s">
        <v>2018</v>
      </c>
      <c r="D519" t="s">
        <v>2019</v>
      </c>
      <c r="E519" t="s">
        <v>2021</v>
      </c>
      <c r="F519" t="s">
        <v>2022</v>
      </c>
      <c r="G519" t="s">
        <v>34</v>
      </c>
      <c r="H519" t="s">
        <v>565</v>
      </c>
      <c r="I519" t="s">
        <v>2023</v>
      </c>
      <c r="J519" t="s">
        <v>38</v>
      </c>
      <c r="K519" t="s">
        <v>38</v>
      </c>
      <c r="L519" t="s">
        <v>39</v>
      </c>
      <c r="M519" t="s">
        <v>37</v>
      </c>
      <c r="N519" t="s">
        <v>37</v>
      </c>
      <c r="O519" t="s">
        <v>39</v>
      </c>
      <c r="P519" t="s">
        <v>38</v>
      </c>
      <c r="Q519" t="s">
        <v>38</v>
      </c>
      <c r="R519" t="s">
        <v>40</v>
      </c>
      <c r="S519" t="s">
        <v>2024</v>
      </c>
      <c r="T519" t="s">
        <v>1600</v>
      </c>
      <c r="U519" t="s">
        <v>1601</v>
      </c>
      <c r="V519" t="s">
        <v>1602</v>
      </c>
      <c r="W519" t="s">
        <v>1603</v>
      </c>
      <c r="X519" t="s">
        <v>46</v>
      </c>
      <c r="AC519">
        <f>COUNTIF(C:C,QLKV_gui_ket_qua_ra_soat[[#This Row],[Mã điểm bán]])</f>
        <v>1</v>
      </c>
    </row>
    <row r="520" spans="1:29" x14ac:dyDescent="0.45">
      <c r="A520" t="s">
        <v>1593</v>
      </c>
      <c r="B520">
        <v>3060</v>
      </c>
      <c r="C520" t="s">
        <v>2025</v>
      </c>
      <c r="D520" t="s">
        <v>2026</v>
      </c>
      <c r="E520" t="s">
        <v>2027</v>
      </c>
      <c r="F520" t="s">
        <v>166</v>
      </c>
      <c r="G520" t="s">
        <v>34</v>
      </c>
      <c r="H520" t="s">
        <v>214</v>
      </c>
      <c r="I520" t="s">
        <v>2028</v>
      </c>
      <c r="J520" t="s">
        <v>38</v>
      </c>
      <c r="K520" t="s">
        <v>38</v>
      </c>
      <c r="L520" t="s">
        <v>40</v>
      </c>
      <c r="M520" t="s">
        <v>775</v>
      </c>
      <c r="N520" t="s">
        <v>56</v>
      </c>
      <c r="O520" t="s">
        <v>121</v>
      </c>
      <c r="P520" t="s">
        <v>38</v>
      </c>
      <c r="Q520" t="s">
        <v>38</v>
      </c>
      <c r="R520" t="s">
        <v>39</v>
      </c>
      <c r="S520" t="s">
        <v>2029</v>
      </c>
      <c r="T520" t="s">
        <v>1641</v>
      </c>
      <c r="U520" t="s">
        <v>1642</v>
      </c>
      <c r="V520" t="s">
        <v>1602</v>
      </c>
      <c r="W520" t="s">
        <v>105</v>
      </c>
      <c r="Z520" t="s">
        <v>46</v>
      </c>
      <c r="AA520" t="s">
        <v>1643</v>
      </c>
      <c r="AC520">
        <f>COUNTIF(C:C,QLKV_gui_ket_qua_ra_soat[[#This Row],[Mã điểm bán]])</f>
        <v>1</v>
      </c>
    </row>
    <row r="521" spans="1:29" x14ac:dyDescent="0.45">
      <c r="A521" t="s">
        <v>1593</v>
      </c>
      <c r="B521">
        <v>3161</v>
      </c>
      <c r="C521" t="s">
        <v>2030</v>
      </c>
      <c r="D521" t="s">
        <v>2031</v>
      </c>
      <c r="E521" t="s">
        <v>64</v>
      </c>
      <c r="F521" t="s">
        <v>930</v>
      </c>
      <c r="G521" t="s">
        <v>34</v>
      </c>
      <c r="H521" t="s">
        <v>54</v>
      </c>
      <c r="I521" t="s">
        <v>2032</v>
      </c>
      <c r="J521" t="s">
        <v>38</v>
      </c>
      <c r="K521" t="s">
        <v>38</v>
      </c>
      <c r="L521" t="s">
        <v>40</v>
      </c>
      <c r="M521" t="s">
        <v>38</v>
      </c>
      <c r="N521" t="s">
        <v>37</v>
      </c>
      <c r="O521" t="s">
        <v>39</v>
      </c>
      <c r="P521" t="s">
        <v>38</v>
      </c>
      <c r="Q521" t="s">
        <v>38</v>
      </c>
      <c r="R521" t="s">
        <v>40</v>
      </c>
      <c r="S521" t="s">
        <v>41</v>
      </c>
      <c r="T521" t="s">
        <v>1607</v>
      </c>
      <c r="U521" t="s">
        <v>1601</v>
      </c>
      <c r="V521" t="s">
        <v>1602</v>
      </c>
      <c r="W521" t="s">
        <v>1603</v>
      </c>
      <c r="AC521">
        <f>COUNTIF(C:C,QLKV_gui_ket_qua_ra_soat[[#This Row],[Mã điểm bán]])</f>
        <v>1</v>
      </c>
    </row>
    <row r="522" spans="1:29" x14ac:dyDescent="0.45">
      <c r="A522" t="s">
        <v>1593</v>
      </c>
      <c r="B522">
        <v>3253</v>
      </c>
      <c r="C522" t="s">
        <v>2033</v>
      </c>
      <c r="D522" t="s">
        <v>2034</v>
      </c>
      <c r="E522" t="s">
        <v>2035</v>
      </c>
      <c r="F522" t="s">
        <v>191</v>
      </c>
      <c r="G522" t="s">
        <v>34</v>
      </c>
      <c r="H522" t="s">
        <v>1982</v>
      </c>
      <c r="I522" t="s">
        <v>2036</v>
      </c>
      <c r="J522" t="s">
        <v>38</v>
      </c>
      <c r="K522" t="s">
        <v>38</v>
      </c>
      <c r="L522" t="s">
        <v>39</v>
      </c>
      <c r="M522" t="s">
        <v>775</v>
      </c>
      <c r="N522" t="s">
        <v>37</v>
      </c>
      <c r="O522" t="s">
        <v>121</v>
      </c>
      <c r="P522" t="s">
        <v>38</v>
      </c>
      <c r="Q522" t="s">
        <v>38</v>
      </c>
      <c r="R522" t="s">
        <v>40</v>
      </c>
      <c r="S522" t="s">
        <v>2037</v>
      </c>
      <c r="T522" t="s">
        <v>1641</v>
      </c>
      <c r="U522" t="s">
        <v>1642</v>
      </c>
      <c r="V522" t="s">
        <v>1602</v>
      </c>
      <c r="W522" t="s">
        <v>45</v>
      </c>
      <c r="X522" t="s">
        <v>46</v>
      </c>
      <c r="AC522">
        <f>COUNTIF(C:C,QLKV_gui_ket_qua_ra_soat[[#This Row],[Mã điểm bán]])</f>
        <v>1</v>
      </c>
    </row>
    <row r="523" spans="1:29" x14ac:dyDescent="0.45">
      <c r="A523" t="s">
        <v>1593</v>
      </c>
      <c r="B523">
        <v>3259</v>
      </c>
      <c r="C523" t="s">
        <v>2038</v>
      </c>
      <c r="D523" t="s">
        <v>2039</v>
      </c>
      <c r="E523" t="s">
        <v>2040</v>
      </c>
      <c r="F523" t="s">
        <v>53</v>
      </c>
      <c r="G523" t="s">
        <v>34</v>
      </c>
      <c r="H523" t="s">
        <v>565</v>
      </c>
      <c r="I523" t="s">
        <v>2041</v>
      </c>
      <c r="J523" t="s">
        <v>38</v>
      </c>
      <c r="K523" t="s">
        <v>37</v>
      </c>
      <c r="L523" t="s">
        <v>40</v>
      </c>
      <c r="M523" t="s">
        <v>38</v>
      </c>
      <c r="N523" t="s">
        <v>37</v>
      </c>
      <c r="O523" t="s">
        <v>40</v>
      </c>
      <c r="P523" t="s">
        <v>38</v>
      </c>
      <c r="Q523" t="s">
        <v>38</v>
      </c>
      <c r="R523" t="s">
        <v>40</v>
      </c>
      <c r="S523" t="s">
        <v>41</v>
      </c>
      <c r="T523" t="s">
        <v>1600</v>
      </c>
      <c r="U523" t="s">
        <v>1601</v>
      </c>
      <c r="V523" t="s">
        <v>1602</v>
      </c>
      <c r="W523" t="s">
        <v>1603</v>
      </c>
      <c r="X523" t="s">
        <v>46</v>
      </c>
      <c r="AC523">
        <f>COUNTIF(C:C,QLKV_gui_ket_qua_ra_soat[[#This Row],[Mã điểm bán]])</f>
        <v>1</v>
      </c>
    </row>
    <row r="524" spans="1:29" x14ac:dyDescent="0.45">
      <c r="A524" t="s">
        <v>1593</v>
      </c>
      <c r="B524">
        <v>3302</v>
      </c>
      <c r="C524" t="s">
        <v>2042</v>
      </c>
      <c r="D524" t="s">
        <v>2043</v>
      </c>
      <c r="E524" t="s">
        <v>304</v>
      </c>
      <c r="F524" t="s">
        <v>53</v>
      </c>
      <c r="G524" t="s">
        <v>34</v>
      </c>
      <c r="H524" t="s">
        <v>2044</v>
      </c>
      <c r="I524" t="s">
        <v>2045</v>
      </c>
      <c r="J524" t="s">
        <v>37</v>
      </c>
      <c r="K524" t="s">
        <v>37</v>
      </c>
      <c r="L524" t="s">
        <v>40</v>
      </c>
      <c r="M524" t="s">
        <v>38</v>
      </c>
      <c r="N524" t="s">
        <v>37</v>
      </c>
      <c r="O524" t="s">
        <v>40</v>
      </c>
      <c r="P524" t="s">
        <v>38</v>
      </c>
      <c r="Q524" t="s">
        <v>38</v>
      </c>
      <c r="R524" t="s">
        <v>40</v>
      </c>
      <c r="S524" t="s">
        <v>41</v>
      </c>
      <c r="T524" t="s">
        <v>1709</v>
      </c>
      <c r="U524" t="s">
        <v>1710</v>
      </c>
      <c r="V524" t="s">
        <v>1602</v>
      </c>
      <c r="W524" t="s">
        <v>1711</v>
      </c>
      <c r="X524" t="s">
        <v>46</v>
      </c>
      <c r="AC524">
        <f>COUNTIF(C:C,QLKV_gui_ket_qua_ra_soat[[#This Row],[Mã điểm bán]])</f>
        <v>1</v>
      </c>
    </row>
    <row r="525" spans="1:29" x14ac:dyDescent="0.45">
      <c r="A525" t="s">
        <v>2046</v>
      </c>
      <c r="B525">
        <v>2</v>
      </c>
      <c r="C525" t="s">
        <v>2047</v>
      </c>
      <c r="D525" t="s">
        <v>2048</v>
      </c>
      <c r="E525" t="s">
        <v>407</v>
      </c>
      <c r="F525" t="s">
        <v>53</v>
      </c>
      <c r="G525" t="s">
        <v>34</v>
      </c>
      <c r="H525" t="s">
        <v>54</v>
      </c>
      <c r="I525" t="s">
        <v>2049</v>
      </c>
      <c r="J525" t="s">
        <v>38</v>
      </c>
      <c r="K525" t="s">
        <v>38</v>
      </c>
      <c r="L525" t="s">
        <v>40</v>
      </c>
      <c r="M525" t="s">
        <v>38</v>
      </c>
      <c r="N525" t="s">
        <v>38</v>
      </c>
      <c r="O525" t="s">
        <v>40</v>
      </c>
      <c r="P525" t="s">
        <v>38</v>
      </c>
      <c r="Q525" t="s">
        <v>38</v>
      </c>
      <c r="R525" t="s">
        <v>40</v>
      </c>
      <c r="S525" t="s">
        <v>41</v>
      </c>
      <c r="T525" t="s">
        <v>2050</v>
      </c>
      <c r="U525" t="s">
        <v>2051</v>
      </c>
      <c r="V525" t="s">
        <v>2052</v>
      </c>
      <c r="W525" t="s">
        <v>2053</v>
      </c>
      <c r="X525" t="s">
        <v>46</v>
      </c>
      <c r="AC525">
        <f>COUNTIF(C:C,QLKV_gui_ket_qua_ra_soat[[#This Row],[Mã điểm bán]])</f>
        <v>1</v>
      </c>
    </row>
    <row r="526" spans="1:29" x14ac:dyDescent="0.45">
      <c r="A526" t="s">
        <v>2046</v>
      </c>
      <c r="B526">
        <v>19</v>
      </c>
      <c r="C526" t="s">
        <v>2054</v>
      </c>
      <c r="D526" t="s">
        <v>2055</v>
      </c>
      <c r="E526" t="s">
        <v>857</v>
      </c>
      <c r="F526" t="s">
        <v>53</v>
      </c>
      <c r="G526" t="s">
        <v>34</v>
      </c>
      <c r="H526" t="s">
        <v>54</v>
      </c>
      <c r="I526" t="s">
        <v>2049</v>
      </c>
      <c r="J526" t="s">
        <v>38</v>
      </c>
      <c r="K526" t="s">
        <v>38</v>
      </c>
      <c r="L526" t="s">
        <v>40</v>
      </c>
      <c r="M526" t="s">
        <v>38</v>
      </c>
      <c r="N526" t="s">
        <v>38</v>
      </c>
      <c r="O526" t="s">
        <v>40</v>
      </c>
      <c r="P526" t="s">
        <v>38</v>
      </c>
      <c r="Q526" t="s">
        <v>38</v>
      </c>
      <c r="R526" t="s">
        <v>40</v>
      </c>
      <c r="S526" t="s">
        <v>41</v>
      </c>
      <c r="T526" t="s">
        <v>2050</v>
      </c>
      <c r="U526" t="s">
        <v>2051</v>
      </c>
      <c r="V526" t="s">
        <v>2052</v>
      </c>
      <c r="W526" t="s">
        <v>2053</v>
      </c>
      <c r="X526" t="s">
        <v>46</v>
      </c>
      <c r="AC526">
        <f>COUNTIF(C:C,QLKV_gui_ket_qua_ra_soat[[#This Row],[Mã điểm bán]])</f>
        <v>1</v>
      </c>
    </row>
    <row r="527" spans="1:29" x14ac:dyDescent="0.45">
      <c r="A527" t="s">
        <v>2046</v>
      </c>
      <c r="B527">
        <v>20</v>
      </c>
      <c r="C527" t="s">
        <v>2056</v>
      </c>
      <c r="D527" t="s">
        <v>2057</v>
      </c>
      <c r="E527" t="s">
        <v>304</v>
      </c>
      <c r="F527" t="s">
        <v>53</v>
      </c>
      <c r="G527" t="s">
        <v>34</v>
      </c>
      <c r="H527" t="s">
        <v>54</v>
      </c>
      <c r="I527" t="s">
        <v>2049</v>
      </c>
      <c r="J527" t="s">
        <v>38</v>
      </c>
      <c r="K527" t="s">
        <v>38</v>
      </c>
      <c r="L527" t="s">
        <v>40</v>
      </c>
      <c r="M527" t="s">
        <v>38</v>
      </c>
      <c r="N527" t="s">
        <v>38</v>
      </c>
      <c r="O527" t="s">
        <v>40</v>
      </c>
      <c r="P527" t="s">
        <v>38</v>
      </c>
      <c r="Q527" t="s">
        <v>38</v>
      </c>
      <c r="R527" t="s">
        <v>40</v>
      </c>
      <c r="S527" t="s">
        <v>41</v>
      </c>
      <c r="T527" t="s">
        <v>2050</v>
      </c>
      <c r="U527" t="s">
        <v>2051</v>
      </c>
      <c r="V527" t="s">
        <v>2052</v>
      </c>
      <c r="W527" t="s">
        <v>2053</v>
      </c>
      <c r="X527" t="s">
        <v>46</v>
      </c>
      <c r="AC527">
        <f>COUNTIF(C:C,QLKV_gui_ket_qua_ra_soat[[#This Row],[Mã điểm bán]])</f>
        <v>1</v>
      </c>
    </row>
    <row r="528" spans="1:29" x14ac:dyDescent="0.45">
      <c r="A528" t="s">
        <v>2046</v>
      </c>
      <c r="B528">
        <v>67</v>
      </c>
      <c r="C528" t="s">
        <v>2058</v>
      </c>
      <c r="D528" t="s">
        <v>2059</v>
      </c>
      <c r="E528" t="s">
        <v>2060</v>
      </c>
      <c r="F528" t="s">
        <v>53</v>
      </c>
      <c r="G528" t="s">
        <v>34</v>
      </c>
      <c r="H528" t="s">
        <v>319</v>
      </c>
      <c r="I528" t="s">
        <v>2061</v>
      </c>
      <c r="J528" t="s">
        <v>775</v>
      </c>
      <c r="K528" t="s">
        <v>775</v>
      </c>
      <c r="L528" t="s">
        <v>40</v>
      </c>
      <c r="M528" t="s">
        <v>56</v>
      </c>
      <c r="N528" t="s">
        <v>775</v>
      </c>
      <c r="O528" t="s">
        <v>39</v>
      </c>
      <c r="P528" t="s">
        <v>775</v>
      </c>
      <c r="Q528" t="s">
        <v>775</v>
      </c>
      <c r="R528" t="s">
        <v>40</v>
      </c>
      <c r="S528" t="s">
        <v>41</v>
      </c>
      <c r="T528" t="s">
        <v>2062</v>
      </c>
      <c r="U528" t="s">
        <v>2063</v>
      </c>
      <c r="V528" t="s">
        <v>2052</v>
      </c>
      <c r="W528" t="s">
        <v>2053</v>
      </c>
      <c r="X528" t="s">
        <v>46</v>
      </c>
      <c r="AC528">
        <f>COUNTIF(C:C,QLKV_gui_ket_qua_ra_soat[[#This Row],[Mã điểm bán]])</f>
        <v>1</v>
      </c>
    </row>
    <row r="529" spans="1:29" x14ac:dyDescent="0.45">
      <c r="A529" t="s">
        <v>2046</v>
      </c>
      <c r="B529">
        <v>70</v>
      </c>
      <c r="C529" t="s">
        <v>2064</v>
      </c>
      <c r="D529" t="s">
        <v>2065</v>
      </c>
      <c r="E529" t="s">
        <v>2066</v>
      </c>
      <c r="F529" t="s">
        <v>53</v>
      </c>
      <c r="G529" t="s">
        <v>34</v>
      </c>
      <c r="H529" t="s">
        <v>54</v>
      </c>
      <c r="I529" t="s">
        <v>2067</v>
      </c>
      <c r="J529" t="s">
        <v>775</v>
      </c>
      <c r="K529" t="s">
        <v>775</v>
      </c>
      <c r="L529" t="s">
        <v>40</v>
      </c>
      <c r="M529" t="s">
        <v>56</v>
      </c>
      <c r="N529" t="s">
        <v>775</v>
      </c>
      <c r="O529" t="s">
        <v>39</v>
      </c>
      <c r="P529" t="s">
        <v>775</v>
      </c>
      <c r="Q529" t="s">
        <v>775</v>
      </c>
      <c r="R529" t="s">
        <v>40</v>
      </c>
      <c r="S529" t="s">
        <v>41</v>
      </c>
      <c r="T529" t="s">
        <v>2062</v>
      </c>
      <c r="U529" t="s">
        <v>2063</v>
      </c>
      <c r="V529" t="s">
        <v>2052</v>
      </c>
      <c r="W529" t="s">
        <v>2053</v>
      </c>
      <c r="Y529" t="s">
        <v>46</v>
      </c>
      <c r="AC529">
        <f>COUNTIF(C:C,QLKV_gui_ket_qua_ra_soat[[#This Row],[Mã điểm bán]])</f>
        <v>1</v>
      </c>
    </row>
    <row r="530" spans="1:29" x14ac:dyDescent="0.45">
      <c r="A530" t="s">
        <v>2046</v>
      </c>
      <c r="B530">
        <v>79</v>
      </c>
      <c r="C530" t="s">
        <v>2068</v>
      </c>
      <c r="D530" t="s">
        <v>2069</v>
      </c>
      <c r="E530" t="s">
        <v>2070</v>
      </c>
      <c r="F530" t="s">
        <v>2071</v>
      </c>
      <c r="G530" t="s">
        <v>34</v>
      </c>
      <c r="H530" t="s">
        <v>1188</v>
      </c>
      <c r="I530" t="s">
        <v>2072</v>
      </c>
      <c r="J530" t="s">
        <v>775</v>
      </c>
      <c r="K530" t="s">
        <v>775</v>
      </c>
      <c r="L530" t="s">
        <v>40</v>
      </c>
      <c r="M530" t="s">
        <v>56</v>
      </c>
      <c r="N530" t="s">
        <v>775</v>
      </c>
      <c r="O530" t="s">
        <v>39</v>
      </c>
      <c r="P530" t="s">
        <v>775</v>
      </c>
      <c r="Q530" t="s">
        <v>775</v>
      </c>
      <c r="R530" t="s">
        <v>40</v>
      </c>
      <c r="S530" t="s">
        <v>41</v>
      </c>
      <c r="T530" t="s">
        <v>2062</v>
      </c>
      <c r="U530" t="s">
        <v>2063</v>
      </c>
      <c r="V530" t="s">
        <v>2052</v>
      </c>
      <c r="W530" t="s">
        <v>2053</v>
      </c>
      <c r="Z530" t="s">
        <v>46</v>
      </c>
      <c r="AA530" t="s">
        <v>48</v>
      </c>
      <c r="AB530" t="s">
        <v>1672</v>
      </c>
      <c r="AC530">
        <f>COUNTIF(C:C,QLKV_gui_ket_qua_ra_soat[[#This Row],[Mã điểm bán]])</f>
        <v>1</v>
      </c>
    </row>
    <row r="531" spans="1:29" x14ac:dyDescent="0.45">
      <c r="A531" t="s">
        <v>2046</v>
      </c>
      <c r="B531">
        <v>82</v>
      </c>
      <c r="C531" t="s">
        <v>2073</v>
      </c>
      <c r="D531" t="s">
        <v>2074</v>
      </c>
      <c r="E531" t="s">
        <v>108</v>
      </c>
      <c r="F531" t="s">
        <v>166</v>
      </c>
      <c r="G531" t="s">
        <v>34</v>
      </c>
      <c r="H531" t="s">
        <v>842</v>
      </c>
      <c r="I531" t="s">
        <v>2075</v>
      </c>
      <c r="J531" t="s">
        <v>38</v>
      </c>
      <c r="K531" t="s">
        <v>37</v>
      </c>
      <c r="L531" t="s">
        <v>40</v>
      </c>
      <c r="M531" t="s">
        <v>38</v>
      </c>
      <c r="N531" t="s">
        <v>37</v>
      </c>
      <c r="O531" t="s">
        <v>40</v>
      </c>
      <c r="P531" t="s">
        <v>37</v>
      </c>
      <c r="Q531" t="s">
        <v>56</v>
      </c>
      <c r="R531" t="s">
        <v>39</v>
      </c>
      <c r="S531" t="s">
        <v>41</v>
      </c>
      <c r="T531" t="s">
        <v>2076</v>
      </c>
      <c r="U531" t="s">
        <v>2077</v>
      </c>
      <c r="V531" t="s">
        <v>2052</v>
      </c>
      <c r="W531" t="s">
        <v>2053</v>
      </c>
      <c r="X531" t="s">
        <v>46</v>
      </c>
      <c r="AC531">
        <f>COUNTIF(C:C,QLKV_gui_ket_qua_ra_soat[[#This Row],[Mã điểm bán]])</f>
        <v>1</v>
      </c>
    </row>
    <row r="532" spans="1:29" x14ac:dyDescent="0.45">
      <c r="A532" t="s">
        <v>2046</v>
      </c>
      <c r="B532">
        <v>83</v>
      </c>
      <c r="C532" t="s">
        <v>2078</v>
      </c>
      <c r="D532" t="s">
        <v>2079</v>
      </c>
      <c r="E532" t="s">
        <v>1837</v>
      </c>
      <c r="F532" t="s">
        <v>600</v>
      </c>
      <c r="G532" t="s">
        <v>34</v>
      </c>
      <c r="H532" t="s">
        <v>54</v>
      </c>
      <c r="I532" t="s">
        <v>2081</v>
      </c>
      <c r="J532" t="s">
        <v>38</v>
      </c>
      <c r="K532" t="s">
        <v>38</v>
      </c>
      <c r="L532" t="s">
        <v>40</v>
      </c>
      <c r="M532" t="s">
        <v>38</v>
      </c>
      <c r="N532" t="s">
        <v>38</v>
      </c>
      <c r="O532" t="s">
        <v>40</v>
      </c>
      <c r="P532" t="s">
        <v>38</v>
      </c>
      <c r="Q532" t="s">
        <v>38</v>
      </c>
      <c r="R532" t="s">
        <v>40</v>
      </c>
      <c r="S532" t="s">
        <v>41</v>
      </c>
      <c r="T532" t="s">
        <v>2050</v>
      </c>
      <c r="U532" t="s">
        <v>2051</v>
      </c>
      <c r="V532" t="s">
        <v>2052</v>
      </c>
      <c r="W532" t="s">
        <v>2053</v>
      </c>
      <c r="X532" t="s">
        <v>46</v>
      </c>
      <c r="AC532">
        <f>COUNTIF(C:C,QLKV_gui_ket_qua_ra_soat[[#This Row],[Mã điểm bán]])</f>
        <v>1</v>
      </c>
    </row>
    <row r="533" spans="1:29" x14ac:dyDescent="0.45">
      <c r="A533" t="s">
        <v>2046</v>
      </c>
      <c r="B533">
        <v>93</v>
      </c>
      <c r="C533" t="s">
        <v>2082</v>
      </c>
      <c r="D533" t="s">
        <v>2083</v>
      </c>
      <c r="E533" t="s">
        <v>108</v>
      </c>
      <c r="F533" t="s">
        <v>166</v>
      </c>
      <c r="G533" t="s">
        <v>34</v>
      </c>
      <c r="H533" t="s">
        <v>479</v>
      </c>
      <c r="I533" t="s">
        <v>2075</v>
      </c>
      <c r="J533" t="s">
        <v>38</v>
      </c>
      <c r="K533" t="s">
        <v>37</v>
      </c>
      <c r="L533" t="s">
        <v>40</v>
      </c>
      <c r="M533" t="s">
        <v>38</v>
      </c>
      <c r="N533" t="s">
        <v>37</v>
      </c>
      <c r="O533" t="s">
        <v>40</v>
      </c>
      <c r="P533" t="s">
        <v>37</v>
      </c>
      <c r="Q533" t="s">
        <v>56</v>
      </c>
      <c r="R533" t="s">
        <v>39</v>
      </c>
      <c r="S533" t="s">
        <v>41</v>
      </c>
      <c r="T533" t="s">
        <v>2076</v>
      </c>
      <c r="U533" t="s">
        <v>2077</v>
      </c>
      <c r="V533" t="s">
        <v>2052</v>
      </c>
      <c r="W533" t="s">
        <v>2053</v>
      </c>
      <c r="X533" t="s">
        <v>46</v>
      </c>
      <c r="AC533">
        <f>COUNTIF(C:C,QLKV_gui_ket_qua_ra_soat[[#This Row],[Mã điểm bán]])</f>
        <v>1</v>
      </c>
    </row>
    <row r="534" spans="1:29" x14ac:dyDescent="0.45">
      <c r="A534" t="s">
        <v>2046</v>
      </c>
      <c r="B534">
        <v>97</v>
      </c>
      <c r="C534" t="s">
        <v>2084</v>
      </c>
      <c r="D534" t="s">
        <v>2085</v>
      </c>
      <c r="E534" t="s">
        <v>416</v>
      </c>
      <c r="F534" t="s">
        <v>166</v>
      </c>
      <c r="G534" t="s">
        <v>34</v>
      </c>
      <c r="H534" t="s">
        <v>842</v>
      </c>
      <c r="I534" t="s">
        <v>2086</v>
      </c>
      <c r="J534" t="s">
        <v>38</v>
      </c>
      <c r="K534" t="s">
        <v>37</v>
      </c>
      <c r="L534" t="s">
        <v>40</v>
      </c>
      <c r="M534" t="s">
        <v>38</v>
      </c>
      <c r="N534" t="s">
        <v>37</v>
      </c>
      <c r="O534" t="s">
        <v>40</v>
      </c>
      <c r="P534" t="s">
        <v>37</v>
      </c>
      <c r="Q534" t="s">
        <v>56</v>
      </c>
      <c r="R534" t="s">
        <v>39</v>
      </c>
      <c r="S534" t="s">
        <v>41</v>
      </c>
      <c r="T534" t="s">
        <v>2076</v>
      </c>
      <c r="U534" t="s">
        <v>2077</v>
      </c>
      <c r="V534" t="s">
        <v>2052</v>
      </c>
      <c r="W534" t="s">
        <v>2053</v>
      </c>
      <c r="X534" t="s">
        <v>46</v>
      </c>
      <c r="AC534">
        <f>COUNTIF(C:C,QLKV_gui_ket_qua_ra_soat[[#This Row],[Mã điểm bán]])</f>
        <v>1</v>
      </c>
    </row>
    <row r="535" spans="1:29" x14ac:dyDescent="0.45">
      <c r="A535" t="s">
        <v>2046</v>
      </c>
      <c r="B535">
        <v>124</v>
      </c>
      <c r="C535" t="s">
        <v>2087</v>
      </c>
      <c r="D535" t="s">
        <v>2088</v>
      </c>
      <c r="E535" t="s">
        <v>1015</v>
      </c>
      <c r="F535" t="s">
        <v>2089</v>
      </c>
      <c r="G535" t="s">
        <v>177</v>
      </c>
      <c r="H535" t="s">
        <v>214</v>
      </c>
      <c r="I535" t="s">
        <v>2090</v>
      </c>
      <c r="J535" t="s">
        <v>38</v>
      </c>
      <c r="K535" t="s">
        <v>38</v>
      </c>
      <c r="L535" t="s">
        <v>40</v>
      </c>
      <c r="M535" t="s">
        <v>38</v>
      </c>
      <c r="N535" t="s">
        <v>37</v>
      </c>
      <c r="O535" t="s">
        <v>40</v>
      </c>
      <c r="P535" t="s">
        <v>56</v>
      </c>
      <c r="Q535" t="s">
        <v>56</v>
      </c>
      <c r="R535" t="s">
        <v>39</v>
      </c>
      <c r="S535" t="s">
        <v>2091</v>
      </c>
      <c r="T535" t="s">
        <v>2076</v>
      </c>
      <c r="U535" t="s">
        <v>2077</v>
      </c>
      <c r="V535" t="s">
        <v>2052</v>
      </c>
      <c r="W535" t="s">
        <v>2053</v>
      </c>
      <c r="X535" t="s">
        <v>46</v>
      </c>
      <c r="AC535">
        <f>COUNTIF(C:C,QLKV_gui_ket_qua_ra_soat[[#This Row],[Mã điểm bán]])</f>
        <v>1</v>
      </c>
    </row>
    <row r="536" spans="1:29" x14ac:dyDescent="0.45">
      <c r="A536" t="s">
        <v>2046</v>
      </c>
      <c r="B536">
        <v>125</v>
      </c>
      <c r="C536" t="s">
        <v>2092</v>
      </c>
      <c r="D536" t="s">
        <v>2093</v>
      </c>
      <c r="E536" t="s">
        <v>261</v>
      </c>
      <c r="F536" t="s">
        <v>53</v>
      </c>
      <c r="G536" t="s">
        <v>150</v>
      </c>
      <c r="H536" t="s">
        <v>54</v>
      </c>
      <c r="I536" t="s">
        <v>2094</v>
      </c>
      <c r="J536" t="s">
        <v>38</v>
      </c>
      <c r="K536" t="s">
        <v>38</v>
      </c>
      <c r="L536" t="s">
        <v>40</v>
      </c>
      <c r="M536" t="s">
        <v>38</v>
      </c>
      <c r="N536" t="s">
        <v>38</v>
      </c>
      <c r="O536" t="s">
        <v>40</v>
      </c>
      <c r="P536" t="s">
        <v>38</v>
      </c>
      <c r="Q536" t="s">
        <v>38</v>
      </c>
      <c r="R536" t="s">
        <v>40</v>
      </c>
      <c r="S536" t="s">
        <v>2095</v>
      </c>
      <c r="T536" t="s">
        <v>2096</v>
      </c>
      <c r="U536" t="s">
        <v>2097</v>
      </c>
      <c r="V536" t="s">
        <v>2052</v>
      </c>
      <c r="W536" t="s">
        <v>2053</v>
      </c>
      <c r="X536" t="s">
        <v>46</v>
      </c>
      <c r="AC536">
        <f>COUNTIF(C:C,QLKV_gui_ket_qua_ra_soat[[#This Row],[Mã điểm bán]])</f>
        <v>1</v>
      </c>
    </row>
    <row r="537" spans="1:29" x14ac:dyDescent="0.45">
      <c r="A537" t="s">
        <v>2046</v>
      </c>
      <c r="B537">
        <v>130</v>
      </c>
      <c r="C537" t="s">
        <v>2098</v>
      </c>
      <c r="D537" t="s">
        <v>2099</v>
      </c>
      <c r="E537" t="s">
        <v>1699</v>
      </c>
      <c r="F537" t="s">
        <v>2100</v>
      </c>
      <c r="G537" t="s">
        <v>34</v>
      </c>
      <c r="H537" t="s">
        <v>54</v>
      </c>
      <c r="I537" t="s">
        <v>2101</v>
      </c>
      <c r="J537" t="s">
        <v>775</v>
      </c>
      <c r="K537" t="s">
        <v>775</v>
      </c>
      <c r="L537" t="s">
        <v>40</v>
      </c>
      <c r="M537" t="s">
        <v>56</v>
      </c>
      <c r="N537" t="s">
        <v>775</v>
      </c>
      <c r="O537" t="s">
        <v>39</v>
      </c>
      <c r="P537" t="s">
        <v>775</v>
      </c>
      <c r="Q537" t="s">
        <v>775</v>
      </c>
      <c r="R537" t="s">
        <v>40</v>
      </c>
      <c r="S537" t="s">
        <v>41</v>
      </c>
      <c r="T537" t="s">
        <v>2062</v>
      </c>
      <c r="U537" t="s">
        <v>2063</v>
      </c>
      <c r="V537" t="s">
        <v>2052</v>
      </c>
      <c r="W537" t="s">
        <v>2053</v>
      </c>
      <c r="Z537" t="s">
        <v>46</v>
      </c>
      <c r="AA537" t="s">
        <v>2102</v>
      </c>
      <c r="AB537" t="s">
        <v>48</v>
      </c>
      <c r="AC537">
        <f>COUNTIF(C:C,QLKV_gui_ket_qua_ra_soat[[#This Row],[Mã điểm bán]])</f>
        <v>1</v>
      </c>
    </row>
    <row r="538" spans="1:29" x14ac:dyDescent="0.45">
      <c r="A538" t="s">
        <v>2046</v>
      </c>
      <c r="B538">
        <v>132</v>
      </c>
      <c r="C538" t="s">
        <v>2103</v>
      </c>
      <c r="D538" t="s">
        <v>2104</v>
      </c>
      <c r="E538" t="s">
        <v>2105</v>
      </c>
      <c r="F538" t="s">
        <v>2106</v>
      </c>
      <c r="G538" t="s">
        <v>177</v>
      </c>
      <c r="H538" t="s">
        <v>917</v>
      </c>
      <c r="I538" t="s">
        <v>2107</v>
      </c>
      <c r="J538" t="s">
        <v>38</v>
      </c>
      <c r="K538" t="s">
        <v>37</v>
      </c>
      <c r="L538" t="s">
        <v>40</v>
      </c>
      <c r="M538" t="s">
        <v>38</v>
      </c>
      <c r="N538" t="s">
        <v>37</v>
      </c>
      <c r="O538" t="s">
        <v>40</v>
      </c>
      <c r="P538" t="s">
        <v>37</v>
      </c>
      <c r="Q538" t="s">
        <v>56</v>
      </c>
      <c r="R538" t="s">
        <v>39</v>
      </c>
      <c r="S538" t="s">
        <v>2091</v>
      </c>
      <c r="T538" t="s">
        <v>2076</v>
      </c>
      <c r="U538" t="s">
        <v>2077</v>
      </c>
      <c r="V538" t="s">
        <v>2052</v>
      </c>
      <c r="W538" t="s">
        <v>2053</v>
      </c>
      <c r="X538" t="s">
        <v>46</v>
      </c>
      <c r="AC538">
        <f>COUNTIF(C:C,QLKV_gui_ket_qua_ra_soat[[#This Row],[Mã điểm bán]])</f>
        <v>1</v>
      </c>
    </row>
    <row r="539" spans="1:29" x14ac:dyDescent="0.45">
      <c r="A539" t="s">
        <v>2046</v>
      </c>
      <c r="B539">
        <v>176</v>
      </c>
      <c r="C539" t="s">
        <v>2108</v>
      </c>
      <c r="D539" t="s">
        <v>2109</v>
      </c>
      <c r="E539" t="s">
        <v>742</v>
      </c>
      <c r="F539" t="s">
        <v>53</v>
      </c>
      <c r="G539" t="s">
        <v>34</v>
      </c>
      <c r="H539" t="s">
        <v>171</v>
      </c>
      <c r="I539" t="s">
        <v>2110</v>
      </c>
      <c r="J539" t="s">
        <v>38</v>
      </c>
      <c r="K539" t="s">
        <v>38</v>
      </c>
      <c r="L539" t="s">
        <v>40</v>
      </c>
      <c r="M539" t="s">
        <v>37</v>
      </c>
      <c r="N539" t="s">
        <v>37</v>
      </c>
      <c r="O539" t="s">
        <v>39</v>
      </c>
      <c r="P539" t="s">
        <v>38</v>
      </c>
      <c r="Q539" t="s">
        <v>38</v>
      </c>
      <c r="R539" t="s">
        <v>40</v>
      </c>
      <c r="S539" t="s">
        <v>2111</v>
      </c>
      <c r="T539" t="s">
        <v>2096</v>
      </c>
      <c r="U539" t="s">
        <v>2097</v>
      </c>
      <c r="V539" t="s">
        <v>2052</v>
      </c>
      <c r="W539" t="s">
        <v>2053</v>
      </c>
      <c r="Z539" t="s">
        <v>46</v>
      </c>
      <c r="AA539" t="s">
        <v>2102</v>
      </c>
      <c r="AB539" t="s">
        <v>48</v>
      </c>
      <c r="AC539">
        <f>COUNTIF(C:C,QLKV_gui_ket_qua_ra_soat[[#This Row],[Mã điểm bán]])</f>
        <v>1</v>
      </c>
    </row>
    <row r="540" spans="1:29" x14ac:dyDescent="0.45">
      <c r="A540" t="s">
        <v>2046</v>
      </c>
      <c r="B540">
        <v>161</v>
      </c>
      <c r="C540" t="s">
        <v>2112</v>
      </c>
      <c r="D540" t="s">
        <v>2113</v>
      </c>
      <c r="E540" t="s">
        <v>176</v>
      </c>
      <c r="F540" t="s">
        <v>53</v>
      </c>
      <c r="G540" t="s">
        <v>34</v>
      </c>
      <c r="H540" t="s">
        <v>54</v>
      </c>
      <c r="J540" t="s">
        <v>37</v>
      </c>
      <c r="K540" t="s">
        <v>37</v>
      </c>
      <c r="L540" t="s">
        <v>39</v>
      </c>
      <c r="M540" t="s">
        <v>37</v>
      </c>
      <c r="N540" t="s">
        <v>37</v>
      </c>
      <c r="O540" t="s">
        <v>39</v>
      </c>
      <c r="P540" t="s">
        <v>38</v>
      </c>
      <c r="Q540" t="s">
        <v>38</v>
      </c>
      <c r="R540" t="s">
        <v>40</v>
      </c>
      <c r="S540" t="s">
        <v>41</v>
      </c>
      <c r="T540" t="s">
        <v>2114</v>
      </c>
      <c r="U540" t="s">
        <v>2115</v>
      </c>
      <c r="V540" t="s">
        <v>2052</v>
      </c>
      <c r="W540" t="s">
        <v>2053</v>
      </c>
      <c r="Z540" t="s">
        <v>46</v>
      </c>
      <c r="AA540" t="s">
        <v>2116</v>
      </c>
      <c r="AB540" t="s">
        <v>48</v>
      </c>
      <c r="AC540">
        <f>COUNTIF(C:C,QLKV_gui_ket_qua_ra_soat[[#This Row],[Mã điểm bán]])</f>
        <v>1</v>
      </c>
    </row>
    <row r="541" spans="1:29" x14ac:dyDescent="0.45">
      <c r="A541" t="s">
        <v>2046</v>
      </c>
      <c r="B541">
        <v>187</v>
      </c>
      <c r="C541" t="s">
        <v>2117</v>
      </c>
      <c r="D541" t="s">
        <v>2118</v>
      </c>
      <c r="E541" t="s">
        <v>181</v>
      </c>
      <c r="F541" t="s">
        <v>166</v>
      </c>
      <c r="G541" t="s">
        <v>177</v>
      </c>
      <c r="H541" t="s">
        <v>917</v>
      </c>
      <c r="I541" t="s">
        <v>2086</v>
      </c>
      <c r="J541" t="s">
        <v>38</v>
      </c>
      <c r="K541" t="s">
        <v>37</v>
      </c>
      <c r="L541" t="s">
        <v>40</v>
      </c>
      <c r="M541" t="s">
        <v>38</v>
      </c>
      <c r="N541" t="s">
        <v>37</v>
      </c>
      <c r="O541" t="s">
        <v>40</v>
      </c>
      <c r="P541" t="s">
        <v>37</v>
      </c>
      <c r="Q541" t="s">
        <v>56</v>
      </c>
      <c r="R541" t="s">
        <v>39</v>
      </c>
      <c r="S541" t="s">
        <v>2091</v>
      </c>
      <c r="T541" t="s">
        <v>2076</v>
      </c>
      <c r="U541" t="s">
        <v>2077</v>
      </c>
      <c r="V541" t="s">
        <v>2052</v>
      </c>
      <c r="W541" t="s">
        <v>2053</v>
      </c>
      <c r="X541" t="s">
        <v>46</v>
      </c>
      <c r="AC541">
        <f>COUNTIF(C:C,QLKV_gui_ket_qua_ra_soat[[#This Row],[Mã điểm bán]])</f>
        <v>1</v>
      </c>
    </row>
    <row r="542" spans="1:29" x14ac:dyDescent="0.45">
      <c r="A542" t="s">
        <v>2046</v>
      </c>
      <c r="B542">
        <v>174</v>
      </c>
      <c r="C542" t="s">
        <v>2120</v>
      </c>
      <c r="D542" t="s">
        <v>2121</v>
      </c>
      <c r="E542" t="s">
        <v>529</v>
      </c>
      <c r="F542" t="s">
        <v>325</v>
      </c>
      <c r="G542" t="s">
        <v>34</v>
      </c>
      <c r="H542" t="s">
        <v>54</v>
      </c>
      <c r="J542" t="s">
        <v>37</v>
      </c>
      <c r="K542" t="s">
        <v>37</v>
      </c>
      <c r="L542" t="s">
        <v>39</v>
      </c>
      <c r="M542" t="s">
        <v>37</v>
      </c>
      <c r="N542" t="s">
        <v>37</v>
      </c>
      <c r="O542" t="s">
        <v>39</v>
      </c>
      <c r="P542" t="s">
        <v>38</v>
      </c>
      <c r="Q542" t="s">
        <v>38</v>
      </c>
      <c r="R542" t="s">
        <v>40</v>
      </c>
      <c r="S542" t="s">
        <v>41</v>
      </c>
      <c r="T542" t="s">
        <v>2114</v>
      </c>
      <c r="U542" t="s">
        <v>2115</v>
      </c>
      <c r="V542" t="s">
        <v>2052</v>
      </c>
      <c r="W542" t="s">
        <v>2053</v>
      </c>
      <c r="X542" t="s">
        <v>46</v>
      </c>
      <c r="AC542">
        <f>COUNTIF(C:C,QLKV_gui_ket_qua_ra_soat[[#This Row],[Mã điểm bán]])</f>
        <v>1</v>
      </c>
    </row>
    <row r="543" spans="1:29" x14ac:dyDescent="0.45">
      <c r="A543" t="s">
        <v>2046</v>
      </c>
      <c r="B543">
        <v>196</v>
      </c>
      <c r="C543" t="s">
        <v>2122</v>
      </c>
      <c r="D543" t="s">
        <v>2123</v>
      </c>
      <c r="E543" t="s">
        <v>529</v>
      </c>
      <c r="F543" t="s">
        <v>166</v>
      </c>
      <c r="G543" t="s">
        <v>177</v>
      </c>
      <c r="H543" t="s">
        <v>842</v>
      </c>
      <c r="I543" t="s">
        <v>2075</v>
      </c>
      <c r="J543" t="s">
        <v>38</v>
      </c>
      <c r="K543" t="s">
        <v>37</v>
      </c>
      <c r="L543" t="s">
        <v>40</v>
      </c>
      <c r="M543" t="s">
        <v>38</v>
      </c>
      <c r="N543" t="s">
        <v>37</v>
      </c>
      <c r="O543" t="s">
        <v>40</v>
      </c>
      <c r="P543" t="s">
        <v>37</v>
      </c>
      <c r="Q543" t="s">
        <v>56</v>
      </c>
      <c r="R543" t="s">
        <v>39</v>
      </c>
      <c r="S543" t="s">
        <v>2124</v>
      </c>
      <c r="T543" t="s">
        <v>2076</v>
      </c>
      <c r="U543" t="s">
        <v>2077</v>
      </c>
      <c r="V543" t="s">
        <v>2052</v>
      </c>
      <c r="W543" t="s">
        <v>2053</v>
      </c>
      <c r="X543" t="s">
        <v>46</v>
      </c>
      <c r="AC543">
        <f>COUNTIF(C:C,QLKV_gui_ket_qua_ra_soat[[#This Row],[Mã điểm bán]])</f>
        <v>1</v>
      </c>
    </row>
    <row r="544" spans="1:29" x14ac:dyDescent="0.45">
      <c r="A544" t="s">
        <v>2046</v>
      </c>
      <c r="B544">
        <v>197</v>
      </c>
      <c r="C544" t="s">
        <v>2125</v>
      </c>
      <c r="D544" t="s">
        <v>2126</v>
      </c>
      <c r="E544" t="s">
        <v>742</v>
      </c>
      <c r="F544" t="s">
        <v>166</v>
      </c>
      <c r="G544" t="s">
        <v>177</v>
      </c>
      <c r="H544" t="s">
        <v>214</v>
      </c>
      <c r="I544" t="s">
        <v>2075</v>
      </c>
      <c r="J544" t="s">
        <v>38</v>
      </c>
      <c r="K544" t="s">
        <v>37</v>
      </c>
      <c r="L544" t="s">
        <v>40</v>
      </c>
      <c r="M544" t="s">
        <v>38</v>
      </c>
      <c r="N544" t="s">
        <v>38</v>
      </c>
      <c r="O544" t="s">
        <v>40</v>
      </c>
      <c r="P544" t="s">
        <v>37</v>
      </c>
      <c r="Q544" t="s">
        <v>56</v>
      </c>
      <c r="R544" t="s">
        <v>39</v>
      </c>
      <c r="S544" t="s">
        <v>2127</v>
      </c>
      <c r="T544" t="s">
        <v>2076</v>
      </c>
      <c r="U544" t="s">
        <v>2077</v>
      </c>
      <c r="V544" t="s">
        <v>2052</v>
      </c>
      <c r="W544" t="s">
        <v>2053</v>
      </c>
      <c r="Y544" t="s">
        <v>46</v>
      </c>
      <c r="AC544">
        <f>COUNTIF(C:C,QLKV_gui_ket_qua_ra_soat[[#This Row],[Mã điểm bán]])</f>
        <v>1</v>
      </c>
    </row>
    <row r="545" spans="1:29" x14ac:dyDescent="0.45">
      <c r="A545" t="s">
        <v>2046</v>
      </c>
      <c r="B545">
        <v>198</v>
      </c>
      <c r="C545" t="s">
        <v>2128</v>
      </c>
      <c r="D545" t="s">
        <v>2129</v>
      </c>
      <c r="E545" t="s">
        <v>91</v>
      </c>
      <c r="F545" t="s">
        <v>115</v>
      </c>
      <c r="G545" t="s">
        <v>177</v>
      </c>
      <c r="H545" t="s">
        <v>842</v>
      </c>
      <c r="I545" t="s">
        <v>2086</v>
      </c>
      <c r="J545" t="s">
        <v>38</v>
      </c>
      <c r="K545" t="s">
        <v>37</v>
      </c>
      <c r="L545" t="s">
        <v>40</v>
      </c>
      <c r="M545" t="s">
        <v>38</v>
      </c>
      <c r="N545" t="s">
        <v>37</v>
      </c>
      <c r="O545" t="s">
        <v>40</v>
      </c>
      <c r="P545" t="s">
        <v>37</v>
      </c>
      <c r="Q545" t="s">
        <v>56</v>
      </c>
      <c r="R545" t="s">
        <v>39</v>
      </c>
      <c r="S545" t="s">
        <v>2091</v>
      </c>
      <c r="T545" t="s">
        <v>2076</v>
      </c>
      <c r="U545" t="s">
        <v>2077</v>
      </c>
      <c r="V545" t="s">
        <v>2052</v>
      </c>
      <c r="W545" t="s">
        <v>2053</v>
      </c>
      <c r="X545" t="s">
        <v>46</v>
      </c>
      <c r="AC545">
        <f>COUNTIF(C:C,QLKV_gui_ket_qua_ra_soat[[#This Row],[Mã điểm bán]])</f>
        <v>1</v>
      </c>
    </row>
    <row r="546" spans="1:29" x14ac:dyDescent="0.45">
      <c r="A546" t="s">
        <v>2046</v>
      </c>
      <c r="B546">
        <v>179</v>
      </c>
      <c r="C546" t="s">
        <v>2130</v>
      </c>
      <c r="D546" t="s">
        <v>2131</v>
      </c>
      <c r="E546" t="s">
        <v>529</v>
      </c>
      <c r="F546" t="s">
        <v>401</v>
      </c>
      <c r="G546" t="s">
        <v>34</v>
      </c>
      <c r="H546" t="s">
        <v>54</v>
      </c>
      <c r="J546" t="s">
        <v>37</v>
      </c>
      <c r="K546" t="s">
        <v>37</v>
      </c>
      <c r="L546" t="s">
        <v>39</v>
      </c>
      <c r="M546" t="s">
        <v>37</v>
      </c>
      <c r="N546" t="s">
        <v>37</v>
      </c>
      <c r="O546" t="s">
        <v>39</v>
      </c>
      <c r="P546" t="s">
        <v>38</v>
      </c>
      <c r="Q546" t="s">
        <v>38</v>
      </c>
      <c r="R546" t="s">
        <v>40</v>
      </c>
      <c r="S546" t="s">
        <v>41</v>
      </c>
      <c r="T546" t="s">
        <v>2114</v>
      </c>
      <c r="U546" t="s">
        <v>2115</v>
      </c>
      <c r="V546" t="s">
        <v>2052</v>
      </c>
      <c r="W546" t="s">
        <v>2053</v>
      </c>
      <c r="X546" t="s">
        <v>46</v>
      </c>
      <c r="AC546">
        <f>COUNTIF(C:C,QLKV_gui_ket_qua_ra_soat[[#This Row],[Mã điểm bán]])</f>
        <v>1</v>
      </c>
    </row>
    <row r="547" spans="1:29" x14ac:dyDescent="0.45">
      <c r="A547" t="s">
        <v>2046</v>
      </c>
      <c r="B547">
        <v>182</v>
      </c>
      <c r="C547" t="s">
        <v>2132</v>
      </c>
      <c r="D547" t="s">
        <v>2133</v>
      </c>
      <c r="E547" t="s">
        <v>2134</v>
      </c>
      <c r="F547" t="s">
        <v>581</v>
      </c>
      <c r="G547" t="s">
        <v>34</v>
      </c>
      <c r="H547" t="s">
        <v>54</v>
      </c>
      <c r="J547" t="s">
        <v>37</v>
      </c>
      <c r="K547" t="s">
        <v>37</v>
      </c>
      <c r="L547" t="s">
        <v>39</v>
      </c>
      <c r="M547" t="s">
        <v>37</v>
      </c>
      <c r="N547" t="s">
        <v>37</v>
      </c>
      <c r="O547" t="s">
        <v>39</v>
      </c>
      <c r="P547" t="s">
        <v>38</v>
      </c>
      <c r="Q547" t="s">
        <v>38</v>
      </c>
      <c r="R547" t="s">
        <v>40</v>
      </c>
      <c r="S547" t="s">
        <v>41</v>
      </c>
      <c r="T547" t="s">
        <v>2114</v>
      </c>
      <c r="U547" t="s">
        <v>2115</v>
      </c>
      <c r="V547" t="s">
        <v>2052</v>
      </c>
      <c r="W547" t="s">
        <v>2053</v>
      </c>
      <c r="Z547" t="s">
        <v>46</v>
      </c>
      <c r="AA547" t="s">
        <v>2116</v>
      </c>
      <c r="AB547" t="s">
        <v>48</v>
      </c>
      <c r="AC547">
        <f>COUNTIF(C:C,QLKV_gui_ket_qua_ra_soat[[#This Row],[Mã điểm bán]])</f>
        <v>1</v>
      </c>
    </row>
    <row r="548" spans="1:29" x14ac:dyDescent="0.45">
      <c r="A548" t="s">
        <v>2046</v>
      </c>
      <c r="B548">
        <v>208</v>
      </c>
      <c r="C548" t="s">
        <v>2135</v>
      </c>
      <c r="D548" t="s">
        <v>2136</v>
      </c>
      <c r="E548" t="s">
        <v>1043</v>
      </c>
      <c r="F548" t="s">
        <v>53</v>
      </c>
      <c r="G548" t="s">
        <v>34</v>
      </c>
      <c r="H548" t="s">
        <v>54</v>
      </c>
      <c r="I548" t="s">
        <v>2049</v>
      </c>
      <c r="J548" t="s">
        <v>38</v>
      </c>
      <c r="K548" t="s">
        <v>38</v>
      </c>
      <c r="L548" t="s">
        <v>40</v>
      </c>
      <c r="M548" t="s">
        <v>38</v>
      </c>
      <c r="N548" t="s">
        <v>38</v>
      </c>
      <c r="O548" t="s">
        <v>40</v>
      </c>
      <c r="P548" t="s">
        <v>38</v>
      </c>
      <c r="Q548" t="s">
        <v>38</v>
      </c>
      <c r="R548" t="s">
        <v>40</v>
      </c>
      <c r="S548" t="s">
        <v>41</v>
      </c>
      <c r="T548" t="s">
        <v>2050</v>
      </c>
      <c r="U548" t="s">
        <v>2051</v>
      </c>
      <c r="V548" t="s">
        <v>2052</v>
      </c>
      <c r="W548" t="s">
        <v>2053</v>
      </c>
      <c r="X548" t="s">
        <v>46</v>
      </c>
      <c r="AC548">
        <f>COUNTIF(C:C,QLKV_gui_ket_qua_ra_soat[[#This Row],[Mã điểm bán]])</f>
        <v>1</v>
      </c>
    </row>
    <row r="549" spans="1:29" x14ac:dyDescent="0.45">
      <c r="A549" t="s">
        <v>2046</v>
      </c>
      <c r="B549">
        <v>219</v>
      </c>
      <c r="C549" t="s">
        <v>2137</v>
      </c>
      <c r="D549" t="s">
        <v>2138</v>
      </c>
      <c r="E549" t="s">
        <v>2140</v>
      </c>
      <c r="F549" t="s">
        <v>53</v>
      </c>
      <c r="G549" t="s">
        <v>34</v>
      </c>
      <c r="H549" t="s">
        <v>54</v>
      </c>
      <c r="I549" t="s">
        <v>2141</v>
      </c>
      <c r="J549" t="s">
        <v>775</v>
      </c>
      <c r="K549" t="s">
        <v>775</v>
      </c>
      <c r="L549" t="s">
        <v>40</v>
      </c>
      <c r="M549" t="s">
        <v>775</v>
      </c>
      <c r="N549" t="s">
        <v>775</v>
      </c>
      <c r="O549" t="s">
        <v>39</v>
      </c>
      <c r="P549" t="s">
        <v>775</v>
      </c>
      <c r="Q549" t="s">
        <v>775</v>
      </c>
      <c r="R549" t="s">
        <v>40</v>
      </c>
      <c r="S549" t="s">
        <v>41</v>
      </c>
      <c r="T549" t="s">
        <v>2062</v>
      </c>
      <c r="U549" t="s">
        <v>2063</v>
      </c>
      <c r="V549" t="s">
        <v>2052</v>
      </c>
      <c r="W549" t="s">
        <v>2053</v>
      </c>
      <c r="X549" t="s">
        <v>46</v>
      </c>
      <c r="AC549">
        <f>COUNTIF(C:C,QLKV_gui_ket_qua_ra_soat[[#This Row],[Mã điểm bán]])</f>
        <v>1</v>
      </c>
    </row>
    <row r="550" spans="1:29" x14ac:dyDescent="0.45">
      <c r="A550" t="s">
        <v>2046</v>
      </c>
      <c r="B550">
        <v>207</v>
      </c>
      <c r="C550" t="s">
        <v>2142</v>
      </c>
      <c r="D550" t="s">
        <v>2143</v>
      </c>
      <c r="E550" t="s">
        <v>330</v>
      </c>
      <c r="F550" t="s">
        <v>115</v>
      </c>
      <c r="G550" t="s">
        <v>34</v>
      </c>
      <c r="H550" t="s">
        <v>54</v>
      </c>
      <c r="J550" t="s">
        <v>37</v>
      </c>
      <c r="K550" t="s">
        <v>37</v>
      </c>
      <c r="L550" t="s">
        <v>39</v>
      </c>
      <c r="M550" t="s">
        <v>37</v>
      </c>
      <c r="N550" t="s">
        <v>37</v>
      </c>
      <c r="O550" t="s">
        <v>39</v>
      </c>
      <c r="P550" t="s">
        <v>38</v>
      </c>
      <c r="Q550" t="s">
        <v>38</v>
      </c>
      <c r="R550" t="s">
        <v>40</v>
      </c>
      <c r="S550" t="s">
        <v>41</v>
      </c>
      <c r="T550" t="s">
        <v>2114</v>
      </c>
      <c r="U550" t="s">
        <v>2115</v>
      </c>
      <c r="V550" t="s">
        <v>2052</v>
      </c>
      <c r="W550" t="s">
        <v>2053</v>
      </c>
      <c r="X550" t="s">
        <v>46</v>
      </c>
      <c r="AC550">
        <f>COUNTIF(C:C,QLKV_gui_ket_qua_ra_soat[[#This Row],[Mã điểm bán]])</f>
        <v>1</v>
      </c>
    </row>
    <row r="551" spans="1:29" x14ac:dyDescent="0.45">
      <c r="A551" t="s">
        <v>2046</v>
      </c>
      <c r="B551">
        <v>212</v>
      </c>
      <c r="C551" t="s">
        <v>2144</v>
      </c>
      <c r="D551" t="s">
        <v>2145</v>
      </c>
      <c r="E551" t="s">
        <v>32</v>
      </c>
      <c r="F551" t="s">
        <v>53</v>
      </c>
      <c r="G551" t="s">
        <v>34</v>
      </c>
      <c r="H551" t="s">
        <v>54</v>
      </c>
      <c r="J551" t="s">
        <v>37</v>
      </c>
      <c r="K551" t="s">
        <v>37</v>
      </c>
      <c r="L551" t="s">
        <v>39</v>
      </c>
      <c r="M551" t="s">
        <v>37</v>
      </c>
      <c r="N551" t="s">
        <v>37</v>
      </c>
      <c r="O551" t="s">
        <v>39</v>
      </c>
      <c r="P551" t="s">
        <v>38</v>
      </c>
      <c r="Q551" t="s">
        <v>38</v>
      </c>
      <c r="R551" t="s">
        <v>40</v>
      </c>
      <c r="S551" t="s">
        <v>41</v>
      </c>
      <c r="T551" t="s">
        <v>2114</v>
      </c>
      <c r="U551" t="s">
        <v>2115</v>
      </c>
      <c r="V551" t="s">
        <v>2052</v>
      </c>
      <c r="W551" t="s">
        <v>2053</v>
      </c>
      <c r="X551" t="s">
        <v>46</v>
      </c>
      <c r="AC551">
        <f>COUNTIF(C:C,QLKV_gui_ket_qua_ra_soat[[#This Row],[Mã điểm bán]])</f>
        <v>1</v>
      </c>
    </row>
    <row r="552" spans="1:29" x14ac:dyDescent="0.45">
      <c r="A552" t="s">
        <v>2046</v>
      </c>
      <c r="B552">
        <v>255</v>
      </c>
      <c r="C552" t="s">
        <v>2146</v>
      </c>
      <c r="D552" t="s">
        <v>2147</v>
      </c>
      <c r="E552" t="s">
        <v>97</v>
      </c>
      <c r="F552" t="s">
        <v>2149</v>
      </c>
      <c r="G552" t="s">
        <v>34</v>
      </c>
      <c r="H552" t="s">
        <v>917</v>
      </c>
      <c r="I552" t="s">
        <v>2150</v>
      </c>
      <c r="J552" t="s">
        <v>38</v>
      </c>
      <c r="K552" t="s">
        <v>37</v>
      </c>
      <c r="L552" t="s">
        <v>40</v>
      </c>
      <c r="M552" t="s">
        <v>38</v>
      </c>
      <c r="N552" t="s">
        <v>37</v>
      </c>
      <c r="O552" t="s">
        <v>40</v>
      </c>
      <c r="P552" t="s">
        <v>37</v>
      </c>
      <c r="Q552" t="s">
        <v>56</v>
      </c>
      <c r="R552" t="s">
        <v>39</v>
      </c>
      <c r="S552" t="s">
        <v>41</v>
      </c>
      <c r="T552" t="s">
        <v>2076</v>
      </c>
      <c r="U552" t="s">
        <v>2077</v>
      </c>
      <c r="V552" t="s">
        <v>2052</v>
      </c>
      <c r="W552" t="s">
        <v>2053</v>
      </c>
      <c r="Z552" t="s">
        <v>46</v>
      </c>
      <c r="AA552" t="s">
        <v>2116</v>
      </c>
      <c r="AB552" t="s">
        <v>48</v>
      </c>
      <c r="AC552">
        <f>COUNTIF(C:C,QLKV_gui_ket_qua_ra_soat[[#This Row],[Mã điểm bán]])</f>
        <v>1</v>
      </c>
    </row>
    <row r="553" spans="1:29" x14ac:dyDescent="0.45">
      <c r="A553" t="s">
        <v>2046</v>
      </c>
      <c r="B553">
        <v>230</v>
      </c>
      <c r="C553" t="s">
        <v>2151</v>
      </c>
      <c r="D553" t="s">
        <v>2152</v>
      </c>
      <c r="E553" t="s">
        <v>2153</v>
      </c>
      <c r="F553" t="s">
        <v>401</v>
      </c>
      <c r="G553" t="s">
        <v>34</v>
      </c>
      <c r="H553" t="s">
        <v>54</v>
      </c>
      <c r="J553" t="s">
        <v>37</v>
      </c>
      <c r="K553" t="s">
        <v>37</v>
      </c>
      <c r="L553" t="s">
        <v>39</v>
      </c>
      <c r="M553" t="s">
        <v>37</v>
      </c>
      <c r="N553" t="s">
        <v>37</v>
      </c>
      <c r="O553" t="s">
        <v>39</v>
      </c>
      <c r="P553" t="s">
        <v>38</v>
      </c>
      <c r="Q553" t="s">
        <v>38</v>
      </c>
      <c r="R553" t="s">
        <v>40</v>
      </c>
      <c r="S553" t="s">
        <v>41</v>
      </c>
      <c r="T553" t="s">
        <v>2114</v>
      </c>
      <c r="U553" t="s">
        <v>2115</v>
      </c>
      <c r="V553" t="s">
        <v>2052</v>
      </c>
      <c r="W553" t="s">
        <v>2053</v>
      </c>
      <c r="X553" t="s">
        <v>46</v>
      </c>
      <c r="AC553">
        <f>COUNTIF(C:C,QLKV_gui_ket_qua_ra_soat[[#This Row],[Mã điểm bán]])</f>
        <v>1</v>
      </c>
    </row>
    <row r="554" spans="1:29" x14ac:dyDescent="0.45">
      <c r="A554" t="s">
        <v>2046</v>
      </c>
      <c r="B554">
        <v>258</v>
      </c>
      <c r="C554" t="s">
        <v>2154</v>
      </c>
      <c r="D554" t="s">
        <v>2155</v>
      </c>
      <c r="E554" t="s">
        <v>416</v>
      </c>
      <c r="F554" t="s">
        <v>115</v>
      </c>
      <c r="G554" t="s">
        <v>34</v>
      </c>
      <c r="H554" t="s">
        <v>1184</v>
      </c>
      <c r="I554" t="s">
        <v>2075</v>
      </c>
      <c r="J554" t="s">
        <v>38</v>
      </c>
      <c r="K554" t="s">
        <v>37</v>
      </c>
      <c r="L554" t="s">
        <v>40</v>
      </c>
      <c r="M554" t="s">
        <v>38</v>
      </c>
      <c r="N554" t="s">
        <v>37</v>
      </c>
      <c r="O554" t="s">
        <v>40</v>
      </c>
      <c r="P554" t="s">
        <v>37</v>
      </c>
      <c r="Q554" t="s">
        <v>56</v>
      </c>
      <c r="R554" t="s">
        <v>39</v>
      </c>
      <c r="S554" t="s">
        <v>41</v>
      </c>
      <c r="T554" t="s">
        <v>2076</v>
      </c>
      <c r="U554" t="s">
        <v>2077</v>
      </c>
      <c r="V554" t="s">
        <v>2052</v>
      </c>
      <c r="W554" t="s">
        <v>2053</v>
      </c>
      <c r="X554" t="s">
        <v>46</v>
      </c>
      <c r="AC554">
        <f>COUNTIF(C:C,QLKV_gui_ket_qua_ra_soat[[#This Row],[Mã điểm bán]])</f>
        <v>1</v>
      </c>
    </row>
    <row r="555" spans="1:29" x14ac:dyDescent="0.45">
      <c r="A555" t="s">
        <v>2046</v>
      </c>
      <c r="B555">
        <v>232</v>
      </c>
      <c r="C555" t="s">
        <v>2156</v>
      </c>
      <c r="D555" t="s">
        <v>2157</v>
      </c>
      <c r="E555" t="s">
        <v>98</v>
      </c>
      <c r="F555" t="s">
        <v>401</v>
      </c>
      <c r="G555" t="s">
        <v>34</v>
      </c>
      <c r="H555" t="s">
        <v>54</v>
      </c>
      <c r="J555" t="s">
        <v>775</v>
      </c>
      <c r="K555" t="s">
        <v>37</v>
      </c>
      <c r="L555" t="s">
        <v>39</v>
      </c>
      <c r="M555" t="s">
        <v>37</v>
      </c>
      <c r="N555" t="s">
        <v>37</v>
      </c>
      <c r="O555" t="s">
        <v>39</v>
      </c>
      <c r="P555" t="s">
        <v>38</v>
      </c>
      <c r="Q555" t="s">
        <v>38</v>
      </c>
      <c r="R555" t="s">
        <v>40</v>
      </c>
      <c r="S555" t="s">
        <v>41</v>
      </c>
      <c r="T555" t="s">
        <v>2114</v>
      </c>
      <c r="U555" t="s">
        <v>2115</v>
      </c>
      <c r="V555" t="s">
        <v>2052</v>
      </c>
      <c r="W555" t="s">
        <v>2053</v>
      </c>
      <c r="X555" t="s">
        <v>46</v>
      </c>
      <c r="AC555">
        <f>COUNTIF(C:C,QLKV_gui_ket_qua_ra_soat[[#This Row],[Mã điểm bán]])</f>
        <v>1</v>
      </c>
    </row>
    <row r="556" spans="1:29" x14ac:dyDescent="0.45">
      <c r="A556" t="s">
        <v>2046</v>
      </c>
      <c r="B556">
        <v>268</v>
      </c>
      <c r="C556" t="s">
        <v>2158</v>
      </c>
      <c r="D556" t="s">
        <v>2159</v>
      </c>
      <c r="E556" t="s">
        <v>1680</v>
      </c>
      <c r="F556" t="s">
        <v>166</v>
      </c>
      <c r="G556" t="s">
        <v>34</v>
      </c>
      <c r="H556" t="s">
        <v>54</v>
      </c>
      <c r="I556" t="s">
        <v>2160</v>
      </c>
      <c r="J556" t="s">
        <v>775</v>
      </c>
      <c r="K556" t="s">
        <v>775</v>
      </c>
      <c r="L556" t="s">
        <v>39</v>
      </c>
      <c r="M556" t="s">
        <v>56</v>
      </c>
      <c r="N556" t="s">
        <v>775</v>
      </c>
      <c r="O556" t="s">
        <v>39</v>
      </c>
      <c r="P556" t="s">
        <v>775</v>
      </c>
      <c r="Q556" t="s">
        <v>775</v>
      </c>
      <c r="R556" t="s">
        <v>40</v>
      </c>
      <c r="S556" t="s">
        <v>41</v>
      </c>
      <c r="T556" t="s">
        <v>2062</v>
      </c>
      <c r="U556" t="s">
        <v>2063</v>
      </c>
      <c r="V556" t="s">
        <v>2052</v>
      </c>
      <c r="W556" t="s">
        <v>2053</v>
      </c>
      <c r="Z556" t="s">
        <v>46</v>
      </c>
      <c r="AA556" t="s">
        <v>2102</v>
      </c>
      <c r="AB556" t="s">
        <v>48</v>
      </c>
      <c r="AC556">
        <f>COUNTIF(C:C,QLKV_gui_ket_qua_ra_soat[[#This Row],[Mã điểm bán]])</f>
        <v>1</v>
      </c>
    </row>
    <row r="557" spans="1:29" x14ac:dyDescent="0.45">
      <c r="A557" t="s">
        <v>2046</v>
      </c>
      <c r="B557">
        <v>281</v>
      </c>
      <c r="C557" t="s">
        <v>2168</v>
      </c>
      <c r="D557" t="s">
        <v>2169</v>
      </c>
      <c r="E557" t="s">
        <v>157</v>
      </c>
      <c r="F557" t="s">
        <v>115</v>
      </c>
      <c r="G557" t="s">
        <v>177</v>
      </c>
      <c r="H557" t="s">
        <v>2170</v>
      </c>
      <c r="I557" t="s">
        <v>2075</v>
      </c>
      <c r="J557" t="s">
        <v>38</v>
      </c>
      <c r="K557" t="s">
        <v>37</v>
      </c>
      <c r="L557" t="s">
        <v>40</v>
      </c>
      <c r="M557" t="s">
        <v>38</v>
      </c>
      <c r="N557" t="s">
        <v>37</v>
      </c>
      <c r="O557" t="s">
        <v>40</v>
      </c>
      <c r="P557" t="s">
        <v>37</v>
      </c>
      <c r="Q557" t="s">
        <v>56</v>
      </c>
      <c r="R557" t="s">
        <v>39</v>
      </c>
      <c r="S557" t="s">
        <v>2124</v>
      </c>
      <c r="T557" t="s">
        <v>2076</v>
      </c>
      <c r="U557" t="s">
        <v>2077</v>
      </c>
      <c r="V557" t="s">
        <v>2052</v>
      </c>
      <c r="W557" t="s">
        <v>2053</v>
      </c>
      <c r="X557" t="s">
        <v>46</v>
      </c>
      <c r="AC557">
        <f>COUNTIF(C:C,QLKV_gui_ket_qua_ra_soat[[#This Row],[Mã điểm bán]])</f>
        <v>1</v>
      </c>
    </row>
    <row r="558" spans="1:29" x14ac:dyDescent="0.45">
      <c r="A558" t="s">
        <v>2046</v>
      </c>
      <c r="B558">
        <v>248</v>
      </c>
      <c r="C558" t="s">
        <v>2171</v>
      </c>
      <c r="D558" t="s">
        <v>2172</v>
      </c>
      <c r="E558" t="s">
        <v>2173</v>
      </c>
      <c r="F558" t="s">
        <v>325</v>
      </c>
      <c r="G558" t="s">
        <v>34</v>
      </c>
      <c r="H558" t="s">
        <v>54</v>
      </c>
      <c r="J558" t="s">
        <v>56</v>
      </c>
      <c r="K558" t="s">
        <v>38</v>
      </c>
      <c r="L558" t="s">
        <v>39</v>
      </c>
      <c r="M558" t="s">
        <v>37</v>
      </c>
      <c r="N558" t="s">
        <v>37</v>
      </c>
      <c r="O558" t="s">
        <v>39</v>
      </c>
      <c r="P558" t="s">
        <v>38</v>
      </c>
      <c r="Q558" t="s">
        <v>38</v>
      </c>
      <c r="R558" t="s">
        <v>40</v>
      </c>
      <c r="S558" t="s">
        <v>41</v>
      </c>
      <c r="T558" t="s">
        <v>2114</v>
      </c>
      <c r="U558" t="s">
        <v>2115</v>
      </c>
      <c r="V558" t="s">
        <v>2052</v>
      </c>
      <c r="W558" t="s">
        <v>2053</v>
      </c>
      <c r="Z558" t="s">
        <v>46</v>
      </c>
      <c r="AA558" t="s">
        <v>2116</v>
      </c>
      <c r="AB558" t="s">
        <v>48</v>
      </c>
      <c r="AC558">
        <f>COUNTIF(C:C,QLKV_gui_ket_qua_ra_soat[[#This Row],[Mã điểm bán]])</f>
        <v>1</v>
      </c>
    </row>
    <row r="559" spans="1:29" x14ac:dyDescent="0.45">
      <c r="A559" t="s">
        <v>2046</v>
      </c>
      <c r="B559">
        <v>289</v>
      </c>
      <c r="C559" t="s">
        <v>2174</v>
      </c>
      <c r="D559" t="s">
        <v>2175</v>
      </c>
      <c r="E559" t="s">
        <v>206</v>
      </c>
      <c r="F559" t="s">
        <v>115</v>
      </c>
      <c r="G559" t="s">
        <v>177</v>
      </c>
      <c r="H559" t="s">
        <v>214</v>
      </c>
      <c r="I559" t="s">
        <v>2075</v>
      </c>
      <c r="J559" t="s">
        <v>38</v>
      </c>
      <c r="K559" t="s">
        <v>37</v>
      </c>
      <c r="L559" t="s">
        <v>40</v>
      </c>
      <c r="M559" t="s">
        <v>38</v>
      </c>
      <c r="N559" t="s">
        <v>37</v>
      </c>
      <c r="O559" t="s">
        <v>40</v>
      </c>
      <c r="P559" t="s">
        <v>37</v>
      </c>
      <c r="Q559" t="s">
        <v>56</v>
      </c>
      <c r="R559" t="s">
        <v>39</v>
      </c>
      <c r="S559" t="s">
        <v>2124</v>
      </c>
      <c r="T559" t="s">
        <v>2076</v>
      </c>
      <c r="U559" t="s">
        <v>2077</v>
      </c>
      <c r="V559" t="s">
        <v>2052</v>
      </c>
      <c r="W559" t="s">
        <v>2053</v>
      </c>
      <c r="X559" t="s">
        <v>46</v>
      </c>
      <c r="AC559">
        <f>COUNTIF(C:C,QLKV_gui_ket_qua_ra_soat[[#This Row],[Mã điểm bán]])</f>
        <v>1</v>
      </c>
    </row>
    <row r="560" spans="1:29" x14ac:dyDescent="0.45">
      <c r="A560" t="s">
        <v>2046</v>
      </c>
      <c r="B560">
        <v>293</v>
      </c>
      <c r="C560" t="s">
        <v>2176</v>
      </c>
      <c r="D560" t="s">
        <v>2177</v>
      </c>
      <c r="E560" t="s">
        <v>1680</v>
      </c>
      <c r="F560" t="s">
        <v>2178</v>
      </c>
      <c r="G560" t="s">
        <v>34</v>
      </c>
      <c r="H560" t="s">
        <v>54</v>
      </c>
      <c r="I560" t="s">
        <v>2179</v>
      </c>
      <c r="J560" t="s">
        <v>38</v>
      </c>
      <c r="K560" t="s">
        <v>37</v>
      </c>
      <c r="L560" t="s">
        <v>40</v>
      </c>
      <c r="M560" t="s">
        <v>38</v>
      </c>
      <c r="N560" t="s">
        <v>37</v>
      </c>
      <c r="O560" t="s">
        <v>40</v>
      </c>
      <c r="P560" t="s">
        <v>37</v>
      </c>
      <c r="Q560" t="s">
        <v>56</v>
      </c>
      <c r="R560" t="s">
        <v>39</v>
      </c>
      <c r="S560" t="s">
        <v>41</v>
      </c>
      <c r="T560" t="s">
        <v>2076</v>
      </c>
      <c r="U560" t="s">
        <v>2077</v>
      </c>
      <c r="V560" t="s">
        <v>2052</v>
      </c>
      <c r="W560" t="s">
        <v>2053</v>
      </c>
      <c r="X560" t="s">
        <v>46</v>
      </c>
      <c r="AC560">
        <f>COUNTIF(C:C,QLKV_gui_ket_qua_ra_soat[[#This Row],[Mã điểm bán]])</f>
        <v>1</v>
      </c>
    </row>
    <row r="561" spans="1:29" x14ac:dyDescent="0.45">
      <c r="A561" t="s">
        <v>2046</v>
      </c>
      <c r="B561">
        <v>259</v>
      </c>
      <c r="C561" t="s">
        <v>2180</v>
      </c>
      <c r="D561" t="s">
        <v>2181</v>
      </c>
      <c r="E561" t="s">
        <v>2182</v>
      </c>
      <c r="F561" t="s">
        <v>325</v>
      </c>
      <c r="G561" t="s">
        <v>34</v>
      </c>
      <c r="H561" t="s">
        <v>54</v>
      </c>
      <c r="J561" t="s">
        <v>37</v>
      </c>
      <c r="K561" t="s">
        <v>37</v>
      </c>
      <c r="L561" t="s">
        <v>39</v>
      </c>
      <c r="M561" t="s">
        <v>37</v>
      </c>
      <c r="N561" t="s">
        <v>37</v>
      </c>
      <c r="O561" t="s">
        <v>39</v>
      </c>
      <c r="P561" t="s">
        <v>38</v>
      </c>
      <c r="Q561" t="s">
        <v>38</v>
      </c>
      <c r="R561" t="s">
        <v>40</v>
      </c>
      <c r="S561" t="s">
        <v>41</v>
      </c>
      <c r="T561" t="s">
        <v>2114</v>
      </c>
      <c r="U561" t="s">
        <v>2115</v>
      </c>
      <c r="V561" t="s">
        <v>2052</v>
      </c>
      <c r="W561" t="s">
        <v>2053</v>
      </c>
      <c r="Z561" t="s">
        <v>46</v>
      </c>
      <c r="AA561" t="s">
        <v>2116</v>
      </c>
      <c r="AB561" t="s">
        <v>48</v>
      </c>
      <c r="AC561">
        <f>COUNTIF(C:C,QLKV_gui_ket_qua_ra_soat[[#This Row],[Mã điểm bán]])</f>
        <v>1</v>
      </c>
    </row>
    <row r="562" spans="1:29" x14ac:dyDescent="0.45">
      <c r="A562" t="s">
        <v>2046</v>
      </c>
      <c r="B562">
        <v>295</v>
      </c>
      <c r="C562" t="s">
        <v>2183</v>
      </c>
      <c r="D562" t="s">
        <v>2184</v>
      </c>
      <c r="E562" t="s">
        <v>2185</v>
      </c>
      <c r="F562" t="s">
        <v>2186</v>
      </c>
      <c r="G562" t="s">
        <v>2187</v>
      </c>
      <c r="H562" t="s">
        <v>133</v>
      </c>
      <c r="I562" t="s">
        <v>2188</v>
      </c>
      <c r="J562" t="s">
        <v>38</v>
      </c>
      <c r="K562" t="s">
        <v>38</v>
      </c>
      <c r="L562" t="s">
        <v>39</v>
      </c>
      <c r="M562" t="s">
        <v>1034</v>
      </c>
      <c r="N562" t="s">
        <v>56</v>
      </c>
      <c r="O562" t="s">
        <v>121</v>
      </c>
      <c r="P562" t="s">
        <v>38</v>
      </c>
      <c r="Q562" t="s">
        <v>38</v>
      </c>
      <c r="R562" t="s">
        <v>39</v>
      </c>
      <c r="S562" t="s">
        <v>2189</v>
      </c>
      <c r="T562" t="s">
        <v>2190</v>
      </c>
      <c r="U562" t="s">
        <v>2191</v>
      </c>
      <c r="V562" t="s">
        <v>2052</v>
      </c>
      <c r="W562" t="s">
        <v>81</v>
      </c>
      <c r="X562" t="s">
        <v>46</v>
      </c>
      <c r="AC562">
        <f>COUNTIF(C:C,QLKV_gui_ket_qua_ra_soat[[#This Row],[Mã điểm bán]])</f>
        <v>1</v>
      </c>
    </row>
    <row r="563" spans="1:29" x14ac:dyDescent="0.45">
      <c r="A563" t="s">
        <v>2046</v>
      </c>
      <c r="B563">
        <v>262</v>
      </c>
      <c r="C563" t="s">
        <v>2192</v>
      </c>
      <c r="D563" t="s">
        <v>2193</v>
      </c>
      <c r="E563" t="s">
        <v>628</v>
      </c>
      <c r="F563" t="s">
        <v>53</v>
      </c>
      <c r="G563" t="s">
        <v>34</v>
      </c>
      <c r="H563" t="s">
        <v>54</v>
      </c>
      <c r="J563" t="s">
        <v>38</v>
      </c>
      <c r="K563" t="s">
        <v>38</v>
      </c>
      <c r="L563" t="s">
        <v>40</v>
      </c>
      <c r="M563" t="s">
        <v>37</v>
      </c>
      <c r="N563" t="s">
        <v>37</v>
      </c>
      <c r="O563" t="s">
        <v>39</v>
      </c>
      <c r="P563" t="s">
        <v>38</v>
      </c>
      <c r="Q563" t="s">
        <v>38</v>
      </c>
      <c r="R563" t="s">
        <v>40</v>
      </c>
      <c r="S563" t="s">
        <v>41</v>
      </c>
      <c r="T563" t="s">
        <v>2114</v>
      </c>
      <c r="U563" t="s">
        <v>2115</v>
      </c>
      <c r="V563" t="s">
        <v>2052</v>
      </c>
      <c r="W563" t="s">
        <v>2053</v>
      </c>
      <c r="Y563" t="s">
        <v>46</v>
      </c>
      <c r="AC563">
        <f>COUNTIF(C:C,QLKV_gui_ket_qua_ra_soat[[#This Row],[Mã điểm bán]])</f>
        <v>1</v>
      </c>
    </row>
    <row r="564" spans="1:29" x14ac:dyDescent="0.45">
      <c r="A564" t="s">
        <v>2046</v>
      </c>
      <c r="B564">
        <v>264</v>
      </c>
      <c r="C564" t="s">
        <v>2200</v>
      </c>
      <c r="D564" t="s">
        <v>2201</v>
      </c>
      <c r="E564" t="s">
        <v>304</v>
      </c>
      <c r="F564" t="s">
        <v>53</v>
      </c>
      <c r="G564" t="s">
        <v>34</v>
      </c>
      <c r="H564" t="s">
        <v>54</v>
      </c>
      <c r="J564" t="s">
        <v>37</v>
      </c>
      <c r="K564" t="s">
        <v>37</v>
      </c>
      <c r="L564" t="s">
        <v>39</v>
      </c>
      <c r="M564" t="s">
        <v>37</v>
      </c>
      <c r="N564" t="s">
        <v>37</v>
      </c>
      <c r="O564" t="s">
        <v>39</v>
      </c>
      <c r="P564" t="s">
        <v>38</v>
      </c>
      <c r="Q564" t="s">
        <v>38</v>
      </c>
      <c r="R564" t="s">
        <v>40</v>
      </c>
      <c r="S564" t="s">
        <v>41</v>
      </c>
      <c r="T564" t="s">
        <v>2114</v>
      </c>
      <c r="U564" t="s">
        <v>2115</v>
      </c>
      <c r="V564" t="s">
        <v>2052</v>
      </c>
      <c r="W564" t="s">
        <v>2053</v>
      </c>
      <c r="Y564" t="s">
        <v>46</v>
      </c>
      <c r="AC564">
        <f>COUNTIF(C:C,QLKV_gui_ket_qua_ra_soat[[#This Row],[Mã điểm bán]])</f>
        <v>1</v>
      </c>
    </row>
    <row r="565" spans="1:29" x14ac:dyDescent="0.45">
      <c r="A565" t="s">
        <v>2046</v>
      </c>
      <c r="B565">
        <v>267</v>
      </c>
      <c r="C565" t="s">
        <v>2202</v>
      </c>
      <c r="D565" t="s">
        <v>2203</v>
      </c>
      <c r="E565" t="s">
        <v>742</v>
      </c>
      <c r="F565" t="s">
        <v>2204</v>
      </c>
      <c r="G565" t="s">
        <v>34</v>
      </c>
      <c r="H565" t="s">
        <v>54</v>
      </c>
      <c r="J565" t="s">
        <v>37</v>
      </c>
      <c r="K565" t="s">
        <v>37</v>
      </c>
      <c r="L565" t="s">
        <v>39</v>
      </c>
      <c r="M565" t="s">
        <v>37</v>
      </c>
      <c r="N565" t="s">
        <v>37</v>
      </c>
      <c r="O565" t="s">
        <v>39</v>
      </c>
      <c r="P565" t="s">
        <v>38</v>
      </c>
      <c r="Q565" t="s">
        <v>38</v>
      </c>
      <c r="R565" t="s">
        <v>40</v>
      </c>
      <c r="S565" t="s">
        <v>41</v>
      </c>
      <c r="T565" t="s">
        <v>2114</v>
      </c>
      <c r="U565" t="s">
        <v>2115</v>
      </c>
      <c r="V565" t="s">
        <v>2052</v>
      </c>
      <c r="W565" t="s">
        <v>2053</v>
      </c>
      <c r="X565" t="s">
        <v>46</v>
      </c>
      <c r="AC565">
        <f>COUNTIF(C:C,QLKV_gui_ket_qua_ra_soat[[#This Row],[Mã điểm bán]])</f>
        <v>1</v>
      </c>
    </row>
    <row r="566" spans="1:29" x14ac:dyDescent="0.45">
      <c r="A566" t="s">
        <v>2046</v>
      </c>
      <c r="B566">
        <v>269</v>
      </c>
      <c r="C566" t="s">
        <v>2205</v>
      </c>
      <c r="D566" t="s">
        <v>2206</v>
      </c>
      <c r="E566" t="s">
        <v>97</v>
      </c>
      <c r="F566" t="s">
        <v>115</v>
      </c>
      <c r="G566" t="s">
        <v>34</v>
      </c>
      <c r="H566" t="s">
        <v>54</v>
      </c>
      <c r="J566" t="s">
        <v>37</v>
      </c>
      <c r="K566" t="s">
        <v>37</v>
      </c>
      <c r="L566" t="s">
        <v>39</v>
      </c>
      <c r="M566" t="s">
        <v>37</v>
      </c>
      <c r="N566" t="s">
        <v>37</v>
      </c>
      <c r="O566" t="s">
        <v>39</v>
      </c>
      <c r="P566" t="s">
        <v>38</v>
      </c>
      <c r="Q566" t="s">
        <v>38</v>
      </c>
      <c r="R566" t="s">
        <v>40</v>
      </c>
      <c r="S566" t="s">
        <v>41</v>
      </c>
      <c r="T566" t="s">
        <v>2114</v>
      </c>
      <c r="U566" t="s">
        <v>2115</v>
      </c>
      <c r="V566" t="s">
        <v>2052</v>
      </c>
      <c r="W566" t="s">
        <v>2053</v>
      </c>
      <c r="X566" t="s">
        <v>46</v>
      </c>
      <c r="AC566">
        <f>COUNTIF(C:C,QLKV_gui_ket_qua_ra_soat[[#This Row],[Mã điểm bán]])</f>
        <v>1</v>
      </c>
    </row>
    <row r="567" spans="1:29" x14ac:dyDescent="0.45">
      <c r="A567" t="s">
        <v>2046</v>
      </c>
      <c r="B567">
        <v>306</v>
      </c>
      <c r="C567" t="s">
        <v>2207</v>
      </c>
      <c r="D567" t="s">
        <v>2208</v>
      </c>
      <c r="E567" t="s">
        <v>212</v>
      </c>
      <c r="F567" t="s">
        <v>166</v>
      </c>
      <c r="G567" t="s">
        <v>34</v>
      </c>
      <c r="H567" t="s">
        <v>214</v>
      </c>
      <c r="I567" t="s">
        <v>2075</v>
      </c>
      <c r="J567" t="s">
        <v>38</v>
      </c>
      <c r="K567" t="s">
        <v>37</v>
      </c>
      <c r="L567" t="s">
        <v>40</v>
      </c>
      <c r="M567" t="s">
        <v>38</v>
      </c>
      <c r="N567" t="s">
        <v>37</v>
      </c>
      <c r="O567" t="s">
        <v>40</v>
      </c>
      <c r="P567" t="s">
        <v>37</v>
      </c>
      <c r="Q567" t="s">
        <v>56</v>
      </c>
      <c r="R567" t="s">
        <v>39</v>
      </c>
      <c r="S567" t="s">
        <v>41</v>
      </c>
      <c r="T567" t="s">
        <v>2076</v>
      </c>
      <c r="U567" t="s">
        <v>2077</v>
      </c>
      <c r="V567" t="s">
        <v>2052</v>
      </c>
      <c r="W567" t="s">
        <v>2053</v>
      </c>
      <c r="X567" t="s">
        <v>46</v>
      </c>
      <c r="AC567">
        <f>COUNTIF(C:C,QLKV_gui_ket_qua_ra_soat[[#This Row],[Mã điểm bán]])</f>
        <v>1</v>
      </c>
    </row>
    <row r="568" spans="1:29" x14ac:dyDescent="0.45">
      <c r="A568" t="s">
        <v>2046</v>
      </c>
      <c r="B568">
        <v>270</v>
      </c>
      <c r="C568" t="s">
        <v>2209</v>
      </c>
      <c r="D568" t="s">
        <v>2210</v>
      </c>
      <c r="E568" t="s">
        <v>2211</v>
      </c>
      <c r="F568" t="s">
        <v>401</v>
      </c>
      <c r="G568" t="s">
        <v>34</v>
      </c>
      <c r="H568" t="s">
        <v>54</v>
      </c>
      <c r="J568" t="s">
        <v>37</v>
      </c>
      <c r="K568" t="s">
        <v>37</v>
      </c>
      <c r="L568" t="s">
        <v>39</v>
      </c>
      <c r="M568" t="s">
        <v>37</v>
      </c>
      <c r="N568" t="s">
        <v>38</v>
      </c>
      <c r="O568" t="s">
        <v>39</v>
      </c>
      <c r="P568" t="s">
        <v>38</v>
      </c>
      <c r="Q568" t="s">
        <v>38</v>
      </c>
      <c r="R568" t="s">
        <v>40</v>
      </c>
      <c r="S568" t="s">
        <v>41</v>
      </c>
      <c r="T568" t="s">
        <v>2114</v>
      </c>
      <c r="U568" t="s">
        <v>2115</v>
      </c>
      <c r="V568" t="s">
        <v>2052</v>
      </c>
      <c r="W568" t="s">
        <v>2053</v>
      </c>
      <c r="X568" t="s">
        <v>46</v>
      </c>
      <c r="AC568">
        <f>COUNTIF(C:C,QLKV_gui_ket_qua_ra_soat[[#This Row],[Mã điểm bán]])</f>
        <v>1</v>
      </c>
    </row>
    <row r="569" spans="1:29" x14ac:dyDescent="0.45">
      <c r="A569" t="s">
        <v>2046</v>
      </c>
      <c r="B569">
        <v>310</v>
      </c>
      <c r="C569" t="s">
        <v>2212</v>
      </c>
      <c r="D569" t="s">
        <v>2213</v>
      </c>
      <c r="E569" t="s">
        <v>297</v>
      </c>
      <c r="F569" t="s">
        <v>166</v>
      </c>
      <c r="G569" t="s">
        <v>177</v>
      </c>
      <c r="H569" t="s">
        <v>834</v>
      </c>
      <c r="I569" t="s">
        <v>2075</v>
      </c>
      <c r="J569" t="s">
        <v>38</v>
      </c>
      <c r="K569" t="s">
        <v>37</v>
      </c>
      <c r="L569" t="s">
        <v>40</v>
      </c>
      <c r="M569" t="s">
        <v>38</v>
      </c>
      <c r="N569" t="s">
        <v>37</v>
      </c>
      <c r="O569" t="s">
        <v>40</v>
      </c>
      <c r="P569" t="s">
        <v>37</v>
      </c>
      <c r="Q569" t="s">
        <v>56</v>
      </c>
      <c r="R569" t="s">
        <v>39</v>
      </c>
      <c r="S569" t="s">
        <v>2124</v>
      </c>
      <c r="T569" t="s">
        <v>2076</v>
      </c>
      <c r="U569" t="s">
        <v>2077</v>
      </c>
      <c r="V569" t="s">
        <v>2052</v>
      </c>
      <c r="W569" t="s">
        <v>2053</v>
      </c>
      <c r="X569" t="s">
        <v>46</v>
      </c>
      <c r="AC569">
        <f>COUNTIF(C:C,QLKV_gui_ket_qua_ra_soat[[#This Row],[Mã điểm bán]])</f>
        <v>1</v>
      </c>
    </row>
    <row r="570" spans="1:29" x14ac:dyDescent="0.45">
      <c r="A570" t="s">
        <v>2046</v>
      </c>
      <c r="B570">
        <v>322</v>
      </c>
      <c r="C570" t="s">
        <v>2214</v>
      </c>
      <c r="D570" t="s">
        <v>2215</v>
      </c>
      <c r="E570" t="s">
        <v>2216</v>
      </c>
      <c r="F570" t="s">
        <v>191</v>
      </c>
      <c r="G570" t="s">
        <v>2217</v>
      </c>
      <c r="H570" t="s">
        <v>171</v>
      </c>
      <c r="I570" t="s">
        <v>2218</v>
      </c>
      <c r="J570" t="s">
        <v>56</v>
      </c>
      <c r="K570" t="s">
        <v>37</v>
      </c>
      <c r="L570" t="s">
        <v>39</v>
      </c>
      <c r="M570" t="s">
        <v>56</v>
      </c>
      <c r="N570" t="s">
        <v>56</v>
      </c>
      <c r="O570" t="s">
        <v>39</v>
      </c>
      <c r="P570" t="s">
        <v>38</v>
      </c>
      <c r="Q570" t="s">
        <v>38</v>
      </c>
      <c r="R570" t="s">
        <v>40</v>
      </c>
      <c r="S570" t="s">
        <v>2219</v>
      </c>
      <c r="T570" t="s">
        <v>2062</v>
      </c>
      <c r="U570" t="s">
        <v>2063</v>
      </c>
      <c r="V570" t="s">
        <v>2052</v>
      </c>
      <c r="W570" t="s">
        <v>2053</v>
      </c>
      <c r="X570" t="s">
        <v>46</v>
      </c>
      <c r="AC570">
        <f>COUNTIF(C:C,QLKV_gui_ket_qua_ra_soat[[#This Row],[Mã điểm bán]])</f>
        <v>1</v>
      </c>
    </row>
    <row r="571" spans="1:29" x14ac:dyDescent="0.45">
      <c r="A571" t="s">
        <v>2046</v>
      </c>
      <c r="B571">
        <v>326</v>
      </c>
      <c r="C571" t="s">
        <v>2220</v>
      </c>
      <c r="D571" t="s">
        <v>2221</v>
      </c>
      <c r="E571" t="s">
        <v>2222</v>
      </c>
      <c r="F571" t="s">
        <v>2089</v>
      </c>
      <c r="G571" t="s">
        <v>34</v>
      </c>
      <c r="H571" t="s">
        <v>214</v>
      </c>
      <c r="I571" t="s">
        <v>2223</v>
      </c>
      <c r="J571" t="s">
        <v>38</v>
      </c>
      <c r="K571" t="s">
        <v>37</v>
      </c>
      <c r="L571" t="s">
        <v>40</v>
      </c>
      <c r="M571" t="s">
        <v>38</v>
      </c>
      <c r="N571" t="s">
        <v>37</v>
      </c>
      <c r="O571" t="s">
        <v>40</v>
      </c>
      <c r="P571" t="s">
        <v>37</v>
      </c>
      <c r="Q571" t="s">
        <v>56</v>
      </c>
      <c r="R571" t="s">
        <v>39</v>
      </c>
      <c r="S571" t="s">
        <v>41</v>
      </c>
      <c r="T571" t="s">
        <v>2076</v>
      </c>
      <c r="U571" t="s">
        <v>2077</v>
      </c>
      <c r="V571" t="s">
        <v>2052</v>
      </c>
      <c r="W571" t="s">
        <v>2053</v>
      </c>
      <c r="X571" t="s">
        <v>46</v>
      </c>
      <c r="AC571">
        <f>COUNTIF(C:C,QLKV_gui_ket_qua_ra_soat[[#This Row],[Mã điểm bán]])</f>
        <v>1</v>
      </c>
    </row>
    <row r="572" spans="1:29" x14ac:dyDescent="0.45">
      <c r="A572" t="s">
        <v>2046</v>
      </c>
      <c r="B572">
        <v>329</v>
      </c>
      <c r="C572" t="s">
        <v>2224</v>
      </c>
      <c r="D572" t="s">
        <v>2225</v>
      </c>
      <c r="E572" t="s">
        <v>455</v>
      </c>
      <c r="F572" t="s">
        <v>166</v>
      </c>
      <c r="G572" t="s">
        <v>34</v>
      </c>
      <c r="H572" t="s">
        <v>1184</v>
      </c>
      <c r="I572" t="s">
        <v>2226</v>
      </c>
      <c r="J572" t="s">
        <v>38</v>
      </c>
      <c r="K572" t="s">
        <v>37</v>
      </c>
      <c r="L572" t="s">
        <v>40</v>
      </c>
      <c r="M572" t="s">
        <v>38</v>
      </c>
      <c r="N572" t="s">
        <v>37</v>
      </c>
      <c r="O572" t="s">
        <v>40</v>
      </c>
      <c r="P572" t="s">
        <v>37</v>
      </c>
      <c r="Q572" t="s">
        <v>56</v>
      </c>
      <c r="R572" t="s">
        <v>39</v>
      </c>
      <c r="S572" t="s">
        <v>41</v>
      </c>
      <c r="T572" t="s">
        <v>2076</v>
      </c>
      <c r="U572" t="s">
        <v>2077</v>
      </c>
      <c r="V572" t="s">
        <v>2052</v>
      </c>
      <c r="W572" t="s">
        <v>2053</v>
      </c>
      <c r="X572" t="s">
        <v>46</v>
      </c>
      <c r="AC572">
        <f>COUNTIF(C:C,QLKV_gui_ket_qua_ra_soat[[#This Row],[Mã điểm bán]])</f>
        <v>1</v>
      </c>
    </row>
    <row r="573" spans="1:29" x14ac:dyDescent="0.45">
      <c r="A573" t="s">
        <v>2046</v>
      </c>
      <c r="B573">
        <v>336</v>
      </c>
      <c r="C573" t="s">
        <v>2227</v>
      </c>
      <c r="D573" t="s">
        <v>2228</v>
      </c>
      <c r="E573" t="s">
        <v>2230</v>
      </c>
      <c r="F573" t="s">
        <v>2149</v>
      </c>
      <c r="G573" t="s">
        <v>34</v>
      </c>
      <c r="H573" t="s">
        <v>214</v>
      </c>
      <c r="I573" t="s">
        <v>2231</v>
      </c>
      <c r="J573" t="s">
        <v>38</v>
      </c>
      <c r="K573" t="s">
        <v>37</v>
      </c>
      <c r="L573" t="s">
        <v>40</v>
      </c>
      <c r="M573" t="s">
        <v>38</v>
      </c>
      <c r="N573" t="s">
        <v>37</v>
      </c>
      <c r="O573" t="s">
        <v>40</v>
      </c>
      <c r="P573" t="s">
        <v>37</v>
      </c>
      <c r="Q573" t="s">
        <v>56</v>
      </c>
      <c r="R573" t="s">
        <v>39</v>
      </c>
      <c r="S573" t="s">
        <v>41</v>
      </c>
      <c r="T573" t="s">
        <v>2076</v>
      </c>
      <c r="U573" t="s">
        <v>2077</v>
      </c>
      <c r="V573" t="s">
        <v>2052</v>
      </c>
      <c r="W573" t="s">
        <v>2053</v>
      </c>
      <c r="X573" t="s">
        <v>46</v>
      </c>
      <c r="AC573">
        <f>COUNTIF(C:C,QLKV_gui_ket_qua_ra_soat[[#This Row],[Mã điểm bán]])</f>
        <v>1</v>
      </c>
    </row>
    <row r="574" spans="1:29" x14ac:dyDescent="0.45">
      <c r="A574" t="s">
        <v>2046</v>
      </c>
      <c r="B574">
        <v>304</v>
      </c>
      <c r="C574" t="s">
        <v>2232</v>
      </c>
      <c r="D574" t="s">
        <v>2233</v>
      </c>
      <c r="E574" t="s">
        <v>261</v>
      </c>
      <c r="F574" t="s">
        <v>426</v>
      </c>
      <c r="G574" t="s">
        <v>34</v>
      </c>
      <c r="H574" t="s">
        <v>54</v>
      </c>
      <c r="J574" t="s">
        <v>37</v>
      </c>
      <c r="K574" t="s">
        <v>37</v>
      </c>
      <c r="L574" t="s">
        <v>39</v>
      </c>
      <c r="M574" t="s">
        <v>37</v>
      </c>
      <c r="N574" t="s">
        <v>37</v>
      </c>
      <c r="O574" t="s">
        <v>39</v>
      </c>
      <c r="P574" t="s">
        <v>38</v>
      </c>
      <c r="Q574" t="s">
        <v>38</v>
      </c>
      <c r="R574" t="s">
        <v>40</v>
      </c>
      <c r="S574" t="s">
        <v>41</v>
      </c>
      <c r="T574" t="s">
        <v>2114</v>
      </c>
      <c r="U574" t="s">
        <v>2115</v>
      </c>
      <c r="V574" t="s">
        <v>2052</v>
      </c>
      <c r="W574" t="s">
        <v>2053</v>
      </c>
      <c r="X574" t="s">
        <v>46</v>
      </c>
      <c r="AC574">
        <f>COUNTIF(C:C,QLKV_gui_ket_qua_ra_soat[[#This Row],[Mã điểm bán]])</f>
        <v>1</v>
      </c>
    </row>
    <row r="575" spans="1:29" x14ac:dyDescent="0.45">
      <c r="A575" t="s">
        <v>2046</v>
      </c>
      <c r="B575">
        <v>348</v>
      </c>
      <c r="C575" t="s">
        <v>2234</v>
      </c>
      <c r="D575" t="s">
        <v>2235</v>
      </c>
      <c r="E575" t="s">
        <v>206</v>
      </c>
      <c r="F575" t="s">
        <v>166</v>
      </c>
      <c r="G575" t="s">
        <v>177</v>
      </c>
      <c r="H575" t="s">
        <v>479</v>
      </c>
      <c r="I575" t="s">
        <v>2075</v>
      </c>
      <c r="J575" t="s">
        <v>38</v>
      </c>
      <c r="K575" t="s">
        <v>37</v>
      </c>
      <c r="L575" t="s">
        <v>40</v>
      </c>
      <c r="M575" t="s">
        <v>38</v>
      </c>
      <c r="N575" t="s">
        <v>37</v>
      </c>
      <c r="O575" t="s">
        <v>40</v>
      </c>
      <c r="P575" t="s">
        <v>37</v>
      </c>
      <c r="Q575" t="s">
        <v>56</v>
      </c>
      <c r="R575" t="s">
        <v>39</v>
      </c>
      <c r="S575" t="s">
        <v>2124</v>
      </c>
      <c r="T575" t="s">
        <v>2076</v>
      </c>
      <c r="U575" t="s">
        <v>2077</v>
      </c>
      <c r="V575" t="s">
        <v>2052</v>
      </c>
      <c r="W575" t="s">
        <v>2053</v>
      </c>
      <c r="X575" t="s">
        <v>46</v>
      </c>
      <c r="AC575">
        <f>COUNTIF(C:C,QLKV_gui_ket_qua_ra_soat[[#This Row],[Mã điểm bán]])</f>
        <v>1</v>
      </c>
    </row>
    <row r="576" spans="1:29" x14ac:dyDescent="0.45">
      <c r="A576" t="s">
        <v>2046</v>
      </c>
      <c r="B576">
        <v>344</v>
      </c>
      <c r="C576" t="s">
        <v>2236</v>
      </c>
      <c r="D576" t="s">
        <v>2237</v>
      </c>
      <c r="E576" t="s">
        <v>304</v>
      </c>
      <c r="F576" t="s">
        <v>53</v>
      </c>
      <c r="G576" t="s">
        <v>34</v>
      </c>
      <c r="H576" t="s">
        <v>54</v>
      </c>
      <c r="J576" t="s">
        <v>37</v>
      </c>
      <c r="K576" t="s">
        <v>37</v>
      </c>
      <c r="L576" t="s">
        <v>39</v>
      </c>
      <c r="M576" t="s">
        <v>37</v>
      </c>
      <c r="N576" t="s">
        <v>37</v>
      </c>
      <c r="O576" t="s">
        <v>39</v>
      </c>
      <c r="P576" t="s">
        <v>38</v>
      </c>
      <c r="Q576" t="s">
        <v>38</v>
      </c>
      <c r="R576" t="s">
        <v>40</v>
      </c>
      <c r="S576" t="s">
        <v>41</v>
      </c>
      <c r="T576" t="s">
        <v>2114</v>
      </c>
      <c r="U576" t="s">
        <v>2115</v>
      </c>
      <c r="V576" t="s">
        <v>2052</v>
      </c>
      <c r="W576" t="s">
        <v>2053</v>
      </c>
      <c r="X576" t="s">
        <v>46</v>
      </c>
      <c r="AC576">
        <f>COUNTIF(C:C,QLKV_gui_ket_qua_ra_soat[[#This Row],[Mã điểm bán]])</f>
        <v>1</v>
      </c>
    </row>
    <row r="577" spans="1:29" x14ac:dyDescent="0.45">
      <c r="A577" t="s">
        <v>2046</v>
      </c>
      <c r="B577">
        <v>352</v>
      </c>
      <c r="C577" t="s">
        <v>2238</v>
      </c>
      <c r="D577" t="s">
        <v>2239</v>
      </c>
      <c r="E577" t="s">
        <v>148</v>
      </c>
      <c r="F577" t="s">
        <v>53</v>
      </c>
      <c r="G577" t="s">
        <v>34</v>
      </c>
      <c r="H577" t="s">
        <v>54</v>
      </c>
      <c r="J577" t="s">
        <v>37</v>
      </c>
      <c r="K577" t="s">
        <v>37</v>
      </c>
      <c r="L577" t="s">
        <v>39</v>
      </c>
      <c r="M577" t="s">
        <v>37</v>
      </c>
      <c r="N577" t="s">
        <v>37</v>
      </c>
      <c r="O577" t="s">
        <v>39</v>
      </c>
      <c r="P577" t="s">
        <v>38</v>
      </c>
      <c r="Q577" t="s">
        <v>38</v>
      </c>
      <c r="R577" t="s">
        <v>40</v>
      </c>
      <c r="S577" t="s">
        <v>41</v>
      </c>
      <c r="T577" t="s">
        <v>2114</v>
      </c>
      <c r="U577" t="s">
        <v>2115</v>
      </c>
      <c r="V577" t="s">
        <v>2052</v>
      </c>
      <c r="W577" t="s">
        <v>2053</v>
      </c>
      <c r="X577" t="s">
        <v>46</v>
      </c>
      <c r="AC577">
        <f>COUNTIF(C:C,QLKV_gui_ket_qua_ra_soat[[#This Row],[Mã điểm bán]])</f>
        <v>1</v>
      </c>
    </row>
    <row r="578" spans="1:29" x14ac:dyDescent="0.45">
      <c r="A578" t="s">
        <v>2046</v>
      </c>
      <c r="B578">
        <v>359</v>
      </c>
      <c r="C578" t="s">
        <v>2240</v>
      </c>
      <c r="D578" t="s">
        <v>2241</v>
      </c>
      <c r="E578" t="s">
        <v>2242</v>
      </c>
      <c r="F578" t="s">
        <v>53</v>
      </c>
      <c r="G578" t="s">
        <v>34</v>
      </c>
      <c r="H578" t="s">
        <v>54</v>
      </c>
      <c r="J578" t="s">
        <v>37</v>
      </c>
      <c r="K578" t="s">
        <v>37</v>
      </c>
      <c r="L578" t="s">
        <v>39</v>
      </c>
      <c r="M578" t="s">
        <v>37</v>
      </c>
      <c r="N578" t="s">
        <v>37</v>
      </c>
      <c r="O578" t="s">
        <v>39</v>
      </c>
      <c r="P578" t="s">
        <v>38</v>
      </c>
      <c r="Q578" t="s">
        <v>38</v>
      </c>
      <c r="R578" t="s">
        <v>40</v>
      </c>
      <c r="S578" t="s">
        <v>41</v>
      </c>
      <c r="T578" t="s">
        <v>2114</v>
      </c>
      <c r="U578" t="s">
        <v>2115</v>
      </c>
      <c r="V578" t="s">
        <v>2052</v>
      </c>
      <c r="W578" t="s">
        <v>2053</v>
      </c>
      <c r="X578" t="s">
        <v>46</v>
      </c>
      <c r="AC578">
        <f>COUNTIF(C:C,QLKV_gui_ket_qua_ra_soat[[#This Row],[Mã điểm bán]])</f>
        <v>1</v>
      </c>
    </row>
    <row r="579" spans="1:29" x14ac:dyDescent="0.45">
      <c r="A579" t="s">
        <v>2046</v>
      </c>
      <c r="B579">
        <v>404</v>
      </c>
      <c r="C579" t="s">
        <v>2243</v>
      </c>
      <c r="D579" t="s">
        <v>2244</v>
      </c>
      <c r="E579" t="s">
        <v>291</v>
      </c>
      <c r="F579" t="s">
        <v>115</v>
      </c>
      <c r="G579" t="s">
        <v>34</v>
      </c>
      <c r="H579" t="s">
        <v>842</v>
      </c>
      <c r="I579" t="s">
        <v>2245</v>
      </c>
      <c r="J579" t="s">
        <v>38</v>
      </c>
      <c r="K579" t="s">
        <v>38</v>
      </c>
      <c r="L579" t="s">
        <v>40</v>
      </c>
      <c r="M579" t="s">
        <v>37</v>
      </c>
      <c r="N579" t="s">
        <v>37</v>
      </c>
      <c r="O579" t="s">
        <v>40</v>
      </c>
      <c r="P579" t="s">
        <v>37</v>
      </c>
      <c r="Q579" t="s">
        <v>56</v>
      </c>
      <c r="R579" t="s">
        <v>39</v>
      </c>
      <c r="S579" t="s">
        <v>41</v>
      </c>
      <c r="T579" t="s">
        <v>2076</v>
      </c>
      <c r="U579" t="s">
        <v>2077</v>
      </c>
      <c r="V579" t="s">
        <v>2052</v>
      </c>
      <c r="W579" t="s">
        <v>2053</v>
      </c>
      <c r="X579" t="s">
        <v>46</v>
      </c>
      <c r="AC579">
        <f>COUNTIF(C:C,QLKV_gui_ket_qua_ra_soat[[#This Row],[Mã điểm bán]])</f>
        <v>1</v>
      </c>
    </row>
    <row r="580" spans="1:29" x14ac:dyDescent="0.45">
      <c r="A580" t="s">
        <v>2046</v>
      </c>
      <c r="B580">
        <v>369</v>
      </c>
      <c r="C580" t="s">
        <v>2246</v>
      </c>
      <c r="D580" t="s">
        <v>2247</v>
      </c>
      <c r="E580" t="s">
        <v>176</v>
      </c>
      <c r="F580" t="s">
        <v>53</v>
      </c>
      <c r="G580" t="s">
        <v>34</v>
      </c>
      <c r="H580" t="s">
        <v>54</v>
      </c>
      <c r="J580" t="s">
        <v>37</v>
      </c>
      <c r="K580" t="s">
        <v>37</v>
      </c>
      <c r="L580" t="s">
        <v>39</v>
      </c>
      <c r="M580" t="s">
        <v>37</v>
      </c>
      <c r="N580" t="s">
        <v>37</v>
      </c>
      <c r="O580" t="s">
        <v>39</v>
      </c>
      <c r="P580" t="s">
        <v>38</v>
      </c>
      <c r="Q580" t="s">
        <v>38</v>
      </c>
      <c r="R580" t="s">
        <v>40</v>
      </c>
      <c r="S580" t="s">
        <v>41</v>
      </c>
      <c r="T580" t="s">
        <v>2114</v>
      </c>
      <c r="U580" t="s">
        <v>2115</v>
      </c>
      <c r="V580" t="s">
        <v>2052</v>
      </c>
      <c r="W580" t="s">
        <v>2053</v>
      </c>
      <c r="X580" t="s">
        <v>46</v>
      </c>
      <c r="AC580">
        <f>COUNTIF(C:C,QLKV_gui_ket_qua_ra_soat[[#This Row],[Mã điểm bán]])</f>
        <v>1</v>
      </c>
    </row>
    <row r="581" spans="1:29" x14ac:dyDescent="0.45">
      <c r="A581" t="s">
        <v>2046</v>
      </c>
      <c r="B581">
        <v>426</v>
      </c>
      <c r="C581" t="s">
        <v>2248</v>
      </c>
      <c r="D581" t="s">
        <v>2249</v>
      </c>
      <c r="E581" t="s">
        <v>2250</v>
      </c>
      <c r="F581" t="s">
        <v>53</v>
      </c>
      <c r="G581" t="s">
        <v>1624</v>
      </c>
      <c r="H581" t="s">
        <v>2251</v>
      </c>
      <c r="I581" t="s">
        <v>2110</v>
      </c>
      <c r="J581" t="s">
        <v>38</v>
      </c>
      <c r="K581" t="s">
        <v>38</v>
      </c>
      <c r="L581" t="s">
        <v>40</v>
      </c>
      <c r="M581" t="s">
        <v>38</v>
      </c>
      <c r="N581" t="s">
        <v>38</v>
      </c>
      <c r="O581" t="s">
        <v>40</v>
      </c>
      <c r="P581" t="s">
        <v>38</v>
      </c>
      <c r="Q581" t="s">
        <v>38</v>
      </c>
      <c r="R581" t="s">
        <v>40</v>
      </c>
      <c r="S581" t="s">
        <v>2252</v>
      </c>
      <c r="T581" t="s">
        <v>2096</v>
      </c>
      <c r="U581" t="s">
        <v>2097</v>
      </c>
      <c r="V581" t="s">
        <v>2052</v>
      </c>
      <c r="W581" t="s">
        <v>2053</v>
      </c>
      <c r="Y581" t="s">
        <v>46</v>
      </c>
      <c r="AC581">
        <f>COUNTIF(C:C,QLKV_gui_ket_qua_ra_soat[[#This Row],[Mã điểm bán]])</f>
        <v>1</v>
      </c>
    </row>
    <row r="582" spans="1:29" x14ac:dyDescent="0.45">
      <c r="A582" t="s">
        <v>2046</v>
      </c>
      <c r="B582">
        <v>430</v>
      </c>
      <c r="C582" t="s">
        <v>2253</v>
      </c>
      <c r="D582" t="s">
        <v>2254</v>
      </c>
      <c r="E582" t="s">
        <v>2255</v>
      </c>
      <c r="F582" t="s">
        <v>166</v>
      </c>
      <c r="G582" t="s">
        <v>1624</v>
      </c>
      <c r="H582" t="s">
        <v>2256</v>
      </c>
      <c r="I582" t="s">
        <v>2257</v>
      </c>
      <c r="J582" t="s">
        <v>38</v>
      </c>
      <c r="K582" t="s">
        <v>38</v>
      </c>
      <c r="L582" t="s">
        <v>40</v>
      </c>
      <c r="M582" t="s">
        <v>37</v>
      </c>
      <c r="N582" t="s">
        <v>37</v>
      </c>
      <c r="O582" t="s">
        <v>39</v>
      </c>
      <c r="P582" t="s">
        <v>38</v>
      </c>
      <c r="Q582" t="s">
        <v>38</v>
      </c>
      <c r="R582" t="s">
        <v>40</v>
      </c>
      <c r="S582" t="s">
        <v>2258</v>
      </c>
      <c r="T582" t="s">
        <v>2096</v>
      </c>
      <c r="U582" t="s">
        <v>2097</v>
      </c>
      <c r="V582" t="s">
        <v>2052</v>
      </c>
      <c r="W582" t="s">
        <v>2053</v>
      </c>
      <c r="Y582" t="s">
        <v>46</v>
      </c>
      <c r="AC582">
        <f>COUNTIF(C:C,QLKV_gui_ket_qua_ra_soat[[#This Row],[Mã điểm bán]])</f>
        <v>1</v>
      </c>
    </row>
    <row r="583" spans="1:29" x14ac:dyDescent="0.45">
      <c r="A583" t="s">
        <v>2046</v>
      </c>
      <c r="B583">
        <v>392</v>
      </c>
      <c r="C583" t="s">
        <v>2259</v>
      </c>
      <c r="D583" t="s">
        <v>2260</v>
      </c>
      <c r="E583" t="s">
        <v>304</v>
      </c>
      <c r="F583" t="s">
        <v>53</v>
      </c>
      <c r="G583" t="s">
        <v>34</v>
      </c>
      <c r="H583" t="s">
        <v>54</v>
      </c>
      <c r="J583" t="s">
        <v>37</v>
      </c>
      <c r="K583" t="s">
        <v>37</v>
      </c>
      <c r="L583" t="s">
        <v>39</v>
      </c>
      <c r="M583" t="s">
        <v>37</v>
      </c>
      <c r="N583" t="s">
        <v>37</v>
      </c>
      <c r="O583" t="s">
        <v>39</v>
      </c>
      <c r="P583" t="s">
        <v>38</v>
      </c>
      <c r="Q583" t="s">
        <v>38</v>
      </c>
      <c r="R583" t="s">
        <v>40</v>
      </c>
      <c r="S583" t="s">
        <v>41</v>
      </c>
      <c r="T583" t="s">
        <v>2114</v>
      </c>
      <c r="U583" t="s">
        <v>2115</v>
      </c>
      <c r="V583" t="s">
        <v>2052</v>
      </c>
      <c r="W583" t="s">
        <v>2053</v>
      </c>
      <c r="X583" t="s">
        <v>46</v>
      </c>
      <c r="AC583">
        <f>COUNTIF(C:C,QLKV_gui_ket_qua_ra_soat[[#This Row],[Mã điểm bán]])</f>
        <v>1</v>
      </c>
    </row>
    <row r="584" spans="1:29" x14ac:dyDescent="0.45">
      <c r="A584" t="s">
        <v>2046</v>
      </c>
      <c r="B584">
        <v>406</v>
      </c>
      <c r="C584" t="s">
        <v>2261</v>
      </c>
      <c r="D584" t="s">
        <v>2262</v>
      </c>
      <c r="E584" t="s">
        <v>148</v>
      </c>
      <c r="F584" t="s">
        <v>401</v>
      </c>
      <c r="G584" t="s">
        <v>34</v>
      </c>
      <c r="H584" t="s">
        <v>54</v>
      </c>
      <c r="J584" t="s">
        <v>37</v>
      </c>
      <c r="K584" t="s">
        <v>38</v>
      </c>
      <c r="L584" t="s">
        <v>39</v>
      </c>
      <c r="M584" t="s">
        <v>37</v>
      </c>
      <c r="N584" t="s">
        <v>56</v>
      </c>
      <c r="O584" t="s">
        <v>40</v>
      </c>
      <c r="P584" t="s">
        <v>38</v>
      </c>
      <c r="Q584" t="s">
        <v>38</v>
      </c>
      <c r="R584" t="s">
        <v>40</v>
      </c>
      <c r="S584" t="s">
        <v>41</v>
      </c>
      <c r="T584" t="s">
        <v>2114</v>
      </c>
      <c r="U584" t="s">
        <v>2115</v>
      </c>
      <c r="V584" t="s">
        <v>2052</v>
      </c>
      <c r="W584" t="s">
        <v>2053</v>
      </c>
      <c r="X584" t="s">
        <v>46</v>
      </c>
      <c r="AC584">
        <f>COUNTIF(C:C,QLKV_gui_ket_qua_ra_soat[[#This Row],[Mã điểm bán]])</f>
        <v>1</v>
      </c>
    </row>
    <row r="585" spans="1:29" x14ac:dyDescent="0.45">
      <c r="A585" t="s">
        <v>2046</v>
      </c>
      <c r="B585">
        <v>407</v>
      </c>
      <c r="C585" t="s">
        <v>2263</v>
      </c>
      <c r="D585" t="s">
        <v>2264</v>
      </c>
      <c r="E585" t="s">
        <v>138</v>
      </c>
      <c r="F585" t="s">
        <v>2265</v>
      </c>
      <c r="G585" t="s">
        <v>34</v>
      </c>
      <c r="H585" t="s">
        <v>54</v>
      </c>
      <c r="J585" t="s">
        <v>37</v>
      </c>
      <c r="K585" t="s">
        <v>38</v>
      </c>
      <c r="L585" t="s">
        <v>40</v>
      </c>
      <c r="M585" t="s">
        <v>37</v>
      </c>
      <c r="N585" t="s">
        <v>56</v>
      </c>
      <c r="O585" t="s">
        <v>39</v>
      </c>
      <c r="P585" t="s">
        <v>38</v>
      </c>
      <c r="Q585" t="s">
        <v>38</v>
      </c>
      <c r="R585" t="s">
        <v>40</v>
      </c>
      <c r="S585" t="s">
        <v>41</v>
      </c>
      <c r="T585" t="s">
        <v>2114</v>
      </c>
      <c r="U585" t="s">
        <v>2115</v>
      </c>
      <c r="V585" t="s">
        <v>2052</v>
      </c>
      <c r="W585" t="s">
        <v>2053</v>
      </c>
      <c r="Z585" t="s">
        <v>46</v>
      </c>
      <c r="AA585" t="s">
        <v>2116</v>
      </c>
      <c r="AB585" t="s">
        <v>48</v>
      </c>
      <c r="AC585">
        <f>COUNTIF(C:C,QLKV_gui_ket_qua_ra_soat[[#This Row],[Mã điểm bán]])</f>
        <v>1</v>
      </c>
    </row>
    <row r="586" spans="1:29" x14ac:dyDescent="0.45">
      <c r="A586" t="s">
        <v>2046</v>
      </c>
      <c r="B586">
        <v>410</v>
      </c>
      <c r="C586" t="s">
        <v>2266</v>
      </c>
      <c r="D586" t="s">
        <v>2267</v>
      </c>
      <c r="E586" t="s">
        <v>98</v>
      </c>
      <c r="F586" t="s">
        <v>115</v>
      </c>
      <c r="G586" t="s">
        <v>34</v>
      </c>
      <c r="H586" t="s">
        <v>54</v>
      </c>
      <c r="J586" t="s">
        <v>38</v>
      </c>
      <c r="K586" t="s">
        <v>38</v>
      </c>
      <c r="L586" t="s">
        <v>40</v>
      </c>
      <c r="M586" t="s">
        <v>38</v>
      </c>
      <c r="N586" t="s">
        <v>38</v>
      </c>
      <c r="O586" t="s">
        <v>40</v>
      </c>
      <c r="P586" t="s">
        <v>38</v>
      </c>
      <c r="Q586" t="s">
        <v>38</v>
      </c>
      <c r="R586" t="s">
        <v>40</v>
      </c>
      <c r="S586" t="s">
        <v>41</v>
      </c>
      <c r="T586" t="s">
        <v>2114</v>
      </c>
      <c r="U586" t="s">
        <v>2115</v>
      </c>
      <c r="V586" t="s">
        <v>2052</v>
      </c>
      <c r="W586" t="s">
        <v>2053</v>
      </c>
      <c r="Z586" t="s">
        <v>46</v>
      </c>
      <c r="AA586" t="s">
        <v>2116</v>
      </c>
      <c r="AB586" t="s">
        <v>48</v>
      </c>
      <c r="AC586">
        <f>COUNTIF(C:C,QLKV_gui_ket_qua_ra_soat[[#This Row],[Mã điểm bán]])</f>
        <v>1</v>
      </c>
    </row>
    <row r="587" spans="1:29" x14ac:dyDescent="0.45">
      <c r="A587" t="s">
        <v>2046</v>
      </c>
      <c r="B587">
        <v>415</v>
      </c>
      <c r="C587" t="s">
        <v>2268</v>
      </c>
      <c r="D587" t="s">
        <v>2269</v>
      </c>
      <c r="E587" t="s">
        <v>338</v>
      </c>
      <c r="F587" t="s">
        <v>1754</v>
      </c>
      <c r="G587" t="s">
        <v>34</v>
      </c>
      <c r="H587" t="s">
        <v>54</v>
      </c>
      <c r="J587" t="s">
        <v>38</v>
      </c>
      <c r="K587" t="s">
        <v>38</v>
      </c>
      <c r="L587" t="s">
        <v>40</v>
      </c>
      <c r="M587" t="s">
        <v>38</v>
      </c>
      <c r="N587" t="s">
        <v>38</v>
      </c>
      <c r="O587" t="s">
        <v>40</v>
      </c>
      <c r="P587" t="s">
        <v>38</v>
      </c>
      <c r="Q587" t="s">
        <v>38</v>
      </c>
      <c r="R587" t="s">
        <v>40</v>
      </c>
      <c r="S587" t="s">
        <v>41</v>
      </c>
      <c r="T587" t="s">
        <v>2114</v>
      </c>
      <c r="U587" t="s">
        <v>2115</v>
      </c>
      <c r="V587" t="s">
        <v>2052</v>
      </c>
      <c r="W587" t="s">
        <v>2053</v>
      </c>
      <c r="X587" t="s">
        <v>46</v>
      </c>
      <c r="AC587">
        <f>COUNTIF(C:C,QLKV_gui_ket_qua_ra_soat[[#This Row],[Mã điểm bán]])</f>
        <v>1</v>
      </c>
    </row>
    <row r="588" spans="1:29" x14ac:dyDescent="0.45">
      <c r="A588" t="s">
        <v>2046</v>
      </c>
      <c r="B588">
        <v>417</v>
      </c>
      <c r="C588" t="s">
        <v>2270</v>
      </c>
      <c r="D588" t="s">
        <v>2271</v>
      </c>
      <c r="E588" t="s">
        <v>113</v>
      </c>
      <c r="F588" t="s">
        <v>325</v>
      </c>
      <c r="G588" t="s">
        <v>34</v>
      </c>
      <c r="H588" t="s">
        <v>54</v>
      </c>
      <c r="J588" t="s">
        <v>56</v>
      </c>
      <c r="K588" t="s">
        <v>38</v>
      </c>
      <c r="L588" t="s">
        <v>39</v>
      </c>
      <c r="M588" t="s">
        <v>37</v>
      </c>
      <c r="N588" t="s">
        <v>38</v>
      </c>
      <c r="O588" t="s">
        <v>39</v>
      </c>
      <c r="P588" t="s">
        <v>38</v>
      </c>
      <c r="Q588" t="s">
        <v>38</v>
      </c>
      <c r="R588" t="s">
        <v>40</v>
      </c>
      <c r="S588" t="s">
        <v>41</v>
      </c>
      <c r="T588" t="s">
        <v>2114</v>
      </c>
      <c r="U588" t="s">
        <v>2115</v>
      </c>
      <c r="V588" t="s">
        <v>2052</v>
      </c>
      <c r="W588" t="s">
        <v>2053</v>
      </c>
      <c r="Z588" t="s">
        <v>46</v>
      </c>
      <c r="AA588" t="s">
        <v>2116</v>
      </c>
      <c r="AB588" t="s">
        <v>48</v>
      </c>
      <c r="AC588">
        <f>COUNTIF(C:C,QLKV_gui_ket_qua_ra_soat[[#This Row],[Mã điểm bán]])</f>
        <v>1</v>
      </c>
    </row>
    <row r="589" spans="1:29" x14ac:dyDescent="0.45">
      <c r="A589" t="s">
        <v>2046</v>
      </c>
      <c r="B589">
        <v>708</v>
      </c>
      <c r="C589" t="s">
        <v>2277</v>
      </c>
      <c r="D589" t="s">
        <v>2278</v>
      </c>
      <c r="E589" t="s">
        <v>1765</v>
      </c>
      <c r="F589" t="s">
        <v>426</v>
      </c>
      <c r="G589" t="s">
        <v>150</v>
      </c>
      <c r="H589" t="s">
        <v>54</v>
      </c>
      <c r="I589" t="s">
        <v>2257</v>
      </c>
      <c r="J589" t="s">
        <v>38</v>
      </c>
      <c r="K589" t="s">
        <v>38</v>
      </c>
      <c r="L589" t="s">
        <v>40</v>
      </c>
      <c r="M589" t="s">
        <v>37</v>
      </c>
      <c r="N589" t="s">
        <v>37</v>
      </c>
      <c r="O589" t="s">
        <v>39</v>
      </c>
      <c r="P589" t="s">
        <v>38</v>
      </c>
      <c r="Q589" t="s">
        <v>38</v>
      </c>
      <c r="R589" t="s">
        <v>40</v>
      </c>
      <c r="S589" t="s">
        <v>2279</v>
      </c>
      <c r="T589" t="s">
        <v>2096</v>
      </c>
      <c r="U589" t="s">
        <v>2097</v>
      </c>
      <c r="V589" t="s">
        <v>2052</v>
      </c>
      <c r="W589" t="s">
        <v>2053</v>
      </c>
      <c r="X589" t="s">
        <v>46</v>
      </c>
      <c r="AC589">
        <f>COUNTIF(C:C,QLKV_gui_ket_qua_ra_soat[[#This Row],[Mã điểm bán]])</f>
        <v>1</v>
      </c>
    </row>
    <row r="590" spans="1:29" x14ac:dyDescent="0.45">
      <c r="A590" t="s">
        <v>2046</v>
      </c>
      <c r="B590">
        <v>727</v>
      </c>
      <c r="C590" t="s">
        <v>2280</v>
      </c>
      <c r="D590" t="s">
        <v>2281</v>
      </c>
      <c r="E590" t="s">
        <v>2282</v>
      </c>
      <c r="F590" t="s">
        <v>53</v>
      </c>
      <c r="G590" t="s">
        <v>1624</v>
      </c>
      <c r="H590" t="s">
        <v>1280</v>
      </c>
      <c r="I590" t="s">
        <v>2283</v>
      </c>
      <c r="J590" t="s">
        <v>38</v>
      </c>
      <c r="K590" t="s">
        <v>38</v>
      </c>
      <c r="L590" t="s">
        <v>40</v>
      </c>
      <c r="M590" t="s">
        <v>37</v>
      </c>
      <c r="N590" t="s">
        <v>37</v>
      </c>
      <c r="O590" t="s">
        <v>39</v>
      </c>
      <c r="P590" t="s">
        <v>38</v>
      </c>
      <c r="Q590" t="s">
        <v>38</v>
      </c>
      <c r="R590" t="s">
        <v>40</v>
      </c>
      <c r="S590" t="s">
        <v>2284</v>
      </c>
      <c r="T590" t="s">
        <v>2096</v>
      </c>
      <c r="U590" t="s">
        <v>2097</v>
      </c>
      <c r="V590" t="s">
        <v>2052</v>
      </c>
      <c r="W590" t="s">
        <v>2053</v>
      </c>
      <c r="X590" t="s">
        <v>46</v>
      </c>
      <c r="AC590">
        <f>COUNTIF(C:C,QLKV_gui_ket_qua_ra_soat[[#This Row],[Mã điểm bán]])</f>
        <v>1</v>
      </c>
    </row>
    <row r="591" spans="1:29" x14ac:dyDescent="0.45">
      <c r="A591" t="s">
        <v>2046</v>
      </c>
      <c r="B591">
        <v>864</v>
      </c>
      <c r="C591" t="s">
        <v>2304</v>
      </c>
      <c r="D591" t="s">
        <v>2305</v>
      </c>
      <c r="E591" t="s">
        <v>64</v>
      </c>
      <c r="F591" t="s">
        <v>53</v>
      </c>
      <c r="G591" t="s">
        <v>34</v>
      </c>
      <c r="H591" t="s">
        <v>54</v>
      </c>
      <c r="I591" t="s">
        <v>2049</v>
      </c>
      <c r="J591" t="s">
        <v>38</v>
      </c>
      <c r="K591" t="s">
        <v>38</v>
      </c>
      <c r="L591" t="s">
        <v>40</v>
      </c>
      <c r="M591" t="s">
        <v>38</v>
      </c>
      <c r="N591" t="s">
        <v>38</v>
      </c>
      <c r="O591" t="s">
        <v>40</v>
      </c>
      <c r="P591" t="s">
        <v>38</v>
      </c>
      <c r="Q591" t="s">
        <v>38</v>
      </c>
      <c r="R591" t="s">
        <v>40</v>
      </c>
      <c r="S591" t="s">
        <v>41</v>
      </c>
      <c r="T591" t="s">
        <v>2050</v>
      </c>
      <c r="U591" t="s">
        <v>2051</v>
      </c>
      <c r="V591" t="s">
        <v>2052</v>
      </c>
      <c r="W591" t="s">
        <v>2053</v>
      </c>
      <c r="X591" t="s">
        <v>46</v>
      </c>
      <c r="AC591">
        <f>COUNTIF(C:C,QLKV_gui_ket_qua_ra_soat[[#This Row],[Mã điểm bán]])</f>
        <v>1</v>
      </c>
    </row>
    <row r="592" spans="1:29" x14ac:dyDescent="0.45">
      <c r="A592" t="s">
        <v>2046</v>
      </c>
      <c r="B592">
        <v>895</v>
      </c>
      <c r="C592" t="s">
        <v>2306</v>
      </c>
      <c r="D592" t="s">
        <v>2307</v>
      </c>
      <c r="E592" t="s">
        <v>2308</v>
      </c>
      <c r="F592" t="s">
        <v>53</v>
      </c>
      <c r="G592" t="s">
        <v>150</v>
      </c>
      <c r="H592" t="s">
        <v>54</v>
      </c>
      <c r="I592" t="s">
        <v>2110</v>
      </c>
      <c r="J592" t="s">
        <v>38</v>
      </c>
      <c r="K592" t="s">
        <v>38</v>
      </c>
      <c r="L592" t="s">
        <v>40</v>
      </c>
      <c r="M592" t="s">
        <v>38</v>
      </c>
      <c r="N592" t="s">
        <v>38</v>
      </c>
      <c r="O592" t="s">
        <v>40</v>
      </c>
      <c r="P592" t="s">
        <v>38</v>
      </c>
      <c r="Q592" t="s">
        <v>38</v>
      </c>
      <c r="R592" t="s">
        <v>40</v>
      </c>
      <c r="S592" t="s">
        <v>2309</v>
      </c>
      <c r="T592" t="s">
        <v>2096</v>
      </c>
      <c r="U592" t="s">
        <v>2097</v>
      </c>
      <c r="V592" t="s">
        <v>2052</v>
      </c>
      <c r="W592" t="s">
        <v>2053</v>
      </c>
      <c r="X592" t="s">
        <v>46</v>
      </c>
      <c r="AC592">
        <f>COUNTIF(C:C,QLKV_gui_ket_qua_ra_soat[[#This Row],[Mã điểm bán]])</f>
        <v>1</v>
      </c>
    </row>
    <row r="593" spans="1:29" x14ac:dyDescent="0.45">
      <c r="A593" t="s">
        <v>2046</v>
      </c>
      <c r="B593">
        <v>900</v>
      </c>
      <c r="C593" t="s">
        <v>2310</v>
      </c>
      <c r="D593" t="s">
        <v>2311</v>
      </c>
      <c r="E593" t="s">
        <v>2312</v>
      </c>
      <c r="F593" t="s">
        <v>1676</v>
      </c>
      <c r="G593" t="s">
        <v>2187</v>
      </c>
      <c r="H593" t="s">
        <v>697</v>
      </c>
      <c r="I593" t="s">
        <v>2313</v>
      </c>
      <c r="J593" t="s">
        <v>38</v>
      </c>
      <c r="K593" t="s">
        <v>38</v>
      </c>
      <c r="L593" t="s">
        <v>40</v>
      </c>
      <c r="M593" t="s">
        <v>37</v>
      </c>
      <c r="N593" t="s">
        <v>37</v>
      </c>
      <c r="O593" t="s">
        <v>39</v>
      </c>
      <c r="P593" t="s">
        <v>38</v>
      </c>
      <c r="Q593" t="s">
        <v>38</v>
      </c>
      <c r="R593" t="s">
        <v>40</v>
      </c>
      <c r="S593" t="s">
        <v>2314</v>
      </c>
      <c r="T593" t="s">
        <v>2096</v>
      </c>
      <c r="U593" t="s">
        <v>2097</v>
      </c>
      <c r="V593" t="s">
        <v>2052</v>
      </c>
      <c r="W593" t="s">
        <v>2053</v>
      </c>
      <c r="X593" t="s">
        <v>46</v>
      </c>
      <c r="AC593">
        <f>COUNTIF(C:C,QLKV_gui_ket_qua_ra_soat[[#This Row],[Mã điểm bán]])</f>
        <v>1</v>
      </c>
    </row>
    <row r="594" spans="1:29" x14ac:dyDescent="0.45">
      <c r="A594" t="s">
        <v>2046</v>
      </c>
      <c r="B594">
        <v>975</v>
      </c>
      <c r="C594" t="s">
        <v>2315</v>
      </c>
      <c r="D594" t="s">
        <v>2316</v>
      </c>
      <c r="E594" t="s">
        <v>2317</v>
      </c>
      <c r="F594" t="s">
        <v>53</v>
      </c>
      <c r="G594" t="s">
        <v>34</v>
      </c>
      <c r="H594" t="s">
        <v>54</v>
      </c>
      <c r="I594" t="s">
        <v>2318</v>
      </c>
      <c r="J594" t="s">
        <v>38</v>
      </c>
      <c r="K594" t="s">
        <v>38</v>
      </c>
      <c r="L594" t="s">
        <v>40</v>
      </c>
      <c r="M594" t="s">
        <v>38</v>
      </c>
      <c r="N594" t="s">
        <v>38</v>
      </c>
      <c r="O594" t="s">
        <v>40</v>
      </c>
      <c r="P594" t="s">
        <v>38</v>
      </c>
      <c r="Q594" t="s">
        <v>38</v>
      </c>
      <c r="R594" t="s">
        <v>40</v>
      </c>
      <c r="S594" t="s">
        <v>2319</v>
      </c>
      <c r="T594" t="s">
        <v>2096</v>
      </c>
      <c r="U594" t="s">
        <v>2097</v>
      </c>
      <c r="V594" t="s">
        <v>2052</v>
      </c>
      <c r="W594" t="s">
        <v>2053</v>
      </c>
      <c r="X594" t="s">
        <v>46</v>
      </c>
      <c r="AC594">
        <f>COUNTIF(C:C,QLKV_gui_ket_qua_ra_soat[[#This Row],[Mã điểm bán]])</f>
        <v>1</v>
      </c>
    </row>
    <row r="595" spans="1:29" x14ac:dyDescent="0.45">
      <c r="A595" t="s">
        <v>2046</v>
      </c>
      <c r="B595">
        <v>1027</v>
      </c>
      <c r="C595" t="s">
        <v>2320</v>
      </c>
      <c r="D595" t="s">
        <v>2321</v>
      </c>
      <c r="E595" t="s">
        <v>128</v>
      </c>
      <c r="F595" t="s">
        <v>600</v>
      </c>
      <c r="G595" t="s">
        <v>34</v>
      </c>
      <c r="H595" t="s">
        <v>1731</v>
      </c>
      <c r="I595" t="s">
        <v>2322</v>
      </c>
      <c r="J595" t="s">
        <v>38</v>
      </c>
      <c r="K595" t="s">
        <v>38</v>
      </c>
      <c r="L595" t="s">
        <v>40</v>
      </c>
      <c r="M595" t="s">
        <v>37</v>
      </c>
      <c r="N595" t="s">
        <v>37</v>
      </c>
      <c r="O595" t="s">
        <v>39</v>
      </c>
      <c r="P595" t="s">
        <v>38</v>
      </c>
      <c r="Q595" t="s">
        <v>38</v>
      </c>
      <c r="R595" t="s">
        <v>40</v>
      </c>
      <c r="S595" t="s">
        <v>2323</v>
      </c>
      <c r="T595" t="s">
        <v>2096</v>
      </c>
      <c r="U595" t="s">
        <v>2097</v>
      </c>
      <c r="V595" t="s">
        <v>2052</v>
      </c>
      <c r="W595" t="s">
        <v>2053</v>
      </c>
      <c r="X595" t="s">
        <v>46</v>
      </c>
      <c r="AC595">
        <f>COUNTIF(C:C,QLKV_gui_ket_qua_ra_soat[[#This Row],[Mã điểm bán]])</f>
        <v>1</v>
      </c>
    </row>
    <row r="596" spans="1:29" x14ac:dyDescent="0.45">
      <c r="A596" t="s">
        <v>2046</v>
      </c>
      <c r="B596">
        <v>1042</v>
      </c>
      <c r="C596" t="s">
        <v>2328</v>
      </c>
      <c r="D596" t="s">
        <v>2329</v>
      </c>
      <c r="E596" t="s">
        <v>2330</v>
      </c>
      <c r="F596" t="s">
        <v>53</v>
      </c>
      <c r="G596" t="s">
        <v>34</v>
      </c>
      <c r="H596" t="s">
        <v>54</v>
      </c>
      <c r="I596" t="s">
        <v>2331</v>
      </c>
      <c r="J596" t="s">
        <v>38</v>
      </c>
      <c r="K596" t="s">
        <v>38</v>
      </c>
      <c r="L596" t="s">
        <v>40</v>
      </c>
      <c r="M596" t="s">
        <v>1034</v>
      </c>
      <c r="N596" t="s">
        <v>1034</v>
      </c>
      <c r="O596" t="s">
        <v>39</v>
      </c>
      <c r="P596" t="s">
        <v>38</v>
      </c>
      <c r="Q596" t="s">
        <v>38</v>
      </c>
      <c r="R596" t="s">
        <v>40</v>
      </c>
      <c r="S596" t="s">
        <v>2332</v>
      </c>
      <c r="T596" t="s">
        <v>2333</v>
      </c>
      <c r="U596" t="s">
        <v>2334</v>
      </c>
      <c r="V596" t="s">
        <v>2052</v>
      </c>
      <c r="W596" t="s">
        <v>81</v>
      </c>
      <c r="X596" t="s">
        <v>46</v>
      </c>
      <c r="AC596">
        <f>COUNTIF(C:C,QLKV_gui_ket_qua_ra_soat[[#This Row],[Mã điểm bán]])</f>
        <v>1</v>
      </c>
    </row>
    <row r="597" spans="1:29" x14ac:dyDescent="0.45">
      <c r="A597" t="s">
        <v>2046</v>
      </c>
      <c r="B597">
        <v>1046</v>
      </c>
      <c r="C597" t="s">
        <v>2335</v>
      </c>
      <c r="D597" t="s">
        <v>2336</v>
      </c>
      <c r="E597" t="s">
        <v>2338</v>
      </c>
      <c r="F597" t="s">
        <v>53</v>
      </c>
      <c r="G597" t="s">
        <v>34</v>
      </c>
      <c r="H597" t="s">
        <v>54</v>
      </c>
      <c r="I597" t="s">
        <v>2339</v>
      </c>
      <c r="J597" t="s">
        <v>38</v>
      </c>
      <c r="K597" t="s">
        <v>38</v>
      </c>
      <c r="L597" t="s">
        <v>40</v>
      </c>
      <c r="M597" t="s">
        <v>775</v>
      </c>
      <c r="N597" t="s">
        <v>775</v>
      </c>
      <c r="O597" t="s">
        <v>39</v>
      </c>
      <c r="P597" t="s">
        <v>38</v>
      </c>
      <c r="Q597" t="s">
        <v>38</v>
      </c>
      <c r="R597" t="s">
        <v>40</v>
      </c>
      <c r="S597" t="s">
        <v>2340</v>
      </c>
      <c r="T597" t="s">
        <v>2333</v>
      </c>
      <c r="U597" t="s">
        <v>2334</v>
      </c>
      <c r="V597" t="s">
        <v>2052</v>
      </c>
      <c r="W597" t="s">
        <v>81</v>
      </c>
      <c r="X597" t="s">
        <v>46</v>
      </c>
      <c r="AC597">
        <f>COUNTIF(C:C,QLKV_gui_ket_qua_ra_soat[[#This Row],[Mã điểm bán]])</f>
        <v>1</v>
      </c>
    </row>
    <row r="598" spans="1:29" x14ac:dyDescent="0.45">
      <c r="A598" t="s">
        <v>2046</v>
      </c>
      <c r="B598">
        <v>1212</v>
      </c>
      <c r="C598" t="s">
        <v>2382</v>
      </c>
      <c r="D598" t="s">
        <v>2383</v>
      </c>
      <c r="E598" t="s">
        <v>2384</v>
      </c>
      <c r="F598" t="s">
        <v>325</v>
      </c>
      <c r="G598" t="s">
        <v>150</v>
      </c>
      <c r="H598" t="s">
        <v>332</v>
      </c>
      <c r="I598" t="s">
        <v>2385</v>
      </c>
      <c r="J598" t="s">
        <v>38</v>
      </c>
      <c r="K598" t="s">
        <v>38</v>
      </c>
      <c r="L598" t="s">
        <v>40</v>
      </c>
      <c r="M598" t="s">
        <v>37</v>
      </c>
      <c r="N598" t="s">
        <v>37</v>
      </c>
      <c r="O598" t="s">
        <v>39</v>
      </c>
      <c r="P598" t="s">
        <v>38</v>
      </c>
      <c r="Q598" t="s">
        <v>38</v>
      </c>
      <c r="R598" t="s">
        <v>40</v>
      </c>
      <c r="S598" t="s">
        <v>2386</v>
      </c>
      <c r="T598" t="s">
        <v>2096</v>
      </c>
      <c r="U598" t="s">
        <v>2097</v>
      </c>
      <c r="V598" t="s">
        <v>2052</v>
      </c>
      <c r="W598" t="s">
        <v>2053</v>
      </c>
      <c r="X598" t="s">
        <v>46</v>
      </c>
      <c r="AC598">
        <f>COUNTIF(C:C,QLKV_gui_ket_qua_ra_soat[[#This Row],[Mã điểm bán]])</f>
        <v>1</v>
      </c>
    </row>
    <row r="599" spans="1:29" x14ac:dyDescent="0.45">
      <c r="A599" t="s">
        <v>2046</v>
      </c>
      <c r="B599">
        <v>1260</v>
      </c>
      <c r="C599" t="s">
        <v>2407</v>
      </c>
      <c r="D599" t="s">
        <v>2408</v>
      </c>
      <c r="E599" t="s">
        <v>1015</v>
      </c>
      <c r="F599" t="s">
        <v>53</v>
      </c>
      <c r="G599" t="s">
        <v>1624</v>
      </c>
      <c r="H599" t="s">
        <v>54</v>
      </c>
      <c r="I599" t="s">
        <v>2110</v>
      </c>
      <c r="J599" t="s">
        <v>38</v>
      </c>
      <c r="K599" t="s">
        <v>38</v>
      </c>
      <c r="L599" t="s">
        <v>40</v>
      </c>
      <c r="M599" t="s">
        <v>38</v>
      </c>
      <c r="N599" t="s">
        <v>38</v>
      </c>
      <c r="O599" t="s">
        <v>40</v>
      </c>
      <c r="P599" t="s">
        <v>38</v>
      </c>
      <c r="Q599" t="s">
        <v>38</v>
      </c>
      <c r="R599" t="s">
        <v>40</v>
      </c>
      <c r="S599" t="s">
        <v>2409</v>
      </c>
      <c r="T599" t="s">
        <v>2096</v>
      </c>
      <c r="U599" t="s">
        <v>2097</v>
      </c>
      <c r="V599" t="s">
        <v>2052</v>
      </c>
      <c r="W599" t="s">
        <v>2053</v>
      </c>
      <c r="X599" t="s">
        <v>46</v>
      </c>
      <c r="AC599">
        <f>COUNTIF(C:C,QLKV_gui_ket_qua_ra_soat[[#This Row],[Mã điểm bán]])</f>
        <v>1</v>
      </c>
    </row>
    <row r="600" spans="1:29" x14ac:dyDescent="0.45">
      <c r="A600" t="s">
        <v>2046</v>
      </c>
      <c r="B600">
        <v>1327</v>
      </c>
      <c r="C600" t="s">
        <v>2422</v>
      </c>
      <c r="D600" t="s">
        <v>2423</v>
      </c>
      <c r="E600" t="s">
        <v>2424</v>
      </c>
      <c r="F600" t="s">
        <v>2425</v>
      </c>
      <c r="G600" t="s">
        <v>150</v>
      </c>
      <c r="H600" t="s">
        <v>2426</v>
      </c>
      <c r="I600" t="s">
        <v>2427</v>
      </c>
      <c r="J600" t="s">
        <v>38</v>
      </c>
      <c r="K600" t="s">
        <v>38</v>
      </c>
      <c r="L600" t="s">
        <v>39</v>
      </c>
      <c r="M600" t="s">
        <v>1034</v>
      </c>
      <c r="N600" t="s">
        <v>37</v>
      </c>
      <c r="O600" t="s">
        <v>121</v>
      </c>
      <c r="P600" t="s">
        <v>38</v>
      </c>
      <c r="Q600" t="s">
        <v>38</v>
      </c>
      <c r="R600" t="s">
        <v>39</v>
      </c>
      <c r="S600" t="s">
        <v>2428</v>
      </c>
      <c r="T600" t="s">
        <v>2190</v>
      </c>
      <c r="U600" t="s">
        <v>2191</v>
      </c>
      <c r="V600" t="s">
        <v>2052</v>
      </c>
      <c r="W600" t="s">
        <v>81</v>
      </c>
      <c r="Y600" t="s">
        <v>46</v>
      </c>
      <c r="AC600">
        <f>COUNTIF(C:C,QLKV_gui_ket_qua_ra_soat[[#This Row],[Mã điểm bán]])</f>
        <v>1</v>
      </c>
    </row>
    <row r="601" spans="1:29" x14ac:dyDescent="0.45">
      <c r="A601" t="s">
        <v>2046</v>
      </c>
      <c r="B601">
        <v>1365</v>
      </c>
      <c r="C601" t="s">
        <v>2434</v>
      </c>
      <c r="D601" t="s">
        <v>2435</v>
      </c>
      <c r="E601" t="s">
        <v>2436</v>
      </c>
      <c r="F601" t="s">
        <v>325</v>
      </c>
      <c r="G601" t="s">
        <v>150</v>
      </c>
      <c r="H601" t="s">
        <v>332</v>
      </c>
      <c r="I601" t="s">
        <v>2257</v>
      </c>
      <c r="J601" t="s">
        <v>38</v>
      </c>
      <c r="K601" t="s">
        <v>38</v>
      </c>
      <c r="L601" t="s">
        <v>40</v>
      </c>
      <c r="M601" t="s">
        <v>37</v>
      </c>
      <c r="N601" t="s">
        <v>37</v>
      </c>
      <c r="O601" t="s">
        <v>39</v>
      </c>
      <c r="P601" t="s">
        <v>38</v>
      </c>
      <c r="Q601" t="s">
        <v>38</v>
      </c>
      <c r="R601" t="s">
        <v>40</v>
      </c>
      <c r="S601" t="s">
        <v>2437</v>
      </c>
      <c r="T601" t="s">
        <v>2096</v>
      </c>
      <c r="U601" t="s">
        <v>2097</v>
      </c>
      <c r="V601" t="s">
        <v>2052</v>
      </c>
      <c r="W601" t="s">
        <v>2053</v>
      </c>
      <c r="Z601" t="s">
        <v>46</v>
      </c>
      <c r="AA601" t="s">
        <v>2102</v>
      </c>
      <c r="AB601" t="s">
        <v>48</v>
      </c>
      <c r="AC601">
        <f>COUNTIF(C:C,QLKV_gui_ket_qua_ra_soat[[#This Row],[Mã điểm bán]])</f>
        <v>1</v>
      </c>
    </row>
    <row r="602" spans="1:29" x14ac:dyDescent="0.45">
      <c r="A602" t="s">
        <v>2046</v>
      </c>
      <c r="B602">
        <v>1379</v>
      </c>
      <c r="C602" t="s">
        <v>2438</v>
      </c>
      <c r="D602" t="s">
        <v>2439</v>
      </c>
      <c r="E602" t="s">
        <v>304</v>
      </c>
      <c r="F602" t="s">
        <v>53</v>
      </c>
      <c r="G602" t="s">
        <v>34</v>
      </c>
      <c r="H602" t="s">
        <v>54</v>
      </c>
      <c r="I602" t="s">
        <v>2049</v>
      </c>
      <c r="J602" t="s">
        <v>38</v>
      </c>
      <c r="K602" t="s">
        <v>38</v>
      </c>
      <c r="L602" t="s">
        <v>40</v>
      </c>
      <c r="M602" t="s">
        <v>38</v>
      </c>
      <c r="N602" t="s">
        <v>38</v>
      </c>
      <c r="O602" t="s">
        <v>40</v>
      </c>
      <c r="P602" t="s">
        <v>38</v>
      </c>
      <c r="Q602" t="s">
        <v>38</v>
      </c>
      <c r="R602" t="s">
        <v>40</v>
      </c>
      <c r="S602" t="s">
        <v>41</v>
      </c>
      <c r="T602" t="s">
        <v>2050</v>
      </c>
      <c r="U602" t="s">
        <v>2051</v>
      </c>
      <c r="V602" t="s">
        <v>2052</v>
      </c>
      <c r="W602" t="s">
        <v>2053</v>
      </c>
      <c r="X602" t="s">
        <v>46</v>
      </c>
      <c r="AC602">
        <f>COUNTIF(C:C,QLKV_gui_ket_qua_ra_soat[[#This Row],[Mã điểm bán]])</f>
        <v>1</v>
      </c>
    </row>
    <row r="603" spans="1:29" x14ac:dyDescent="0.45">
      <c r="A603" t="s">
        <v>2046</v>
      </c>
      <c r="B603">
        <v>1381</v>
      </c>
      <c r="C603" t="s">
        <v>2440</v>
      </c>
      <c r="D603" t="s">
        <v>2441</v>
      </c>
      <c r="E603" t="s">
        <v>407</v>
      </c>
      <c r="F603" t="s">
        <v>53</v>
      </c>
      <c r="G603" t="s">
        <v>34</v>
      </c>
      <c r="H603" t="s">
        <v>54</v>
      </c>
      <c r="I603" t="s">
        <v>2049</v>
      </c>
      <c r="J603" t="s">
        <v>38</v>
      </c>
      <c r="K603" t="s">
        <v>38</v>
      </c>
      <c r="L603" t="s">
        <v>40</v>
      </c>
      <c r="M603" t="s">
        <v>38</v>
      </c>
      <c r="N603" t="s">
        <v>38</v>
      </c>
      <c r="O603" t="s">
        <v>40</v>
      </c>
      <c r="P603" t="s">
        <v>38</v>
      </c>
      <c r="Q603" t="s">
        <v>38</v>
      </c>
      <c r="R603" t="s">
        <v>40</v>
      </c>
      <c r="S603" t="s">
        <v>41</v>
      </c>
      <c r="T603" t="s">
        <v>2050</v>
      </c>
      <c r="U603" t="s">
        <v>2051</v>
      </c>
      <c r="V603" t="s">
        <v>2052</v>
      </c>
      <c r="W603" t="s">
        <v>2053</v>
      </c>
      <c r="X603" t="s">
        <v>46</v>
      </c>
      <c r="AC603">
        <f>COUNTIF(C:C,QLKV_gui_ket_qua_ra_soat[[#This Row],[Mã điểm bán]])</f>
        <v>1</v>
      </c>
    </row>
    <row r="604" spans="1:29" x14ac:dyDescent="0.45">
      <c r="A604" t="s">
        <v>2046</v>
      </c>
      <c r="B604">
        <v>1384</v>
      </c>
      <c r="C604" t="s">
        <v>2442</v>
      </c>
      <c r="D604" t="s">
        <v>2443</v>
      </c>
      <c r="E604" t="s">
        <v>2444</v>
      </c>
      <c r="F604" t="s">
        <v>2445</v>
      </c>
      <c r="G604" t="s">
        <v>150</v>
      </c>
      <c r="H604" t="s">
        <v>402</v>
      </c>
      <c r="I604" t="s">
        <v>2446</v>
      </c>
      <c r="J604" t="s">
        <v>38</v>
      </c>
      <c r="K604" t="s">
        <v>38</v>
      </c>
      <c r="L604" t="s">
        <v>40</v>
      </c>
      <c r="M604" t="s">
        <v>1034</v>
      </c>
      <c r="N604" t="s">
        <v>37</v>
      </c>
      <c r="O604" t="s">
        <v>121</v>
      </c>
      <c r="P604" t="s">
        <v>38</v>
      </c>
      <c r="Q604" t="s">
        <v>38</v>
      </c>
      <c r="R604" t="s">
        <v>40</v>
      </c>
      <c r="S604" t="s">
        <v>2447</v>
      </c>
      <c r="T604" t="s">
        <v>2190</v>
      </c>
      <c r="U604" t="s">
        <v>2191</v>
      </c>
      <c r="V604" t="s">
        <v>2052</v>
      </c>
      <c r="W604" t="s">
        <v>81</v>
      </c>
      <c r="Y604" t="s">
        <v>46</v>
      </c>
      <c r="AC604">
        <f>COUNTIF(C:C,QLKV_gui_ket_qua_ra_soat[[#This Row],[Mã điểm bán]])</f>
        <v>1</v>
      </c>
    </row>
    <row r="605" spans="1:29" x14ac:dyDescent="0.45">
      <c r="A605" t="s">
        <v>2046</v>
      </c>
      <c r="B605">
        <v>1401</v>
      </c>
      <c r="C605" t="s">
        <v>2448</v>
      </c>
      <c r="D605" t="s">
        <v>2449</v>
      </c>
      <c r="E605" t="s">
        <v>407</v>
      </c>
      <c r="F605" t="s">
        <v>53</v>
      </c>
      <c r="G605" t="s">
        <v>34</v>
      </c>
      <c r="H605" t="s">
        <v>54</v>
      </c>
      <c r="I605" t="s">
        <v>2049</v>
      </c>
      <c r="J605" t="s">
        <v>38</v>
      </c>
      <c r="K605" t="s">
        <v>38</v>
      </c>
      <c r="L605" t="s">
        <v>40</v>
      </c>
      <c r="M605" t="s">
        <v>38</v>
      </c>
      <c r="N605" t="s">
        <v>38</v>
      </c>
      <c r="O605" t="s">
        <v>40</v>
      </c>
      <c r="P605" t="s">
        <v>38</v>
      </c>
      <c r="Q605" t="s">
        <v>38</v>
      </c>
      <c r="R605" t="s">
        <v>40</v>
      </c>
      <c r="S605" t="s">
        <v>41</v>
      </c>
      <c r="T605" t="s">
        <v>2050</v>
      </c>
      <c r="U605" t="s">
        <v>2051</v>
      </c>
      <c r="V605" t="s">
        <v>2052</v>
      </c>
      <c r="W605" t="s">
        <v>2053</v>
      </c>
      <c r="X605" t="s">
        <v>46</v>
      </c>
      <c r="AC605">
        <f>COUNTIF(C:C,QLKV_gui_ket_qua_ra_soat[[#This Row],[Mã điểm bán]])</f>
        <v>1</v>
      </c>
    </row>
    <row r="606" spans="1:29" x14ac:dyDescent="0.45">
      <c r="A606" t="s">
        <v>2046</v>
      </c>
      <c r="B606">
        <v>1421</v>
      </c>
      <c r="C606" t="s">
        <v>2450</v>
      </c>
      <c r="D606" t="s">
        <v>2451</v>
      </c>
      <c r="E606" t="s">
        <v>2452</v>
      </c>
      <c r="F606" t="s">
        <v>2453</v>
      </c>
      <c r="G606" t="s">
        <v>2187</v>
      </c>
      <c r="H606" t="s">
        <v>2454</v>
      </c>
      <c r="I606" t="s">
        <v>2455</v>
      </c>
      <c r="J606" t="s">
        <v>37</v>
      </c>
      <c r="K606" t="s">
        <v>38</v>
      </c>
      <c r="L606" t="s">
        <v>39</v>
      </c>
      <c r="M606" t="s">
        <v>1034</v>
      </c>
      <c r="N606" t="s">
        <v>56</v>
      </c>
      <c r="O606" t="s">
        <v>121</v>
      </c>
      <c r="P606" t="s">
        <v>38</v>
      </c>
      <c r="Q606" t="s">
        <v>38</v>
      </c>
      <c r="R606" t="s">
        <v>39</v>
      </c>
      <c r="S606" t="s">
        <v>2456</v>
      </c>
      <c r="T606" t="s">
        <v>2190</v>
      </c>
      <c r="U606" t="s">
        <v>2191</v>
      </c>
      <c r="V606" t="s">
        <v>2052</v>
      </c>
      <c r="W606" t="s">
        <v>81</v>
      </c>
      <c r="X606" t="s">
        <v>46</v>
      </c>
      <c r="AC606">
        <f>COUNTIF(C:C,QLKV_gui_ket_qua_ra_soat[[#This Row],[Mã điểm bán]])</f>
        <v>1</v>
      </c>
    </row>
    <row r="607" spans="1:29" x14ac:dyDescent="0.45">
      <c r="A607" t="s">
        <v>2046</v>
      </c>
      <c r="B607">
        <v>1462</v>
      </c>
      <c r="C607" t="s">
        <v>2457</v>
      </c>
      <c r="D607" t="s">
        <v>2458</v>
      </c>
      <c r="E607" t="s">
        <v>1860</v>
      </c>
      <c r="F607" t="s">
        <v>325</v>
      </c>
      <c r="G607" t="s">
        <v>150</v>
      </c>
      <c r="H607" t="s">
        <v>2459</v>
      </c>
      <c r="I607" t="s">
        <v>2460</v>
      </c>
      <c r="J607" t="s">
        <v>38</v>
      </c>
      <c r="K607" t="s">
        <v>38</v>
      </c>
      <c r="L607" t="s">
        <v>40</v>
      </c>
      <c r="M607" t="s">
        <v>37</v>
      </c>
      <c r="N607" t="s">
        <v>37</v>
      </c>
      <c r="O607" t="s">
        <v>39</v>
      </c>
      <c r="P607" t="s">
        <v>38</v>
      </c>
      <c r="Q607" t="s">
        <v>38</v>
      </c>
      <c r="R607" t="s">
        <v>40</v>
      </c>
      <c r="S607" t="s">
        <v>2461</v>
      </c>
      <c r="T607" t="s">
        <v>2096</v>
      </c>
      <c r="U607" t="s">
        <v>2097</v>
      </c>
      <c r="V607" t="s">
        <v>2052</v>
      </c>
      <c r="W607" t="s">
        <v>2053</v>
      </c>
      <c r="X607" t="s">
        <v>46</v>
      </c>
      <c r="AC607">
        <f>COUNTIF(C:C,QLKV_gui_ket_qua_ra_soat[[#This Row],[Mã điểm bán]])</f>
        <v>1</v>
      </c>
    </row>
    <row r="608" spans="1:29" x14ac:dyDescent="0.45">
      <c r="A608" t="s">
        <v>2046</v>
      </c>
      <c r="B608">
        <v>1471</v>
      </c>
      <c r="C608" t="s">
        <v>2466</v>
      </c>
      <c r="D608" t="s">
        <v>2467</v>
      </c>
      <c r="E608" t="s">
        <v>2468</v>
      </c>
      <c r="F608" t="s">
        <v>2469</v>
      </c>
      <c r="G608" t="s">
        <v>34</v>
      </c>
      <c r="H608" t="s">
        <v>1982</v>
      </c>
      <c r="I608" t="s">
        <v>2470</v>
      </c>
      <c r="J608" t="s">
        <v>38</v>
      </c>
      <c r="K608" t="s">
        <v>38</v>
      </c>
      <c r="L608" t="s">
        <v>40</v>
      </c>
      <c r="M608" t="s">
        <v>1034</v>
      </c>
      <c r="N608" t="s">
        <v>56</v>
      </c>
      <c r="O608" t="s">
        <v>121</v>
      </c>
      <c r="P608" t="s">
        <v>38</v>
      </c>
      <c r="Q608" t="s">
        <v>38</v>
      </c>
      <c r="R608" t="s">
        <v>39</v>
      </c>
      <c r="S608" t="s">
        <v>2471</v>
      </c>
      <c r="T608" t="s">
        <v>2190</v>
      </c>
      <c r="U608" t="s">
        <v>2191</v>
      </c>
      <c r="V608" t="s">
        <v>2052</v>
      </c>
      <c r="W608" t="s">
        <v>81</v>
      </c>
      <c r="X608" t="s">
        <v>46</v>
      </c>
      <c r="AC608">
        <f>COUNTIF(C:C,QLKV_gui_ket_qua_ra_soat[[#This Row],[Mã điểm bán]])</f>
        <v>1</v>
      </c>
    </row>
    <row r="609" spans="1:29" x14ac:dyDescent="0.45">
      <c r="A609" t="s">
        <v>2046</v>
      </c>
      <c r="B609">
        <v>1510</v>
      </c>
      <c r="C609" t="s">
        <v>2472</v>
      </c>
      <c r="D609" t="s">
        <v>2473</v>
      </c>
      <c r="E609" t="s">
        <v>2474</v>
      </c>
      <c r="F609" t="s">
        <v>53</v>
      </c>
      <c r="G609" t="s">
        <v>150</v>
      </c>
      <c r="H609" t="s">
        <v>54</v>
      </c>
      <c r="I609" t="s">
        <v>2475</v>
      </c>
      <c r="J609" t="s">
        <v>38</v>
      </c>
      <c r="K609" t="s">
        <v>38</v>
      </c>
      <c r="L609" t="s">
        <v>40</v>
      </c>
      <c r="M609" t="s">
        <v>38</v>
      </c>
      <c r="N609" t="s">
        <v>38</v>
      </c>
      <c r="O609" t="s">
        <v>40</v>
      </c>
      <c r="P609" t="s">
        <v>38</v>
      </c>
      <c r="Q609" t="s">
        <v>38</v>
      </c>
      <c r="R609" t="s">
        <v>40</v>
      </c>
      <c r="S609" t="s">
        <v>41</v>
      </c>
      <c r="T609" t="s">
        <v>2096</v>
      </c>
      <c r="U609" t="s">
        <v>2097</v>
      </c>
      <c r="V609" t="s">
        <v>2052</v>
      </c>
      <c r="W609" t="s">
        <v>2053</v>
      </c>
      <c r="X609" t="s">
        <v>46</v>
      </c>
      <c r="AC609">
        <f>COUNTIF(C:C,QLKV_gui_ket_qua_ra_soat[[#This Row],[Mã điểm bán]])</f>
        <v>1</v>
      </c>
    </row>
    <row r="610" spans="1:29" x14ac:dyDescent="0.45">
      <c r="A610" t="s">
        <v>2046</v>
      </c>
      <c r="B610">
        <v>1523</v>
      </c>
      <c r="C610" t="s">
        <v>2476</v>
      </c>
      <c r="D610" t="s">
        <v>2477</v>
      </c>
      <c r="E610" t="s">
        <v>2478</v>
      </c>
      <c r="F610" t="s">
        <v>53</v>
      </c>
      <c r="G610" t="s">
        <v>1624</v>
      </c>
      <c r="H610" t="s">
        <v>1483</v>
      </c>
      <c r="I610" t="s">
        <v>2475</v>
      </c>
      <c r="J610" t="s">
        <v>38</v>
      </c>
      <c r="K610" t="s">
        <v>38</v>
      </c>
      <c r="L610" t="s">
        <v>40</v>
      </c>
      <c r="M610" t="s">
        <v>37</v>
      </c>
      <c r="N610" t="s">
        <v>37</v>
      </c>
      <c r="O610" t="s">
        <v>39</v>
      </c>
      <c r="P610" t="s">
        <v>38</v>
      </c>
      <c r="Q610" t="s">
        <v>38</v>
      </c>
      <c r="R610" t="s">
        <v>40</v>
      </c>
      <c r="S610" t="s">
        <v>41</v>
      </c>
      <c r="T610" t="s">
        <v>2096</v>
      </c>
      <c r="U610" t="s">
        <v>2097</v>
      </c>
      <c r="V610" t="s">
        <v>2052</v>
      </c>
      <c r="W610" t="s">
        <v>2053</v>
      </c>
      <c r="X610" t="s">
        <v>46</v>
      </c>
      <c r="AC610">
        <f>COUNTIF(C:C,QLKV_gui_ket_qua_ra_soat[[#This Row],[Mã điểm bán]])</f>
        <v>1</v>
      </c>
    </row>
    <row r="611" spans="1:29" x14ac:dyDescent="0.45">
      <c r="A611" t="s">
        <v>2046</v>
      </c>
      <c r="B611">
        <v>1525</v>
      </c>
      <c r="C611" t="s">
        <v>2479</v>
      </c>
      <c r="D611" t="s">
        <v>727</v>
      </c>
      <c r="E611" t="s">
        <v>2480</v>
      </c>
      <c r="F611" t="s">
        <v>889</v>
      </c>
      <c r="G611" t="s">
        <v>34</v>
      </c>
      <c r="H611" t="s">
        <v>54</v>
      </c>
      <c r="I611" t="s">
        <v>2481</v>
      </c>
      <c r="J611" t="s">
        <v>38</v>
      </c>
      <c r="K611" t="s">
        <v>38</v>
      </c>
      <c r="L611" t="s">
        <v>40</v>
      </c>
      <c r="M611" t="s">
        <v>1034</v>
      </c>
      <c r="N611" t="s">
        <v>1034</v>
      </c>
      <c r="O611" t="s">
        <v>39</v>
      </c>
      <c r="P611" t="s">
        <v>38</v>
      </c>
      <c r="Q611" t="s">
        <v>38</v>
      </c>
      <c r="R611" t="s">
        <v>40</v>
      </c>
      <c r="S611" t="s">
        <v>2482</v>
      </c>
      <c r="T611" t="s">
        <v>2333</v>
      </c>
      <c r="U611" t="s">
        <v>2334</v>
      </c>
      <c r="V611" t="s">
        <v>2052</v>
      </c>
      <c r="W611" t="s">
        <v>81</v>
      </c>
      <c r="X611" t="s">
        <v>46</v>
      </c>
      <c r="AC611">
        <f>COUNTIF(C:C,QLKV_gui_ket_qua_ra_soat[[#This Row],[Mã điểm bán]])</f>
        <v>1</v>
      </c>
    </row>
    <row r="612" spans="1:29" x14ac:dyDescent="0.45">
      <c r="A612" t="s">
        <v>2046</v>
      </c>
      <c r="B612">
        <v>1543</v>
      </c>
      <c r="C612" t="s">
        <v>2483</v>
      </c>
      <c r="D612" t="s">
        <v>2484</v>
      </c>
      <c r="E612" t="s">
        <v>2485</v>
      </c>
      <c r="F612" t="s">
        <v>1597</v>
      </c>
      <c r="G612" t="s">
        <v>150</v>
      </c>
      <c r="H612" t="s">
        <v>100</v>
      </c>
      <c r="I612" t="s">
        <v>2486</v>
      </c>
      <c r="J612" t="s">
        <v>38</v>
      </c>
      <c r="K612" t="s">
        <v>38</v>
      </c>
      <c r="L612" t="s">
        <v>40</v>
      </c>
      <c r="M612" t="s">
        <v>1034</v>
      </c>
      <c r="N612" t="s">
        <v>37</v>
      </c>
      <c r="O612" t="s">
        <v>121</v>
      </c>
      <c r="P612" t="s">
        <v>38</v>
      </c>
      <c r="Q612" t="s">
        <v>38</v>
      </c>
      <c r="R612" t="s">
        <v>39</v>
      </c>
      <c r="S612" t="s">
        <v>2487</v>
      </c>
      <c r="T612" t="s">
        <v>2190</v>
      </c>
      <c r="U612" t="s">
        <v>2191</v>
      </c>
      <c r="V612" t="s">
        <v>2052</v>
      </c>
      <c r="W612" t="s">
        <v>81</v>
      </c>
      <c r="X612" t="s">
        <v>46</v>
      </c>
      <c r="AC612">
        <f>COUNTIF(C:C,QLKV_gui_ket_qua_ra_soat[[#This Row],[Mã điểm bán]])</f>
        <v>1</v>
      </c>
    </row>
    <row r="613" spans="1:29" x14ac:dyDescent="0.45">
      <c r="A613" t="s">
        <v>2046</v>
      </c>
      <c r="B613">
        <v>1581</v>
      </c>
      <c r="C613" t="s">
        <v>2498</v>
      </c>
      <c r="D613" t="s">
        <v>2499</v>
      </c>
      <c r="E613" t="s">
        <v>2500</v>
      </c>
      <c r="F613" t="s">
        <v>2501</v>
      </c>
      <c r="G613" t="s">
        <v>34</v>
      </c>
      <c r="H613" t="s">
        <v>171</v>
      </c>
      <c r="I613" t="s">
        <v>2502</v>
      </c>
      <c r="J613" t="s">
        <v>38</v>
      </c>
      <c r="K613" t="s">
        <v>38</v>
      </c>
      <c r="L613" t="s">
        <v>40</v>
      </c>
      <c r="M613" t="s">
        <v>1034</v>
      </c>
      <c r="N613" t="s">
        <v>37</v>
      </c>
      <c r="O613" t="s">
        <v>121</v>
      </c>
      <c r="P613" t="s">
        <v>38</v>
      </c>
      <c r="Q613" t="s">
        <v>38</v>
      </c>
      <c r="R613" t="s">
        <v>40</v>
      </c>
      <c r="S613" t="s">
        <v>2503</v>
      </c>
      <c r="T613" t="s">
        <v>2190</v>
      </c>
      <c r="U613" t="s">
        <v>2191</v>
      </c>
      <c r="V613" t="s">
        <v>2052</v>
      </c>
      <c r="W613" t="s">
        <v>81</v>
      </c>
      <c r="X613" t="s">
        <v>46</v>
      </c>
      <c r="AC613">
        <f>COUNTIF(C:C,QLKV_gui_ket_qua_ra_soat[[#This Row],[Mã điểm bán]])</f>
        <v>1</v>
      </c>
    </row>
    <row r="614" spans="1:29" x14ac:dyDescent="0.45">
      <c r="A614" t="s">
        <v>2046</v>
      </c>
      <c r="B614">
        <v>1617</v>
      </c>
      <c r="C614" t="s">
        <v>2518</v>
      </c>
      <c r="D614" t="s">
        <v>2519</v>
      </c>
      <c r="E614" t="s">
        <v>2520</v>
      </c>
      <c r="F614" t="s">
        <v>2521</v>
      </c>
      <c r="G614" t="s">
        <v>2522</v>
      </c>
      <c r="H614" t="s">
        <v>1877</v>
      </c>
      <c r="I614" t="s">
        <v>2523</v>
      </c>
      <c r="J614" t="s">
        <v>38</v>
      </c>
      <c r="K614" t="s">
        <v>38</v>
      </c>
      <c r="L614" t="s">
        <v>40</v>
      </c>
      <c r="M614" t="s">
        <v>775</v>
      </c>
      <c r="N614" t="s">
        <v>37</v>
      </c>
      <c r="O614" t="s">
        <v>121</v>
      </c>
      <c r="P614" t="s">
        <v>38</v>
      </c>
      <c r="Q614" t="s">
        <v>38</v>
      </c>
      <c r="R614" t="s">
        <v>40</v>
      </c>
      <c r="S614" t="s">
        <v>2524</v>
      </c>
      <c r="T614" t="s">
        <v>2190</v>
      </c>
      <c r="U614" t="s">
        <v>2191</v>
      </c>
      <c r="V614" t="s">
        <v>2052</v>
      </c>
      <c r="W614" t="s">
        <v>81</v>
      </c>
      <c r="X614" t="s">
        <v>46</v>
      </c>
      <c r="AC614">
        <f>COUNTIF(C:C,QLKV_gui_ket_qua_ra_soat[[#This Row],[Mã điểm bán]])</f>
        <v>1</v>
      </c>
    </row>
    <row r="615" spans="1:29" x14ac:dyDescent="0.45">
      <c r="A615" t="s">
        <v>2046</v>
      </c>
      <c r="B615">
        <v>1620</v>
      </c>
      <c r="C615" t="s">
        <v>2525</v>
      </c>
      <c r="D615" t="s">
        <v>2526</v>
      </c>
      <c r="E615" t="s">
        <v>2527</v>
      </c>
      <c r="F615" t="s">
        <v>2528</v>
      </c>
      <c r="G615" t="s">
        <v>1624</v>
      </c>
      <c r="H615" t="s">
        <v>1542</v>
      </c>
      <c r="I615" t="s">
        <v>2529</v>
      </c>
      <c r="J615" t="s">
        <v>37</v>
      </c>
      <c r="K615" t="s">
        <v>37</v>
      </c>
      <c r="L615" t="s">
        <v>39</v>
      </c>
      <c r="M615" t="s">
        <v>775</v>
      </c>
      <c r="N615" t="s">
        <v>37</v>
      </c>
      <c r="O615" t="s">
        <v>39</v>
      </c>
      <c r="P615" t="s">
        <v>38</v>
      </c>
      <c r="Q615" t="s">
        <v>38</v>
      </c>
      <c r="R615" t="s">
        <v>40</v>
      </c>
      <c r="S615" t="s">
        <v>2530</v>
      </c>
      <c r="T615" t="s">
        <v>2190</v>
      </c>
      <c r="U615" t="s">
        <v>2191</v>
      </c>
      <c r="V615" t="s">
        <v>2052</v>
      </c>
      <c r="W615" t="s">
        <v>81</v>
      </c>
      <c r="X615" t="s">
        <v>46</v>
      </c>
      <c r="AC615">
        <f>COUNTIF(C:C,QLKV_gui_ket_qua_ra_soat[[#This Row],[Mã điểm bán]])</f>
        <v>1</v>
      </c>
    </row>
    <row r="616" spans="1:29" x14ac:dyDescent="0.45">
      <c r="A616" t="s">
        <v>2046</v>
      </c>
      <c r="B616">
        <v>1656</v>
      </c>
      <c r="C616" t="s">
        <v>2549</v>
      </c>
      <c r="D616" t="s">
        <v>2550</v>
      </c>
      <c r="E616" t="s">
        <v>127</v>
      </c>
      <c r="F616" t="s">
        <v>581</v>
      </c>
      <c r="G616" t="s">
        <v>34</v>
      </c>
      <c r="H616" t="s">
        <v>54</v>
      </c>
      <c r="I616" t="s">
        <v>1692</v>
      </c>
      <c r="J616" t="s">
        <v>775</v>
      </c>
      <c r="K616" t="s">
        <v>775</v>
      </c>
      <c r="L616" t="s">
        <v>40</v>
      </c>
      <c r="M616" t="s">
        <v>56</v>
      </c>
      <c r="N616" t="s">
        <v>775</v>
      </c>
      <c r="O616" t="s">
        <v>39</v>
      </c>
      <c r="P616" t="s">
        <v>775</v>
      </c>
      <c r="Q616" t="s">
        <v>775</v>
      </c>
      <c r="R616" t="s">
        <v>40</v>
      </c>
      <c r="S616" t="s">
        <v>41</v>
      </c>
      <c r="T616" t="s">
        <v>2062</v>
      </c>
      <c r="U616" t="s">
        <v>2063</v>
      </c>
      <c r="V616" t="s">
        <v>2052</v>
      </c>
      <c r="W616" t="s">
        <v>2053</v>
      </c>
      <c r="X616" t="s">
        <v>46</v>
      </c>
      <c r="AC616">
        <f>COUNTIF(C:C,QLKV_gui_ket_qua_ra_soat[[#This Row],[Mã điểm bán]])</f>
        <v>1</v>
      </c>
    </row>
    <row r="617" spans="1:29" x14ac:dyDescent="0.45">
      <c r="A617" t="s">
        <v>2046</v>
      </c>
      <c r="B617">
        <v>1670</v>
      </c>
      <c r="C617" t="s">
        <v>2551</v>
      </c>
      <c r="D617" t="s">
        <v>2247</v>
      </c>
      <c r="E617" t="s">
        <v>682</v>
      </c>
      <c r="F617" t="s">
        <v>53</v>
      </c>
      <c r="G617" t="s">
        <v>34</v>
      </c>
      <c r="H617" t="s">
        <v>54</v>
      </c>
      <c r="I617" t="s">
        <v>2552</v>
      </c>
      <c r="J617" t="s">
        <v>775</v>
      </c>
      <c r="K617" t="s">
        <v>775</v>
      </c>
      <c r="L617" t="s">
        <v>40</v>
      </c>
      <c r="M617" t="s">
        <v>56</v>
      </c>
      <c r="N617" t="s">
        <v>56</v>
      </c>
      <c r="O617" t="s">
        <v>39</v>
      </c>
      <c r="P617" t="s">
        <v>775</v>
      </c>
      <c r="Q617" t="s">
        <v>775</v>
      </c>
      <c r="R617" t="s">
        <v>39</v>
      </c>
      <c r="S617" t="s">
        <v>41</v>
      </c>
      <c r="T617" t="s">
        <v>2062</v>
      </c>
      <c r="U617" t="s">
        <v>2063</v>
      </c>
      <c r="V617" t="s">
        <v>2052</v>
      </c>
      <c r="W617" t="s">
        <v>2053</v>
      </c>
      <c r="X617" t="s">
        <v>46</v>
      </c>
      <c r="AC617">
        <f>COUNTIF(C:C,QLKV_gui_ket_qua_ra_soat[[#This Row],[Mã điểm bán]])</f>
        <v>1</v>
      </c>
    </row>
    <row r="618" spans="1:29" x14ac:dyDescent="0.45">
      <c r="A618" t="s">
        <v>2046</v>
      </c>
      <c r="B618">
        <v>1675</v>
      </c>
      <c r="C618" t="s">
        <v>2553</v>
      </c>
      <c r="D618" t="s">
        <v>2554</v>
      </c>
      <c r="E618" t="s">
        <v>2556</v>
      </c>
      <c r="F618" t="s">
        <v>2405</v>
      </c>
      <c r="G618" t="s">
        <v>34</v>
      </c>
      <c r="H618" t="s">
        <v>54</v>
      </c>
      <c r="I618" t="s">
        <v>2557</v>
      </c>
      <c r="J618" t="s">
        <v>775</v>
      </c>
      <c r="K618" t="s">
        <v>775</v>
      </c>
      <c r="L618" t="s">
        <v>40</v>
      </c>
      <c r="M618" t="s">
        <v>56</v>
      </c>
      <c r="N618" t="s">
        <v>775</v>
      </c>
      <c r="O618" t="s">
        <v>40</v>
      </c>
      <c r="P618" t="s">
        <v>775</v>
      </c>
      <c r="Q618" t="s">
        <v>775</v>
      </c>
      <c r="R618" t="s">
        <v>40</v>
      </c>
      <c r="S618" t="s">
        <v>41</v>
      </c>
      <c r="T618" t="s">
        <v>2062</v>
      </c>
      <c r="U618" t="s">
        <v>2063</v>
      </c>
      <c r="V618" t="s">
        <v>2052</v>
      </c>
      <c r="W618" t="s">
        <v>2053</v>
      </c>
      <c r="Z618" t="s">
        <v>46</v>
      </c>
      <c r="AA618" t="s">
        <v>2102</v>
      </c>
      <c r="AB618" t="s">
        <v>48</v>
      </c>
      <c r="AC618">
        <f>COUNTIF(C:C,QLKV_gui_ket_qua_ra_soat[[#This Row],[Mã điểm bán]])</f>
        <v>1</v>
      </c>
    </row>
    <row r="619" spans="1:29" x14ac:dyDescent="0.45">
      <c r="A619" t="s">
        <v>2046</v>
      </c>
      <c r="B619">
        <v>1713</v>
      </c>
      <c r="C619" t="s">
        <v>2566</v>
      </c>
      <c r="D619" t="s">
        <v>2567</v>
      </c>
      <c r="E619" t="s">
        <v>2568</v>
      </c>
      <c r="F619" t="s">
        <v>2569</v>
      </c>
      <c r="G619" t="s">
        <v>1458</v>
      </c>
      <c r="H619" t="s">
        <v>100</v>
      </c>
      <c r="I619" t="s">
        <v>2570</v>
      </c>
      <c r="J619" t="s">
        <v>38</v>
      </c>
      <c r="K619" t="s">
        <v>38</v>
      </c>
      <c r="L619" t="s">
        <v>40</v>
      </c>
      <c r="M619" t="s">
        <v>775</v>
      </c>
      <c r="N619" t="s">
        <v>56</v>
      </c>
      <c r="O619" t="s">
        <v>39</v>
      </c>
      <c r="P619" t="s">
        <v>38</v>
      </c>
      <c r="Q619" t="s">
        <v>38</v>
      </c>
      <c r="R619" t="s">
        <v>40</v>
      </c>
      <c r="S619" t="s">
        <v>2571</v>
      </c>
      <c r="T619" t="s">
        <v>2190</v>
      </c>
      <c r="U619" t="s">
        <v>2191</v>
      </c>
      <c r="V619" t="s">
        <v>2052</v>
      </c>
      <c r="W619" t="s">
        <v>81</v>
      </c>
      <c r="X619" t="s">
        <v>46</v>
      </c>
      <c r="AC619">
        <f>COUNTIF(C:C,QLKV_gui_ket_qua_ra_soat[[#This Row],[Mã điểm bán]])</f>
        <v>1</v>
      </c>
    </row>
    <row r="620" spans="1:29" x14ac:dyDescent="0.45">
      <c r="A620" t="s">
        <v>2046</v>
      </c>
      <c r="B620">
        <v>1733</v>
      </c>
      <c r="C620" t="s">
        <v>2572</v>
      </c>
      <c r="D620" t="s">
        <v>2573</v>
      </c>
      <c r="E620" t="s">
        <v>2574</v>
      </c>
      <c r="F620" t="s">
        <v>2575</v>
      </c>
      <c r="G620" t="s">
        <v>150</v>
      </c>
      <c r="H620" t="s">
        <v>100</v>
      </c>
      <c r="I620" t="s">
        <v>2576</v>
      </c>
      <c r="J620" t="s">
        <v>38</v>
      </c>
      <c r="K620" t="s">
        <v>38</v>
      </c>
      <c r="L620" t="s">
        <v>40</v>
      </c>
      <c r="M620" t="s">
        <v>1034</v>
      </c>
      <c r="N620" t="s">
        <v>56</v>
      </c>
      <c r="O620" t="s">
        <v>121</v>
      </c>
      <c r="P620" t="s">
        <v>38</v>
      </c>
      <c r="Q620" t="s">
        <v>38</v>
      </c>
      <c r="R620" t="s">
        <v>40</v>
      </c>
      <c r="S620" t="s">
        <v>2577</v>
      </c>
      <c r="T620" t="s">
        <v>2190</v>
      </c>
      <c r="U620" t="s">
        <v>2191</v>
      </c>
      <c r="V620" t="s">
        <v>2052</v>
      </c>
      <c r="W620" t="s">
        <v>81</v>
      </c>
      <c r="X620" t="s">
        <v>46</v>
      </c>
      <c r="AC620">
        <f>COUNTIF(C:C,QLKV_gui_ket_qua_ra_soat[[#This Row],[Mã điểm bán]])</f>
        <v>1</v>
      </c>
    </row>
    <row r="621" spans="1:29" x14ac:dyDescent="0.45">
      <c r="A621" t="s">
        <v>2046</v>
      </c>
      <c r="B621">
        <v>1747</v>
      </c>
      <c r="C621" t="s">
        <v>2584</v>
      </c>
      <c r="D621" t="s">
        <v>2585</v>
      </c>
      <c r="E621" t="s">
        <v>2586</v>
      </c>
      <c r="F621" t="s">
        <v>53</v>
      </c>
      <c r="G621" t="s">
        <v>34</v>
      </c>
      <c r="H621" t="s">
        <v>685</v>
      </c>
      <c r="I621" t="s">
        <v>2587</v>
      </c>
      <c r="J621" t="s">
        <v>38</v>
      </c>
      <c r="K621" t="s">
        <v>38</v>
      </c>
      <c r="L621" t="s">
        <v>40</v>
      </c>
      <c r="M621" t="s">
        <v>38</v>
      </c>
      <c r="N621" t="s">
        <v>38</v>
      </c>
      <c r="O621" t="s">
        <v>40</v>
      </c>
      <c r="P621" t="s">
        <v>38</v>
      </c>
      <c r="Q621" t="s">
        <v>38</v>
      </c>
      <c r="R621" t="s">
        <v>40</v>
      </c>
      <c r="S621" t="s">
        <v>2588</v>
      </c>
      <c r="T621" t="s">
        <v>2333</v>
      </c>
      <c r="U621" t="s">
        <v>2334</v>
      </c>
      <c r="V621" t="s">
        <v>2052</v>
      </c>
      <c r="W621" t="s">
        <v>81</v>
      </c>
      <c r="X621" t="s">
        <v>46</v>
      </c>
      <c r="AC621">
        <f>COUNTIF(C:C,QLKV_gui_ket_qua_ra_soat[[#This Row],[Mã điểm bán]])</f>
        <v>1</v>
      </c>
    </row>
    <row r="622" spans="1:29" x14ac:dyDescent="0.45">
      <c r="A622" t="s">
        <v>2046</v>
      </c>
      <c r="B622">
        <v>1753</v>
      </c>
      <c r="C622" t="s">
        <v>2589</v>
      </c>
      <c r="D622" t="s">
        <v>2590</v>
      </c>
      <c r="E622" t="s">
        <v>2591</v>
      </c>
      <c r="F622" t="s">
        <v>2592</v>
      </c>
      <c r="G622" t="s">
        <v>34</v>
      </c>
      <c r="H622" t="s">
        <v>2593</v>
      </c>
      <c r="I622" t="s">
        <v>2594</v>
      </c>
      <c r="J622" t="s">
        <v>37</v>
      </c>
      <c r="K622" t="s">
        <v>37</v>
      </c>
      <c r="L622" t="s">
        <v>39</v>
      </c>
      <c r="M622" t="s">
        <v>1034</v>
      </c>
      <c r="N622" t="s">
        <v>1034</v>
      </c>
      <c r="O622" t="s">
        <v>121</v>
      </c>
      <c r="P622" t="s">
        <v>38</v>
      </c>
      <c r="Q622" t="s">
        <v>37</v>
      </c>
      <c r="R622" t="s">
        <v>39</v>
      </c>
      <c r="S622" t="s">
        <v>2595</v>
      </c>
      <c r="T622" t="s">
        <v>2190</v>
      </c>
      <c r="U622" t="s">
        <v>2191</v>
      </c>
      <c r="V622" t="s">
        <v>2052</v>
      </c>
      <c r="W622" t="s">
        <v>81</v>
      </c>
      <c r="X622" t="s">
        <v>46</v>
      </c>
      <c r="AC622">
        <f>COUNTIF(C:C,QLKV_gui_ket_qua_ra_soat[[#This Row],[Mã điểm bán]])</f>
        <v>1</v>
      </c>
    </row>
    <row r="623" spans="1:29" x14ac:dyDescent="0.45">
      <c r="A623" t="s">
        <v>2046</v>
      </c>
      <c r="B623">
        <v>1756</v>
      </c>
      <c r="C623" t="s">
        <v>2596</v>
      </c>
      <c r="D623" t="s">
        <v>2597</v>
      </c>
      <c r="E623" t="s">
        <v>74</v>
      </c>
      <c r="F623" t="s">
        <v>53</v>
      </c>
      <c r="G623" t="s">
        <v>150</v>
      </c>
      <c r="H623" t="s">
        <v>54</v>
      </c>
      <c r="I623" t="s">
        <v>2598</v>
      </c>
      <c r="J623" t="s">
        <v>775</v>
      </c>
      <c r="K623" t="s">
        <v>775</v>
      </c>
      <c r="L623" t="s">
        <v>40</v>
      </c>
      <c r="M623" t="s">
        <v>56</v>
      </c>
      <c r="N623" t="s">
        <v>775</v>
      </c>
      <c r="O623" t="s">
        <v>39</v>
      </c>
      <c r="P623" t="s">
        <v>775</v>
      </c>
      <c r="Q623" t="s">
        <v>775</v>
      </c>
      <c r="R623" t="s">
        <v>40</v>
      </c>
      <c r="S623" t="s">
        <v>41</v>
      </c>
      <c r="T623" t="s">
        <v>2062</v>
      </c>
      <c r="U623" t="s">
        <v>2063</v>
      </c>
      <c r="V623" t="s">
        <v>2052</v>
      </c>
      <c r="W623" t="s">
        <v>2053</v>
      </c>
      <c r="X623" t="s">
        <v>46</v>
      </c>
      <c r="AC623">
        <f>COUNTIF(C:C,QLKV_gui_ket_qua_ra_soat[[#This Row],[Mã điểm bán]])</f>
        <v>1</v>
      </c>
    </row>
    <row r="624" spans="1:29" x14ac:dyDescent="0.45">
      <c r="A624" t="s">
        <v>2046</v>
      </c>
      <c r="B624">
        <v>1760</v>
      </c>
      <c r="C624" t="s">
        <v>2599</v>
      </c>
      <c r="D624" t="s">
        <v>2600</v>
      </c>
      <c r="E624" t="s">
        <v>2601</v>
      </c>
      <c r="F624" t="s">
        <v>339</v>
      </c>
      <c r="G624" t="s">
        <v>150</v>
      </c>
      <c r="H624" t="s">
        <v>332</v>
      </c>
      <c r="I624" t="s">
        <v>2602</v>
      </c>
      <c r="J624" t="s">
        <v>37</v>
      </c>
      <c r="K624" t="s">
        <v>37</v>
      </c>
      <c r="L624" t="s">
        <v>39</v>
      </c>
      <c r="M624" t="s">
        <v>1034</v>
      </c>
      <c r="N624" t="s">
        <v>1034</v>
      </c>
      <c r="O624" t="s">
        <v>121</v>
      </c>
      <c r="P624" t="s">
        <v>38</v>
      </c>
      <c r="Q624" t="s">
        <v>38</v>
      </c>
      <c r="R624" t="s">
        <v>39</v>
      </c>
      <c r="S624" t="s">
        <v>2603</v>
      </c>
      <c r="T624" t="s">
        <v>2190</v>
      </c>
      <c r="U624" t="s">
        <v>2191</v>
      </c>
      <c r="V624" t="s">
        <v>2052</v>
      </c>
      <c r="W624" t="s">
        <v>81</v>
      </c>
      <c r="X624" t="s">
        <v>46</v>
      </c>
      <c r="AC624">
        <f>COUNTIF(C:C,QLKV_gui_ket_qua_ra_soat[[#This Row],[Mã điểm bán]])</f>
        <v>1</v>
      </c>
    </row>
    <row r="625" spans="1:29" x14ac:dyDescent="0.45">
      <c r="A625" t="s">
        <v>2046</v>
      </c>
      <c r="B625">
        <v>1800</v>
      </c>
      <c r="C625" t="s">
        <v>2608</v>
      </c>
      <c r="D625" t="s">
        <v>2609</v>
      </c>
      <c r="E625" t="s">
        <v>2610</v>
      </c>
      <c r="F625" t="s">
        <v>2611</v>
      </c>
      <c r="G625" t="s">
        <v>34</v>
      </c>
      <c r="H625" t="s">
        <v>565</v>
      </c>
      <c r="I625" t="s">
        <v>2612</v>
      </c>
      <c r="J625" t="s">
        <v>38</v>
      </c>
      <c r="K625" t="s">
        <v>38</v>
      </c>
      <c r="L625" t="s">
        <v>39</v>
      </c>
      <c r="M625" t="s">
        <v>775</v>
      </c>
      <c r="N625" t="s">
        <v>56</v>
      </c>
      <c r="O625" t="s">
        <v>39</v>
      </c>
      <c r="P625" t="s">
        <v>38</v>
      </c>
      <c r="Q625" t="s">
        <v>38</v>
      </c>
      <c r="R625" t="s">
        <v>39</v>
      </c>
      <c r="S625" t="s">
        <v>2613</v>
      </c>
      <c r="T625" t="s">
        <v>2190</v>
      </c>
      <c r="U625" t="s">
        <v>2191</v>
      </c>
      <c r="V625" t="s">
        <v>2052</v>
      </c>
      <c r="W625" t="s">
        <v>81</v>
      </c>
      <c r="X625" t="s">
        <v>46</v>
      </c>
      <c r="AC625">
        <f>COUNTIF(C:C,QLKV_gui_ket_qua_ra_soat[[#This Row],[Mã điểm bán]])</f>
        <v>1</v>
      </c>
    </row>
    <row r="626" spans="1:29" x14ac:dyDescent="0.45">
      <c r="A626" t="s">
        <v>2046</v>
      </c>
      <c r="B626">
        <v>1807</v>
      </c>
      <c r="C626" t="s">
        <v>2618</v>
      </c>
      <c r="D626" t="s">
        <v>2619</v>
      </c>
      <c r="E626" t="s">
        <v>32</v>
      </c>
      <c r="F626" t="s">
        <v>53</v>
      </c>
      <c r="G626" t="s">
        <v>34</v>
      </c>
      <c r="H626" t="s">
        <v>54</v>
      </c>
      <c r="I626" t="s">
        <v>2620</v>
      </c>
      <c r="J626" t="s">
        <v>775</v>
      </c>
      <c r="K626" t="s">
        <v>775</v>
      </c>
      <c r="L626" t="s">
        <v>40</v>
      </c>
      <c r="M626" t="s">
        <v>56</v>
      </c>
      <c r="N626" t="s">
        <v>775</v>
      </c>
      <c r="O626" t="s">
        <v>39</v>
      </c>
      <c r="P626" t="s">
        <v>775</v>
      </c>
      <c r="Q626" t="s">
        <v>775</v>
      </c>
      <c r="R626" t="s">
        <v>40</v>
      </c>
      <c r="S626" t="s">
        <v>41</v>
      </c>
      <c r="T626" t="s">
        <v>2062</v>
      </c>
      <c r="U626" t="s">
        <v>2063</v>
      </c>
      <c r="V626" t="s">
        <v>2052</v>
      </c>
      <c r="W626" t="s">
        <v>2053</v>
      </c>
      <c r="X626" t="s">
        <v>46</v>
      </c>
      <c r="AC626">
        <f>COUNTIF(C:C,QLKV_gui_ket_qua_ra_soat[[#This Row],[Mã điểm bán]])</f>
        <v>1</v>
      </c>
    </row>
    <row r="627" spans="1:29" x14ac:dyDescent="0.45">
      <c r="A627" t="s">
        <v>2046</v>
      </c>
      <c r="B627">
        <v>1842</v>
      </c>
      <c r="C627" t="s">
        <v>2621</v>
      </c>
      <c r="D627" t="s">
        <v>2622</v>
      </c>
      <c r="E627" t="s">
        <v>2623</v>
      </c>
      <c r="F627" t="s">
        <v>2624</v>
      </c>
      <c r="G627" t="s">
        <v>34</v>
      </c>
      <c r="H627" t="s">
        <v>2625</v>
      </c>
      <c r="I627" t="s">
        <v>2626</v>
      </c>
      <c r="J627" t="s">
        <v>37</v>
      </c>
      <c r="K627" t="s">
        <v>37</v>
      </c>
      <c r="L627" t="s">
        <v>39</v>
      </c>
      <c r="M627" t="s">
        <v>775</v>
      </c>
      <c r="N627" t="s">
        <v>775</v>
      </c>
      <c r="O627" t="s">
        <v>39</v>
      </c>
      <c r="P627" t="s">
        <v>38</v>
      </c>
      <c r="Q627" t="s">
        <v>38</v>
      </c>
      <c r="R627" t="s">
        <v>39</v>
      </c>
      <c r="S627" t="s">
        <v>2627</v>
      </c>
      <c r="T627" t="s">
        <v>2190</v>
      </c>
      <c r="U627" t="s">
        <v>2191</v>
      </c>
      <c r="V627" t="s">
        <v>2052</v>
      </c>
      <c r="W627" t="s">
        <v>81</v>
      </c>
      <c r="X627" t="s">
        <v>46</v>
      </c>
      <c r="AC627">
        <f>COUNTIF(C:C,QLKV_gui_ket_qua_ra_soat[[#This Row],[Mã điểm bán]])</f>
        <v>1</v>
      </c>
    </row>
    <row r="628" spans="1:29" x14ac:dyDescent="0.45">
      <c r="A628" t="s">
        <v>2046</v>
      </c>
      <c r="B628">
        <v>1856</v>
      </c>
      <c r="C628" t="s">
        <v>2634</v>
      </c>
      <c r="D628" t="s">
        <v>2635</v>
      </c>
      <c r="E628" t="s">
        <v>2636</v>
      </c>
      <c r="F628" t="s">
        <v>2637</v>
      </c>
      <c r="G628" t="s">
        <v>1458</v>
      </c>
      <c r="H628" t="s">
        <v>340</v>
      </c>
      <c r="I628" t="s">
        <v>2638</v>
      </c>
      <c r="J628" t="s">
        <v>38</v>
      </c>
      <c r="K628" t="s">
        <v>38</v>
      </c>
      <c r="L628" t="s">
        <v>40</v>
      </c>
      <c r="M628" t="s">
        <v>775</v>
      </c>
      <c r="N628" t="s">
        <v>56</v>
      </c>
      <c r="O628" t="s">
        <v>39</v>
      </c>
      <c r="P628" t="s">
        <v>38</v>
      </c>
      <c r="Q628" t="s">
        <v>37</v>
      </c>
      <c r="R628" t="s">
        <v>39</v>
      </c>
      <c r="S628" t="s">
        <v>2639</v>
      </c>
      <c r="T628" t="s">
        <v>2190</v>
      </c>
      <c r="U628" t="s">
        <v>2191</v>
      </c>
      <c r="V628" t="s">
        <v>2052</v>
      </c>
      <c r="W628" t="s">
        <v>81</v>
      </c>
      <c r="X628" t="s">
        <v>46</v>
      </c>
      <c r="AC628">
        <f>COUNTIF(C:C,QLKV_gui_ket_qua_ra_soat[[#This Row],[Mã điểm bán]])</f>
        <v>1</v>
      </c>
    </row>
    <row r="629" spans="1:29" x14ac:dyDescent="0.45">
      <c r="A629" t="s">
        <v>2046</v>
      </c>
      <c r="B629">
        <v>1863</v>
      </c>
      <c r="C629" t="s">
        <v>2640</v>
      </c>
      <c r="D629" t="s">
        <v>2641</v>
      </c>
      <c r="E629" t="s">
        <v>2642</v>
      </c>
      <c r="F629" t="s">
        <v>53</v>
      </c>
      <c r="G629" t="s">
        <v>1624</v>
      </c>
      <c r="H629" t="s">
        <v>2643</v>
      </c>
      <c r="I629" t="s">
        <v>2475</v>
      </c>
      <c r="J629" t="s">
        <v>38</v>
      </c>
      <c r="K629" t="s">
        <v>38</v>
      </c>
      <c r="L629" t="s">
        <v>40</v>
      </c>
      <c r="M629" t="s">
        <v>56</v>
      </c>
      <c r="N629" t="s">
        <v>56</v>
      </c>
      <c r="O629" t="s">
        <v>39</v>
      </c>
      <c r="P629" t="s">
        <v>38</v>
      </c>
      <c r="Q629" t="s">
        <v>38</v>
      </c>
      <c r="R629" t="s">
        <v>40</v>
      </c>
      <c r="S629" t="s">
        <v>2644</v>
      </c>
      <c r="T629" t="s">
        <v>2096</v>
      </c>
      <c r="U629" t="s">
        <v>2097</v>
      </c>
      <c r="V629" t="s">
        <v>2052</v>
      </c>
      <c r="W629" t="s">
        <v>2053</v>
      </c>
      <c r="X629" t="s">
        <v>46</v>
      </c>
      <c r="AC629">
        <f>COUNTIF(C:C,QLKV_gui_ket_qua_ra_soat[[#This Row],[Mã điểm bán]])</f>
        <v>1</v>
      </c>
    </row>
    <row r="630" spans="1:29" x14ac:dyDescent="0.45">
      <c r="A630" t="s">
        <v>2046</v>
      </c>
      <c r="B630">
        <v>1867</v>
      </c>
      <c r="C630" t="s">
        <v>2645</v>
      </c>
      <c r="D630" t="s">
        <v>2646</v>
      </c>
      <c r="E630" t="s">
        <v>128</v>
      </c>
      <c r="F630" t="s">
        <v>53</v>
      </c>
      <c r="G630" t="s">
        <v>34</v>
      </c>
      <c r="H630" t="s">
        <v>54</v>
      </c>
      <c r="I630" t="s">
        <v>2475</v>
      </c>
      <c r="J630" t="s">
        <v>775</v>
      </c>
      <c r="K630" t="s">
        <v>775</v>
      </c>
      <c r="L630" t="s">
        <v>39</v>
      </c>
      <c r="M630" t="s">
        <v>56</v>
      </c>
      <c r="N630" t="s">
        <v>775</v>
      </c>
      <c r="O630" t="s">
        <v>39</v>
      </c>
      <c r="P630" t="s">
        <v>775</v>
      </c>
      <c r="Q630" t="s">
        <v>775</v>
      </c>
      <c r="R630" t="s">
        <v>40</v>
      </c>
      <c r="S630" t="s">
        <v>41</v>
      </c>
      <c r="T630" t="s">
        <v>2062</v>
      </c>
      <c r="U630" t="s">
        <v>2063</v>
      </c>
      <c r="V630" t="s">
        <v>2052</v>
      </c>
      <c r="W630" t="s">
        <v>2053</v>
      </c>
      <c r="X630" t="s">
        <v>46</v>
      </c>
      <c r="AC630">
        <f>COUNTIF(C:C,QLKV_gui_ket_qua_ra_soat[[#This Row],[Mã điểm bán]])</f>
        <v>1</v>
      </c>
    </row>
    <row r="631" spans="1:29" x14ac:dyDescent="0.45">
      <c r="A631" t="s">
        <v>2046</v>
      </c>
      <c r="B631">
        <v>1884</v>
      </c>
      <c r="C631" t="s">
        <v>2647</v>
      </c>
      <c r="D631" t="s">
        <v>2648</v>
      </c>
      <c r="E631" t="s">
        <v>2649</v>
      </c>
      <c r="F631" t="s">
        <v>2650</v>
      </c>
      <c r="G631" t="s">
        <v>34</v>
      </c>
      <c r="H631" t="s">
        <v>171</v>
      </c>
      <c r="I631" t="s">
        <v>2651</v>
      </c>
      <c r="J631" t="s">
        <v>37</v>
      </c>
      <c r="K631" t="s">
        <v>37</v>
      </c>
      <c r="L631" t="s">
        <v>39</v>
      </c>
      <c r="M631" t="s">
        <v>56</v>
      </c>
      <c r="N631" t="s">
        <v>775</v>
      </c>
      <c r="O631" t="s">
        <v>121</v>
      </c>
      <c r="P631" t="s">
        <v>38</v>
      </c>
      <c r="Q631" t="s">
        <v>38</v>
      </c>
      <c r="R631" t="s">
        <v>39</v>
      </c>
      <c r="S631" t="s">
        <v>2652</v>
      </c>
      <c r="T631" t="s">
        <v>2190</v>
      </c>
      <c r="U631" t="s">
        <v>2191</v>
      </c>
      <c r="V631" t="s">
        <v>2052</v>
      </c>
      <c r="W631" t="s">
        <v>81</v>
      </c>
      <c r="X631" t="s">
        <v>46</v>
      </c>
      <c r="AC631">
        <f>COUNTIF(C:C,QLKV_gui_ket_qua_ra_soat[[#This Row],[Mã điểm bán]])</f>
        <v>1</v>
      </c>
    </row>
    <row r="632" spans="1:29" x14ac:dyDescent="0.45">
      <c r="A632" t="s">
        <v>2046</v>
      </c>
      <c r="B632">
        <v>1886</v>
      </c>
      <c r="C632" t="s">
        <v>2653</v>
      </c>
      <c r="D632" t="s">
        <v>2654</v>
      </c>
      <c r="E632" t="s">
        <v>2655</v>
      </c>
      <c r="F632" t="s">
        <v>2656</v>
      </c>
      <c r="G632" t="s">
        <v>34</v>
      </c>
      <c r="H632" t="s">
        <v>171</v>
      </c>
      <c r="I632" t="s">
        <v>2657</v>
      </c>
      <c r="J632" t="s">
        <v>37</v>
      </c>
      <c r="K632" t="s">
        <v>38</v>
      </c>
      <c r="L632" t="s">
        <v>40</v>
      </c>
      <c r="M632" t="s">
        <v>38</v>
      </c>
      <c r="N632" t="s">
        <v>38</v>
      </c>
      <c r="O632" t="s">
        <v>39</v>
      </c>
      <c r="P632" t="s">
        <v>38</v>
      </c>
      <c r="Q632" t="s">
        <v>38</v>
      </c>
      <c r="R632" t="s">
        <v>40</v>
      </c>
      <c r="S632" t="s">
        <v>2658</v>
      </c>
      <c r="T632" t="s">
        <v>2190</v>
      </c>
      <c r="U632" t="s">
        <v>2191</v>
      </c>
      <c r="V632" t="s">
        <v>2052</v>
      </c>
      <c r="W632" t="s">
        <v>81</v>
      </c>
      <c r="X632" t="s">
        <v>46</v>
      </c>
      <c r="AC632">
        <f>COUNTIF(C:C,QLKV_gui_ket_qua_ra_soat[[#This Row],[Mã điểm bán]])</f>
        <v>1</v>
      </c>
    </row>
    <row r="633" spans="1:29" x14ac:dyDescent="0.45">
      <c r="A633" t="s">
        <v>2046</v>
      </c>
      <c r="B633">
        <v>1887</v>
      </c>
      <c r="C633" t="s">
        <v>2659</v>
      </c>
      <c r="D633" t="s">
        <v>2143</v>
      </c>
      <c r="E633" t="s">
        <v>219</v>
      </c>
      <c r="F633" t="s">
        <v>53</v>
      </c>
      <c r="G633" t="s">
        <v>34</v>
      </c>
      <c r="H633" t="s">
        <v>54</v>
      </c>
      <c r="I633" t="s">
        <v>2660</v>
      </c>
      <c r="J633" t="s">
        <v>38</v>
      </c>
      <c r="K633" t="s">
        <v>38</v>
      </c>
      <c r="L633" t="s">
        <v>40</v>
      </c>
      <c r="M633" t="s">
        <v>38</v>
      </c>
      <c r="N633" t="s">
        <v>38</v>
      </c>
      <c r="O633" t="s">
        <v>40</v>
      </c>
      <c r="P633" t="s">
        <v>38</v>
      </c>
      <c r="Q633" t="s">
        <v>38</v>
      </c>
      <c r="R633" t="s">
        <v>40</v>
      </c>
      <c r="S633" t="s">
        <v>41</v>
      </c>
      <c r="T633" t="s">
        <v>2050</v>
      </c>
      <c r="U633" t="s">
        <v>2051</v>
      </c>
      <c r="V633" t="s">
        <v>2052</v>
      </c>
      <c r="W633" t="s">
        <v>2053</v>
      </c>
      <c r="X633" t="s">
        <v>46</v>
      </c>
      <c r="AC633">
        <f>COUNTIF(C:C,QLKV_gui_ket_qua_ra_soat[[#This Row],[Mã điểm bán]])</f>
        <v>1</v>
      </c>
    </row>
    <row r="634" spans="1:29" x14ac:dyDescent="0.45">
      <c r="A634" t="s">
        <v>2046</v>
      </c>
      <c r="B634">
        <v>1889</v>
      </c>
      <c r="C634" t="s">
        <v>2661</v>
      </c>
      <c r="D634" t="s">
        <v>2213</v>
      </c>
      <c r="E634" t="s">
        <v>2662</v>
      </c>
      <c r="F634" t="s">
        <v>166</v>
      </c>
      <c r="G634" t="s">
        <v>150</v>
      </c>
      <c r="H634" t="s">
        <v>332</v>
      </c>
      <c r="I634" t="s">
        <v>2663</v>
      </c>
      <c r="J634" t="s">
        <v>38</v>
      </c>
      <c r="K634" t="s">
        <v>38</v>
      </c>
      <c r="L634" t="s">
        <v>40</v>
      </c>
      <c r="M634" t="s">
        <v>37</v>
      </c>
      <c r="N634" t="s">
        <v>37</v>
      </c>
      <c r="O634" t="s">
        <v>40</v>
      </c>
      <c r="P634" t="s">
        <v>38</v>
      </c>
      <c r="Q634" t="s">
        <v>38</v>
      </c>
      <c r="R634" t="s">
        <v>40</v>
      </c>
      <c r="S634" t="s">
        <v>2664</v>
      </c>
      <c r="T634" t="s">
        <v>2096</v>
      </c>
      <c r="U634" t="s">
        <v>2097</v>
      </c>
      <c r="V634" t="s">
        <v>2052</v>
      </c>
      <c r="W634" t="s">
        <v>2053</v>
      </c>
      <c r="X634" t="s">
        <v>46</v>
      </c>
      <c r="AC634">
        <f>COUNTIF(C:C,QLKV_gui_ket_qua_ra_soat[[#This Row],[Mã điểm bán]])</f>
        <v>1</v>
      </c>
    </row>
    <row r="635" spans="1:29" x14ac:dyDescent="0.45">
      <c r="A635" t="s">
        <v>2046</v>
      </c>
      <c r="B635">
        <v>1897</v>
      </c>
      <c r="C635" t="s">
        <v>2670</v>
      </c>
      <c r="D635" t="s">
        <v>2671</v>
      </c>
      <c r="E635" t="s">
        <v>2672</v>
      </c>
      <c r="F635" t="s">
        <v>2673</v>
      </c>
      <c r="G635" t="s">
        <v>34</v>
      </c>
      <c r="H635" t="s">
        <v>685</v>
      </c>
      <c r="I635" t="s">
        <v>2674</v>
      </c>
      <c r="J635" t="s">
        <v>38</v>
      </c>
      <c r="K635" t="s">
        <v>56</v>
      </c>
      <c r="L635" t="s">
        <v>40</v>
      </c>
      <c r="M635" t="s">
        <v>1034</v>
      </c>
      <c r="N635" t="s">
        <v>775</v>
      </c>
      <c r="O635" t="s">
        <v>39</v>
      </c>
      <c r="P635" t="s">
        <v>38</v>
      </c>
      <c r="Q635" t="s">
        <v>38</v>
      </c>
      <c r="R635" t="s">
        <v>40</v>
      </c>
      <c r="S635" t="s">
        <v>2675</v>
      </c>
      <c r="T635" t="s">
        <v>2333</v>
      </c>
      <c r="U635" t="s">
        <v>2334</v>
      </c>
      <c r="V635" t="s">
        <v>2052</v>
      </c>
      <c r="W635" t="s">
        <v>81</v>
      </c>
      <c r="X635" t="s">
        <v>46</v>
      </c>
      <c r="AC635">
        <f>COUNTIF(C:C,QLKV_gui_ket_qua_ra_soat[[#This Row],[Mã điểm bán]])</f>
        <v>1</v>
      </c>
    </row>
    <row r="636" spans="1:29" x14ac:dyDescent="0.45">
      <c r="A636" t="s">
        <v>2046</v>
      </c>
      <c r="B636">
        <v>1902</v>
      </c>
      <c r="C636" t="s">
        <v>2676</v>
      </c>
      <c r="D636" t="s">
        <v>2677</v>
      </c>
      <c r="E636" t="s">
        <v>1016</v>
      </c>
      <c r="F636" t="s">
        <v>2405</v>
      </c>
      <c r="G636" t="s">
        <v>150</v>
      </c>
      <c r="H636" t="s">
        <v>214</v>
      </c>
      <c r="I636" t="s">
        <v>2679</v>
      </c>
      <c r="J636" t="s">
        <v>775</v>
      </c>
      <c r="K636" t="s">
        <v>775</v>
      </c>
      <c r="L636" t="s">
        <v>40</v>
      </c>
      <c r="M636" t="s">
        <v>56</v>
      </c>
      <c r="N636" t="s">
        <v>775</v>
      </c>
      <c r="O636" t="s">
        <v>39</v>
      </c>
      <c r="P636" t="s">
        <v>775</v>
      </c>
      <c r="Q636" t="s">
        <v>775</v>
      </c>
      <c r="R636" t="s">
        <v>40</v>
      </c>
      <c r="S636" t="s">
        <v>41</v>
      </c>
      <c r="T636" t="s">
        <v>2062</v>
      </c>
      <c r="U636" t="s">
        <v>2063</v>
      </c>
      <c r="V636" t="s">
        <v>2052</v>
      </c>
      <c r="W636" t="s">
        <v>2053</v>
      </c>
      <c r="X636" t="s">
        <v>46</v>
      </c>
      <c r="AC636">
        <f>COUNTIF(C:C,QLKV_gui_ket_qua_ra_soat[[#This Row],[Mã điểm bán]])</f>
        <v>1</v>
      </c>
    </row>
    <row r="637" spans="1:29" x14ac:dyDescent="0.45">
      <c r="A637" t="s">
        <v>2046</v>
      </c>
      <c r="B637">
        <v>1945</v>
      </c>
      <c r="C637" t="s">
        <v>2684</v>
      </c>
      <c r="D637" t="s">
        <v>2685</v>
      </c>
      <c r="E637" t="s">
        <v>32</v>
      </c>
      <c r="F637" t="s">
        <v>53</v>
      </c>
      <c r="G637" t="s">
        <v>34</v>
      </c>
      <c r="H637" t="s">
        <v>54</v>
      </c>
      <c r="I637" t="s">
        <v>2686</v>
      </c>
      <c r="J637" t="s">
        <v>775</v>
      </c>
      <c r="K637" t="s">
        <v>775</v>
      </c>
      <c r="L637" t="s">
        <v>40</v>
      </c>
      <c r="M637" t="s">
        <v>56</v>
      </c>
      <c r="N637" t="s">
        <v>775</v>
      </c>
      <c r="O637" t="s">
        <v>39</v>
      </c>
      <c r="P637" t="s">
        <v>775</v>
      </c>
      <c r="Q637" t="s">
        <v>775</v>
      </c>
      <c r="R637" t="s">
        <v>40</v>
      </c>
      <c r="S637" t="s">
        <v>41</v>
      </c>
      <c r="T637" t="s">
        <v>2062</v>
      </c>
      <c r="U637" t="s">
        <v>2063</v>
      </c>
      <c r="V637" t="s">
        <v>2052</v>
      </c>
      <c r="W637" t="s">
        <v>2053</v>
      </c>
      <c r="X637" t="s">
        <v>46</v>
      </c>
      <c r="AC637">
        <f>COUNTIF(C:C,QLKV_gui_ket_qua_ra_soat[[#This Row],[Mã điểm bán]])</f>
        <v>1</v>
      </c>
    </row>
    <row r="638" spans="1:29" x14ac:dyDescent="0.45">
      <c r="A638" t="s">
        <v>2046</v>
      </c>
      <c r="B638">
        <v>1961</v>
      </c>
      <c r="C638" t="s">
        <v>2690</v>
      </c>
      <c r="D638" t="s">
        <v>2691</v>
      </c>
      <c r="E638" t="s">
        <v>279</v>
      </c>
      <c r="F638" t="s">
        <v>53</v>
      </c>
      <c r="G638" t="s">
        <v>34</v>
      </c>
      <c r="H638" t="s">
        <v>54</v>
      </c>
      <c r="I638" t="s">
        <v>2061</v>
      </c>
      <c r="J638" t="s">
        <v>775</v>
      </c>
      <c r="K638" t="s">
        <v>775</v>
      </c>
      <c r="L638" t="s">
        <v>40</v>
      </c>
      <c r="M638" t="s">
        <v>56</v>
      </c>
      <c r="N638" t="s">
        <v>775</v>
      </c>
      <c r="O638" t="s">
        <v>39</v>
      </c>
      <c r="P638" t="s">
        <v>775</v>
      </c>
      <c r="Q638" t="s">
        <v>775</v>
      </c>
      <c r="R638" t="s">
        <v>40</v>
      </c>
      <c r="S638" t="s">
        <v>41</v>
      </c>
      <c r="T638" t="s">
        <v>2062</v>
      </c>
      <c r="U638" t="s">
        <v>2063</v>
      </c>
      <c r="V638" t="s">
        <v>2052</v>
      </c>
      <c r="W638" t="s">
        <v>2053</v>
      </c>
      <c r="X638" t="s">
        <v>46</v>
      </c>
      <c r="AC638">
        <f>COUNTIF(C:C,QLKV_gui_ket_qua_ra_soat[[#This Row],[Mã điểm bán]])</f>
        <v>1</v>
      </c>
    </row>
    <row r="639" spans="1:29" x14ac:dyDescent="0.45">
      <c r="A639" t="s">
        <v>2046</v>
      </c>
      <c r="B639">
        <v>1972</v>
      </c>
      <c r="C639" t="s">
        <v>2692</v>
      </c>
      <c r="D639" t="s">
        <v>2693</v>
      </c>
      <c r="E639" t="s">
        <v>682</v>
      </c>
      <c r="F639" t="s">
        <v>53</v>
      </c>
      <c r="G639" t="s">
        <v>150</v>
      </c>
      <c r="H639" t="s">
        <v>54</v>
      </c>
      <c r="I639" t="s">
        <v>2694</v>
      </c>
      <c r="J639" t="s">
        <v>38</v>
      </c>
      <c r="K639" t="s">
        <v>38</v>
      </c>
      <c r="L639" t="s">
        <v>40</v>
      </c>
      <c r="M639" t="s">
        <v>37</v>
      </c>
      <c r="N639" t="s">
        <v>37</v>
      </c>
      <c r="O639" t="s">
        <v>40</v>
      </c>
      <c r="P639" t="s">
        <v>38</v>
      </c>
      <c r="Q639" t="s">
        <v>38</v>
      </c>
      <c r="R639" t="s">
        <v>40</v>
      </c>
      <c r="S639" t="s">
        <v>2695</v>
      </c>
      <c r="T639" t="s">
        <v>2096</v>
      </c>
      <c r="U639" t="s">
        <v>2097</v>
      </c>
      <c r="V639" t="s">
        <v>2052</v>
      </c>
      <c r="W639" t="s">
        <v>2053</v>
      </c>
      <c r="Z639" t="s">
        <v>46</v>
      </c>
      <c r="AA639" t="s">
        <v>2102</v>
      </c>
      <c r="AB639" t="s">
        <v>48</v>
      </c>
      <c r="AC639">
        <f>COUNTIF(C:C,QLKV_gui_ket_qua_ra_soat[[#This Row],[Mã điểm bán]])</f>
        <v>1</v>
      </c>
    </row>
    <row r="640" spans="1:29" x14ac:dyDescent="0.45">
      <c r="A640" t="s">
        <v>2046</v>
      </c>
      <c r="B640">
        <v>1997</v>
      </c>
      <c r="C640" t="s">
        <v>2700</v>
      </c>
      <c r="D640" t="s">
        <v>2701</v>
      </c>
      <c r="E640" t="s">
        <v>882</v>
      </c>
      <c r="F640" t="s">
        <v>441</v>
      </c>
      <c r="G640" t="s">
        <v>34</v>
      </c>
      <c r="H640" t="s">
        <v>54</v>
      </c>
      <c r="I640" t="s">
        <v>835</v>
      </c>
      <c r="J640" t="s">
        <v>38</v>
      </c>
      <c r="K640" t="s">
        <v>38</v>
      </c>
      <c r="L640" t="s">
        <v>40</v>
      </c>
      <c r="M640" t="s">
        <v>38</v>
      </c>
      <c r="N640" t="s">
        <v>38</v>
      </c>
      <c r="O640" t="s">
        <v>40</v>
      </c>
      <c r="P640" t="s">
        <v>38</v>
      </c>
      <c r="Q640" t="s">
        <v>38</v>
      </c>
      <c r="R640" t="s">
        <v>40</v>
      </c>
      <c r="S640" t="s">
        <v>41</v>
      </c>
      <c r="T640" t="s">
        <v>2050</v>
      </c>
      <c r="U640" t="s">
        <v>2051</v>
      </c>
      <c r="V640" t="s">
        <v>2052</v>
      </c>
      <c r="W640" t="s">
        <v>2053</v>
      </c>
      <c r="X640" t="s">
        <v>46</v>
      </c>
      <c r="AC640">
        <f>COUNTIF(C:C,QLKV_gui_ket_qua_ra_soat[[#This Row],[Mã điểm bán]])</f>
        <v>1</v>
      </c>
    </row>
    <row r="641" spans="1:29" x14ac:dyDescent="0.45">
      <c r="A641" t="s">
        <v>2046</v>
      </c>
      <c r="B641">
        <v>2007</v>
      </c>
      <c r="C641" t="s">
        <v>2703</v>
      </c>
      <c r="D641" t="s">
        <v>2704</v>
      </c>
      <c r="E641" t="s">
        <v>113</v>
      </c>
      <c r="F641" t="s">
        <v>426</v>
      </c>
      <c r="G641" t="s">
        <v>34</v>
      </c>
      <c r="H641" t="s">
        <v>54</v>
      </c>
      <c r="I641" t="s">
        <v>2705</v>
      </c>
      <c r="J641" t="s">
        <v>38</v>
      </c>
      <c r="K641" t="s">
        <v>38</v>
      </c>
      <c r="L641" t="s">
        <v>40</v>
      </c>
      <c r="M641" t="s">
        <v>38</v>
      </c>
      <c r="N641" t="s">
        <v>38</v>
      </c>
      <c r="O641" t="s">
        <v>40</v>
      </c>
      <c r="P641" t="s">
        <v>38</v>
      </c>
      <c r="Q641" t="s">
        <v>38</v>
      </c>
      <c r="R641" t="s">
        <v>40</v>
      </c>
      <c r="S641" t="s">
        <v>41</v>
      </c>
      <c r="T641" t="s">
        <v>2050</v>
      </c>
      <c r="U641" t="s">
        <v>2051</v>
      </c>
      <c r="V641" t="s">
        <v>2052</v>
      </c>
      <c r="W641" t="s">
        <v>2053</v>
      </c>
      <c r="X641" t="s">
        <v>46</v>
      </c>
      <c r="AC641">
        <f>COUNTIF(C:C,QLKV_gui_ket_qua_ra_soat[[#This Row],[Mã điểm bán]])</f>
        <v>1</v>
      </c>
    </row>
    <row r="642" spans="1:29" x14ac:dyDescent="0.45">
      <c r="A642" t="s">
        <v>2046</v>
      </c>
      <c r="B642">
        <v>2062</v>
      </c>
      <c r="C642" t="s">
        <v>2717</v>
      </c>
      <c r="D642" t="s">
        <v>2718</v>
      </c>
      <c r="E642" t="s">
        <v>376</v>
      </c>
      <c r="F642" t="s">
        <v>53</v>
      </c>
      <c r="G642" t="s">
        <v>34</v>
      </c>
      <c r="H642" t="s">
        <v>54</v>
      </c>
      <c r="I642" t="s">
        <v>2719</v>
      </c>
      <c r="J642" t="s">
        <v>775</v>
      </c>
      <c r="K642" t="s">
        <v>775</v>
      </c>
      <c r="L642" t="s">
        <v>40</v>
      </c>
      <c r="M642" t="s">
        <v>56</v>
      </c>
      <c r="N642" t="s">
        <v>775</v>
      </c>
      <c r="O642" t="s">
        <v>39</v>
      </c>
      <c r="P642" t="s">
        <v>775</v>
      </c>
      <c r="Q642" t="s">
        <v>775</v>
      </c>
      <c r="R642" t="s">
        <v>40</v>
      </c>
      <c r="S642" t="s">
        <v>41</v>
      </c>
      <c r="T642" t="s">
        <v>2062</v>
      </c>
      <c r="U642" t="s">
        <v>2063</v>
      </c>
      <c r="V642" t="s">
        <v>2052</v>
      </c>
      <c r="W642" t="s">
        <v>2053</v>
      </c>
      <c r="X642" t="s">
        <v>46</v>
      </c>
      <c r="AC642">
        <f>COUNTIF(C:C,QLKV_gui_ket_qua_ra_soat[[#This Row],[Mã điểm bán]])</f>
        <v>1</v>
      </c>
    </row>
    <row r="643" spans="1:29" x14ac:dyDescent="0.45">
      <c r="A643" t="s">
        <v>2046</v>
      </c>
      <c r="B643">
        <v>2063</v>
      </c>
      <c r="C643" t="s">
        <v>2720</v>
      </c>
      <c r="D643" t="s">
        <v>2721</v>
      </c>
      <c r="E643" t="s">
        <v>206</v>
      </c>
      <c r="F643" t="s">
        <v>166</v>
      </c>
      <c r="G643" t="s">
        <v>34</v>
      </c>
      <c r="H643" t="s">
        <v>54</v>
      </c>
      <c r="I643" t="s">
        <v>2705</v>
      </c>
      <c r="J643" t="s">
        <v>38</v>
      </c>
      <c r="K643" t="s">
        <v>38</v>
      </c>
      <c r="L643" t="s">
        <v>40</v>
      </c>
      <c r="M643" t="s">
        <v>38</v>
      </c>
      <c r="N643" t="s">
        <v>38</v>
      </c>
      <c r="O643" t="s">
        <v>40</v>
      </c>
      <c r="P643" t="s">
        <v>38</v>
      </c>
      <c r="Q643" t="s">
        <v>38</v>
      </c>
      <c r="R643" t="s">
        <v>40</v>
      </c>
      <c r="S643" t="s">
        <v>41</v>
      </c>
      <c r="T643" t="s">
        <v>2050</v>
      </c>
      <c r="U643" t="s">
        <v>2051</v>
      </c>
      <c r="V643" t="s">
        <v>2052</v>
      </c>
      <c r="W643" t="s">
        <v>2053</v>
      </c>
      <c r="X643" t="s">
        <v>46</v>
      </c>
      <c r="AC643">
        <f>COUNTIF(C:C,QLKV_gui_ket_qua_ra_soat[[#This Row],[Mã điểm bán]])</f>
        <v>1</v>
      </c>
    </row>
    <row r="644" spans="1:29" x14ac:dyDescent="0.45">
      <c r="A644" t="s">
        <v>2046</v>
      </c>
      <c r="B644">
        <v>2073</v>
      </c>
      <c r="C644" t="s">
        <v>2726</v>
      </c>
      <c r="D644" t="s">
        <v>2727</v>
      </c>
      <c r="E644" t="s">
        <v>304</v>
      </c>
      <c r="F644" t="s">
        <v>53</v>
      </c>
      <c r="G644" t="s">
        <v>34</v>
      </c>
      <c r="H644" t="s">
        <v>54</v>
      </c>
      <c r="I644" t="s">
        <v>2728</v>
      </c>
      <c r="J644" t="s">
        <v>38</v>
      </c>
      <c r="K644" t="s">
        <v>38</v>
      </c>
      <c r="L644" t="s">
        <v>40</v>
      </c>
      <c r="M644" t="s">
        <v>38</v>
      </c>
      <c r="N644" t="s">
        <v>38</v>
      </c>
      <c r="O644" t="s">
        <v>40</v>
      </c>
      <c r="P644" t="s">
        <v>38</v>
      </c>
      <c r="Q644" t="s">
        <v>38</v>
      </c>
      <c r="R644" t="s">
        <v>40</v>
      </c>
      <c r="S644" t="s">
        <v>41</v>
      </c>
      <c r="T644" t="s">
        <v>2050</v>
      </c>
      <c r="U644" t="s">
        <v>2051</v>
      </c>
      <c r="V644" t="s">
        <v>2052</v>
      </c>
      <c r="W644" t="s">
        <v>2053</v>
      </c>
      <c r="X644" t="s">
        <v>46</v>
      </c>
      <c r="AC644">
        <f>COUNTIF(C:C,QLKV_gui_ket_qua_ra_soat[[#This Row],[Mã điểm bán]])</f>
        <v>1</v>
      </c>
    </row>
    <row r="645" spans="1:29" x14ac:dyDescent="0.45">
      <c r="A645" t="s">
        <v>2046</v>
      </c>
      <c r="B645">
        <v>2095</v>
      </c>
      <c r="C645" t="s">
        <v>2746</v>
      </c>
      <c r="D645" t="s">
        <v>2747</v>
      </c>
      <c r="E645" t="s">
        <v>304</v>
      </c>
      <c r="F645" t="s">
        <v>53</v>
      </c>
      <c r="G645" t="s">
        <v>34</v>
      </c>
      <c r="H645" t="s">
        <v>54</v>
      </c>
      <c r="I645" t="s">
        <v>2049</v>
      </c>
      <c r="J645" t="s">
        <v>38</v>
      </c>
      <c r="K645" t="s">
        <v>38</v>
      </c>
      <c r="L645" t="s">
        <v>40</v>
      </c>
      <c r="M645" t="s">
        <v>38</v>
      </c>
      <c r="N645" t="s">
        <v>38</v>
      </c>
      <c r="O645" t="s">
        <v>40</v>
      </c>
      <c r="P645" t="s">
        <v>38</v>
      </c>
      <c r="Q645" t="s">
        <v>38</v>
      </c>
      <c r="R645" t="s">
        <v>40</v>
      </c>
      <c r="S645" t="s">
        <v>41</v>
      </c>
      <c r="T645" t="s">
        <v>2050</v>
      </c>
      <c r="U645" t="s">
        <v>2051</v>
      </c>
      <c r="V645" t="s">
        <v>2052</v>
      </c>
      <c r="W645" t="s">
        <v>2053</v>
      </c>
      <c r="X645" t="s">
        <v>46</v>
      </c>
      <c r="AC645">
        <f>COUNTIF(C:C,QLKV_gui_ket_qua_ra_soat[[#This Row],[Mã điểm bán]])</f>
        <v>1</v>
      </c>
    </row>
    <row r="646" spans="1:29" x14ac:dyDescent="0.45">
      <c r="A646" t="s">
        <v>2046</v>
      </c>
      <c r="B646">
        <v>2100</v>
      </c>
      <c r="C646" t="s">
        <v>2748</v>
      </c>
      <c r="D646" t="s">
        <v>2749</v>
      </c>
      <c r="E646" t="s">
        <v>2750</v>
      </c>
      <c r="F646" t="s">
        <v>2751</v>
      </c>
      <c r="G646" t="s">
        <v>1624</v>
      </c>
      <c r="H646" t="s">
        <v>1982</v>
      </c>
      <c r="I646" t="s">
        <v>2752</v>
      </c>
      <c r="J646" t="s">
        <v>37</v>
      </c>
      <c r="K646" t="s">
        <v>37</v>
      </c>
      <c r="L646" t="s">
        <v>39</v>
      </c>
      <c r="M646" t="s">
        <v>56</v>
      </c>
      <c r="N646" t="s">
        <v>56</v>
      </c>
      <c r="O646" t="s">
        <v>39</v>
      </c>
      <c r="P646" t="s">
        <v>38</v>
      </c>
      <c r="Q646" t="s">
        <v>38</v>
      </c>
      <c r="R646" t="s">
        <v>39</v>
      </c>
      <c r="S646" t="s">
        <v>2753</v>
      </c>
      <c r="T646" t="s">
        <v>2190</v>
      </c>
      <c r="U646" t="s">
        <v>2191</v>
      </c>
      <c r="V646" t="s">
        <v>2052</v>
      </c>
      <c r="W646" t="s">
        <v>81</v>
      </c>
      <c r="X646" t="s">
        <v>46</v>
      </c>
      <c r="AC646">
        <f>COUNTIF(C:C,QLKV_gui_ket_qua_ra_soat[[#This Row],[Mã điểm bán]])</f>
        <v>1</v>
      </c>
    </row>
    <row r="647" spans="1:29" x14ac:dyDescent="0.45">
      <c r="A647" t="s">
        <v>2046</v>
      </c>
      <c r="B647">
        <v>2191</v>
      </c>
      <c r="C647" t="s">
        <v>2757</v>
      </c>
      <c r="D647" t="s">
        <v>2758</v>
      </c>
      <c r="E647" t="s">
        <v>1680</v>
      </c>
      <c r="F647" t="s">
        <v>53</v>
      </c>
      <c r="G647" t="s">
        <v>150</v>
      </c>
      <c r="H647" t="s">
        <v>2426</v>
      </c>
      <c r="I647" t="s">
        <v>2283</v>
      </c>
      <c r="J647" t="s">
        <v>38</v>
      </c>
      <c r="K647" t="s">
        <v>38</v>
      </c>
      <c r="L647" t="s">
        <v>40</v>
      </c>
      <c r="M647" t="s">
        <v>37</v>
      </c>
      <c r="N647" t="s">
        <v>37</v>
      </c>
      <c r="O647" t="s">
        <v>40</v>
      </c>
      <c r="P647" t="s">
        <v>38</v>
      </c>
      <c r="Q647" t="s">
        <v>38</v>
      </c>
      <c r="R647" t="s">
        <v>40</v>
      </c>
      <c r="S647" t="s">
        <v>2759</v>
      </c>
      <c r="T647" t="s">
        <v>2096</v>
      </c>
      <c r="U647" t="s">
        <v>2097</v>
      </c>
      <c r="V647" t="s">
        <v>2052</v>
      </c>
      <c r="W647" t="s">
        <v>2053</v>
      </c>
      <c r="X647" t="s">
        <v>46</v>
      </c>
      <c r="AC647">
        <f>COUNTIF(C:C,QLKV_gui_ket_qua_ra_soat[[#This Row],[Mã điểm bán]])</f>
        <v>1</v>
      </c>
    </row>
    <row r="648" spans="1:29" x14ac:dyDescent="0.45">
      <c r="A648" t="s">
        <v>2046</v>
      </c>
      <c r="B648">
        <v>2206</v>
      </c>
      <c r="C648" t="s">
        <v>2760</v>
      </c>
      <c r="D648" t="s">
        <v>2761</v>
      </c>
      <c r="E648" t="s">
        <v>2070</v>
      </c>
      <c r="F648" t="s">
        <v>2762</v>
      </c>
      <c r="G648" t="s">
        <v>177</v>
      </c>
      <c r="H648" t="s">
        <v>917</v>
      </c>
      <c r="I648" t="s">
        <v>2763</v>
      </c>
      <c r="J648" t="s">
        <v>38</v>
      </c>
      <c r="K648" t="s">
        <v>38</v>
      </c>
      <c r="L648" t="s">
        <v>40</v>
      </c>
      <c r="M648" t="s">
        <v>1034</v>
      </c>
      <c r="N648" t="s">
        <v>1034</v>
      </c>
      <c r="O648" t="s">
        <v>121</v>
      </c>
      <c r="P648" t="s">
        <v>38</v>
      </c>
      <c r="Q648" t="s">
        <v>38</v>
      </c>
      <c r="R648" t="s">
        <v>40</v>
      </c>
      <c r="S648" t="s">
        <v>2764</v>
      </c>
      <c r="T648" t="s">
        <v>2333</v>
      </c>
      <c r="U648" t="s">
        <v>2334</v>
      </c>
      <c r="V648" t="s">
        <v>2052</v>
      </c>
      <c r="W648" t="s">
        <v>81</v>
      </c>
      <c r="X648" t="s">
        <v>46</v>
      </c>
      <c r="AC648">
        <f>COUNTIF(C:C,QLKV_gui_ket_qua_ra_soat[[#This Row],[Mã điểm bán]])</f>
        <v>1</v>
      </c>
    </row>
    <row r="649" spans="1:29" x14ac:dyDescent="0.45">
      <c r="A649" t="s">
        <v>2046</v>
      </c>
      <c r="B649">
        <v>2222</v>
      </c>
      <c r="C649" t="s">
        <v>2765</v>
      </c>
      <c r="D649" t="s">
        <v>2766</v>
      </c>
      <c r="E649" t="s">
        <v>657</v>
      </c>
      <c r="F649" t="s">
        <v>2767</v>
      </c>
      <c r="G649" t="s">
        <v>150</v>
      </c>
      <c r="H649" t="s">
        <v>54</v>
      </c>
      <c r="I649" t="s">
        <v>2768</v>
      </c>
      <c r="J649" t="s">
        <v>775</v>
      </c>
      <c r="K649" t="s">
        <v>775</v>
      </c>
      <c r="L649" t="s">
        <v>40</v>
      </c>
      <c r="M649" t="s">
        <v>56</v>
      </c>
      <c r="N649" t="s">
        <v>775</v>
      </c>
      <c r="O649" t="s">
        <v>39</v>
      </c>
      <c r="P649" t="s">
        <v>775</v>
      </c>
      <c r="Q649" t="s">
        <v>775</v>
      </c>
      <c r="R649" t="s">
        <v>40</v>
      </c>
      <c r="S649" t="s">
        <v>41</v>
      </c>
      <c r="T649" t="s">
        <v>2062</v>
      </c>
      <c r="U649" t="s">
        <v>2063</v>
      </c>
      <c r="V649" t="s">
        <v>2052</v>
      </c>
      <c r="W649" t="s">
        <v>2053</v>
      </c>
      <c r="X649" t="s">
        <v>46</v>
      </c>
      <c r="AC649">
        <f>COUNTIF(C:C,QLKV_gui_ket_qua_ra_soat[[#This Row],[Mã điểm bán]])</f>
        <v>1</v>
      </c>
    </row>
    <row r="650" spans="1:29" x14ac:dyDescent="0.45">
      <c r="A650" t="s">
        <v>2046</v>
      </c>
      <c r="B650">
        <v>2260</v>
      </c>
      <c r="C650" t="s">
        <v>2775</v>
      </c>
      <c r="D650" t="s">
        <v>2776</v>
      </c>
      <c r="E650" t="s">
        <v>2777</v>
      </c>
      <c r="F650" t="s">
        <v>2778</v>
      </c>
      <c r="G650" t="s">
        <v>34</v>
      </c>
      <c r="H650" t="s">
        <v>1188</v>
      </c>
      <c r="I650" t="s">
        <v>2779</v>
      </c>
      <c r="J650" t="s">
        <v>38</v>
      </c>
      <c r="K650" t="s">
        <v>38</v>
      </c>
      <c r="L650" t="s">
        <v>40</v>
      </c>
      <c r="M650" t="s">
        <v>56</v>
      </c>
      <c r="N650" t="s">
        <v>56</v>
      </c>
      <c r="O650" t="s">
        <v>39</v>
      </c>
      <c r="P650" t="s">
        <v>38</v>
      </c>
      <c r="Q650" t="s">
        <v>38</v>
      </c>
      <c r="R650" t="s">
        <v>40</v>
      </c>
      <c r="S650" t="s">
        <v>2780</v>
      </c>
      <c r="T650" t="s">
        <v>2333</v>
      </c>
      <c r="U650" t="s">
        <v>2334</v>
      </c>
      <c r="V650" t="s">
        <v>2052</v>
      </c>
      <c r="W650" t="s">
        <v>81</v>
      </c>
      <c r="X650" t="s">
        <v>46</v>
      </c>
      <c r="AC650">
        <f>COUNTIF(C:C,QLKV_gui_ket_qua_ra_soat[[#This Row],[Mã điểm bán]])</f>
        <v>1</v>
      </c>
    </row>
    <row r="651" spans="1:29" x14ac:dyDescent="0.45">
      <c r="A651" t="s">
        <v>2046</v>
      </c>
      <c r="B651">
        <v>2266</v>
      </c>
      <c r="C651" t="s">
        <v>2781</v>
      </c>
      <c r="D651" t="s">
        <v>2782</v>
      </c>
      <c r="E651" t="s">
        <v>2783</v>
      </c>
      <c r="F651" t="s">
        <v>2784</v>
      </c>
      <c r="G651" t="s">
        <v>34</v>
      </c>
      <c r="H651" t="s">
        <v>214</v>
      </c>
      <c r="I651" t="s">
        <v>2785</v>
      </c>
      <c r="J651" t="s">
        <v>38</v>
      </c>
      <c r="K651" t="s">
        <v>38</v>
      </c>
      <c r="L651" t="s">
        <v>39</v>
      </c>
      <c r="M651" t="s">
        <v>775</v>
      </c>
      <c r="N651" t="s">
        <v>37</v>
      </c>
      <c r="O651" t="s">
        <v>121</v>
      </c>
      <c r="P651" t="s">
        <v>38</v>
      </c>
      <c r="Q651" t="s">
        <v>38</v>
      </c>
      <c r="R651" t="s">
        <v>40</v>
      </c>
      <c r="S651" t="s">
        <v>2786</v>
      </c>
      <c r="T651" t="s">
        <v>2333</v>
      </c>
      <c r="U651" t="s">
        <v>2334</v>
      </c>
      <c r="V651" t="s">
        <v>2052</v>
      </c>
      <c r="W651" t="s">
        <v>81</v>
      </c>
      <c r="X651" t="s">
        <v>46</v>
      </c>
      <c r="AC651">
        <f>COUNTIF(C:C,QLKV_gui_ket_qua_ra_soat[[#This Row],[Mã điểm bán]])</f>
        <v>1</v>
      </c>
    </row>
    <row r="652" spans="1:29" x14ac:dyDescent="0.45">
      <c r="A652" t="s">
        <v>2046</v>
      </c>
      <c r="B652">
        <v>2282</v>
      </c>
      <c r="C652" t="s">
        <v>2787</v>
      </c>
      <c r="D652" t="s">
        <v>2788</v>
      </c>
      <c r="E652" t="s">
        <v>2790</v>
      </c>
      <c r="F652" t="s">
        <v>325</v>
      </c>
      <c r="G652" t="s">
        <v>34</v>
      </c>
      <c r="H652" t="s">
        <v>565</v>
      </c>
      <c r="I652" t="s">
        <v>2257</v>
      </c>
      <c r="J652" t="s">
        <v>38</v>
      </c>
      <c r="K652" t="s">
        <v>38</v>
      </c>
      <c r="L652" t="s">
        <v>40</v>
      </c>
      <c r="M652" t="s">
        <v>37</v>
      </c>
      <c r="N652" t="s">
        <v>37</v>
      </c>
      <c r="O652" t="s">
        <v>40</v>
      </c>
      <c r="P652" t="s">
        <v>38</v>
      </c>
      <c r="Q652" t="s">
        <v>38</v>
      </c>
      <c r="R652" t="s">
        <v>40</v>
      </c>
      <c r="S652" t="s">
        <v>2791</v>
      </c>
      <c r="T652" t="s">
        <v>2096</v>
      </c>
      <c r="U652" t="s">
        <v>2097</v>
      </c>
      <c r="V652" t="s">
        <v>2052</v>
      </c>
      <c r="W652" t="s">
        <v>2053</v>
      </c>
      <c r="Z652" t="s">
        <v>46</v>
      </c>
      <c r="AA652" t="s">
        <v>2102</v>
      </c>
      <c r="AB652" t="s">
        <v>48</v>
      </c>
      <c r="AC652">
        <f>COUNTIF(C:C,QLKV_gui_ket_qua_ra_soat[[#This Row],[Mã điểm bán]])</f>
        <v>1</v>
      </c>
    </row>
    <row r="653" spans="1:29" x14ac:dyDescent="0.45">
      <c r="A653" t="s">
        <v>2046</v>
      </c>
      <c r="B653">
        <v>2366</v>
      </c>
      <c r="C653" t="s">
        <v>2802</v>
      </c>
      <c r="D653" t="s">
        <v>2803</v>
      </c>
      <c r="E653" t="s">
        <v>2804</v>
      </c>
      <c r="F653" t="s">
        <v>166</v>
      </c>
      <c r="G653" t="s">
        <v>34</v>
      </c>
      <c r="H653" t="s">
        <v>54</v>
      </c>
      <c r="I653" t="s">
        <v>2805</v>
      </c>
      <c r="J653" t="s">
        <v>38</v>
      </c>
      <c r="K653" t="s">
        <v>56</v>
      </c>
      <c r="L653" t="s">
        <v>40</v>
      </c>
      <c r="M653" t="s">
        <v>37</v>
      </c>
      <c r="N653" t="s">
        <v>37</v>
      </c>
      <c r="O653" t="s">
        <v>121</v>
      </c>
      <c r="P653" t="s">
        <v>38</v>
      </c>
      <c r="Q653" t="s">
        <v>38</v>
      </c>
      <c r="R653" t="s">
        <v>39</v>
      </c>
      <c r="S653" t="s">
        <v>2806</v>
      </c>
      <c r="T653" t="s">
        <v>2333</v>
      </c>
      <c r="U653" t="s">
        <v>2334</v>
      </c>
      <c r="V653" t="s">
        <v>2052</v>
      </c>
      <c r="W653" t="s">
        <v>81</v>
      </c>
      <c r="X653" t="s">
        <v>46</v>
      </c>
      <c r="AC653">
        <f>COUNTIF(C:C,QLKV_gui_ket_qua_ra_soat[[#This Row],[Mã điểm bán]])</f>
        <v>1</v>
      </c>
    </row>
    <row r="654" spans="1:29" x14ac:dyDescent="0.45">
      <c r="A654" t="s">
        <v>2046</v>
      </c>
      <c r="B654">
        <v>2426</v>
      </c>
      <c r="C654" t="s">
        <v>2807</v>
      </c>
      <c r="D654" t="s">
        <v>2808</v>
      </c>
      <c r="E654" t="s">
        <v>279</v>
      </c>
      <c r="F654" t="s">
        <v>53</v>
      </c>
      <c r="G654" t="s">
        <v>34</v>
      </c>
      <c r="H654" t="s">
        <v>54</v>
      </c>
      <c r="I654" t="s">
        <v>2809</v>
      </c>
      <c r="J654" t="s">
        <v>775</v>
      </c>
      <c r="K654" t="s">
        <v>775</v>
      </c>
      <c r="L654" t="s">
        <v>39</v>
      </c>
      <c r="M654" t="s">
        <v>775</v>
      </c>
      <c r="N654" t="s">
        <v>775</v>
      </c>
      <c r="O654" t="s">
        <v>39</v>
      </c>
      <c r="P654" t="s">
        <v>775</v>
      </c>
      <c r="Q654" t="s">
        <v>775</v>
      </c>
      <c r="R654" t="s">
        <v>39</v>
      </c>
      <c r="S654" t="s">
        <v>41</v>
      </c>
      <c r="T654" t="s">
        <v>2062</v>
      </c>
      <c r="U654" t="s">
        <v>2063</v>
      </c>
      <c r="V654" t="s">
        <v>2052</v>
      </c>
      <c r="W654" t="s">
        <v>2053</v>
      </c>
      <c r="X654" t="s">
        <v>46</v>
      </c>
      <c r="AC654">
        <f>COUNTIF(C:C,QLKV_gui_ket_qua_ra_soat[[#This Row],[Mã điểm bán]])</f>
        <v>1</v>
      </c>
    </row>
    <row r="655" spans="1:29" x14ac:dyDescent="0.45">
      <c r="A655" t="s">
        <v>2046</v>
      </c>
      <c r="B655">
        <v>2518</v>
      </c>
      <c r="C655" t="s">
        <v>2826</v>
      </c>
      <c r="D655" t="s">
        <v>2758</v>
      </c>
      <c r="E655" t="s">
        <v>742</v>
      </c>
      <c r="F655" t="s">
        <v>280</v>
      </c>
      <c r="G655" t="s">
        <v>34</v>
      </c>
      <c r="H655" t="s">
        <v>54</v>
      </c>
      <c r="I655" t="s">
        <v>2828</v>
      </c>
      <c r="J655" t="s">
        <v>38</v>
      </c>
      <c r="K655" t="s">
        <v>38</v>
      </c>
      <c r="L655" t="s">
        <v>40</v>
      </c>
      <c r="M655" t="s">
        <v>38</v>
      </c>
      <c r="N655" t="s">
        <v>38</v>
      </c>
      <c r="O655" t="s">
        <v>40</v>
      </c>
      <c r="P655" t="s">
        <v>38</v>
      </c>
      <c r="Q655" t="s">
        <v>38</v>
      </c>
      <c r="R655" t="s">
        <v>40</v>
      </c>
      <c r="S655" t="s">
        <v>41</v>
      </c>
      <c r="T655" t="s">
        <v>2050</v>
      </c>
      <c r="U655" t="s">
        <v>2051</v>
      </c>
      <c r="V655" t="s">
        <v>2052</v>
      </c>
      <c r="W655" t="s">
        <v>2053</v>
      </c>
      <c r="Z655" t="s">
        <v>46</v>
      </c>
      <c r="AA655" t="s">
        <v>2116</v>
      </c>
      <c r="AB655" t="s">
        <v>48</v>
      </c>
      <c r="AC655">
        <f>COUNTIF(C:C,QLKV_gui_ket_qua_ra_soat[[#This Row],[Mã điểm bán]])</f>
        <v>1</v>
      </c>
    </row>
    <row r="656" spans="1:29" x14ac:dyDescent="0.45">
      <c r="A656" t="s">
        <v>2046</v>
      </c>
      <c r="B656">
        <v>2520</v>
      </c>
      <c r="C656" t="s">
        <v>2829</v>
      </c>
      <c r="D656" t="s">
        <v>2830</v>
      </c>
      <c r="E656" t="s">
        <v>771</v>
      </c>
      <c r="F656" t="s">
        <v>53</v>
      </c>
      <c r="G656" t="s">
        <v>34</v>
      </c>
      <c r="H656" t="s">
        <v>54</v>
      </c>
      <c r="I656" t="s">
        <v>2831</v>
      </c>
      <c r="J656" t="s">
        <v>38</v>
      </c>
      <c r="K656" t="s">
        <v>38</v>
      </c>
      <c r="L656" t="s">
        <v>40</v>
      </c>
      <c r="M656" t="s">
        <v>37</v>
      </c>
      <c r="N656" t="s">
        <v>38</v>
      </c>
      <c r="O656" t="s">
        <v>40</v>
      </c>
      <c r="P656" t="s">
        <v>38</v>
      </c>
      <c r="Q656" t="s">
        <v>38</v>
      </c>
      <c r="R656" t="s">
        <v>40</v>
      </c>
      <c r="S656" t="s">
        <v>41</v>
      </c>
      <c r="T656" t="s">
        <v>2096</v>
      </c>
      <c r="U656" t="s">
        <v>2097</v>
      </c>
      <c r="V656" t="s">
        <v>2052</v>
      </c>
      <c r="W656" t="s">
        <v>2053</v>
      </c>
      <c r="X656" t="s">
        <v>46</v>
      </c>
      <c r="AC656">
        <f>COUNTIF(C:C,QLKV_gui_ket_qua_ra_soat[[#This Row],[Mã điểm bán]])</f>
        <v>1</v>
      </c>
    </row>
    <row r="657" spans="1:29" x14ac:dyDescent="0.45">
      <c r="A657" t="s">
        <v>2046</v>
      </c>
      <c r="B657">
        <v>2522</v>
      </c>
      <c r="C657" t="s">
        <v>2832</v>
      </c>
      <c r="D657" t="s">
        <v>2833</v>
      </c>
      <c r="E657" t="s">
        <v>157</v>
      </c>
      <c r="F657" t="s">
        <v>53</v>
      </c>
      <c r="G657" t="s">
        <v>34</v>
      </c>
      <c r="H657" t="s">
        <v>54</v>
      </c>
      <c r="I657" t="s">
        <v>2834</v>
      </c>
      <c r="J657" t="s">
        <v>38</v>
      </c>
      <c r="K657" t="s">
        <v>38</v>
      </c>
      <c r="L657" t="s">
        <v>40</v>
      </c>
      <c r="M657" t="s">
        <v>38</v>
      </c>
      <c r="N657" t="s">
        <v>38</v>
      </c>
      <c r="O657" t="s">
        <v>40</v>
      </c>
      <c r="P657" t="s">
        <v>38</v>
      </c>
      <c r="Q657" t="s">
        <v>38</v>
      </c>
      <c r="R657" t="s">
        <v>40</v>
      </c>
      <c r="S657" t="s">
        <v>41</v>
      </c>
      <c r="T657" t="s">
        <v>2050</v>
      </c>
      <c r="U657" t="s">
        <v>2051</v>
      </c>
      <c r="V657" t="s">
        <v>2052</v>
      </c>
      <c r="W657" t="s">
        <v>2053</v>
      </c>
      <c r="X657" t="s">
        <v>46</v>
      </c>
      <c r="AC657">
        <f>COUNTIF(C:C,QLKV_gui_ket_qua_ra_soat[[#This Row],[Mã điểm bán]])</f>
        <v>1</v>
      </c>
    </row>
    <row r="658" spans="1:29" x14ac:dyDescent="0.45">
      <c r="A658" t="s">
        <v>2046</v>
      </c>
      <c r="B658">
        <v>2541</v>
      </c>
      <c r="C658" t="s">
        <v>2840</v>
      </c>
      <c r="D658" t="s">
        <v>2841</v>
      </c>
      <c r="E658" t="s">
        <v>64</v>
      </c>
      <c r="F658" t="s">
        <v>53</v>
      </c>
      <c r="G658" t="s">
        <v>34</v>
      </c>
      <c r="H658" t="s">
        <v>54</v>
      </c>
      <c r="I658" t="s">
        <v>2049</v>
      </c>
      <c r="J658" t="s">
        <v>38</v>
      </c>
      <c r="K658" t="s">
        <v>38</v>
      </c>
      <c r="L658" t="s">
        <v>40</v>
      </c>
      <c r="M658" t="s">
        <v>38</v>
      </c>
      <c r="N658" t="s">
        <v>38</v>
      </c>
      <c r="O658" t="s">
        <v>40</v>
      </c>
      <c r="P658" t="s">
        <v>38</v>
      </c>
      <c r="Q658" t="s">
        <v>38</v>
      </c>
      <c r="R658" t="s">
        <v>40</v>
      </c>
      <c r="S658" t="s">
        <v>41</v>
      </c>
      <c r="T658" t="s">
        <v>2050</v>
      </c>
      <c r="U658" t="s">
        <v>2051</v>
      </c>
      <c r="V658" t="s">
        <v>2052</v>
      </c>
      <c r="W658" t="s">
        <v>2053</v>
      </c>
      <c r="X658" t="s">
        <v>46</v>
      </c>
      <c r="AC658">
        <f>COUNTIF(C:C,QLKV_gui_ket_qua_ra_soat[[#This Row],[Mã điểm bán]])</f>
        <v>1</v>
      </c>
    </row>
    <row r="659" spans="1:29" x14ac:dyDescent="0.45">
      <c r="A659" t="s">
        <v>2046</v>
      </c>
      <c r="B659">
        <v>2556</v>
      </c>
      <c r="C659" t="s">
        <v>2842</v>
      </c>
      <c r="D659" t="s">
        <v>2843</v>
      </c>
      <c r="E659" t="s">
        <v>269</v>
      </c>
      <c r="F659" t="s">
        <v>53</v>
      </c>
      <c r="G659" t="s">
        <v>34</v>
      </c>
      <c r="H659" t="s">
        <v>54</v>
      </c>
      <c r="I659" t="s">
        <v>2049</v>
      </c>
      <c r="J659" t="s">
        <v>38</v>
      </c>
      <c r="K659" t="s">
        <v>38</v>
      </c>
      <c r="L659" t="s">
        <v>40</v>
      </c>
      <c r="M659" t="s">
        <v>38</v>
      </c>
      <c r="N659" t="s">
        <v>38</v>
      </c>
      <c r="O659" t="s">
        <v>40</v>
      </c>
      <c r="P659" t="s">
        <v>38</v>
      </c>
      <c r="Q659" t="s">
        <v>38</v>
      </c>
      <c r="R659" t="s">
        <v>40</v>
      </c>
      <c r="S659" t="s">
        <v>41</v>
      </c>
      <c r="T659" t="s">
        <v>2050</v>
      </c>
      <c r="U659" t="s">
        <v>2051</v>
      </c>
      <c r="V659" t="s">
        <v>2052</v>
      </c>
      <c r="W659" t="s">
        <v>2053</v>
      </c>
      <c r="X659" t="s">
        <v>46</v>
      </c>
      <c r="AC659">
        <f>COUNTIF(C:C,QLKV_gui_ket_qua_ra_soat[[#This Row],[Mã điểm bán]])</f>
        <v>1</v>
      </c>
    </row>
    <row r="660" spans="1:29" x14ac:dyDescent="0.45">
      <c r="A660" t="s">
        <v>2046</v>
      </c>
      <c r="B660">
        <v>2559</v>
      </c>
      <c r="C660" t="s">
        <v>2844</v>
      </c>
      <c r="D660" t="s">
        <v>2845</v>
      </c>
      <c r="E660" t="s">
        <v>176</v>
      </c>
      <c r="F660" t="s">
        <v>53</v>
      </c>
      <c r="G660" t="s">
        <v>34</v>
      </c>
      <c r="H660" t="s">
        <v>54</v>
      </c>
      <c r="I660" t="s">
        <v>2049</v>
      </c>
      <c r="J660" t="s">
        <v>38</v>
      </c>
      <c r="K660" t="s">
        <v>38</v>
      </c>
      <c r="L660" t="s">
        <v>40</v>
      </c>
      <c r="M660" t="s">
        <v>38</v>
      </c>
      <c r="N660" t="s">
        <v>38</v>
      </c>
      <c r="O660" t="s">
        <v>40</v>
      </c>
      <c r="P660" t="s">
        <v>38</v>
      </c>
      <c r="Q660" t="s">
        <v>38</v>
      </c>
      <c r="R660" t="s">
        <v>40</v>
      </c>
      <c r="S660" t="s">
        <v>41</v>
      </c>
      <c r="T660" t="s">
        <v>2050</v>
      </c>
      <c r="U660" t="s">
        <v>2051</v>
      </c>
      <c r="V660" t="s">
        <v>2052</v>
      </c>
      <c r="W660" t="s">
        <v>2053</v>
      </c>
      <c r="X660" t="s">
        <v>46</v>
      </c>
      <c r="AC660">
        <f>COUNTIF(C:C,QLKV_gui_ket_qua_ra_soat[[#This Row],[Mã điểm bán]])</f>
        <v>1</v>
      </c>
    </row>
    <row r="661" spans="1:29" x14ac:dyDescent="0.45">
      <c r="A661" t="s">
        <v>2046</v>
      </c>
      <c r="B661">
        <v>2561</v>
      </c>
      <c r="C661" t="s">
        <v>2846</v>
      </c>
      <c r="D661" t="s">
        <v>2847</v>
      </c>
      <c r="E661" t="s">
        <v>2789</v>
      </c>
      <c r="F661" t="s">
        <v>2405</v>
      </c>
      <c r="G661" t="s">
        <v>34</v>
      </c>
      <c r="H661" t="s">
        <v>54</v>
      </c>
      <c r="I661" t="s">
        <v>2848</v>
      </c>
      <c r="J661" t="s">
        <v>775</v>
      </c>
      <c r="K661" t="s">
        <v>775</v>
      </c>
      <c r="L661" t="s">
        <v>40</v>
      </c>
      <c r="M661" t="s">
        <v>775</v>
      </c>
      <c r="N661" t="s">
        <v>775</v>
      </c>
      <c r="O661" t="s">
        <v>39</v>
      </c>
      <c r="P661" t="s">
        <v>775</v>
      </c>
      <c r="Q661" t="s">
        <v>775</v>
      </c>
      <c r="R661" t="s">
        <v>40</v>
      </c>
      <c r="S661" t="s">
        <v>41</v>
      </c>
      <c r="T661" t="s">
        <v>2062</v>
      </c>
      <c r="U661" t="s">
        <v>2063</v>
      </c>
      <c r="V661" t="s">
        <v>2052</v>
      </c>
      <c r="W661" t="s">
        <v>2053</v>
      </c>
      <c r="Z661" t="s">
        <v>46</v>
      </c>
      <c r="AA661" t="s">
        <v>2102</v>
      </c>
      <c r="AB661" t="s">
        <v>48</v>
      </c>
      <c r="AC661">
        <f>COUNTIF(C:C,QLKV_gui_ket_qua_ra_soat[[#This Row],[Mã điểm bán]])</f>
        <v>1</v>
      </c>
    </row>
    <row r="662" spans="1:29" x14ac:dyDescent="0.45">
      <c r="A662" t="s">
        <v>2046</v>
      </c>
      <c r="B662">
        <v>2603</v>
      </c>
      <c r="C662" t="s">
        <v>2849</v>
      </c>
      <c r="D662" t="s">
        <v>2850</v>
      </c>
      <c r="E662" t="s">
        <v>1043</v>
      </c>
      <c r="F662" t="s">
        <v>53</v>
      </c>
      <c r="G662" t="s">
        <v>34</v>
      </c>
      <c r="H662" t="s">
        <v>54</v>
      </c>
      <c r="I662" t="s">
        <v>2834</v>
      </c>
      <c r="J662" t="s">
        <v>38</v>
      </c>
      <c r="K662" t="s">
        <v>38</v>
      </c>
      <c r="L662" t="s">
        <v>40</v>
      </c>
      <c r="M662" t="s">
        <v>38</v>
      </c>
      <c r="N662" t="s">
        <v>38</v>
      </c>
      <c r="O662" t="s">
        <v>40</v>
      </c>
      <c r="P662" t="s">
        <v>38</v>
      </c>
      <c r="Q662" t="s">
        <v>38</v>
      </c>
      <c r="R662" t="s">
        <v>40</v>
      </c>
      <c r="S662" t="s">
        <v>41</v>
      </c>
      <c r="T662" t="s">
        <v>2050</v>
      </c>
      <c r="U662" t="s">
        <v>2051</v>
      </c>
      <c r="V662" t="s">
        <v>2052</v>
      </c>
      <c r="W662" t="s">
        <v>2053</v>
      </c>
      <c r="X662" t="s">
        <v>46</v>
      </c>
      <c r="AC662">
        <f>COUNTIF(C:C,QLKV_gui_ket_qua_ra_soat[[#This Row],[Mã điểm bán]])</f>
        <v>1</v>
      </c>
    </row>
    <row r="663" spans="1:29" x14ac:dyDescent="0.45">
      <c r="A663" t="s">
        <v>2046</v>
      </c>
      <c r="B663">
        <v>2616</v>
      </c>
      <c r="C663" t="s">
        <v>2854</v>
      </c>
      <c r="D663" t="s">
        <v>2855</v>
      </c>
      <c r="E663" t="s">
        <v>291</v>
      </c>
      <c r="F663" t="s">
        <v>441</v>
      </c>
      <c r="G663" t="s">
        <v>34</v>
      </c>
      <c r="H663" t="s">
        <v>54</v>
      </c>
      <c r="I663" t="s">
        <v>2856</v>
      </c>
      <c r="J663" t="s">
        <v>38</v>
      </c>
      <c r="K663" t="s">
        <v>38</v>
      </c>
      <c r="L663" t="s">
        <v>40</v>
      </c>
      <c r="M663" t="s">
        <v>38</v>
      </c>
      <c r="N663" t="s">
        <v>38</v>
      </c>
      <c r="O663" t="s">
        <v>40</v>
      </c>
      <c r="P663" t="s">
        <v>38</v>
      </c>
      <c r="Q663" t="s">
        <v>38</v>
      </c>
      <c r="R663" t="s">
        <v>40</v>
      </c>
      <c r="S663" t="s">
        <v>41</v>
      </c>
      <c r="T663" t="s">
        <v>2050</v>
      </c>
      <c r="U663" t="s">
        <v>2051</v>
      </c>
      <c r="V663" t="s">
        <v>2052</v>
      </c>
      <c r="W663" t="s">
        <v>2053</v>
      </c>
      <c r="Z663" t="s">
        <v>46</v>
      </c>
      <c r="AA663" t="s">
        <v>2116</v>
      </c>
      <c r="AB663" t="s">
        <v>48</v>
      </c>
      <c r="AC663">
        <f>COUNTIF(C:C,QLKV_gui_ket_qua_ra_soat[[#This Row],[Mã điểm bán]])</f>
        <v>1</v>
      </c>
    </row>
    <row r="664" spans="1:29" x14ac:dyDescent="0.45">
      <c r="A664" t="s">
        <v>2046</v>
      </c>
      <c r="B664">
        <v>2624</v>
      </c>
      <c r="C664" t="s">
        <v>2861</v>
      </c>
      <c r="D664" t="s">
        <v>2862</v>
      </c>
      <c r="E664" t="s">
        <v>97</v>
      </c>
      <c r="F664" t="s">
        <v>166</v>
      </c>
      <c r="G664" t="s">
        <v>34</v>
      </c>
      <c r="H664" t="s">
        <v>54</v>
      </c>
      <c r="I664" t="s">
        <v>2705</v>
      </c>
      <c r="J664" t="s">
        <v>38</v>
      </c>
      <c r="K664" t="s">
        <v>38</v>
      </c>
      <c r="L664" t="s">
        <v>40</v>
      </c>
      <c r="M664" t="s">
        <v>38</v>
      </c>
      <c r="N664" t="s">
        <v>38</v>
      </c>
      <c r="O664" t="s">
        <v>40</v>
      </c>
      <c r="P664" t="s">
        <v>38</v>
      </c>
      <c r="Q664" t="s">
        <v>38</v>
      </c>
      <c r="R664" t="s">
        <v>40</v>
      </c>
      <c r="S664" t="s">
        <v>41</v>
      </c>
      <c r="T664" t="s">
        <v>2050</v>
      </c>
      <c r="U664" t="s">
        <v>2051</v>
      </c>
      <c r="V664" t="s">
        <v>2052</v>
      </c>
      <c r="W664" t="s">
        <v>2053</v>
      </c>
      <c r="X664" t="s">
        <v>46</v>
      </c>
      <c r="AC664">
        <f>COUNTIF(C:C,QLKV_gui_ket_qua_ra_soat[[#This Row],[Mã điểm bán]])</f>
        <v>1</v>
      </c>
    </row>
    <row r="665" spans="1:29" x14ac:dyDescent="0.45">
      <c r="A665" t="s">
        <v>2046</v>
      </c>
      <c r="B665">
        <v>2625</v>
      </c>
      <c r="C665" t="s">
        <v>2864</v>
      </c>
      <c r="D665" t="s">
        <v>2865</v>
      </c>
      <c r="E665" t="s">
        <v>75</v>
      </c>
      <c r="F665" t="s">
        <v>53</v>
      </c>
      <c r="G665" t="s">
        <v>34</v>
      </c>
      <c r="H665" t="s">
        <v>378</v>
      </c>
      <c r="I665" t="s">
        <v>2866</v>
      </c>
      <c r="J665" t="s">
        <v>775</v>
      </c>
      <c r="K665" t="s">
        <v>775</v>
      </c>
      <c r="L665" t="s">
        <v>40</v>
      </c>
      <c r="M665" t="s">
        <v>775</v>
      </c>
      <c r="N665" t="s">
        <v>775</v>
      </c>
      <c r="O665" t="s">
        <v>39</v>
      </c>
      <c r="P665" t="s">
        <v>775</v>
      </c>
      <c r="Q665" t="s">
        <v>775</v>
      </c>
      <c r="R665" t="s">
        <v>40</v>
      </c>
      <c r="S665" t="s">
        <v>41</v>
      </c>
      <c r="T665" t="s">
        <v>2062</v>
      </c>
      <c r="U665" t="s">
        <v>2063</v>
      </c>
      <c r="V665" t="s">
        <v>2052</v>
      </c>
      <c r="W665" t="s">
        <v>2053</v>
      </c>
      <c r="X665" t="s">
        <v>46</v>
      </c>
      <c r="AC665">
        <f>COUNTIF(C:C,QLKV_gui_ket_qua_ra_soat[[#This Row],[Mã điểm bán]])</f>
        <v>1</v>
      </c>
    </row>
    <row r="666" spans="1:29" x14ac:dyDescent="0.45">
      <c r="A666" t="s">
        <v>2046</v>
      </c>
      <c r="B666">
        <v>2635</v>
      </c>
      <c r="C666" t="s">
        <v>2867</v>
      </c>
      <c r="D666" t="s">
        <v>2868</v>
      </c>
      <c r="E666" t="s">
        <v>407</v>
      </c>
      <c r="F666" t="s">
        <v>53</v>
      </c>
      <c r="G666" t="s">
        <v>34</v>
      </c>
      <c r="H666" t="s">
        <v>54</v>
      </c>
      <c r="I666" t="s">
        <v>2049</v>
      </c>
      <c r="J666" t="s">
        <v>38</v>
      </c>
      <c r="K666" t="s">
        <v>38</v>
      </c>
      <c r="L666" t="s">
        <v>40</v>
      </c>
      <c r="M666" t="s">
        <v>38</v>
      </c>
      <c r="N666" t="s">
        <v>38</v>
      </c>
      <c r="O666" t="s">
        <v>40</v>
      </c>
      <c r="P666" t="s">
        <v>38</v>
      </c>
      <c r="Q666" t="s">
        <v>38</v>
      </c>
      <c r="R666" t="s">
        <v>40</v>
      </c>
      <c r="S666" t="s">
        <v>41</v>
      </c>
      <c r="T666" t="s">
        <v>2050</v>
      </c>
      <c r="U666" t="s">
        <v>2051</v>
      </c>
      <c r="V666" t="s">
        <v>2052</v>
      </c>
      <c r="W666" t="s">
        <v>2053</v>
      </c>
      <c r="X666" t="s">
        <v>46</v>
      </c>
      <c r="AC666">
        <f>COUNTIF(C:C,QLKV_gui_ket_qua_ra_soat[[#This Row],[Mã điểm bán]])</f>
        <v>1</v>
      </c>
    </row>
    <row r="667" spans="1:29" x14ac:dyDescent="0.45">
      <c r="A667" t="s">
        <v>2046</v>
      </c>
      <c r="B667">
        <v>2765</v>
      </c>
      <c r="C667" t="s">
        <v>2875</v>
      </c>
      <c r="D667" t="s">
        <v>2129</v>
      </c>
      <c r="E667" t="s">
        <v>2876</v>
      </c>
      <c r="F667" t="s">
        <v>166</v>
      </c>
      <c r="G667" t="s">
        <v>1458</v>
      </c>
      <c r="H667" t="s">
        <v>1731</v>
      </c>
      <c r="I667" t="s">
        <v>2257</v>
      </c>
      <c r="J667" t="s">
        <v>38</v>
      </c>
      <c r="K667" t="s">
        <v>38</v>
      </c>
      <c r="L667" t="s">
        <v>40</v>
      </c>
      <c r="M667" t="s">
        <v>37</v>
      </c>
      <c r="N667" t="s">
        <v>37</v>
      </c>
      <c r="O667" t="s">
        <v>40</v>
      </c>
      <c r="P667" t="s">
        <v>38</v>
      </c>
      <c r="Q667" t="s">
        <v>38</v>
      </c>
      <c r="R667" t="s">
        <v>40</v>
      </c>
      <c r="S667" t="s">
        <v>41</v>
      </c>
      <c r="T667" t="s">
        <v>2096</v>
      </c>
      <c r="U667" t="s">
        <v>2097</v>
      </c>
      <c r="V667" t="s">
        <v>2052</v>
      </c>
      <c r="W667" t="s">
        <v>2053</v>
      </c>
      <c r="X667" t="s">
        <v>46</v>
      </c>
      <c r="AC667">
        <f>COUNTIF(C:C,QLKV_gui_ket_qua_ra_soat[[#This Row],[Mã điểm bán]])</f>
        <v>1</v>
      </c>
    </row>
    <row r="668" spans="1:29" x14ac:dyDescent="0.45">
      <c r="A668" t="s">
        <v>2046</v>
      </c>
      <c r="B668">
        <v>2779</v>
      </c>
      <c r="C668" t="s">
        <v>2880</v>
      </c>
      <c r="D668" t="s">
        <v>2881</v>
      </c>
      <c r="E668" t="s">
        <v>1492</v>
      </c>
      <c r="F668" t="s">
        <v>76</v>
      </c>
      <c r="G668" t="s">
        <v>34</v>
      </c>
      <c r="H668" t="s">
        <v>54</v>
      </c>
      <c r="I668" t="s">
        <v>2882</v>
      </c>
      <c r="J668" t="s">
        <v>775</v>
      </c>
      <c r="K668" t="s">
        <v>775</v>
      </c>
      <c r="L668" t="s">
        <v>40</v>
      </c>
      <c r="M668" t="s">
        <v>56</v>
      </c>
      <c r="N668" t="s">
        <v>56</v>
      </c>
      <c r="O668" t="s">
        <v>39</v>
      </c>
      <c r="P668" t="s">
        <v>1034</v>
      </c>
      <c r="Q668" t="s">
        <v>775</v>
      </c>
      <c r="R668" t="s">
        <v>40</v>
      </c>
      <c r="S668" t="s">
        <v>41</v>
      </c>
      <c r="T668" t="s">
        <v>2062</v>
      </c>
      <c r="U668" t="s">
        <v>2063</v>
      </c>
      <c r="V668" t="s">
        <v>2052</v>
      </c>
      <c r="W668" t="s">
        <v>2053</v>
      </c>
      <c r="Y668" t="s">
        <v>46</v>
      </c>
      <c r="AC668">
        <f>COUNTIF(C:C,QLKV_gui_ket_qua_ra_soat[[#This Row],[Mã điểm bán]])</f>
        <v>1</v>
      </c>
    </row>
    <row r="669" spans="1:29" x14ac:dyDescent="0.45">
      <c r="A669" t="s">
        <v>2046</v>
      </c>
      <c r="B669">
        <v>2839</v>
      </c>
      <c r="C669" t="s">
        <v>2883</v>
      </c>
      <c r="D669" t="s">
        <v>2884</v>
      </c>
      <c r="E669" t="s">
        <v>2372</v>
      </c>
      <c r="F669" t="s">
        <v>325</v>
      </c>
      <c r="G669" t="s">
        <v>1624</v>
      </c>
      <c r="H669" t="s">
        <v>133</v>
      </c>
      <c r="I669" t="s">
        <v>2257</v>
      </c>
      <c r="J669" t="s">
        <v>38</v>
      </c>
      <c r="K669" t="s">
        <v>38</v>
      </c>
      <c r="L669" t="s">
        <v>40</v>
      </c>
      <c r="M669" t="s">
        <v>37</v>
      </c>
      <c r="N669" t="s">
        <v>37</v>
      </c>
      <c r="O669" t="s">
        <v>40</v>
      </c>
      <c r="P669" t="s">
        <v>38</v>
      </c>
      <c r="Q669" t="s">
        <v>38</v>
      </c>
      <c r="R669" t="s">
        <v>40</v>
      </c>
      <c r="S669" t="s">
        <v>41</v>
      </c>
      <c r="T669" t="s">
        <v>2096</v>
      </c>
      <c r="U669" t="s">
        <v>2097</v>
      </c>
      <c r="V669" t="s">
        <v>2052</v>
      </c>
      <c r="W669" t="s">
        <v>2053</v>
      </c>
      <c r="X669" t="s">
        <v>46</v>
      </c>
      <c r="AC669">
        <f>COUNTIF(C:C,QLKV_gui_ket_qua_ra_soat[[#This Row],[Mã điểm bán]])</f>
        <v>1</v>
      </c>
    </row>
    <row r="670" spans="1:29" x14ac:dyDescent="0.45">
      <c r="A670" t="s">
        <v>2046</v>
      </c>
      <c r="B670">
        <v>2878</v>
      </c>
      <c r="C670" t="s">
        <v>2889</v>
      </c>
      <c r="D670" t="s">
        <v>2890</v>
      </c>
      <c r="E670" t="s">
        <v>407</v>
      </c>
      <c r="F670" t="s">
        <v>53</v>
      </c>
      <c r="G670" t="s">
        <v>34</v>
      </c>
      <c r="H670" t="s">
        <v>54</v>
      </c>
      <c r="I670" t="s">
        <v>2049</v>
      </c>
      <c r="J670" t="s">
        <v>38</v>
      </c>
      <c r="K670" t="s">
        <v>38</v>
      </c>
      <c r="L670" t="s">
        <v>40</v>
      </c>
      <c r="M670" t="s">
        <v>38</v>
      </c>
      <c r="N670" t="s">
        <v>38</v>
      </c>
      <c r="O670" t="s">
        <v>40</v>
      </c>
      <c r="P670" t="s">
        <v>38</v>
      </c>
      <c r="Q670" t="s">
        <v>38</v>
      </c>
      <c r="R670" t="s">
        <v>40</v>
      </c>
      <c r="S670" t="s">
        <v>41</v>
      </c>
      <c r="T670" t="s">
        <v>2050</v>
      </c>
      <c r="U670" t="s">
        <v>2051</v>
      </c>
      <c r="V670" t="s">
        <v>2052</v>
      </c>
      <c r="W670" t="s">
        <v>2053</v>
      </c>
      <c r="X670" t="s">
        <v>46</v>
      </c>
      <c r="AC670">
        <f>COUNTIF(C:C,QLKV_gui_ket_qua_ra_soat[[#This Row],[Mã điểm bán]])</f>
        <v>1</v>
      </c>
    </row>
    <row r="671" spans="1:29" x14ac:dyDescent="0.45">
      <c r="A671" t="s">
        <v>2046</v>
      </c>
      <c r="B671">
        <v>2882</v>
      </c>
      <c r="C671" t="s">
        <v>2891</v>
      </c>
      <c r="D671" t="s">
        <v>2892</v>
      </c>
      <c r="E671" t="s">
        <v>32</v>
      </c>
      <c r="F671" t="s">
        <v>166</v>
      </c>
      <c r="G671" t="s">
        <v>34</v>
      </c>
      <c r="H671" t="s">
        <v>54</v>
      </c>
      <c r="I671" t="s">
        <v>2893</v>
      </c>
      <c r="J671" t="s">
        <v>775</v>
      </c>
      <c r="K671" t="s">
        <v>775</v>
      </c>
      <c r="L671" t="s">
        <v>40</v>
      </c>
      <c r="M671" t="s">
        <v>56</v>
      </c>
      <c r="N671" t="s">
        <v>56</v>
      </c>
      <c r="O671" t="s">
        <v>39</v>
      </c>
      <c r="P671" t="s">
        <v>1034</v>
      </c>
      <c r="Q671" t="s">
        <v>775</v>
      </c>
      <c r="R671" t="s">
        <v>40</v>
      </c>
      <c r="S671" t="s">
        <v>41</v>
      </c>
      <c r="T671" t="s">
        <v>2062</v>
      </c>
      <c r="U671" t="s">
        <v>2063</v>
      </c>
      <c r="V671" t="s">
        <v>2052</v>
      </c>
      <c r="W671" t="s">
        <v>2053</v>
      </c>
      <c r="Z671" t="s">
        <v>46</v>
      </c>
      <c r="AA671" t="s">
        <v>48</v>
      </c>
      <c r="AB671" t="s">
        <v>1672</v>
      </c>
      <c r="AC671">
        <f>COUNTIF(C:C,QLKV_gui_ket_qua_ra_soat[[#This Row],[Mã điểm bán]])</f>
        <v>1</v>
      </c>
    </row>
    <row r="672" spans="1:29" x14ac:dyDescent="0.45">
      <c r="A672" t="s">
        <v>2046</v>
      </c>
      <c r="B672">
        <v>2888</v>
      </c>
      <c r="C672" t="s">
        <v>2894</v>
      </c>
      <c r="D672" t="s">
        <v>2895</v>
      </c>
      <c r="E672" t="s">
        <v>2896</v>
      </c>
      <c r="F672" t="s">
        <v>53</v>
      </c>
      <c r="G672" t="s">
        <v>150</v>
      </c>
      <c r="H672" t="s">
        <v>54</v>
      </c>
      <c r="I672" t="s">
        <v>2897</v>
      </c>
      <c r="J672" t="s">
        <v>37</v>
      </c>
      <c r="K672" t="s">
        <v>775</v>
      </c>
      <c r="L672" t="s">
        <v>40</v>
      </c>
      <c r="M672" t="s">
        <v>56</v>
      </c>
      <c r="N672" t="s">
        <v>56</v>
      </c>
      <c r="O672" t="s">
        <v>39</v>
      </c>
      <c r="P672" t="s">
        <v>775</v>
      </c>
      <c r="Q672" t="s">
        <v>775</v>
      </c>
      <c r="R672" t="s">
        <v>40</v>
      </c>
      <c r="S672" t="s">
        <v>41</v>
      </c>
      <c r="T672" t="s">
        <v>2062</v>
      </c>
      <c r="U672" t="s">
        <v>2063</v>
      </c>
      <c r="V672" t="s">
        <v>2052</v>
      </c>
      <c r="W672" t="s">
        <v>2053</v>
      </c>
      <c r="Z672" t="s">
        <v>46</v>
      </c>
      <c r="AA672" t="s">
        <v>48</v>
      </c>
      <c r="AB672" t="s">
        <v>1672</v>
      </c>
      <c r="AC672">
        <f>COUNTIF(C:C,QLKV_gui_ket_qua_ra_soat[[#This Row],[Mã điểm bán]])</f>
        <v>1</v>
      </c>
    </row>
    <row r="673" spans="1:29" x14ac:dyDescent="0.45">
      <c r="A673" t="s">
        <v>2046</v>
      </c>
      <c r="B673">
        <v>2894</v>
      </c>
      <c r="C673" t="s">
        <v>2898</v>
      </c>
      <c r="D673" t="s">
        <v>2899</v>
      </c>
      <c r="E673" t="s">
        <v>529</v>
      </c>
      <c r="F673" t="s">
        <v>426</v>
      </c>
      <c r="G673" t="s">
        <v>34</v>
      </c>
      <c r="H673" t="s">
        <v>54</v>
      </c>
      <c r="I673" t="s">
        <v>2705</v>
      </c>
      <c r="J673" t="s">
        <v>38</v>
      </c>
      <c r="K673" t="s">
        <v>38</v>
      </c>
      <c r="L673" t="s">
        <v>40</v>
      </c>
      <c r="M673" t="s">
        <v>38</v>
      </c>
      <c r="N673" t="s">
        <v>38</v>
      </c>
      <c r="O673" t="s">
        <v>40</v>
      </c>
      <c r="P673" t="s">
        <v>38</v>
      </c>
      <c r="Q673" t="s">
        <v>38</v>
      </c>
      <c r="R673" t="s">
        <v>40</v>
      </c>
      <c r="S673" t="s">
        <v>41</v>
      </c>
      <c r="T673" t="s">
        <v>2050</v>
      </c>
      <c r="U673" t="s">
        <v>2051</v>
      </c>
      <c r="V673" t="s">
        <v>2052</v>
      </c>
      <c r="W673" t="s">
        <v>2053</v>
      </c>
      <c r="X673" t="s">
        <v>46</v>
      </c>
      <c r="AC673">
        <f>COUNTIF(C:C,QLKV_gui_ket_qua_ra_soat[[#This Row],[Mã điểm bán]])</f>
        <v>1</v>
      </c>
    </row>
    <row r="674" spans="1:29" x14ac:dyDescent="0.45">
      <c r="A674" t="s">
        <v>2046</v>
      </c>
      <c r="B674">
        <v>2904</v>
      </c>
      <c r="C674" t="s">
        <v>2900</v>
      </c>
      <c r="D674" t="s">
        <v>2901</v>
      </c>
      <c r="E674" t="s">
        <v>1610</v>
      </c>
      <c r="F674" t="s">
        <v>2902</v>
      </c>
      <c r="G674" t="s">
        <v>34</v>
      </c>
      <c r="H674" t="s">
        <v>54</v>
      </c>
      <c r="I674" t="s">
        <v>2828</v>
      </c>
      <c r="J674" t="s">
        <v>38</v>
      </c>
      <c r="K674" t="s">
        <v>38</v>
      </c>
      <c r="L674" t="s">
        <v>40</v>
      </c>
      <c r="M674" t="s">
        <v>38</v>
      </c>
      <c r="N674" t="s">
        <v>38</v>
      </c>
      <c r="O674" t="s">
        <v>40</v>
      </c>
      <c r="P674" t="s">
        <v>38</v>
      </c>
      <c r="Q674" t="s">
        <v>38</v>
      </c>
      <c r="R674" t="s">
        <v>40</v>
      </c>
      <c r="S674" t="s">
        <v>41</v>
      </c>
      <c r="T674" t="s">
        <v>2050</v>
      </c>
      <c r="U674" t="s">
        <v>2051</v>
      </c>
      <c r="V674" t="s">
        <v>2052</v>
      </c>
      <c r="W674" t="s">
        <v>2053</v>
      </c>
      <c r="X674" t="s">
        <v>46</v>
      </c>
      <c r="AC674">
        <f>COUNTIF(C:C,QLKV_gui_ket_qua_ra_soat[[#This Row],[Mã điểm bán]])</f>
        <v>1</v>
      </c>
    </row>
    <row r="675" spans="1:29" x14ac:dyDescent="0.45">
      <c r="A675" t="s">
        <v>2046</v>
      </c>
      <c r="B675">
        <v>2920</v>
      </c>
      <c r="C675" t="s">
        <v>2907</v>
      </c>
      <c r="D675" t="s">
        <v>2908</v>
      </c>
      <c r="E675" t="s">
        <v>304</v>
      </c>
      <c r="F675" t="s">
        <v>53</v>
      </c>
      <c r="G675" t="s">
        <v>34</v>
      </c>
      <c r="H675" t="s">
        <v>54</v>
      </c>
      <c r="I675" t="s">
        <v>2049</v>
      </c>
      <c r="J675" t="s">
        <v>38</v>
      </c>
      <c r="K675" t="s">
        <v>38</v>
      </c>
      <c r="L675" t="s">
        <v>40</v>
      </c>
      <c r="M675" t="s">
        <v>38</v>
      </c>
      <c r="N675" t="s">
        <v>38</v>
      </c>
      <c r="O675" t="s">
        <v>40</v>
      </c>
      <c r="P675" t="s">
        <v>38</v>
      </c>
      <c r="Q675" t="s">
        <v>38</v>
      </c>
      <c r="R675" t="s">
        <v>40</v>
      </c>
      <c r="S675" t="s">
        <v>41</v>
      </c>
      <c r="T675" t="s">
        <v>2050</v>
      </c>
      <c r="U675" t="s">
        <v>2051</v>
      </c>
      <c r="V675" t="s">
        <v>2052</v>
      </c>
      <c r="W675" t="s">
        <v>2053</v>
      </c>
      <c r="X675" t="s">
        <v>46</v>
      </c>
      <c r="AC675">
        <f>COUNTIF(C:C,QLKV_gui_ket_qua_ra_soat[[#This Row],[Mã điểm bán]])</f>
        <v>1</v>
      </c>
    </row>
    <row r="676" spans="1:29" x14ac:dyDescent="0.45">
      <c r="A676" t="s">
        <v>2046</v>
      </c>
      <c r="B676">
        <v>2924</v>
      </c>
      <c r="C676" t="s">
        <v>2909</v>
      </c>
      <c r="D676" t="s">
        <v>2910</v>
      </c>
      <c r="E676" t="s">
        <v>279</v>
      </c>
      <c r="F676" t="s">
        <v>2911</v>
      </c>
      <c r="G676" t="s">
        <v>34</v>
      </c>
      <c r="H676" t="s">
        <v>54</v>
      </c>
      <c r="I676" t="s">
        <v>2912</v>
      </c>
      <c r="J676" t="s">
        <v>38</v>
      </c>
      <c r="K676" t="s">
        <v>38</v>
      </c>
      <c r="L676" t="s">
        <v>40</v>
      </c>
      <c r="M676" t="s">
        <v>38</v>
      </c>
      <c r="N676" t="s">
        <v>38</v>
      </c>
      <c r="O676" t="s">
        <v>40</v>
      </c>
      <c r="P676" t="s">
        <v>38</v>
      </c>
      <c r="Q676" t="s">
        <v>38</v>
      </c>
      <c r="R676" t="s">
        <v>40</v>
      </c>
      <c r="S676" t="s">
        <v>41</v>
      </c>
      <c r="T676" t="s">
        <v>2050</v>
      </c>
      <c r="U676" t="s">
        <v>2051</v>
      </c>
      <c r="V676" t="s">
        <v>2052</v>
      </c>
      <c r="W676" t="s">
        <v>2053</v>
      </c>
      <c r="X676" t="s">
        <v>46</v>
      </c>
      <c r="AC676">
        <f>COUNTIF(C:C,QLKV_gui_ket_qua_ra_soat[[#This Row],[Mã điểm bán]])</f>
        <v>1</v>
      </c>
    </row>
    <row r="677" spans="1:29" x14ac:dyDescent="0.45">
      <c r="A677" t="s">
        <v>2046</v>
      </c>
      <c r="B677">
        <v>2934</v>
      </c>
      <c r="C677" t="s">
        <v>2917</v>
      </c>
      <c r="D677" t="s">
        <v>2918</v>
      </c>
      <c r="E677" t="s">
        <v>91</v>
      </c>
      <c r="F677" t="s">
        <v>426</v>
      </c>
      <c r="G677" t="s">
        <v>34</v>
      </c>
      <c r="H677" t="s">
        <v>54</v>
      </c>
      <c r="I677" t="s">
        <v>2705</v>
      </c>
      <c r="J677" t="s">
        <v>38</v>
      </c>
      <c r="K677" t="s">
        <v>38</v>
      </c>
      <c r="L677" t="s">
        <v>40</v>
      </c>
      <c r="M677" t="s">
        <v>38</v>
      </c>
      <c r="N677" t="s">
        <v>38</v>
      </c>
      <c r="O677" t="s">
        <v>40</v>
      </c>
      <c r="P677" t="s">
        <v>38</v>
      </c>
      <c r="Q677" t="s">
        <v>38</v>
      </c>
      <c r="R677" t="s">
        <v>40</v>
      </c>
      <c r="S677" t="s">
        <v>41</v>
      </c>
      <c r="T677" t="s">
        <v>2050</v>
      </c>
      <c r="U677" t="s">
        <v>2051</v>
      </c>
      <c r="V677" t="s">
        <v>2052</v>
      </c>
      <c r="W677" t="s">
        <v>2053</v>
      </c>
      <c r="X677" t="s">
        <v>46</v>
      </c>
      <c r="AC677">
        <f>COUNTIF(C:C,QLKV_gui_ket_qua_ra_soat[[#This Row],[Mã điểm bán]])</f>
        <v>1</v>
      </c>
    </row>
    <row r="678" spans="1:29" x14ac:dyDescent="0.45">
      <c r="A678" t="s">
        <v>2046</v>
      </c>
      <c r="B678">
        <v>2948</v>
      </c>
      <c r="C678" t="s">
        <v>2919</v>
      </c>
      <c r="D678" t="s">
        <v>2920</v>
      </c>
      <c r="E678" t="s">
        <v>1675</v>
      </c>
      <c r="F678" t="s">
        <v>2682</v>
      </c>
      <c r="G678" t="s">
        <v>150</v>
      </c>
      <c r="H678" t="s">
        <v>54</v>
      </c>
      <c r="I678" t="s">
        <v>2921</v>
      </c>
      <c r="J678" t="s">
        <v>37</v>
      </c>
      <c r="K678" t="s">
        <v>56</v>
      </c>
      <c r="L678" t="s">
        <v>39</v>
      </c>
      <c r="M678" t="s">
        <v>56</v>
      </c>
      <c r="N678" t="s">
        <v>56</v>
      </c>
      <c r="O678" t="s">
        <v>39</v>
      </c>
      <c r="P678" t="s">
        <v>38</v>
      </c>
      <c r="Q678" t="s">
        <v>38</v>
      </c>
      <c r="R678" t="s">
        <v>40</v>
      </c>
      <c r="S678" t="s">
        <v>2922</v>
      </c>
      <c r="T678" t="s">
        <v>2062</v>
      </c>
      <c r="U678" t="s">
        <v>2063</v>
      </c>
      <c r="V678" t="s">
        <v>2052</v>
      </c>
      <c r="W678" t="s">
        <v>2053</v>
      </c>
      <c r="X678" t="s">
        <v>46</v>
      </c>
      <c r="AC678">
        <f>COUNTIF(C:C,QLKV_gui_ket_qua_ra_soat[[#This Row],[Mã điểm bán]])</f>
        <v>1</v>
      </c>
    </row>
    <row r="679" spans="1:29" x14ac:dyDescent="0.45">
      <c r="A679" t="s">
        <v>2046</v>
      </c>
      <c r="B679">
        <v>2941</v>
      </c>
      <c r="C679" t="s">
        <v>2931</v>
      </c>
      <c r="D679" t="s">
        <v>2932</v>
      </c>
      <c r="E679" t="s">
        <v>219</v>
      </c>
      <c r="F679" t="s">
        <v>53</v>
      </c>
      <c r="G679" t="s">
        <v>34</v>
      </c>
      <c r="H679" t="s">
        <v>507</v>
      </c>
      <c r="J679" t="s">
        <v>56</v>
      </c>
      <c r="K679" t="s">
        <v>56</v>
      </c>
      <c r="L679" t="s">
        <v>39</v>
      </c>
      <c r="M679" t="s">
        <v>56</v>
      </c>
      <c r="N679" t="s">
        <v>56</v>
      </c>
      <c r="O679" t="s">
        <v>39</v>
      </c>
      <c r="P679" t="s">
        <v>38</v>
      </c>
      <c r="Q679" t="s">
        <v>38</v>
      </c>
      <c r="R679" t="s">
        <v>39</v>
      </c>
      <c r="S679" t="s">
        <v>41</v>
      </c>
      <c r="T679" t="s">
        <v>2114</v>
      </c>
      <c r="U679" t="s">
        <v>2115</v>
      </c>
      <c r="V679" t="s">
        <v>2052</v>
      </c>
      <c r="W679" t="s">
        <v>2053</v>
      </c>
      <c r="Z679" t="s">
        <v>46</v>
      </c>
      <c r="AA679" t="s">
        <v>2116</v>
      </c>
      <c r="AB679" t="s">
        <v>48</v>
      </c>
      <c r="AC679">
        <f>COUNTIF(C:C,QLKV_gui_ket_qua_ra_soat[[#This Row],[Mã điểm bán]])</f>
        <v>1</v>
      </c>
    </row>
    <row r="680" spans="1:29" x14ac:dyDescent="0.45">
      <c r="A680" t="s">
        <v>2046</v>
      </c>
      <c r="B680">
        <v>3022</v>
      </c>
      <c r="C680" t="s">
        <v>2933</v>
      </c>
      <c r="D680" t="s">
        <v>2934</v>
      </c>
      <c r="E680" t="s">
        <v>108</v>
      </c>
      <c r="F680" t="s">
        <v>53</v>
      </c>
      <c r="G680" t="s">
        <v>34</v>
      </c>
      <c r="H680" t="s">
        <v>54</v>
      </c>
      <c r="I680" t="s">
        <v>2935</v>
      </c>
      <c r="J680" t="s">
        <v>38</v>
      </c>
      <c r="K680" t="s">
        <v>38</v>
      </c>
      <c r="L680" t="s">
        <v>40</v>
      </c>
      <c r="M680" t="s">
        <v>38</v>
      </c>
      <c r="N680" t="s">
        <v>38</v>
      </c>
      <c r="O680" t="s">
        <v>40</v>
      </c>
      <c r="P680" t="s">
        <v>38</v>
      </c>
      <c r="Q680" t="s">
        <v>38</v>
      </c>
      <c r="R680" t="s">
        <v>40</v>
      </c>
      <c r="S680" t="s">
        <v>41</v>
      </c>
      <c r="T680" t="s">
        <v>2050</v>
      </c>
      <c r="U680" t="s">
        <v>2051</v>
      </c>
      <c r="V680" t="s">
        <v>2052</v>
      </c>
      <c r="W680" t="s">
        <v>2053</v>
      </c>
      <c r="X680" t="s">
        <v>46</v>
      </c>
      <c r="AC680">
        <f>COUNTIF(C:C,QLKV_gui_ket_qua_ra_soat[[#This Row],[Mã điểm bán]])</f>
        <v>1</v>
      </c>
    </row>
    <row r="681" spans="1:29" x14ac:dyDescent="0.45">
      <c r="A681" t="s">
        <v>2046</v>
      </c>
      <c r="B681">
        <v>2962</v>
      </c>
      <c r="C681" t="s">
        <v>2936</v>
      </c>
      <c r="D681" t="s">
        <v>2937</v>
      </c>
      <c r="E681" t="s">
        <v>219</v>
      </c>
      <c r="F681" t="s">
        <v>581</v>
      </c>
      <c r="G681" t="s">
        <v>34</v>
      </c>
      <c r="H681" t="s">
        <v>54</v>
      </c>
      <c r="J681" t="s">
        <v>56</v>
      </c>
      <c r="K681" t="s">
        <v>775</v>
      </c>
      <c r="L681" t="s">
        <v>39</v>
      </c>
      <c r="M681" t="s">
        <v>37</v>
      </c>
      <c r="N681" t="s">
        <v>775</v>
      </c>
      <c r="O681" t="s">
        <v>39</v>
      </c>
      <c r="P681" t="s">
        <v>38</v>
      </c>
      <c r="Q681" t="s">
        <v>38</v>
      </c>
      <c r="R681" t="s">
        <v>40</v>
      </c>
      <c r="S681" t="s">
        <v>41</v>
      </c>
      <c r="T681" t="s">
        <v>2114</v>
      </c>
      <c r="U681" t="s">
        <v>2115</v>
      </c>
      <c r="V681" t="s">
        <v>2052</v>
      </c>
      <c r="W681" t="s">
        <v>2053</v>
      </c>
      <c r="Z681" t="s">
        <v>46</v>
      </c>
      <c r="AA681" t="s">
        <v>2116</v>
      </c>
      <c r="AB681" t="s">
        <v>48</v>
      </c>
      <c r="AC681">
        <f>COUNTIF(C:C,QLKV_gui_ket_qua_ra_soat[[#This Row],[Mã điểm bán]])</f>
        <v>1</v>
      </c>
    </row>
    <row r="682" spans="1:29" x14ac:dyDescent="0.45">
      <c r="A682" t="s">
        <v>2046</v>
      </c>
      <c r="B682">
        <v>3073</v>
      </c>
      <c r="C682" t="s">
        <v>2938</v>
      </c>
      <c r="D682" t="s">
        <v>2939</v>
      </c>
      <c r="E682" t="s">
        <v>128</v>
      </c>
      <c r="F682" t="s">
        <v>1647</v>
      </c>
      <c r="G682" t="s">
        <v>34</v>
      </c>
      <c r="H682" t="s">
        <v>54</v>
      </c>
      <c r="I682" t="s">
        <v>2940</v>
      </c>
      <c r="J682" t="s">
        <v>38</v>
      </c>
      <c r="K682" t="s">
        <v>38</v>
      </c>
      <c r="L682" t="s">
        <v>40</v>
      </c>
      <c r="M682" t="s">
        <v>38</v>
      </c>
      <c r="N682" t="s">
        <v>38</v>
      </c>
      <c r="O682" t="s">
        <v>40</v>
      </c>
      <c r="P682" t="s">
        <v>38</v>
      </c>
      <c r="Q682" t="s">
        <v>38</v>
      </c>
      <c r="R682" t="s">
        <v>40</v>
      </c>
      <c r="S682" t="s">
        <v>41</v>
      </c>
      <c r="T682" t="s">
        <v>2050</v>
      </c>
      <c r="U682" t="s">
        <v>2051</v>
      </c>
      <c r="V682" t="s">
        <v>2052</v>
      </c>
      <c r="W682" t="s">
        <v>2053</v>
      </c>
      <c r="X682" t="s">
        <v>46</v>
      </c>
      <c r="AC682">
        <f>COUNTIF(C:C,QLKV_gui_ket_qua_ra_soat[[#This Row],[Mã điểm bán]])</f>
        <v>1</v>
      </c>
    </row>
    <row r="683" spans="1:29" x14ac:dyDescent="0.45">
      <c r="A683" t="s">
        <v>2046</v>
      </c>
      <c r="B683">
        <v>3091</v>
      </c>
      <c r="C683" t="s">
        <v>2941</v>
      </c>
      <c r="D683" t="s">
        <v>2942</v>
      </c>
      <c r="E683" t="s">
        <v>2943</v>
      </c>
      <c r="F683" t="s">
        <v>653</v>
      </c>
      <c r="G683" t="s">
        <v>34</v>
      </c>
      <c r="H683" t="s">
        <v>100</v>
      </c>
      <c r="I683" t="s">
        <v>2944</v>
      </c>
      <c r="J683" t="s">
        <v>38</v>
      </c>
      <c r="K683" t="s">
        <v>38</v>
      </c>
      <c r="L683" t="s">
        <v>40</v>
      </c>
      <c r="M683" t="s">
        <v>38</v>
      </c>
      <c r="N683" t="s">
        <v>56</v>
      </c>
      <c r="O683" t="s">
        <v>39</v>
      </c>
      <c r="P683" t="s">
        <v>38</v>
      </c>
      <c r="Q683" t="s">
        <v>38</v>
      </c>
      <c r="R683" t="s">
        <v>40</v>
      </c>
      <c r="S683" t="s">
        <v>2945</v>
      </c>
      <c r="T683" t="s">
        <v>2062</v>
      </c>
      <c r="U683" t="s">
        <v>2063</v>
      </c>
      <c r="V683" t="s">
        <v>2052</v>
      </c>
      <c r="W683" t="s">
        <v>2053</v>
      </c>
      <c r="X683" t="s">
        <v>46</v>
      </c>
      <c r="AC683">
        <f>COUNTIF(C:C,QLKV_gui_ket_qua_ra_soat[[#This Row],[Mã điểm bán]])</f>
        <v>1</v>
      </c>
    </row>
    <row r="684" spans="1:29" x14ac:dyDescent="0.45">
      <c r="A684" t="s">
        <v>2046</v>
      </c>
      <c r="B684">
        <v>3107</v>
      </c>
      <c r="C684" t="s">
        <v>2946</v>
      </c>
      <c r="D684" t="s">
        <v>2947</v>
      </c>
      <c r="E684" t="s">
        <v>181</v>
      </c>
      <c r="F684" t="s">
        <v>53</v>
      </c>
      <c r="G684" t="s">
        <v>34</v>
      </c>
      <c r="H684" t="s">
        <v>54</v>
      </c>
      <c r="I684" t="s">
        <v>2283</v>
      </c>
      <c r="J684" t="s">
        <v>38</v>
      </c>
      <c r="K684" t="s">
        <v>38</v>
      </c>
      <c r="L684" t="s">
        <v>40</v>
      </c>
      <c r="M684" t="s">
        <v>37</v>
      </c>
      <c r="N684" t="s">
        <v>38</v>
      </c>
      <c r="O684" t="s">
        <v>40</v>
      </c>
      <c r="P684" t="s">
        <v>38</v>
      </c>
      <c r="Q684" t="s">
        <v>38</v>
      </c>
      <c r="R684" t="s">
        <v>40</v>
      </c>
      <c r="S684" t="s">
        <v>41</v>
      </c>
      <c r="T684" t="s">
        <v>2096</v>
      </c>
      <c r="U684" t="s">
        <v>2097</v>
      </c>
      <c r="V684" t="s">
        <v>2052</v>
      </c>
      <c r="W684" t="s">
        <v>2053</v>
      </c>
      <c r="X684" t="s">
        <v>46</v>
      </c>
      <c r="AC684">
        <f>COUNTIF(C:C,QLKV_gui_ket_qua_ra_soat[[#This Row],[Mã điểm bán]])</f>
        <v>1</v>
      </c>
    </row>
    <row r="685" spans="1:29" x14ac:dyDescent="0.45">
      <c r="A685" t="s">
        <v>2046</v>
      </c>
      <c r="B685">
        <v>3052</v>
      </c>
      <c r="C685" t="s">
        <v>2948</v>
      </c>
      <c r="D685" t="s">
        <v>2949</v>
      </c>
      <c r="E685" t="s">
        <v>176</v>
      </c>
      <c r="F685" t="s">
        <v>829</v>
      </c>
      <c r="G685" t="s">
        <v>34</v>
      </c>
      <c r="H685" t="s">
        <v>54</v>
      </c>
      <c r="J685" t="s">
        <v>38</v>
      </c>
      <c r="K685" t="s">
        <v>37</v>
      </c>
      <c r="L685" t="s">
        <v>39</v>
      </c>
      <c r="M685" t="s">
        <v>56</v>
      </c>
      <c r="N685" t="s">
        <v>56</v>
      </c>
      <c r="O685" t="s">
        <v>39</v>
      </c>
      <c r="P685" t="s">
        <v>38</v>
      </c>
      <c r="Q685" t="s">
        <v>38</v>
      </c>
      <c r="R685" t="s">
        <v>40</v>
      </c>
      <c r="S685" t="s">
        <v>41</v>
      </c>
      <c r="T685" t="s">
        <v>2114</v>
      </c>
      <c r="U685" t="s">
        <v>2115</v>
      </c>
      <c r="V685" t="s">
        <v>2052</v>
      </c>
      <c r="W685" t="s">
        <v>2053</v>
      </c>
      <c r="X685" t="s">
        <v>46</v>
      </c>
      <c r="AC685">
        <f>COUNTIF(C:C,QLKV_gui_ket_qua_ra_soat[[#This Row],[Mã điểm bán]])</f>
        <v>1</v>
      </c>
    </row>
    <row r="686" spans="1:29" x14ac:dyDescent="0.45">
      <c r="A686" t="s">
        <v>2046</v>
      </c>
      <c r="B686">
        <v>3085</v>
      </c>
      <c r="C686" t="s">
        <v>2950</v>
      </c>
      <c r="D686" t="s">
        <v>2951</v>
      </c>
      <c r="E686" t="s">
        <v>219</v>
      </c>
      <c r="F686" t="s">
        <v>535</v>
      </c>
      <c r="G686" t="s">
        <v>34</v>
      </c>
      <c r="H686" t="s">
        <v>2952</v>
      </c>
      <c r="J686" t="s">
        <v>1034</v>
      </c>
      <c r="K686" t="s">
        <v>37</v>
      </c>
      <c r="L686" t="s">
        <v>39</v>
      </c>
      <c r="M686" t="s">
        <v>38</v>
      </c>
      <c r="N686" t="s">
        <v>37</v>
      </c>
      <c r="O686" t="s">
        <v>39</v>
      </c>
      <c r="P686" t="s">
        <v>38</v>
      </c>
      <c r="Q686" t="s">
        <v>38</v>
      </c>
      <c r="R686" t="s">
        <v>40</v>
      </c>
      <c r="S686" t="s">
        <v>2953</v>
      </c>
      <c r="T686" t="s">
        <v>2114</v>
      </c>
      <c r="U686" t="s">
        <v>2115</v>
      </c>
      <c r="V686" t="s">
        <v>2052</v>
      </c>
      <c r="W686" t="s">
        <v>2053</v>
      </c>
      <c r="X686" t="s">
        <v>46</v>
      </c>
      <c r="AC686">
        <f>COUNTIF(C:C,QLKV_gui_ket_qua_ra_soat[[#This Row],[Mã điểm bán]])</f>
        <v>1</v>
      </c>
    </row>
    <row r="687" spans="1:29" x14ac:dyDescent="0.45">
      <c r="A687" t="s">
        <v>2046</v>
      </c>
      <c r="B687">
        <v>3226</v>
      </c>
      <c r="C687" t="s">
        <v>2959</v>
      </c>
      <c r="D687" t="s">
        <v>2960</v>
      </c>
      <c r="E687" t="s">
        <v>149</v>
      </c>
      <c r="F687" t="s">
        <v>1471</v>
      </c>
      <c r="G687" t="s">
        <v>34</v>
      </c>
      <c r="H687" t="s">
        <v>54</v>
      </c>
      <c r="I687" t="s">
        <v>2961</v>
      </c>
      <c r="J687" t="s">
        <v>38</v>
      </c>
      <c r="K687" t="s">
        <v>38</v>
      </c>
      <c r="L687" t="s">
        <v>40</v>
      </c>
      <c r="M687" t="s">
        <v>38</v>
      </c>
      <c r="N687" t="s">
        <v>38</v>
      </c>
      <c r="O687" t="s">
        <v>40</v>
      </c>
      <c r="P687" t="s">
        <v>38</v>
      </c>
      <c r="Q687" t="s">
        <v>38</v>
      </c>
      <c r="R687" t="s">
        <v>40</v>
      </c>
      <c r="S687" t="s">
        <v>627</v>
      </c>
      <c r="T687" t="s">
        <v>2050</v>
      </c>
      <c r="U687" t="s">
        <v>2051</v>
      </c>
      <c r="V687" t="s">
        <v>2052</v>
      </c>
      <c r="W687" t="s">
        <v>2053</v>
      </c>
      <c r="X687" t="s">
        <v>46</v>
      </c>
      <c r="AC687">
        <f>COUNTIF(C:C,QLKV_gui_ket_qua_ra_soat[[#This Row],[Mã điểm bán]])</f>
        <v>1</v>
      </c>
    </row>
    <row r="688" spans="1:29" x14ac:dyDescent="0.45">
      <c r="A688" t="s">
        <v>2964</v>
      </c>
      <c r="C688" t="s">
        <v>1712</v>
      </c>
      <c r="D688" t="s">
        <v>1713</v>
      </c>
      <c r="E688" t="s">
        <v>1714</v>
      </c>
      <c r="F688" t="s">
        <v>401</v>
      </c>
      <c r="G688" t="s">
        <v>34</v>
      </c>
      <c r="H688" t="s">
        <v>1715</v>
      </c>
      <c r="I688" t="s">
        <v>1716</v>
      </c>
      <c r="J688" t="s">
        <v>56</v>
      </c>
      <c r="K688" t="s">
        <v>56</v>
      </c>
      <c r="L688" t="s">
        <v>39</v>
      </c>
      <c r="M688" t="s">
        <v>56</v>
      </c>
      <c r="N688" t="s">
        <v>56</v>
      </c>
      <c r="O688" t="s">
        <v>39</v>
      </c>
      <c r="P688" t="s">
        <v>56</v>
      </c>
      <c r="Q688" t="s">
        <v>56</v>
      </c>
      <c r="R688" t="s">
        <v>39</v>
      </c>
      <c r="S688" t="s">
        <v>41</v>
      </c>
      <c r="T688" t="s">
        <v>1717</v>
      </c>
      <c r="U688" t="s">
        <v>1718</v>
      </c>
      <c r="V688" t="s">
        <v>1602</v>
      </c>
      <c r="W688" t="s">
        <v>1719</v>
      </c>
      <c r="Z688" t="s">
        <v>46</v>
      </c>
      <c r="AA688" t="s">
        <v>1720</v>
      </c>
      <c r="AB688" t="s">
        <v>1721</v>
      </c>
      <c r="AC688">
        <f>COUNTIF(C:C,QLKV_gui_ket_qua_ra_soat[[#This Row],[Mã điểm bán]])</f>
        <v>1</v>
      </c>
    </row>
    <row r="689" spans="1:29" x14ac:dyDescent="0.45">
      <c r="A689" t="s">
        <v>2964</v>
      </c>
      <c r="C689" t="s">
        <v>1743</v>
      </c>
      <c r="D689" t="s">
        <v>1744</v>
      </c>
      <c r="E689" t="s">
        <v>1745</v>
      </c>
      <c r="F689" t="s">
        <v>325</v>
      </c>
      <c r="G689" t="s">
        <v>34</v>
      </c>
      <c r="H689" t="s">
        <v>1746</v>
      </c>
      <c r="I689" t="s">
        <v>1747</v>
      </c>
      <c r="J689" t="s">
        <v>56</v>
      </c>
      <c r="K689" t="s">
        <v>56</v>
      </c>
      <c r="L689" t="s">
        <v>39</v>
      </c>
      <c r="M689" t="s">
        <v>56</v>
      </c>
      <c r="N689" t="s">
        <v>56</v>
      </c>
      <c r="O689" t="s">
        <v>39</v>
      </c>
      <c r="P689" t="s">
        <v>56</v>
      </c>
      <c r="Q689" t="s">
        <v>56</v>
      </c>
      <c r="R689" t="s">
        <v>39</v>
      </c>
      <c r="S689" t="s">
        <v>41</v>
      </c>
      <c r="T689" t="s">
        <v>1717</v>
      </c>
      <c r="U689" t="s">
        <v>1718</v>
      </c>
      <c r="V689" t="s">
        <v>1602</v>
      </c>
      <c r="W689" t="s">
        <v>1719</v>
      </c>
      <c r="Z689" t="s">
        <v>46</v>
      </c>
      <c r="AA689" t="s">
        <v>1720</v>
      </c>
      <c r="AB689" t="s">
        <v>1721</v>
      </c>
      <c r="AC689">
        <f>COUNTIF(C:C,QLKV_gui_ket_qua_ra_soat[[#This Row],[Mã điểm bán]])</f>
        <v>1</v>
      </c>
    </row>
    <row r="690" spans="1:29" x14ac:dyDescent="0.45">
      <c r="A690" t="s">
        <v>2964</v>
      </c>
      <c r="C690" t="s">
        <v>1748</v>
      </c>
      <c r="D690" t="s">
        <v>1749</v>
      </c>
      <c r="E690" t="s">
        <v>1360</v>
      </c>
      <c r="F690" t="s">
        <v>325</v>
      </c>
      <c r="G690" t="s">
        <v>34</v>
      </c>
      <c r="H690" t="s">
        <v>1750</v>
      </c>
      <c r="I690" t="s">
        <v>1751</v>
      </c>
      <c r="J690" t="s">
        <v>56</v>
      </c>
      <c r="K690" t="s">
        <v>56</v>
      </c>
      <c r="L690" t="s">
        <v>39</v>
      </c>
      <c r="M690" t="s">
        <v>56</v>
      </c>
      <c r="N690" t="s">
        <v>56</v>
      </c>
      <c r="O690" t="s">
        <v>39</v>
      </c>
      <c r="P690" t="s">
        <v>56</v>
      </c>
      <c r="Q690" t="s">
        <v>56</v>
      </c>
      <c r="R690" t="s">
        <v>39</v>
      </c>
      <c r="S690" t="s">
        <v>41</v>
      </c>
      <c r="T690" t="s">
        <v>1717</v>
      </c>
      <c r="U690" t="s">
        <v>1718</v>
      </c>
      <c r="V690" t="s">
        <v>1602</v>
      </c>
      <c r="W690" t="s">
        <v>1719</v>
      </c>
      <c r="Z690" t="s">
        <v>46</v>
      </c>
      <c r="AA690" t="s">
        <v>1720</v>
      </c>
      <c r="AB690" t="s">
        <v>1721</v>
      </c>
      <c r="AC690">
        <f>COUNTIF(C:C,QLKV_gui_ket_qua_ra_soat[[#This Row],[Mã điểm bán]])</f>
        <v>1</v>
      </c>
    </row>
    <row r="691" spans="1:29" x14ac:dyDescent="0.45">
      <c r="A691" t="s">
        <v>2964</v>
      </c>
      <c r="C691" t="s">
        <v>1763</v>
      </c>
      <c r="D691" t="s">
        <v>1764</v>
      </c>
      <c r="E691" t="s">
        <v>1765</v>
      </c>
      <c r="F691" t="s">
        <v>1471</v>
      </c>
      <c r="G691" t="s">
        <v>34</v>
      </c>
      <c r="H691" t="s">
        <v>1746</v>
      </c>
      <c r="I691" t="s">
        <v>1766</v>
      </c>
      <c r="J691" t="s">
        <v>38</v>
      </c>
      <c r="K691" t="s">
        <v>38</v>
      </c>
      <c r="L691" t="s">
        <v>40</v>
      </c>
      <c r="M691" t="s">
        <v>37</v>
      </c>
      <c r="N691" t="s">
        <v>37</v>
      </c>
      <c r="O691" t="s">
        <v>39</v>
      </c>
      <c r="P691" t="s">
        <v>38</v>
      </c>
      <c r="Q691" t="s">
        <v>38</v>
      </c>
      <c r="R691" t="s">
        <v>40</v>
      </c>
      <c r="S691" t="s">
        <v>41</v>
      </c>
      <c r="T691" t="s">
        <v>1767</v>
      </c>
      <c r="U691" t="s">
        <v>1718</v>
      </c>
      <c r="V691" t="s">
        <v>1602</v>
      </c>
      <c r="W691" t="s">
        <v>81</v>
      </c>
      <c r="Z691" t="s">
        <v>46</v>
      </c>
      <c r="AA691" t="s">
        <v>1720</v>
      </c>
      <c r="AB691" t="s">
        <v>1721</v>
      </c>
      <c r="AC691">
        <f>COUNTIF(C:C,QLKV_gui_ket_qua_ra_soat[[#This Row],[Mã điểm bán]])</f>
        <v>1</v>
      </c>
    </row>
    <row r="692" spans="1:29" x14ac:dyDescent="0.45">
      <c r="A692" t="s">
        <v>2964</v>
      </c>
      <c r="C692" t="s">
        <v>1768</v>
      </c>
      <c r="D692" t="s">
        <v>1769</v>
      </c>
      <c r="E692" t="s">
        <v>1770</v>
      </c>
      <c r="F692" t="s">
        <v>166</v>
      </c>
      <c r="G692" t="s">
        <v>34</v>
      </c>
      <c r="H692" t="s">
        <v>1263</v>
      </c>
      <c r="I692" t="s">
        <v>1771</v>
      </c>
      <c r="J692" t="s">
        <v>38</v>
      </c>
      <c r="K692" t="s">
        <v>38</v>
      </c>
      <c r="L692" t="s">
        <v>40</v>
      </c>
      <c r="M692" t="s">
        <v>37</v>
      </c>
      <c r="N692" t="s">
        <v>37</v>
      </c>
      <c r="O692" t="s">
        <v>39</v>
      </c>
      <c r="P692" t="s">
        <v>38</v>
      </c>
      <c r="Q692" t="s">
        <v>38</v>
      </c>
      <c r="R692" t="s">
        <v>40</v>
      </c>
      <c r="S692" t="s">
        <v>41</v>
      </c>
      <c r="T692" t="s">
        <v>1767</v>
      </c>
      <c r="U692" t="s">
        <v>1718</v>
      </c>
      <c r="V692" t="s">
        <v>1602</v>
      </c>
      <c r="W692" t="s">
        <v>81</v>
      </c>
      <c r="Z692" t="s">
        <v>46</v>
      </c>
      <c r="AA692" t="s">
        <v>1720</v>
      </c>
      <c r="AB692" t="s">
        <v>1721</v>
      </c>
      <c r="AC692">
        <f>COUNTIF(C:C,QLKV_gui_ket_qua_ra_soat[[#This Row],[Mã điểm bán]])</f>
        <v>1</v>
      </c>
    </row>
    <row r="693" spans="1:29" x14ac:dyDescent="0.45">
      <c r="A693" t="s">
        <v>2964</v>
      </c>
      <c r="C693" t="s">
        <v>1821</v>
      </c>
      <c r="D693" t="s">
        <v>1822</v>
      </c>
      <c r="E693" t="s">
        <v>1823</v>
      </c>
      <c r="F693" t="s">
        <v>426</v>
      </c>
      <c r="G693" t="s">
        <v>150</v>
      </c>
      <c r="H693" t="s">
        <v>620</v>
      </c>
      <c r="I693" t="s">
        <v>1824</v>
      </c>
      <c r="J693" t="s">
        <v>56</v>
      </c>
      <c r="K693" t="s">
        <v>56</v>
      </c>
      <c r="L693" t="s">
        <v>39</v>
      </c>
      <c r="M693" t="s">
        <v>775</v>
      </c>
      <c r="N693" t="s">
        <v>775</v>
      </c>
      <c r="O693" t="s">
        <v>39</v>
      </c>
      <c r="P693" t="s">
        <v>56</v>
      </c>
      <c r="Q693" t="s">
        <v>56</v>
      </c>
      <c r="R693" t="s">
        <v>39</v>
      </c>
      <c r="S693" t="s">
        <v>41</v>
      </c>
      <c r="T693" t="s">
        <v>1717</v>
      </c>
      <c r="U693" t="s">
        <v>1718</v>
      </c>
      <c r="V693" t="s">
        <v>1602</v>
      </c>
      <c r="W693" t="s">
        <v>1719</v>
      </c>
      <c r="Z693" t="s">
        <v>46</v>
      </c>
      <c r="AA693" t="s">
        <v>1720</v>
      </c>
      <c r="AB693" t="s">
        <v>1721</v>
      </c>
      <c r="AC693">
        <f>COUNTIF(C:C,QLKV_gui_ket_qua_ra_soat[[#This Row],[Mã điểm bán]])</f>
        <v>1</v>
      </c>
    </row>
    <row r="694" spans="1:29" x14ac:dyDescent="0.45">
      <c r="A694" t="s">
        <v>2964</v>
      </c>
      <c r="C694" t="s">
        <v>1858</v>
      </c>
      <c r="D694" t="s">
        <v>1859</v>
      </c>
      <c r="E694" t="s">
        <v>1621</v>
      </c>
      <c r="F694" t="s">
        <v>1861</v>
      </c>
      <c r="G694" t="s">
        <v>34</v>
      </c>
      <c r="H694" t="s">
        <v>345</v>
      </c>
      <c r="I694" t="s">
        <v>1862</v>
      </c>
      <c r="J694" t="s">
        <v>56</v>
      </c>
      <c r="K694" t="s">
        <v>56</v>
      </c>
      <c r="L694" t="s">
        <v>39</v>
      </c>
      <c r="M694" t="s">
        <v>56</v>
      </c>
      <c r="N694" t="s">
        <v>56</v>
      </c>
      <c r="O694" t="s">
        <v>39</v>
      </c>
      <c r="P694" t="s">
        <v>56</v>
      </c>
      <c r="Q694" t="s">
        <v>56</v>
      </c>
      <c r="R694" t="s">
        <v>39</v>
      </c>
      <c r="S694" t="s">
        <v>41</v>
      </c>
      <c r="T694" t="s">
        <v>1717</v>
      </c>
      <c r="U694" t="s">
        <v>1718</v>
      </c>
      <c r="V694" t="s">
        <v>1602</v>
      </c>
      <c r="W694" t="s">
        <v>1719</v>
      </c>
      <c r="Z694" t="s">
        <v>46</v>
      </c>
      <c r="AA694" t="s">
        <v>1720</v>
      </c>
      <c r="AB694" t="s">
        <v>1721</v>
      </c>
      <c r="AC694">
        <f>COUNTIF(C:C,QLKV_gui_ket_qua_ra_soat[[#This Row],[Mã điểm bán]])</f>
        <v>1</v>
      </c>
    </row>
    <row r="695" spans="1:29" x14ac:dyDescent="0.45">
      <c r="A695" t="s">
        <v>2964</v>
      </c>
      <c r="C695" t="s">
        <v>1879</v>
      </c>
      <c r="D695" t="s">
        <v>1880</v>
      </c>
      <c r="E695" t="s">
        <v>1695</v>
      </c>
      <c r="F695" t="s">
        <v>1882</v>
      </c>
      <c r="G695" t="s">
        <v>34</v>
      </c>
      <c r="H695" t="s">
        <v>345</v>
      </c>
      <c r="I695" t="s">
        <v>1883</v>
      </c>
      <c r="J695" t="s">
        <v>38</v>
      </c>
      <c r="K695" t="s">
        <v>38</v>
      </c>
      <c r="L695" t="s">
        <v>40</v>
      </c>
      <c r="M695" t="s">
        <v>37</v>
      </c>
      <c r="N695" t="s">
        <v>37</v>
      </c>
      <c r="O695" t="s">
        <v>39</v>
      </c>
      <c r="P695" t="s">
        <v>38</v>
      </c>
      <c r="Q695" t="s">
        <v>38</v>
      </c>
      <c r="R695" t="s">
        <v>40</v>
      </c>
      <c r="S695" t="s">
        <v>41</v>
      </c>
      <c r="T695" t="s">
        <v>1767</v>
      </c>
      <c r="U695" t="s">
        <v>1718</v>
      </c>
      <c r="V695" t="s">
        <v>1602</v>
      </c>
      <c r="W695" t="s">
        <v>81</v>
      </c>
      <c r="Z695" t="s">
        <v>46</v>
      </c>
      <c r="AA695" t="s">
        <v>1720</v>
      </c>
      <c r="AB695" t="s">
        <v>1721</v>
      </c>
      <c r="AC695">
        <f>COUNTIF(C:C,QLKV_gui_ket_qua_ra_soat[[#This Row],[Mã điểm bán]])</f>
        <v>1</v>
      </c>
    </row>
    <row r="696" spans="1:29" x14ac:dyDescent="0.45">
      <c r="A696" t="s">
        <v>2964</v>
      </c>
      <c r="C696" t="s">
        <v>1900</v>
      </c>
      <c r="D696" t="s">
        <v>1901</v>
      </c>
      <c r="E696" t="s">
        <v>1902</v>
      </c>
      <c r="F696" t="s">
        <v>1903</v>
      </c>
      <c r="G696" t="s">
        <v>34</v>
      </c>
      <c r="H696" t="s">
        <v>1904</v>
      </c>
      <c r="I696" t="s">
        <v>1905</v>
      </c>
      <c r="J696" t="s">
        <v>38</v>
      </c>
      <c r="K696" t="s">
        <v>38</v>
      </c>
      <c r="L696" t="s">
        <v>40</v>
      </c>
      <c r="M696" t="s">
        <v>37</v>
      </c>
      <c r="N696" t="s">
        <v>37</v>
      </c>
      <c r="O696" t="s">
        <v>39</v>
      </c>
      <c r="P696" t="s">
        <v>38</v>
      </c>
      <c r="Q696" t="s">
        <v>38</v>
      </c>
      <c r="R696" t="s">
        <v>40</v>
      </c>
      <c r="S696" t="s">
        <v>41</v>
      </c>
      <c r="T696" t="s">
        <v>1767</v>
      </c>
      <c r="U696" t="s">
        <v>1718</v>
      </c>
      <c r="V696" t="s">
        <v>1602</v>
      </c>
      <c r="W696" t="s">
        <v>81</v>
      </c>
      <c r="Z696" t="s">
        <v>46</v>
      </c>
      <c r="AA696" t="s">
        <v>1720</v>
      </c>
      <c r="AB696" t="s">
        <v>1721</v>
      </c>
      <c r="AC696">
        <f>COUNTIF(C:C,QLKV_gui_ket_qua_ra_soat[[#This Row],[Mã điểm bán]])</f>
        <v>1</v>
      </c>
    </row>
    <row r="697" spans="1:29" x14ac:dyDescent="0.45">
      <c r="A697" t="s">
        <v>2965</v>
      </c>
      <c r="B697">
        <v>641</v>
      </c>
      <c r="C697" t="s">
        <v>2966</v>
      </c>
      <c r="D697" t="s">
        <v>1791</v>
      </c>
      <c r="E697" t="s">
        <v>2967</v>
      </c>
      <c r="F697" t="s">
        <v>53</v>
      </c>
      <c r="G697" t="s">
        <v>34</v>
      </c>
      <c r="H697" t="s">
        <v>54</v>
      </c>
      <c r="I697" t="s">
        <v>2968</v>
      </c>
      <c r="J697" t="s">
        <v>38</v>
      </c>
      <c r="K697" t="s">
        <v>38</v>
      </c>
      <c r="L697" t="s">
        <v>40</v>
      </c>
      <c r="M697" t="s">
        <v>38</v>
      </c>
      <c r="N697" t="s">
        <v>38</v>
      </c>
      <c r="O697" t="s">
        <v>39</v>
      </c>
      <c r="P697" t="s">
        <v>38</v>
      </c>
      <c r="Q697" t="s">
        <v>38</v>
      </c>
      <c r="R697" t="s">
        <v>40</v>
      </c>
      <c r="S697" t="s">
        <v>41</v>
      </c>
      <c r="T697" t="s">
        <v>2969</v>
      </c>
      <c r="U697" t="s">
        <v>2970</v>
      </c>
      <c r="V697" t="s">
        <v>2971</v>
      </c>
      <c r="W697" t="s">
        <v>2972</v>
      </c>
      <c r="X697" t="s">
        <v>46</v>
      </c>
      <c r="AC697">
        <f>COUNTIF(C:C,QLKV_gui_ket_qua_ra_soat[[#This Row],[Mã điểm bán]])</f>
        <v>1</v>
      </c>
    </row>
    <row r="698" spans="1:29" x14ac:dyDescent="0.45">
      <c r="A698" t="s">
        <v>2965</v>
      </c>
      <c r="B698">
        <v>815</v>
      </c>
      <c r="C698" t="s">
        <v>2973</v>
      </c>
      <c r="D698" t="s">
        <v>2974</v>
      </c>
      <c r="E698" t="s">
        <v>189</v>
      </c>
      <c r="F698" t="s">
        <v>426</v>
      </c>
      <c r="G698" t="s">
        <v>34</v>
      </c>
      <c r="H698" t="s">
        <v>54</v>
      </c>
      <c r="I698" t="s">
        <v>2975</v>
      </c>
      <c r="J698" t="s">
        <v>37</v>
      </c>
      <c r="K698" t="s">
        <v>37</v>
      </c>
      <c r="L698" t="s">
        <v>39</v>
      </c>
      <c r="M698" t="s">
        <v>37</v>
      </c>
      <c r="N698" t="s">
        <v>37</v>
      </c>
      <c r="O698" t="s">
        <v>39</v>
      </c>
      <c r="P698" t="s">
        <v>37</v>
      </c>
      <c r="Q698" t="s">
        <v>37</v>
      </c>
      <c r="R698" t="s">
        <v>39</v>
      </c>
      <c r="S698" t="s">
        <v>41</v>
      </c>
      <c r="T698" t="s">
        <v>2976</v>
      </c>
      <c r="U698" t="s">
        <v>2977</v>
      </c>
      <c r="V698" t="s">
        <v>2971</v>
      </c>
      <c r="W698" t="s">
        <v>2978</v>
      </c>
      <c r="X698" t="s">
        <v>46</v>
      </c>
      <c r="AC698">
        <f>COUNTIF(C:C,QLKV_gui_ket_qua_ra_soat[[#This Row],[Mã điểm bán]])</f>
        <v>1</v>
      </c>
    </row>
    <row r="699" spans="1:29" x14ac:dyDescent="0.45">
      <c r="A699" t="s">
        <v>2965</v>
      </c>
      <c r="B699">
        <v>822</v>
      </c>
      <c r="C699" t="s">
        <v>2979</v>
      </c>
      <c r="D699" t="s">
        <v>2980</v>
      </c>
      <c r="E699" t="s">
        <v>92</v>
      </c>
      <c r="F699" t="s">
        <v>819</v>
      </c>
      <c r="G699" t="s">
        <v>34</v>
      </c>
      <c r="H699" t="s">
        <v>54</v>
      </c>
      <c r="I699" t="s">
        <v>2981</v>
      </c>
      <c r="J699" t="s">
        <v>37</v>
      </c>
      <c r="K699" t="s">
        <v>37</v>
      </c>
      <c r="L699" t="s">
        <v>39</v>
      </c>
      <c r="M699" t="s">
        <v>37</v>
      </c>
      <c r="N699" t="s">
        <v>37</v>
      </c>
      <c r="O699" t="s">
        <v>39</v>
      </c>
      <c r="P699" t="s">
        <v>38</v>
      </c>
      <c r="Q699" t="s">
        <v>38</v>
      </c>
      <c r="R699" t="s">
        <v>40</v>
      </c>
      <c r="S699" t="s">
        <v>2982</v>
      </c>
      <c r="T699" t="s">
        <v>2976</v>
      </c>
      <c r="U699" t="s">
        <v>2977</v>
      </c>
      <c r="V699" t="s">
        <v>2971</v>
      </c>
      <c r="W699" t="s">
        <v>2978</v>
      </c>
      <c r="Z699" t="s">
        <v>46</v>
      </c>
      <c r="AA699" t="s">
        <v>2983</v>
      </c>
      <c r="AB699" t="s">
        <v>117</v>
      </c>
      <c r="AC699">
        <f>COUNTIF(C:C,QLKV_gui_ket_qua_ra_soat[[#This Row],[Mã điểm bán]])</f>
        <v>1</v>
      </c>
    </row>
    <row r="700" spans="1:29" x14ac:dyDescent="0.45">
      <c r="A700" t="s">
        <v>2965</v>
      </c>
      <c r="B700">
        <v>832</v>
      </c>
      <c r="C700" t="s">
        <v>2984</v>
      </c>
      <c r="D700" t="s">
        <v>2985</v>
      </c>
      <c r="E700" t="s">
        <v>563</v>
      </c>
      <c r="F700" t="s">
        <v>2986</v>
      </c>
      <c r="G700" t="s">
        <v>34</v>
      </c>
      <c r="H700" t="s">
        <v>54</v>
      </c>
      <c r="I700" t="s">
        <v>2987</v>
      </c>
      <c r="J700" t="s">
        <v>37</v>
      </c>
      <c r="K700" t="s">
        <v>37</v>
      </c>
      <c r="L700" t="s">
        <v>39</v>
      </c>
      <c r="M700" t="s">
        <v>37</v>
      </c>
      <c r="N700" t="s">
        <v>37</v>
      </c>
      <c r="O700" t="s">
        <v>39</v>
      </c>
      <c r="P700" t="s">
        <v>38</v>
      </c>
      <c r="Q700" t="s">
        <v>38</v>
      </c>
      <c r="R700" t="s">
        <v>40</v>
      </c>
      <c r="S700" t="s">
        <v>2988</v>
      </c>
      <c r="T700" t="s">
        <v>2976</v>
      </c>
      <c r="U700" t="s">
        <v>2977</v>
      </c>
      <c r="V700" t="s">
        <v>2971</v>
      </c>
      <c r="W700" t="s">
        <v>2972</v>
      </c>
      <c r="Z700" t="s">
        <v>46</v>
      </c>
      <c r="AA700" t="s">
        <v>2983</v>
      </c>
      <c r="AB700" t="s">
        <v>117</v>
      </c>
      <c r="AC700">
        <f>COUNTIF(C:C,QLKV_gui_ket_qua_ra_soat[[#This Row],[Mã điểm bán]])</f>
        <v>1</v>
      </c>
    </row>
    <row r="701" spans="1:29" x14ac:dyDescent="0.45">
      <c r="A701" t="s">
        <v>2965</v>
      </c>
      <c r="B701">
        <v>879</v>
      </c>
      <c r="C701" t="s">
        <v>2989</v>
      </c>
      <c r="D701" t="s">
        <v>2990</v>
      </c>
      <c r="E701" t="s">
        <v>219</v>
      </c>
      <c r="F701" t="s">
        <v>535</v>
      </c>
      <c r="G701" t="s">
        <v>177</v>
      </c>
      <c r="H701" t="s">
        <v>54</v>
      </c>
      <c r="I701" t="s">
        <v>2991</v>
      </c>
      <c r="J701" t="s">
        <v>56</v>
      </c>
      <c r="K701" t="s">
        <v>56</v>
      </c>
      <c r="L701" t="s">
        <v>39</v>
      </c>
      <c r="M701" t="s">
        <v>56</v>
      </c>
      <c r="N701" t="s">
        <v>56</v>
      </c>
      <c r="O701" t="s">
        <v>39</v>
      </c>
      <c r="P701" t="s">
        <v>56</v>
      </c>
      <c r="Q701" t="s">
        <v>56</v>
      </c>
      <c r="R701" t="s">
        <v>39</v>
      </c>
      <c r="S701" t="s">
        <v>2992</v>
      </c>
      <c r="T701" t="s">
        <v>2976</v>
      </c>
      <c r="U701" t="s">
        <v>2977</v>
      </c>
      <c r="V701" t="s">
        <v>2971</v>
      </c>
      <c r="W701" t="s">
        <v>2972</v>
      </c>
      <c r="Z701" t="s">
        <v>46</v>
      </c>
      <c r="AA701" t="s">
        <v>2983</v>
      </c>
      <c r="AB701" t="s">
        <v>117</v>
      </c>
      <c r="AC701">
        <f>COUNTIF(C:C,QLKV_gui_ket_qua_ra_soat[[#This Row],[Mã điểm bán]])</f>
        <v>1</v>
      </c>
    </row>
    <row r="702" spans="1:29" x14ac:dyDescent="0.45">
      <c r="A702" t="s">
        <v>2965</v>
      </c>
      <c r="B702">
        <v>881</v>
      </c>
      <c r="C702" t="s">
        <v>2993</v>
      </c>
      <c r="D702" t="s">
        <v>2994</v>
      </c>
      <c r="E702" t="s">
        <v>2995</v>
      </c>
      <c r="F702" t="s">
        <v>53</v>
      </c>
      <c r="G702" t="s">
        <v>34</v>
      </c>
      <c r="H702" t="s">
        <v>1746</v>
      </c>
      <c r="I702" t="s">
        <v>2996</v>
      </c>
      <c r="J702" t="s">
        <v>38</v>
      </c>
      <c r="K702" t="s">
        <v>38</v>
      </c>
      <c r="L702" t="s">
        <v>40</v>
      </c>
      <c r="M702" t="s">
        <v>38</v>
      </c>
      <c r="N702" t="s">
        <v>38</v>
      </c>
      <c r="O702" t="s">
        <v>40</v>
      </c>
      <c r="P702" t="s">
        <v>38</v>
      </c>
      <c r="Q702" t="s">
        <v>38</v>
      </c>
      <c r="R702" t="s">
        <v>40</v>
      </c>
      <c r="S702" t="s">
        <v>41</v>
      </c>
      <c r="T702" t="s">
        <v>2997</v>
      </c>
      <c r="U702" t="s">
        <v>2998</v>
      </c>
      <c r="V702" t="s">
        <v>2971</v>
      </c>
      <c r="W702" t="s">
        <v>2972</v>
      </c>
      <c r="X702" t="s">
        <v>46</v>
      </c>
      <c r="AB702" t="s">
        <v>2999</v>
      </c>
      <c r="AC702">
        <f>COUNTIF(C:C,QLKV_gui_ket_qua_ra_soat[[#This Row],[Mã điểm bán]])</f>
        <v>1</v>
      </c>
    </row>
    <row r="703" spans="1:29" x14ac:dyDescent="0.45">
      <c r="A703" t="s">
        <v>2965</v>
      </c>
      <c r="B703">
        <v>885</v>
      </c>
      <c r="C703" t="s">
        <v>3000</v>
      </c>
      <c r="D703" t="s">
        <v>3001</v>
      </c>
      <c r="E703" t="s">
        <v>304</v>
      </c>
      <c r="F703" t="s">
        <v>53</v>
      </c>
      <c r="G703" t="s">
        <v>177</v>
      </c>
      <c r="H703" t="s">
        <v>54</v>
      </c>
      <c r="I703" t="s">
        <v>3002</v>
      </c>
      <c r="J703" t="s">
        <v>56</v>
      </c>
      <c r="K703" t="s">
        <v>56</v>
      </c>
      <c r="L703" t="s">
        <v>39</v>
      </c>
      <c r="M703" t="s">
        <v>56</v>
      </c>
      <c r="N703" t="s">
        <v>56</v>
      </c>
      <c r="O703" t="s">
        <v>39</v>
      </c>
      <c r="P703" t="s">
        <v>37</v>
      </c>
      <c r="Q703" t="s">
        <v>37</v>
      </c>
      <c r="R703" t="s">
        <v>39</v>
      </c>
      <c r="S703" t="s">
        <v>3003</v>
      </c>
      <c r="T703" t="s">
        <v>2976</v>
      </c>
      <c r="U703" t="s">
        <v>2977</v>
      </c>
      <c r="V703" t="s">
        <v>2971</v>
      </c>
      <c r="W703" t="s">
        <v>2972</v>
      </c>
      <c r="X703" t="s">
        <v>46</v>
      </c>
      <c r="AC703">
        <f>COUNTIF(C:C,QLKV_gui_ket_qua_ra_soat[[#This Row],[Mã điểm bán]])</f>
        <v>1</v>
      </c>
    </row>
    <row r="704" spans="1:29" x14ac:dyDescent="0.45">
      <c r="A704" t="s">
        <v>2965</v>
      </c>
      <c r="B704">
        <v>892</v>
      </c>
      <c r="C704" t="s">
        <v>3004</v>
      </c>
      <c r="D704" t="s">
        <v>3005</v>
      </c>
      <c r="E704" t="s">
        <v>3006</v>
      </c>
      <c r="F704" t="s">
        <v>53</v>
      </c>
      <c r="G704" t="s">
        <v>34</v>
      </c>
      <c r="H704" t="s">
        <v>54</v>
      </c>
      <c r="I704" t="s">
        <v>3007</v>
      </c>
      <c r="J704" t="s">
        <v>38</v>
      </c>
      <c r="K704" t="s">
        <v>38</v>
      </c>
      <c r="L704" t="s">
        <v>40</v>
      </c>
      <c r="M704" t="s">
        <v>38</v>
      </c>
      <c r="N704" t="s">
        <v>38</v>
      </c>
      <c r="O704" t="s">
        <v>40</v>
      </c>
      <c r="P704" t="s">
        <v>38</v>
      </c>
      <c r="Q704" t="s">
        <v>38</v>
      </c>
      <c r="R704" t="s">
        <v>40</v>
      </c>
      <c r="S704" t="s">
        <v>41</v>
      </c>
      <c r="T704" t="s">
        <v>2997</v>
      </c>
      <c r="U704" t="s">
        <v>2998</v>
      </c>
      <c r="V704" t="s">
        <v>2971</v>
      </c>
      <c r="W704" t="s">
        <v>2972</v>
      </c>
      <c r="X704" t="s">
        <v>46</v>
      </c>
      <c r="AB704" t="s">
        <v>117</v>
      </c>
      <c r="AC704">
        <f>COUNTIF(C:C,QLKV_gui_ket_qua_ra_soat[[#This Row],[Mã điểm bán]])</f>
        <v>1</v>
      </c>
    </row>
    <row r="705" spans="1:29" x14ac:dyDescent="0.45">
      <c r="A705" t="s">
        <v>2965</v>
      </c>
      <c r="B705">
        <v>893</v>
      </c>
      <c r="C705" t="s">
        <v>3008</v>
      </c>
      <c r="D705" t="s">
        <v>3009</v>
      </c>
      <c r="E705" t="s">
        <v>3010</v>
      </c>
      <c r="F705" t="s">
        <v>53</v>
      </c>
      <c r="G705" t="s">
        <v>34</v>
      </c>
      <c r="H705" t="s">
        <v>685</v>
      </c>
      <c r="I705" t="s">
        <v>3011</v>
      </c>
      <c r="J705" t="s">
        <v>38</v>
      </c>
      <c r="K705" t="s">
        <v>38</v>
      </c>
      <c r="L705" t="s">
        <v>40</v>
      </c>
      <c r="M705" t="s">
        <v>38</v>
      </c>
      <c r="N705" t="s">
        <v>38</v>
      </c>
      <c r="O705" t="s">
        <v>40</v>
      </c>
      <c r="P705" t="s">
        <v>38</v>
      </c>
      <c r="Q705" t="s">
        <v>38</v>
      </c>
      <c r="R705" t="s">
        <v>40</v>
      </c>
      <c r="S705" t="s">
        <v>41</v>
      </c>
      <c r="T705" t="s">
        <v>2997</v>
      </c>
      <c r="U705" t="s">
        <v>2998</v>
      </c>
      <c r="V705" t="s">
        <v>2971</v>
      </c>
      <c r="W705" t="s">
        <v>2972</v>
      </c>
      <c r="X705" t="s">
        <v>46</v>
      </c>
      <c r="AB705" t="s">
        <v>3012</v>
      </c>
      <c r="AC705">
        <f>COUNTIF(C:C,QLKV_gui_ket_qua_ra_soat[[#This Row],[Mã điểm bán]])</f>
        <v>1</v>
      </c>
    </row>
    <row r="706" spans="1:29" x14ac:dyDescent="0.45">
      <c r="A706" t="s">
        <v>2965</v>
      </c>
      <c r="B706">
        <v>896</v>
      </c>
      <c r="C706" t="s">
        <v>3013</v>
      </c>
      <c r="D706" t="s">
        <v>3014</v>
      </c>
      <c r="E706" t="s">
        <v>3015</v>
      </c>
      <c r="F706" t="s">
        <v>53</v>
      </c>
      <c r="G706" t="s">
        <v>34</v>
      </c>
      <c r="H706" t="s">
        <v>54</v>
      </c>
      <c r="I706" t="s">
        <v>3016</v>
      </c>
      <c r="J706" t="s">
        <v>38</v>
      </c>
      <c r="K706" t="s">
        <v>38</v>
      </c>
      <c r="L706" t="s">
        <v>40</v>
      </c>
      <c r="M706" t="s">
        <v>38</v>
      </c>
      <c r="N706" t="s">
        <v>38</v>
      </c>
      <c r="O706" t="s">
        <v>40</v>
      </c>
      <c r="P706" t="s">
        <v>38</v>
      </c>
      <c r="Q706" t="s">
        <v>38</v>
      </c>
      <c r="R706" t="s">
        <v>40</v>
      </c>
      <c r="S706" t="s">
        <v>41</v>
      </c>
      <c r="T706" t="s">
        <v>2997</v>
      </c>
      <c r="U706" t="s">
        <v>2998</v>
      </c>
      <c r="V706" t="s">
        <v>2971</v>
      </c>
      <c r="W706" t="s">
        <v>2972</v>
      </c>
      <c r="X706" t="s">
        <v>46</v>
      </c>
      <c r="AC706">
        <f>COUNTIF(C:C,QLKV_gui_ket_qua_ra_soat[[#This Row],[Mã điểm bán]])</f>
        <v>1</v>
      </c>
    </row>
    <row r="707" spans="1:29" x14ac:dyDescent="0.45">
      <c r="A707" t="s">
        <v>2965</v>
      </c>
      <c r="B707">
        <v>905</v>
      </c>
      <c r="C707" t="s">
        <v>3017</v>
      </c>
      <c r="D707" t="s">
        <v>3018</v>
      </c>
      <c r="E707" t="s">
        <v>416</v>
      </c>
      <c r="F707" t="s">
        <v>401</v>
      </c>
      <c r="G707" t="s">
        <v>177</v>
      </c>
      <c r="H707" t="s">
        <v>54</v>
      </c>
      <c r="I707" t="s">
        <v>3019</v>
      </c>
      <c r="J707" t="s">
        <v>38</v>
      </c>
      <c r="K707" t="s">
        <v>38</v>
      </c>
      <c r="L707" t="s">
        <v>40</v>
      </c>
      <c r="M707" t="s">
        <v>38</v>
      </c>
      <c r="N707" t="s">
        <v>37</v>
      </c>
      <c r="O707" t="s">
        <v>39</v>
      </c>
      <c r="P707" t="s">
        <v>38</v>
      </c>
      <c r="Q707" t="s">
        <v>38</v>
      </c>
      <c r="R707" t="s">
        <v>40</v>
      </c>
      <c r="S707" t="s">
        <v>41</v>
      </c>
      <c r="T707" t="s">
        <v>3020</v>
      </c>
      <c r="U707" t="s">
        <v>3021</v>
      </c>
      <c r="V707" t="s">
        <v>2971</v>
      </c>
      <c r="W707" t="s">
        <v>2972</v>
      </c>
      <c r="X707" t="s">
        <v>46</v>
      </c>
      <c r="AC707">
        <f>COUNTIF(C:C,QLKV_gui_ket_qua_ra_soat[[#This Row],[Mã điểm bán]])</f>
        <v>1</v>
      </c>
    </row>
    <row r="708" spans="1:29" x14ac:dyDescent="0.45">
      <c r="A708" t="s">
        <v>2965</v>
      </c>
      <c r="B708">
        <v>908</v>
      </c>
      <c r="C708" t="s">
        <v>3022</v>
      </c>
      <c r="D708" t="s">
        <v>3023</v>
      </c>
      <c r="E708" t="s">
        <v>109</v>
      </c>
      <c r="F708" t="s">
        <v>53</v>
      </c>
      <c r="G708" t="s">
        <v>177</v>
      </c>
      <c r="H708" t="s">
        <v>54</v>
      </c>
      <c r="I708" t="s">
        <v>3024</v>
      </c>
      <c r="J708" t="s">
        <v>38</v>
      </c>
      <c r="K708" t="s">
        <v>38</v>
      </c>
      <c r="L708" t="s">
        <v>40</v>
      </c>
      <c r="M708" t="s">
        <v>38</v>
      </c>
      <c r="N708" t="s">
        <v>38</v>
      </c>
      <c r="O708" t="s">
        <v>40</v>
      </c>
      <c r="P708" t="s">
        <v>38</v>
      </c>
      <c r="Q708" t="s">
        <v>38</v>
      </c>
      <c r="R708" t="s">
        <v>40</v>
      </c>
      <c r="S708" t="s">
        <v>41</v>
      </c>
      <c r="T708" t="s">
        <v>3020</v>
      </c>
      <c r="U708" t="s">
        <v>3021</v>
      </c>
      <c r="V708" t="s">
        <v>2971</v>
      </c>
      <c r="W708" t="s">
        <v>2972</v>
      </c>
      <c r="X708" t="s">
        <v>46</v>
      </c>
      <c r="AC708">
        <f>COUNTIF(C:C,QLKV_gui_ket_qua_ra_soat[[#This Row],[Mã điểm bán]])</f>
        <v>1</v>
      </c>
    </row>
    <row r="709" spans="1:29" x14ac:dyDescent="0.45">
      <c r="A709" t="s">
        <v>2965</v>
      </c>
      <c r="B709">
        <v>918</v>
      </c>
      <c r="C709" t="s">
        <v>3025</v>
      </c>
      <c r="D709" t="s">
        <v>3026</v>
      </c>
      <c r="E709" t="s">
        <v>416</v>
      </c>
      <c r="F709" t="s">
        <v>53</v>
      </c>
      <c r="G709" t="s">
        <v>177</v>
      </c>
      <c r="H709" t="s">
        <v>54</v>
      </c>
      <c r="I709" t="s">
        <v>3027</v>
      </c>
      <c r="J709" t="s">
        <v>38</v>
      </c>
      <c r="K709" t="s">
        <v>38</v>
      </c>
      <c r="L709" t="s">
        <v>40</v>
      </c>
      <c r="M709" t="s">
        <v>38</v>
      </c>
      <c r="N709" t="s">
        <v>37</v>
      </c>
      <c r="O709" t="s">
        <v>39</v>
      </c>
      <c r="P709" t="s">
        <v>38</v>
      </c>
      <c r="Q709" t="s">
        <v>38</v>
      </c>
      <c r="R709" t="s">
        <v>40</v>
      </c>
      <c r="S709" t="s">
        <v>41</v>
      </c>
      <c r="T709" t="s">
        <v>3020</v>
      </c>
      <c r="U709" t="s">
        <v>3021</v>
      </c>
      <c r="V709" t="s">
        <v>2971</v>
      </c>
      <c r="W709" t="s">
        <v>2972</v>
      </c>
      <c r="X709" t="s">
        <v>46</v>
      </c>
      <c r="AB709" t="s">
        <v>117</v>
      </c>
      <c r="AC709">
        <f>COUNTIF(C:C,QLKV_gui_ket_qua_ra_soat[[#This Row],[Mã điểm bán]])</f>
        <v>1</v>
      </c>
    </row>
    <row r="710" spans="1:29" x14ac:dyDescent="0.45">
      <c r="A710" t="s">
        <v>2965</v>
      </c>
      <c r="B710">
        <v>920</v>
      </c>
      <c r="C710" t="s">
        <v>3028</v>
      </c>
      <c r="D710" t="s">
        <v>3029</v>
      </c>
      <c r="E710" t="s">
        <v>3030</v>
      </c>
      <c r="F710" t="s">
        <v>53</v>
      </c>
      <c r="G710" t="s">
        <v>34</v>
      </c>
      <c r="H710" t="s">
        <v>54</v>
      </c>
      <c r="I710" t="s">
        <v>3031</v>
      </c>
      <c r="J710" t="s">
        <v>38</v>
      </c>
      <c r="K710" t="s">
        <v>38</v>
      </c>
      <c r="L710" t="s">
        <v>40</v>
      </c>
      <c r="M710" t="s">
        <v>38</v>
      </c>
      <c r="N710" t="s">
        <v>38</v>
      </c>
      <c r="O710" t="s">
        <v>40</v>
      </c>
      <c r="P710" t="s">
        <v>38</v>
      </c>
      <c r="Q710" t="s">
        <v>38</v>
      </c>
      <c r="R710" t="s">
        <v>40</v>
      </c>
      <c r="S710" t="s">
        <v>41</v>
      </c>
      <c r="T710" t="s">
        <v>2997</v>
      </c>
      <c r="U710" t="s">
        <v>2998</v>
      </c>
      <c r="V710" t="s">
        <v>2971</v>
      </c>
      <c r="W710" t="s">
        <v>2972</v>
      </c>
      <c r="X710" t="s">
        <v>46</v>
      </c>
      <c r="AC710">
        <f>COUNTIF(C:C,QLKV_gui_ket_qua_ra_soat[[#This Row],[Mã điểm bán]])</f>
        <v>1</v>
      </c>
    </row>
    <row r="711" spans="1:29" x14ac:dyDescent="0.45">
      <c r="A711" t="s">
        <v>2965</v>
      </c>
      <c r="B711">
        <v>922</v>
      </c>
      <c r="C711" t="s">
        <v>3032</v>
      </c>
      <c r="D711" t="s">
        <v>3033</v>
      </c>
      <c r="E711" t="s">
        <v>529</v>
      </c>
      <c r="F711" t="s">
        <v>2204</v>
      </c>
      <c r="G711" t="s">
        <v>34</v>
      </c>
      <c r="H711" t="s">
        <v>54</v>
      </c>
      <c r="I711" t="s">
        <v>3034</v>
      </c>
      <c r="J711" t="s">
        <v>38</v>
      </c>
      <c r="K711" t="s">
        <v>38</v>
      </c>
      <c r="L711" t="s">
        <v>40</v>
      </c>
      <c r="M711" t="s">
        <v>38</v>
      </c>
      <c r="N711" t="s">
        <v>38</v>
      </c>
      <c r="O711" t="s">
        <v>40</v>
      </c>
      <c r="P711" t="s">
        <v>38</v>
      </c>
      <c r="Q711" t="s">
        <v>38</v>
      </c>
      <c r="R711" t="s">
        <v>40</v>
      </c>
      <c r="S711" t="s">
        <v>41</v>
      </c>
      <c r="T711" t="s">
        <v>3035</v>
      </c>
      <c r="U711" t="s">
        <v>2998</v>
      </c>
      <c r="V711" t="s">
        <v>2971</v>
      </c>
      <c r="W711" t="s">
        <v>2972</v>
      </c>
      <c r="Z711" t="s">
        <v>46</v>
      </c>
      <c r="AA711" t="s">
        <v>3036</v>
      </c>
      <c r="AC711">
        <f>COUNTIF(C:C,QLKV_gui_ket_qua_ra_soat[[#This Row],[Mã điểm bán]])</f>
        <v>1</v>
      </c>
    </row>
    <row r="712" spans="1:29" x14ac:dyDescent="0.45">
      <c r="A712" t="s">
        <v>2965</v>
      </c>
      <c r="B712">
        <v>924</v>
      </c>
      <c r="C712" t="s">
        <v>3037</v>
      </c>
      <c r="D712" t="s">
        <v>3038</v>
      </c>
      <c r="E712" t="s">
        <v>190</v>
      </c>
      <c r="F712" t="s">
        <v>53</v>
      </c>
      <c r="G712" t="s">
        <v>34</v>
      </c>
      <c r="H712" t="s">
        <v>54</v>
      </c>
      <c r="I712" t="s">
        <v>3039</v>
      </c>
      <c r="J712" t="s">
        <v>38</v>
      </c>
      <c r="K712" t="s">
        <v>38</v>
      </c>
      <c r="L712" t="s">
        <v>40</v>
      </c>
      <c r="M712" t="s">
        <v>38</v>
      </c>
      <c r="N712" t="s">
        <v>38</v>
      </c>
      <c r="O712" t="s">
        <v>40</v>
      </c>
      <c r="P712" t="s">
        <v>38</v>
      </c>
      <c r="Q712" t="s">
        <v>38</v>
      </c>
      <c r="R712" t="s">
        <v>40</v>
      </c>
      <c r="S712" t="s">
        <v>41</v>
      </c>
      <c r="T712" t="s">
        <v>3035</v>
      </c>
      <c r="U712" t="s">
        <v>2998</v>
      </c>
      <c r="V712" t="s">
        <v>2971</v>
      </c>
      <c r="W712" t="s">
        <v>2972</v>
      </c>
      <c r="X712" t="s">
        <v>46</v>
      </c>
      <c r="AC712">
        <f>COUNTIF(C:C,QLKV_gui_ket_qua_ra_soat[[#This Row],[Mã điểm bán]])</f>
        <v>1</v>
      </c>
    </row>
    <row r="713" spans="1:29" x14ac:dyDescent="0.45">
      <c r="A713" t="s">
        <v>2965</v>
      </c>
      <c r="B713">
        <v>925</v>
      </c>
      <c r="C713" t="s">
        <v>3040</v>
      </c>
      <c r="D713" t="s">
        <v>3041</v>
      </c>
      <c r="E713" t="s">
        <v>212</v>
      </c>
      <c r="F713" t="s">
        <v>3042</v>
      </c>
      <c r="G713" t="s">
        <v>34</v>
      </c>
      <c r="H713" t="s">
        <v>54</v>
      </c>
      <c r="I713" t="s">
        <v>3043</v>
      </c>
      <c r="J713" t="s">
        <v>38</v>
      </c>
      <c r="K713" t="s">
        <v>38</v>
      </c>
      <c r="L713" t="s">
        <v>39</v>
      </c>
      <c r="M713" t="s">
        <v>38</v>
      </c>
      <c r="N713" t="s">
        <v>38</v>
      </c>
      <c r="O713" t="s">
        <v>39</v>
      </c>
      <c r="P713" t="s">
        <v>38</v>
      </c>
      <c r="Q713" t="s">
        <v>38</v>
      </c>
      <c r="R713" t="s">
        <v>39</v>
      </c>
      <c r="S713" t="s">
        <v>3044</v>
      </c>
      <c r="T713" t="s">
        <v>3045</v>
      </c>
      <c r="U713" t="s">
        <v>3046</v>
      </c>
      <c r="V713" t="s">
        <v>2971</v>
      </c>
      <c r="W713" t="s">
        <v>2972</v>
      </c>
      <c r="Z713" t="s">
        <v>46</v>
      </c>
      <c r="AA713" t="s">
        <v>2983</v>
      </c>
      <c r="AB713" t="s">
        <v>117</v>
      </c>
      <c r="AC713">
        <f>COUNTIF(C:C,QLKV_gui_ket_qua_ra_soat[[#This Row],[Mã điểm bán]])</f>
        <v>1</v>
      </c>
    </row>
    <row r="714" spans="1:29" x14ac:dyDescent="0.45">
      <c r="A714" t="s">
        <v>2965</v>
      </c>
      <c r="B714">
        <v>926</v>
      </c>
      <c r="C714" t="s">
        <v>3047</v>
      </c>
      <c r="D714" t="s">
        <v>3048</v>
      </c>
      <c r="E714" t="s">
        <v>206</v>
      </c>
      <c r="F714" t="s">
        <v>3049</v>
      </c>
      <c r="G714" t="s">
        <v>177</v>
      </c>
      <c r="H714" t="s">
        <v>54</v>
      </c>
      <c r="I714" t="s">
        <v>3050</v>
      </c>
      <c r="J714" t="s">
        <v>38</v>
      </c>
      <c r="K714" t="s">
        <v>38</v>
      </c>
      <c r="L714" t="s">
        <v>39</v>
      </c>
      <c r="M714" t="s">
        <v>38</v>
      </c>
      <c r="N714" t="s">
        <v>38</v>
      </c>
      <c r="O714" t="s">
        <v>39</v>
      </c>
      <c r="P714" t="s">
        <v>38</v>
      </c>
      <c r="Q714" t="s">
        <v>37</v>
      </c>
      <c r="R714" t="s">
        <v>39</v>
      </c>
      <c r="S714" t="s">
        <v>3003</v>
      </c>
      <c r="T714" t="s">
        <v>3045</v>
      </c>
      <c r="U714" t="s">
        <v>3046</v>
      </c>
      <c r="V714" t="s">
        <v>2971</v>
      </c>
      <c r="W714" t="s">
        <v>2972</v>
      </c>
      <c r="X714" t="s">
        <v>46</v>
      </c>
      <c r="AC714">
        <f>COUNTIF(C:C,QLKV_gui_ket_qua_ra_soat[[#This Row],[Mã điểm bán]])</f>
        <v>1</v>
      </c>
    </row>
    <row r="715" spans="1:29" x14ac:dyDescent="0.45">
      <c r="A715" t="s">
        <v>2965</v>
      </c>
      <c r="B715">
        <v>944</v>
      </c>
      <c r="C715" t="s">
        <v>3051</v>
      </c>
      <c r="D715" t="s">
        <v>3052</v>
      </c>
      <c r="E715" t="s">
        <v>967</v>
      </c>
      <c r="F715" t="s">
        <v>53</v>
      </c>
      <c r="G715" t="s">
        <v>34</v>
      </c>
      <c r="H715" t="s">
        <v>54</v>
      </c>
      <c r="I715" t="s">
        <v>3053</v>
      </c>
      <c r="J715" t="s">
        <v>38</v>
      </c>
      <c r="K715" t="s">
        <v>38</v>
      </c>
      <c r="L715" t="s">
        <v>40</v>
      </c>
      <c r="M715" t="s">
        <v>38</v>
      </c>
      <c r="N715" t="s">
        <v>38</v>
      </c>
      <c r="O715" t="s">
        <v>40</v>
      </c>
      <c r="P715" t="s">
        <v>38</v>
      </c>
      <c r="Q715" t="s">
        <v>38</v>
      </c>
      <c r="R715" t="s">
        <v>40</v>
      </c>
      <c r="S715" t="s">
        <v>41</v>
      </c>
      <c r="T715" t="s">
        <v>3035</v>
      </c>
      <c r="U715" t="s">
        <v>2998</v>
      </c>
      <c r="V715" t="s">
        <v>2971</v>
      </c>
      <c r="W715" t="s">
        <v>2972</v>
      </c>
      <c r="X715" t="s">
        <v>46</v>
      </c>
      <c r="AC715">
        <f>COUNTIF(C:C,QLKV_gui_ket_qua_ra_soat[[#This Row],[Mã điểm bán]])</f>
        <v>1</v>
      </c>
    </row>
    <row r="716" spans="1:29" x14ac:dyDescent="0.45">
      <c r="A716" t="s">
        <v>2965</v>
      </c>
      <c r="B716">
        <v>947</v>
      </c>
      <c r="C716" t="s">
        <v>3054</v>
      </c>
      <c r="D716" t="s">
        <v>3055</v>
      </c>
      <c r="E716" t="s">
        <v>74</v>
      </c>
      <c r="F716" t="s">
        <v>224</v>
      </c>
      <c r="G716" t="s">
        <v>34</v>
      </c>
      <c r="H716" t="s">
        <v>54</v>
      </c>
      <c r="I716" t="s">
        <v>3056</v>
      </c>
      <c r="J716" t="s">
        <v>38</v>
      </c>
      <c r="K716" t="s">
        <v>38</v>
      </c>
      <c r="L716" t="s">
        <v>39</v>
      </c>
      <c r="M716" t="s">
        <v>37</v>
      </c>
      <c r="N716" t="s">
        <v>37</v>
      </c>
      <c r="O716" t="s">
        <v>39</v>
      </c>
      <c r="P716" t="s">
        <v>38</v>
      </c>
      <c r="Q716" t="s">
        <v>38</v>
      </c>
      <c r="R716" t="s">
        <v>39</v>
      </c>
      <c r="S716" t="s">
        <v>41</v>
      </c>
      <c r="T716" t="s">
        <v>3057</v>
      </c>
      <c r="U716" t="s">
        <v>2970</v>
      </c>
      <c r="V716" t="s">
        <v>2971</v>
      </c>
      <c r="W716" t="s">
        <v>2972</v>
      </c>
      <c r="Z716" t="s">
        <v>46</v>
      </c>
      <c r="AA716" t="s">
        <v>3058</v>
      </c>
      <c r="AB716" t="s">
        <v>2999</v>
      </c>
      <c r="AC716">
        <f>COUNTIF(C:C,QLKV_gui_ket_qua_ra_soat[[#This Row],[Mã điểm bán]])</f>
        <v>1</v>
      </c>
    </row>
    <row r="717" spans="1:29" x14ac:dyDescent="0.45">
      <c r="A717" t="s">
        <v>2965</v>
      </c>
      <c r="B717">
        <v>953</v>
      </c>
      <c r="C717" t="s">
        <v>3059</v>
      </c>
      <c r="D717" t="s">
        <v>3060</v>
      </c>
      <c r="E717" t="s">
        <v>297</v>
      </c>
      <c r="F717" t="s">
        <v>3061</v>
      </c>
      <c r="G717" t="s">
        <v>34</v>
      </c>
      <c r="H717" t="s">
        <v>54</v>
      </c>
      <c r="I717" t="s">
        <v>3062</v>
      </c>
      <c r="J717" t="s">
        <v>41</v>
      </c>
      <c r="K717" t="s">
        <v>41</v>
      </c>
      <c r="L717" t="s">
        <v>41</v>
      </c>
      <c r="M717" t="s">
        <v>41</v>
      </c>
      <c r="N717" t="s">
        <v>41</v>
      </c>
      <c r="O717" t="s">
        <v>41</v>
      </c>
      <c r="P717" t="s">
        <v>41</v>
      </c>
      <c r="Q717" t="s">
        <v>41</v>
      </c>
      <c r="R717" t="s">
        <v>41</v>
      </c>
      <c r="S717" t="s">
        <v>41</v>
      </c>
      <c r="T717" t="s">
        <v>3035</v>
      </c>
      <c r="U717" t="s">
        <v>2998</v>
      </c>
      <c r="V717" t="s">
        <v>2971</v>
      </c>
      <c r="W717" t="s">
        <v>2972</v>
      </c>
      <c r="Y717" t="s">
        <v>46</v>
      </c>
      <c r="AC717">
        <f>COUNTIF(C:C,QLKV_gui_ket_qua_ra_soat[[#This Row],[Mã điểm bán]])</f>
        <v>1</v>
      </c>
    </row>
    <row r="718" spans="1:29" x14ac:dyDescent="0.45">
      <c r="A718" t="s">
        <v>2965</v>
      </c>
      <c r="B718">
        <v>957</v>
      </c>
      <c r="C718" t="s">
        <v>3063</v>
      </c>
      <c r="D718" t="s">
        <v>3064</v>
      </c>
      <c r="E718" t="s">
        <v>261</v>
      </c>
      <c r="F718" t="s">
        <v>286</v>
      </c>
      <c r="G718" t="s">
        <v>177</v>
      </c>
      <c r="H718" t="s">
        <v>546</v>
      </c>
      <c r="I718" t="s">
        <v>3065</v>
      </c>
      <c r="J718" t="s">
        <v>38</v>
      </c>
      <c r="K718" t="s">
        <v>38</v>
      </c>
      <c r="L718" t="s">
        <v>40</v>
      </c>
      <c r="M718" t="s">
        <v>38</v>
      </c>
      <c r="N718" t="s">
        <v>37</v>
      </c>
      <c r="O718" t="s">
        <v>39</v>
      </c>
      <c r="P718" t="s">
        <v>38</v>
      </c>
      <c r="Q718" t="s">
        <v>38</v>
      </c>
      <c r="R718" t="s">
        <v>40</v>
      </c>
      <c r="S718" t="s">
        <v>3066</v>
      </c>
      <c r="T718" t="s">
        <v>3020</v>
      </c>
      <c r="U718" t="s">
        <v>3021</v>
      </c>
      <c r="V718" t="s">
        <v>2971</v>
      </c>
      <c r="W718" t="s">
        <v>2972</v>
      </c>
      <c r="X718" t="s">
        <v>46</v>
      </c>
      <c r="AB718" t="s">
        <v>117</v>
      </c>
      <c r="AC718">
        <f>COUNTIF(C:C,QLKV_gui_ket_qua_ra_soat[[#This Row],[Mã điểm bán]])</f>
        <v>1</v>
      </c>
    </row>
    <row r="719" spans="1:29" x14ac:dyDescent="0.45">
      <c r="A719" t="s">
        <v>2965</v>
      </c>
      <c r="B719">
        <v>959</v>
      </c>
      <c r="C719" t="s">
        <v>3067</v>
      </c>
      <c r="D719" t="s">
        <v>3068</v>
      </c>
      <c r="E719" t="s">
        <v>431</v>
      </c>
      <c r="F719" t="s">
        <v>3069</v>
      </c>
      <c r="G719" t="s">
        <v>34</v>
      </c>
      <c r="H719" t="s">
        <v>685</v>
      </c>
      <c r="I719" t="s">
        <v>3070</v>
      </c>
      <c r="J719" t="s">
        <v>38</v>
      </c>
      <c r="K719" t="s">
        <v>38</v>
      </c>
      <c r="L719" t="s">
        <v>40</v>
      </c>
      <c r="M719" t="s">
        <v>38</v>
      </c>
      <c r="N719" t="s">
        <v>38</v>
      </c>
      <c r="O719" t="s">
        <v>40</v>
      </c>
      <c r="P719" t="s">
        <v>38</v>
      </c>
      <c r="Q719" t="s">
        <v>38</v>
      </c>
      <c r="R719" t="s">
        <v>40</v>
      </c>
      <c r="S719" t="s">
        <v>41</v>
      </c>
      <c r="T719" t="s">
        <v>2997</v>
      </c>
      <c r="U719" t="s">
        <v>2998</v>
      </c>
      <c r="V719" t="s">
        <v>2971</v>
      </c>
      <c r="W719" t="s">
        <v>2972</v>
      </c>
      <c r="Z719" t="s">
        <v>46</v>
      </c>
      <c r="AA719" t="s">
        <v>3058</v>
      </c>
      <c r="AB719" t="s">
        <v>2999</v>
      </c>
      <c r="AC719">
        <f>COUNTIF(C:C,QLKV_gui_ket_qua_ra_soat[[#This Row],[Mã điểm bán]])</f>
        <v>1</v>
      </c>
    </row>
    <row r="720" spans="1:29" x14ac:dyDescent="0.45">
      <c r="A720" t="s">
        <v>2965</v>
      </c>
      <c r="B720">
        <v>963</v>
      </c>
      <c r="C720" t="s">
        <v>3071</v>
      </c>
      <c r="D720" t="s">
        <v>3072</v>
      </c>
      <c r="E720" t="s">
        <v>3074</v>
      </c>
      <c r="F720" t="s">
        <v>53</v>
      </c>
      <c r="G720" t="s">
        <v>34</v>
      </c>
      <c r="H720" t="s">
        <v>54</v>
      </c>
      <c r="I720" t="s">
        <v>3075</v>
      </c>
      <c r="J720" t="s">
        <v>38</v>
      </c>
      <c r="K720" t="s">
        <v>38</v>
      </c>
      <c r="L720" t="s">
        <v>40</v>
      </c>
      <c r="M720" t="s">
        <v>38</v>
      </c>
      <c r="N720" t="s">
        <v>38</v>
      </c>
      <c r="O720" t="s">
        <v>40</v>
      </c>
      <c r="P720" t="s">
        <v>38</v>
      </c>
      <c r="Q720" t="s">
        <v>38</v>
      </c>
      <c r="R720" t="s">
        <v>40</v>
      </c>
      <c r="S720" t="s">
        <v>41</v>
      </c>
      <c r="T720" t="s">
        <v>2997</v>
      </c>
      <c r="U720" t="s">
        <v>2998</v>
      </c>
      <c r="V720" t="s">
        <v>2971</v>
      </c>
      <c r="W720" t="s">
        <v>2972</v>
      </c>
      <c r="X720" t="s">
        <v>46</v>
      </c>
      <c r="AC720">
        <f>COUNTIF(C:C,QLKV_gui_ket_qua_ra_soat[[#This Row],[Mã điểm bán]])</f>
        <v>1</v>
      </c>
    </row>
    <row r="721" spans="1:29" x14ac:dyDescent="0.45">
      <c r="A721" t="s">
        <v>2965</v>
      </c>
      <c r="B721">
        <v>979</v>
      </c>
      <c r="C721" t="s">
        <v>3076</v>
      </c>
      <c r="D721" t="s">
        <v>3077</v>
      </c>
      <c r="E721" t="s">
        <v>157</v>
      </c>
      <c r="F721" t="s">
        <v>53</v>
      </c>
      <c r="G721" t="s">
        <v>177</v>
      </c>
      <c r="H721" t="s">
        <v>54</v>
      </c>
      <c r="I721" t="s">
        <v>3078</v>
      </c>
      <c r="J721" t="s">
        <v>38</v>
      </c>
      <c r="K721" t="s">
        <v>38</v>
      </c>
      <c r="L721" t="s">
        <v>40</v>
      </c>
      <c r="M721" t="s">
        <v>38</v>
      </c>
      <c r="N721" t="s">
        <v>38</v>
      </c>
      <c r="O721" t="s">
        <v>40</v>
      </c>
      <c r="P721" t="s">
        <v>38</v>
      </c>
      <c r="Q721" t="s">
        <v>38</v>
      </c>
      <c r="R721" t="s">
        <v>40</v>
      </c>
      <c r="S721" t="s">
        <v>41</v>
      </c>
      <c r="T721" t="s">
        <v>3020</v>
      </c>
      <c r="U721" t="s">
        <v>3021</v>
      </c>
      <c r="V721" t="s">
        <v>2971</v>
      </c>
      <c r="W721" t="s">
        <v>2972</v>
      </c>
      <c r="X721" t="s">
        <v>46</v>
      </c>
      <c r="AC721">
        <f>COUNTIF(C:C,QLKV_gui_ket_qua_ra_soat[[#This Row],[Mã điểm bán]])</f>
        <v>1</v>
      </c>
    </row>
    <row r="722" spans="1:29" x14ac:dyDescent="0.45">
      <c r="A722" t="s">
        <v>2965</v>
      </c>
      <c r="B722">
        <v>984</v>
      </c>
      <c r="C722" t="s">
        <v>3079</v>
      </c>
      <c r="D722" t="s">
        <v>3080</v>
      </c>
      <c r="E722" t="s">
        <v>113</v>
      </c>
      <c r="F722" t="s">
        <v>53</v>
      </c>
      <c r="G722" t="s">
        <v>177</v>
      </c>
      <c r="H722" t="s">
        <v>54</v>
      </c>
      <c r="I722" t="s">
        <v>3081</v>
      </c>
      <c r="J722" t="s">
        <v>38</v>
      </c>
      <c r="K722" t="s">
        <v>38</v>
      </c>
      <c r="L722" t="s">
        <v>40</v>
      </c>
      <c r="M722" t="s">
        <v>38</v>
      </c>
      <c r="N722" t="s">
        <v>38</v>
      </c>
      <c r="O722" t="s">
        <v>40</v>
      </c>
      <c r="P722" t="s">
        <v>38</v>
      </c>
      <c r="Q722" t="s">
        <v>38</v>
      </c>
      <c r="R722" t="s">
        <v>40</v>
      </c>
      <c r="S722" t="s">
        <v>41</v>
      </c>
      <c r="T722" t="s">
        <v>3020</v>
      </c>
      <c r="U722" t="s">
        <v>3021</v>
      </c>
      <c r="V722" t="s">
        <v>2971</v>
      </c>
      <c r="W722" t="s">
        <v>2972</v>
      </c>
      <c r="X722" t="s">
        <v>46</v>
      </c>
      <c r="AB722" t="s">
        <v>117</v>
      </c>
      <c r="AC722">
        <f>COUNTIF(C:C,QLKV_gui_ket_qua_ra_soat[[#This Row],[Mã điểm bán]])</f>
        <v>1</v>
      </c>
    </row>
    <row r="723" spans="1:29" x14ac:dyDescent="0.45">
      <c r="A723" t="s">
        <v>2965</v>
      </c>
      <c r="B723">
        <v>989</v>
      </c>
      <c r="C723" t="s">
        <v>3082</v>
      </c>
      <c r="D723" t="s">
        <v>3083</v>
      </c>
      <c r="E723" t="s">
        <v>3085</v>
      </c>
      <c r="F723" t="s">
        <v>53</v>
      </c>
      <c r="G723" t="s">
        <v>34</v>
      </c>
      <c r="H723" t="s">
        <v>54</v>
      </c>
      <c r="I723" t="s">
        <v>3086</v>
      </c>
      <c r="J723" t="s">
        <v>38</v>
      </c>
      <c r="K723" t="s">
        <v>38</v>
      </c>
      <c r="L723" t="s">
        <v>40</v>
      </c>
      <c r="M723" t="s">
        <v>38</v>
      </c>
      <c r="N723" t="s">
        <v>38</v>
      </c>
      <c r="O723" t="s">
        <v>40</v>
      </c>
      <c r="P723" t="s">
        <v>38</v>
      </c>
      <c r="Q723" t="s">
        <v>38</v>
      </c>
      <c r="R723" t="s">
        <v>40</v>
      </c>
      <c r="S723" t="s">
        <v>41</v>
      </c>
      <c r="T723" t="s">
        <v>2997</v>
      </c>
      <c r="U723" t="s">
        <v>2998</v>
      </c>
      <c r="V723" t="s">
        <v>2971</v>
      </c>
      <c r="W723" t="s">
        <v>2972</v>
      </c>
      <c r="X723" t="s">
        <v>46</v>
      </c>
      <c r="AB723" t="s">
        <v>117</v>
      </c>
      <c r="AC723">
        <f>COUNTIF(C:C,QLKV_gui_ket_qua_ra_soat[[#This Row],[Mã điểm bán]])</f>
        <v>1</v>
      </c>
    </row>
    <row r="724" spans="1:29" x14ac:dyDescent="0.45">
      <c r="A724" t="s">
        <v>2965</v>
      </c>
      <c r="B724">
        <v>997</v>
      </c>
      <c r="C724" t="s">
        <v>3087</v>
      </c>
      <c r="D724" t="s">
        <v>3088</v>
      </c>
      <c r="E724" t="s">
        <v>3084</v>
      </c>
      <c r="F724" t="s">
        <v>581</v>
      </c>
      <c r="G724" t="s">
        <v>177</v>
      </c>
      <c r="H724" t="s">
        <v>54</v>
      </c>
      <c r="I724" t="s">
        <v>3089</v>
      </c>
      <c r="J724" t="s">
        <v>41</v>
      </c>
      <c r="K724" t="s">
        <v>41</v>
      </c>
      <c r="L724" t="s">
        <v>41</v>
      </c>
      <c r="M724" t="s">
        <v>41</v>
      </c>
      <c r="N724" t="s">
        <v>41</v>
      </c>
      <c r="O724" t="s">
        <v>41</v>
      </c>
      <c r="P724" t="s">
        <v>41</v>
      </c>
      <c r="Q724" t="s">
        <v>41</v>
      </c>
      <c r="R724" t="s">
        <v>41</v>
      </c>
      <c r="S724" t="s">
        <v>41</v>
      </c>
      <c r="T724" t="s">
        <v>3045</v>
      </c>
      <c r="U724" t="s">
        <v>3046</v>
      </c>
      <c r="V724" t="s">
        <v>2971</v>
      </c>
      <c r="W724" t="s">
        <v>2972</v>
      </c>
      <c r="X724" t="s">
        <v>46</v>
      </c>
      <c r="AC724">
        <f>COUNTIF(C:C,QLKV_gui_ket_qua_ra_soat[[#This Row],[Mã điểm bán]])</f>
        <v>1</v>
      </c>
    </row>
    <row r="725" spans="1:29" x14ac:dyDescent="0.45">
      <c r="A725" t="s">
        <v>2965</v>
      </c>
      <c r="B725">
        <v>999</v>
      </c>
      <c r="C725" t="s">
        <v>3090</v>
      </c>
      <c r="D725" t="s">
        <v>3091</v>
      </c>
      <c r="E725" t="s">
        <v>190</v>
      </c>
      <c r="F725" t="s">
        <v>53</v>
      </c>
      <c r="G725" t="s">
        <v>34</v>
      </c>
      <c r="H725" t="s">
        <v>54</v>
      </c>
      <c r="I725" t="s">
        <v>3092</v>
      </c>
      <c r="J725" t="s">
        <v>38</v>
      </c>
      <c r="K725" t="s">
        <v>38</v>
      </c>
      <c r="L725" t="s">
        <v>40</v>
      </c>
      <c r="M725" t="s">
        <v>38</v>
      </c>
      <c r="N725" t="s">
        <v>38</v>
      </c>
      <c r="O725" t="s">
        <v>40</v>
      </c>
      <c r="P725" t="s">
        <v>38</v>
      </c>
      <c r="Q725" t="s">
        <v>38</v>
      </c>
      <c r="R725" t="s">
        <v>40</v>
      </c>
      <c r="S725" t="s">
        <v>41</v>
      </c>
      <c r="T725" t="s">
        <v>3035</v>
      </c>
      <c r="U725" t="s">
        <v>2998</v>
      </c>
      <c r="V725" t="s">
        <v>2971</v>
      </c>
      <c r="W725" t="s">
        <v>2972</v>
      </c>
      <c r="X725" t="s">
        <v>46</v>
      </c>
      <c r="AC725">
        <f>COUNTIF(C:C,QLKV_gui_ket_qua_ra_soat[[#This Row],[Mã điểm bán]])</f>
        <v>1</v>
      </c>
    </row>
    <row r="726" spans="1:29" x14ac:dyDescent="0.45">
      <c r="A726" t="s">
        <v>2965</v>
      </c>
      <c r="B726">
        <v>1017</v>
      </c>
      <c r="C726" t="s">
        <v>3093</v>
      </c>
      <c r="D726" t="s">
        <v>3094</v>
      </c>
      <c r="E726" t="s">
        <v>98</v>
      </c>
      <c r="F726" t="s">
        <v>3095</v>
      </c>
      <c r="G726" t="s">
        <v>177</v>
      </c>
      <c r="H726" t="s">
        <v>54</v>
      </c>
      <c r="I726" t="s">
        <v>3096</v>
      </c>
      <c r="J726" t="s">
        <v>38</v>
      </c>
      <c r="K726" t="s">
        <v>38</v>
      </c>
      <c r="L726" t="s">
        <v>40</v>
      </c>
      <c r="M726" t="s">
        <v>38</v>
      </c>
      <c r="N726" t="s">
        <v>37</v>
      </c>
      <c r="O726" t="s">
        <v>39</v>
      </c>
      <c r="P726" t="s">
        <v>38</v>
      </c>
      <c r="Q726" t="s">
        <v>38</v>
      </c>
      <c r="R726" t="s">
        <v>40</v>
      </c>
      <c r="S726" t="s">
        <v>3097</v>
      </c>
      <c r="T726" t="s">
        <v>3020</v>
      </c>
      <c r="U726" t="s">
        <v>3021</v>
      </c>
      <c r="V726" t="s">
        <v>2971</v>
      </c>
      <c r="W726" t="s">
        <v>2972</v>
      </c>
      <c r="Z726" t="s">
        <v>46</v>
      </c>
      <c r="AA726" t="s">
        <v>3058</v>
      </c>
      <c r="AB726" t="s">
        <v>2999</v>
      </c>
      <c r="AC726">
        <f>COUNTIF(C:C,QLKV_gui_ket_qua_ra_soat[[#This Row],[Mã điểm bán]])</f>
        <v>1</v>
      </c>
    </row>
    <row r="727" spans="1:29" x14ac:dyDescent="0.45">
      <c r="A727" t="s">
        <v>2965</v>
      </c>
      <c r="B727">
        <v>1019</v>
      </c>
      <c r="C727" t="s">
        <v>3098</v>
      </c>
      <c r="D727" t="s">
        <v>3099</v>
      </c>
      <c r="E727" t="s">
        <v>2229</v>
      </c>
      <c r="F727" t="s">
        <v>1024</v>
      </c>
      <c r="G727" t="s">
        <v>34</v>
      </c>
      <c r="H727" t="s">
        <v>685</v>
      </c>
      <c r="I727" t="s">
        <v>3100</v>
      </c>
      <c r="J727" t="s">
        <v>38</v>
      </c>
      <c r="K727" t="s">
        <v>38</v>
      </c>
      <c r="L727" t="s">
        <v>40</v>
      </c>
      <c r="M727" t="s">
        <v>38</v>
      </c>
      <c r="N727" t="s">
        <v>38</v>
      </c>
      <c r="O727" t="s">
        <v>40</v>
      </c>
      <c r="P727" t="s">
        <v>38</v>
      </c>
      <c r="Q727" t="s">
        <v>38</v>
      </c>
      <c r="R727" t="s">
        <v>40</v>
      </c>
      <c r="S727" t="s">
        <v>41</v>
      </c>
      <c r="T727" t="s">
        <v>3035</v>
      </c>
      <c r="U727" t="s">
        <v>2998</v>
      </c>
      <c r="V727" t="s">
        <v>2971</v>
      </c>
      <c r="W727" t="s">
        <v>2972</v>
      </c>
      <c r="AB727" t="s">
        <v>3101</v>
      </c>
      <c r="AC727">
        <f>COUNTIF(C:C,QLKV_gui_ket_qua_ra_soat[[#This Row],[Mã điểm bán]])</f>
        <v>1</v>
      </c>
    </row>
    <row r="728" spans="1:29" x14ac:dyDescent="0.45">
      <c r="A728" t="s">
        <v>2965</v>
      </c>
      <c r="B728">
        <v>1022</v>
      </c>
      <c r="C728" t="s">
        <v>3102</v>
      </c>
      <c r="D728" t="s">
        <v>3103</v>
      </c>
      <c r="E728" t="s">
        <v>113</v>
      </c>
      <c r="F728" t="s">
        <v>53</v>
      </c>
      <c r="G728" t="s">
        <v>177</v>
      </c>
      <c r="H728" t="s">
        <v>54</v>
      </c>
      <c r="I728" t="s">
        <v>3104</v>
      </c>
      <c r="J728" t="s">
        <v>38</v>
      </c>
      <c r="K728" t="s">
        <v>38</v>
      </c>
      <c r="L728" t="s">
        <v>40</v>
      </c>
      <c r="M728" t="s">
        <v>38</v>
      </c>
      <c r="N728" t="s">
        <v>38</v>
      </c>
      <c r="O728" t="s">
        <v>40</v>
      </c>
      <c r="P728" t="s">
        <v>38</v>
      </c>
      <c r="Q728" t="s">
        <v>38</v>
      </c>
      <c r="R728" t="s">
        <v>40</v>
      </c>
      <c r="S728" t="s">
        <v>41</v>
      </c>
      <c r="T728" t="s">
        <v>3020</v>
      </c>
      <c r="U728" t="s">
        <v>3021</v>
      </c>
      <c r="V728" t="s">
        <v>2971</v>
      </c>
      <c r="W728" t="s">
        <v>2972</v>
      </c>
      <c r="X728" t="s">
        <v>46</v>
      </c>
      <c r="AC728">
        <f>COUNTIF(C:C,QLKV_gui_ket_qua_ra_soat[[#This Row],[Mã điểm bán]])</f>
        <v>1</v>
      </c>
    </row>
    <row r="729" spans="1:29" x14ac:dyDescent="0.45">
      <c r="A729" t="s">
        <v>2965</v>
      </c>
      <c r="B729">
        <v>1028</v>
      </c>
      <c r="C729" t="s">
        <v>3105</v>
      </c>
      <c r="D729" t="s">
        <v>3106</v>
      </c>
      <c r="E729" t="s">
        <v>3107</v>
      </c>
      <c r="F729" t="s">
        <v>53</v>
      </c>
      <c r="G729" t="s">
        <v>34</v>
      </c>
      <c r="H729" t="s">
        <v>54</v>
      </c>
      <c r="I729" t="s">
        <v>3108</v>
      </c>
      <c r="J729" t="s">
        <v>38</v>
      </c>
      <c r="K729" t="s">
        <v>38</v>
      </c>
      <c r="L729" t="s">
        <v>40</v>
      </c>
      <c r="M729" t="s">
        <v>38</v>
      </c>
      <c r="N729" t="s">
        <v>38</v>
      </c>
      <c r="O729" t="s">
        <v>40</v>
      </c>
      <c r="P729" t="s">
        <v>38</v>
      </c>
      <c r="Q729" t="s">
        <v>38</v>
      </c>
      <c r="R729" t="s">
        <v>40</v>
      </c>
      <c r="S729" t="s">
        <v>41</v>
      </c>
      <c r="T729" t="s">
        <v>2997</v>
      </c>
      <c r="U729" t="s">
        <v>2998</v>
      </c>
      <c r="V729" t="s">
        <v>2971</v>
      </c>
      <c r="W729" t="s">
        <v>2972</v>
      </c>
      <c r="AB729" t="s">
        <v>3109</v>
      </c>
      <c r="AC729">
        <f>COUNTIF(C:C,QLKV_gui_ket_qua_ra_soat[[#This Row],[Mã điểm bán]])</f>
        <v>1</v>
      </c>
    </row>
    <row r="730" spans="1:29" x14ac:dyDescent="0.45">
      <c r="A730" t="s">
        <v>2965</v>
      </c>
      <c r="B730">
        <v>1048</v>
      </c>
      <c r="C730" t="s">
        <v>3110</v>
      </c>
      <c r="D730" t="s">
        <v>3111</v>
      </c>
      <c r="E730" t="s">
        <v>114</v>
      </c>
      <c r="F730" t="s">
        <v>53</v>
      </c>
      <c r="G730" t="s">
        <v>34</v>
      </c>
      <c r="H730" t="s">
        <v>54</v>
      </c>
      <c r="I730" t="s">
        <v>3112</v>
      </c>
      <c r="J730" t="s">
        <v>38</v>
      </c>
      <c r="K730" t="s">
        <v>38</v>
      </c>
      <c r="L730" t="s">
        <v>40</v>
      </c>
      <c r="M730" t="s">
        <v>38</v>
      </c>
      <c r="N730" t="s">
        <v>38</v>
      </c>
      <c r="O730" t="s">
        <v>40</v>
      </c>
      <c r="P730" t="s">
        <v>38</v>
      </c>
      <c r="Q730" t="s">
        <v>38</v>
      </c>
      <c r="R730" t="s">
        <v>40</v>
      </c>
      <c r="S730" t="s">
        <v>41</v>
      </c>
      <c r="T730" t="s">
        <v>3035</v>
      </c>
      <c r="U730" t="s">
        <v>2998</v>
      </c>
      <c r="V730" t="s">
        <v>2971</v>
      </c>
      <c r="W730" t="s">
        <v>2978</v>
      </c>
      <c r="X730" t="s">
        <v>46</v>
      </c>
      <c r="AB730" t="s">
        <v>117</v>
      </c>
      <c r="AC730">
        <f>COUNTIF(C:C,QLKV_gui_ket_qua_ra_soat[[#This Row],[Mã điểm bán]])</f>
        <v>1</v>
      </c>
    </row>
    <row r="731" spans="1:29" x14ac:dyDescent="0.45">
      <c r="A731" t="s">
        <v>2965</v>
      </c>
      <c r="B731">
        <v>1050</v>
      </c>
      <c r="C731" t="s">
        <v>3113</v>
      </c>
      <c r="D731" t="s">
        <v>3114</v>
      </c>
      <c r="E731" t="s">
        <v>771</v>
      </c>
      <c r="F731" t="s">
        <v>3115</v>
      </c>
      <c r="G731" t="s">
        <v>177</v>
      </c>
      <c r="H731" t="s">
        <v>546</v>
      </c>
      <c r="I731" t="s">
        <v>3116</v>
      </c>
      <c r="J731" t="s">
        <v>38</v>
      </c>
      <c r="K731" t="s">
        <v>38</v>
      </c>
      <c r="L731" t="s">
        <v>40</v>
      </c>
      <c r="M731" t="s">
        <v>38</v>
      </c>
      <c r="N731" t="s">
        <v>56</v>
      </c>
      <c r="O731" t="s">
        <v>39</v>
      </c>
      <c r="P731" t="s">
        <v>38</v>
      </c>
      <c r="Q731" t="s">
        <v>38</v>
      </c>
      <c r="R731" t="s">
        <v>40</v>
      </c>
      <c r="S731" t="s">
        <v>3117</v>
      </c>
      <c r="T731" t="s">
        <v>3020</v>
      </c>
      <c r="U731" t="s">
        <v>3021</v>
      </c>
      <c r="V731" t="s">
        <v>2971</v>
      </c>
      <c r="W731" t="s">
        <v>2972</v>
      </c>
      <c r="Z731" t="s">
        <v>46</v>
      </c>
      <c r="AA731" t="s">
        <v>3036</v>
      </c>
      <c r="AB731" t="s">
        <v>117</v>
      </c>
      <c r="AC731">
        <f>COUNTIF(C:C,QLKV_gui_ket_qua_ra_soat[[#This Row],[Mã điểm bán]])</f>
        <v>1</v>
      </c>
    </row>
    <row r="732" spans="1:29" x14ac:dyDescent="0.45">
      <c r="A732" t="s">
        <v>2965</v>
      </c>
      <c r="B732">
        <v>1051</v>
      </c>
      <c r="C732" t="s">
        <v>3118</v>
      </c>
      <c r="D732" t="s">
        <v>3119</v>
      </c>
      <c r="E732" t="s">
        <v>682</v>
      </c>
      <c r="F732" t="s">
        <v>401</v>
      </c>
      <c r="G732" t="s">
        <v>34</v>
      </c>
      <c r="H732" t="s">
        <v>214</v>
      </c>
      <c r="I732" t="s">
        <v>3120</v>
      </c>
      <c r="J732" t="s">
        <v>38</v>
      </c>
      <c r="K732" t="s">
        <v>38</v>
      </c>
      <c r="L732" t="s">
        <v>40</v>
      </c>
      <c r="M732" t="s">
        <v>38</v>
      </c>
      <c r="N732" t="s">
        <v>38</v>
      </c>
      <c r="O732" t="s">
        <v>40</v>
      </c>
      <c r="P732" t="s">
        <v>38</v>
      </c>
      <c r="Q732" t="s">
        <v>38</v>
      </c>
      <c r="R732" t="s">
        <v>40</v>
      </c>
      <c r="S732" t="s">
        <v>3121</v>
      </c>
      <c r="T732" t="s">
        <v>3035</v>
      </c>
      <c r="U732" t="s">
        <v>2998</v>
      </c>
      <c r="V732" t="s">
        <v>2971</v>
      </c>
      <c r="W732" t="s">
        <v>2978</v>
      </c>
      <c r="Z732" t="s">
        <v>46</v>
      </c>
      <c r="AA732" t="s">
        <v>3036</v>
      </c>
      <c r="AB732" t="s">
        <v>2999</v>
      </c>
      <c r="AC732">
        <f>COUNTIF(C:C,QLKV_gui_ket_qua_ra_soat[[#This Row],[Mã điểm bán]])</f>
        <v>1</v>
      </c>
    </row>
    <row r="733" spans="1:29" x14ac:dyDescent="0.45">
      <c r="A733" t="s">
        <v>2965</v>
      </c>
      <c r="B733">
        <v>1054</v>
      </c>
      <c r="C733" t="s">
        <v>3122</v>
      </c>
      <c r="D733" t="s">
        <v>3123</v>
      </c>
      <c r="E733" t="s">
        <v>108</v>
      </c>
      <c r="F733" t="s">
        <v>53</v>
      </c>
      <c r="G733" t="s">
        <v>177</v>
      </c>
      <c r="H733" t="s">
        <v>54</v>
      </c>
      <c r="I733" t="s">
        <v>3124</v>
      </c>
      <c r="J733" t="s">
        <v>38</v>
      </c>
      <c r="K733" t="s">
        <v>38</v>
      </c>
      <c r="L733" t="s">
        <v>40</v>
      </c>
      <c r="M733" t="s">
        <v>38</v>
      </c>
      <c r="N733" t="s">
        <v>38</v>
      </c>
      <c r="O733" t="s">
        <v>40</v>
      </c>
      <c r="P733" t="s">
        <v>38</v>
      </c>
      <c r="Q733" t="s">
        <v>38</v>
      </c>
      <c r="R733" t="s">
        <v>40</v>
      </c>
      <c r="S733" t="s">
        <v>41</v>
      </c>
      <c r="T733" t="s">
        <v>3020</v>
      </c>
      <c r="U733" t="s">
        <v>3021</v>
      </c>
      <c r="V733" t="s">
        <v>2971</v>
      </c>
      <c r="W733" t="s">
        <v>2972</v>
      </c>
      <c r="X733" t="s">
        <v>46</v>
      </c>
      <c r="AB733" t="s">
        <v>117</v>
      </c>
      <c r="AC733">
        <f>COUNTIF(C:C,QLKV_gui_ket_qua_ra_soat[[#This Row],[Mã điểm bán]])</f>
        <v>1</v>
      </c>
    </row>
    <row r="734" spans="1:29" x14ac:dyDescent="0.45">
      <c r="A734" t="s">
        <v>2965</v>
      </c>
      <c r="B734">
        <v>1062</v>
      </c>
      <c r="C734" t="s">
        <v>3125</v>
      </c>
      <c r="D734" t="s">
        <v>3126</v>
      </c>
      <c r="E734" t="s">
        <v>113</v>
      </c>
      <c r="F734" t="s">
        <v>3127</v>
      </c>
      <c r="G734" t="s">
        <v>34</v>
      </c>
      <c r="H734" t="s">
        <v>54</v>
      </c>
      <c r="I734" t="s">
        <v>3128</v>
      </c>
      <c r="J734" t="s">
        <v>41</v>
      </c>
      <c r="K734" t="s">
        <v>41</v>
      </c>
      <c r="L734" t="s">
        <v>41</v>
      </c>
      <c r="M734" t="s">
        <v>41</v>
      </c>
      <c r="N734" t="s">
        <v>41</v>
      </c>
      <c r="O734" t="s">
        <v>41</v>
      </c>
      <c r="P734" t="s">
        <v>41</v>
      </c>
      <c r="Q734" t="s">
        <v>41</v>
      </c>
      <c r="R734" t="s">
        <v>41</v>
      </c>
      <c r="S734" t="s">
        <v>41</v>
      </c>
      <c r="T734" t="s">
        <v>3035</v>
      </c>
      <c r="U734" t="s">
        <v>2998</v>
      </c>
      <c r="V734" t="s">
        <v>2971</v>
      </c>
      <c r="W734" t="s">
        <v>2978</v>
      </c>
      <c r="Y734" t="s">
        <v>46</v>
      </c>
      <c r="AC734">
        <f>COUNTIF(C:C,QLKV_gui_ket_qua_ra_soat[[#This Row],[Mã điểm bán]])</f>
        <v>1</v>
      </c>
    </row>
    <row r="735" spans="1:29" x14ac:dyDescent="0.45">
      <c r="A735" t="s">
        <v>2965</v>
      </c>
      <c r="B735">
        <v>1068</v>
      </c>
      <c r="C735" t="s">
        <v>3129</v>
      </c>
      <c r="D735" t="s">
        <v>3130</v>
      </c>
      <c r="E735" t="s">
        <v>3131</v>
      </c>
      <c r="F735" t="s">
        <v>53</v>
      </c>
      <c r="G735" t="s">
        <v>34</v>
      </c>
      <c r="H735" t="s">
        <v>54</v>
      </c>
      <c r="I735" t="s">
        <v>3132</v>
      </c>
      <c r="J735" t="s">
        <v>38</v>
      </c>
      <c r="K735" t="s">
        <v>38</v>
      </c>
      <c r="L735" t="s">
        <v>40</v>
      </c>
      <c r="M735" t="s">
        <v>38</v>
      </c>
      <c r="N735" t="s">
        <v>38</v>
      </c>
      <c r="O735" t="s">
        <v>39</v>
      </c>
      <c r="P735" t="s">
        <v>38</v>
      </c>
      <c r="Q735" t="s">
        <v>38</v>
      </c>
      <c r="R735" t="s">
        <v>40</v>
      </c>
      <c r="S735" t="s">
        <v>41</v>
      </c>
      <c r="T735" t="s">
        <v>2969</v>
      </c>
      <c r="U735" t="s">
        <v>2970</v>
      </c>
      <c r="V735" t="s">
        <v>2971</v>
      </c>
      <c r="W735" t="s">
        <v>2972</v>
      </c>
      <c r="Z735" t="s">
        <v>46</v>
      </c>
      <c r="AA735" t="s">
        <v>3058</v>
      </c>
      <c r="AB735" t="s">
        <v>2999</v>
      </c>
      <c r="AC735">
        <f>COUNTIF(C:C,QLKV_gui_ket_qua_ra_soat[[#This Row],[Mã điểm bán]])</f>
        <v>1</v>
      </c>
    </row>
    <row r="736" spans="1:29" x14ac:dyDescent="0.45">
      <c r="A736" t="s">
        <v>2965</v>
      </c>
      <c r="B736">
        <v>1070</v>
      </c>
      <c r="C736" t="s">
        <v>3133</v>
      </c>
      <c r="D736" t="s">
        <v>3134</v>
      </c>
      <c r="E736" t="s">
        <v>3135</v>
      </c>
      <c r="F736" t="s">
        <v>401</v>
      </c>
      <c r="G736" t="s">
        <v>34</v>
      </c>
      <c r="H736" t="s">
        <v>620</v>
      </c>
      <c r="I736" t="s">
        <v>3136</v>
      </c>
      <c r="J736" t="s">
        <v>38</v>
      </c>
      <c r="K736" t="s">
        <v>38</v>
      </c>
      <c r="L736" t="s">
        <v>40</v>
      </c>
      <c r="M736" t="s">
        <v>38</v>
      </c>
      <c r="N736" t="s">
        <v>38</v>
      </c>
      <c r="O736" t="s">
        <v>39</v>
      </c>
      <c r="P736" t="s">
        <v>38</v>
      </c>
      <c r="Q736" t="s">
        <v>38</v>
      </c>
      <c r="R736" t="s">
        <v>40</v>
      </c>
      <c r="S736" t="s">
        <v>41</v>
      </c>
      <c r="T736" t="s">
        <v>2969</v>
      </c>
      <c r="U736" t="s">
        <v>2970</v>
      </c>
      <c r="V736" t="s">
        <v>2971</v>
      </c>
      <c r="W736" t="s">
        <v>2972</v>
      </c>
      <c r="Z736" t="s">
        <v>46</v>
      </c>
      <c r="AA736" t="s">
        <v>3058</v>
      </c>
      <c r="AB736" t="s">
        <v>3012</v>
      </c>
      <c r="AC736">
        <f>COUNTIF(C:C,QLKV_gui_ket_qua_ra_soat[[#This Row],[Mã điểm bán]])</f>
        <v>1</v>
      </c>
    </row>
    <row r="737" spans="1:29" x14ac:dyDescent="0.45">
      <c r="A737" t="s">
        <v>2965</v>
      </c>
      <c r="B737">
        <v>1073</v>
      </c>
      <c r="C737" t="s">
        <v>3137</v>
      </c>
      <c r="D737" t="s">
        <v>3138</v>
      </c>
      <c r="E737" t="s">
        <v>3139</v>
      </c>
      <c r="F737" t="s">
        <v>53</v>
      </c>
      <c r="G737" t="s">
        <v>34</v>
      </c>
      <c r="H737" t="s">
        <v>340</v>
      </c>
      <c r="I737" t="s">
        <v>3140</v>
      </c>
      <c r="J737" t="s">
        <v>38</v>
      </c>
      <c r="K737" t="s">
        <v>38</v>
      </c>
      <c r="L737" t="s">
        <v>40</v>
      </c>
      <c r="M737" t="s">
        <v>37</v>
      </c>
      <c r="N737" t="s">
        <v>37</v>
      </c>
      <c r="O737" t="s">
        <v>39</v>
      </c>
      <c r="P737" t="s">
        <v>38</v>
      </c>
      <c r="Q737" t="s">
        <v>38</v>
      </c>
      <c r="R737" t="s">
        <v>40</v>
      </c>
      <c r="S737" t="s">
        <v>41</v>
      </c>
      <c r="T737" t="s">
        <v>2969</v>
      </c>
      <c r="U737" t="s">
        <v>2970</v>
      </c>
      <c r="V737" t="s">
        <v>2971</v>
      </c>
      <c r="W737" t="s">
        <v>2972</v>
      </c>
      <c r="Z737" t="s">
        <v>46</v>
      </c>
      <c r="AA737" t="s">
        <v>3058</v>
      </c>
      <c r="AB737" t="s">
        <v>3012</v>
      </c>
      <c r="AC737">
        <f>COUNTIF(C:C,QLKV_gui_ket_qua_ra_soat[[#This Row],[Mã điểm bán]])</f>
        <v>1</v>
      </c>
    </row>
    <row r="738" spans="1:29" x14ac:dyDescent="0.45">
      <c r="A738" t="s">
        <v>2965</v>
      </c>
      <c r="B738">
        <v>1101</v>
      </c>
      <c r="C738" t="s">
        <v>3141</v>
      </c>
      <c r="D738" t="s">
        <v>3142</v>
      </c>
      <c r="E738" t="s">
        <v>108</v>
      </c>
      <c r="F738" t="s">
        <v>53</v>
      </c>
      <c r="G738" t="s">
        <v>177</v>
      </c>
      <c r="H738" t="s">
        <v>685</v>
      </c>
      <c r="I738" t="s">
        <v>3143</v>
      </c>
      <c r="J738" t="s">
        <v>38</v>
      </c>
      <c r="K738" t="s">
        <v>38</v>
      </c>
      <c r="L738" t="s">
        <v>40</v>
      </c>
      <c r="M738" t="s">
        <v>38</v>
      </c>
      <c r="N738" t="s">
        <v>56</v>
      </c>
      <c r="O738" t="s">
        <v>39</v>
      </c>
      <c r="P738" t="s">
        <v>38</v>
      </c>
      <c r="Q738" t="s">
        <v>38</v>
      </c>
      <c r="R738" t="s">
        <v>40</v>
      </c>
      <c r="S738" t="s">
        <v>3144</v>
      </c>
      <c r="T738" t="s">
        <v>3020</v>
      </c>
      <c r="U738" t="s">
        <v>3021</v>
      </c>
      <c r="V738" t="s">
        <v>2971</v>
      </c>
      <c r="W738" t="s">
        <v>2972</v>
      </c>
      <c r="Z738" t="s">
        <v>46</v>
      </c>
      <c r="AA738" t="s">
        <v>3036</v>
      </c>
      <c r="AB738" t="s">
        <v>117</v>
      </c>
      <c r="AC738">
        <f>COUNTIF(C:C,QLKV_gui_ket_qua_ra_soat[[#This Row],[Mã điểm bán]])</f>
        <v>1</v>
      </c>
    </row>
    <row r="739" spans="1:29" x14ac:dyDescent="0.45">
      <c r="A739" t="s">
        <v>2965</v>
      </c>
      <c r="B739">
        <v>1102</v>
      </c>
      <c r="C739" t="s">
        <v>3145</v>
      </c>
      <c r="D739" t="s">
        <v>3146</v>
      </c>
      <c r="E739" t="s">
        <v>324</v>
      </c>
      <c r="F739" t="s">
        <v>581</v>
      </c>
      <c r="G739" t="s">
        <v>177</v>
      </c>
      <c r="H739" t="s">
        <v>546</v>
      </c>
      <c r="I739" t="s">
        <v>3147</v>
      </c>
      <c r="J739" t="s">
        <v>38</v>
      </c>
      <c r="K739" t="s">
        <v>38</v>
      </c>
      <c r="L739" t="s">
        <v>40</v>
      </c>
      <c r="M739" t="s">
        <v>38</v>
      </c>
      <c r="N739" t="s">
        <v>56</v>
      </c>
      <c r="O739" t="s">
        <v>39</v>
      </c>
      <c r="P739" t="s">
        <v>38</v>
      </c>
      <c r="Q739" t="s">
        <v>38</v>
      </c>
      <c r="R739" t="s">
        <v>40</v>
      </c>
      <c r="S739" t="s">
        <v>3148</v>
      </c>
      <c r="T739" t="s">
        <v>3020</v>
      </c>
      <c r="U739" t="s">
        <v>3021</v>
      </c>
      <c r="V739" t="s">
        <v>2971</v>
      </c>
      <c r="W739" t="s">
        <v>2972</v>
      </c>
      <c r="Z739" t="s">
        <v>46</v>
      </c>
      <c r="AA739" t="s">
        <v>3058</v>
      </c>
      <c r="AB739" t="s">
        <v>2999</v>
      </c>
      <c r="AC739">
        <f>COUNTIF(C:C,QLKV_gui_ket_qua_ra_soat[[#This Row],[Mã điểm bán]])</f>
        <v>1</v>
      </c>
    </row>
    <row r="740" spans="1:29" x14ac:dyDescent="0.45">
      <c r="A740" t="s">
        <v>2965</v>
      </c>
      <c r="B740">
        <v>1107</v>
      </c>
      <c r="C740" t="s">
        <v>3149</v>
      </c>
      <c r="D740" t="s">
        <v>3150</v>
      </c>
      <c r="E740" t="s">
        <v>3151</v>
      </c>
      <c r="F740" t="s">
        <v>53</v>
      </c>
      <c r="G740" t="s">
        <v>34</v>
      </c>
      <c r="H740" t="s">
        <v>54</v>
      </c>
      <c r="I740" t="s">
        <v>3152</v>
      </c>
      <c r="J740" t="s">
        <v>38</v>
      </c>
      <c r="K740" t="s">
        <v>38</v>
      </c>
      <c r="L740" t="s">
        <v>40</v>
      </c>
      <c r="M740" t="s">
        <v>38</v>
      </c>
      <c r="N740" t="s">
        <v>38</v>
      </c>
      <c r="O740" t="s">
        <v>39</v>
      </c>
      <c r="P740" t="s">
        <v>38</v>
      </c>
      <c r="Q740" t="s">
        <v>38</v>
      </c>
      <c r="R740" t="s">
        <v>40</v>
      </c>
      <c r="S740" t="s">
        <v>41</v>
      </c>
      <c r="T740" t="s">
        <v>2969</v>
      </c>
      <c r="U740" t="s">
        <v>2970</v>
      </c>
      <c r="V740" t="s">
        <v>2971</v>
      </c>
      <c r="W740" t="s">
        <v>2972</v>
      </c>
      <c r="X740" t="s">
        <v>46</v>
      </c>
      <c r="AC740">
        <f>COUNTIF(C:C,QLKV_gui_ket_qua_ra_soat[[#This Row],[Mã điểm bán]])</f>
        <v>1</v>
      </c>
    </row>
    <row r="741" spans="1:29" x14ac:dyDescent="0.45">
      <c r="A741" t="s">
        <v>2965</v>
      </c>
      <c r="B741">
        <v>1108</v>
      </c>
      <c r="C741" t="s">
        <v>3153</v>
      </c>
      <c r="D741" t="s">
        <v>3154</v>
      </c>
      <c r="E741" t="s">
        <v>3155</v>
      </c>
      <c r="F741" t="s">
        <v>3156</v>
      </c>
      <c r="G741" t="s">
        <v>34</v>
      </c>
      <c r="H741" t="s">
        <v>54</v>
      </c>
      <c r="I741" t="s">
        <v>3157</v>
      </c>
      <c r="J741" t="s">
        <v>38</v>
      </c>
      <c r="K741" t="s">
        <v>38</v>
      </c>
      <c r="L741" t="s">
        <v>39</v>
      </c>
      <c r="M741" t="s">
        <v>37</v>
      </c>
      <c r="N741" t="s">
        <v>37</v>
      </c>
      <c r="O741" t="s">
        <v>39</v>
      </c>
      <c r="P741" t="s">
        <v>38</v>
      </c>
      <c r="Q741" t="s">
        <v>38</v>
      </c>
      <c r="R741" t="s">
        <v>39</v>
      </c>
      <c r="S741" t="s">
        <v>41</v>
      </c>
      <c r="T741" t="s">
        <v>3057</v>
      </c>
      <c r="U741" t="s">
        <v>2970</v>
      </c>
      <c r="V741" t="s">
        <v>2971</v>
      </c>
      <c r="W741" t="s">
        <v>2972</v>
      </c>
      <c r="Z741" t="s">
        <v>46</v>
      </c>
      <c r="AA741" t="s">
        <v>3158</v>
      </c>
      <c r="AB741" t="s">
        <v>117</v>
      </c>
      <c r="AC741">
        <f>COUNTIF(C:C,QLKV_gui_ket_qua_ra_soat[[#This Row],[Mã điểm bán]])</f>
        <v>1</v>
      </c>
    </row>
    <row r="742" spans="1:29" x14ac:dyDescent="0.45">
      <c r="A742" t="s">
        <v>2965</v>
      </c>
      <c r="B742">
        <v>1114</v>
      </c>
      <c r="C742" t="s">
        <v>3159</v>
      </c>
      <c r="D742" t="s">
        <v>3160</v>
      </c>
      <c r="E742" t="s">
        <v>92</v>
      </c>
      <c r="F742" t="s">
        <v>166</v>
      </c>
      <c r="G742" t="s">
        <v>177</v>
      </c>
      <c r="H742" t="s">
        <v>54</v>
      </c>
      <c r="I742" t="s">
        <v>3161</v>
      </c>
      <c r="J742" t="s">
        <v>38</v>
      </c>
      <c r="K742" t="s">
        <v>38</v>
      </c>
      <c r="L742" t="s">
        <v>40</v>
      </c>
      <c r="M742" t="s">
        <v>38</v>
      </c>
      <c r="N742" t="s">
        <v>38</v>
      </c>
      <c r="O742" t="s">
        <v>40</v>
      </c>
      <c r="P742" t="s">
        <v>38</v>
      </c>
      <c r="Q742" t="s">
        <v>38</v>
      </c>
      <c r="R742" t="s">
        <v>40</v>
      </c>
      <c r="S742" t="s">
        <v>41</v>
      </c>
      <c r="T742" t="s">
        <v>3020</v>
      </c>
      <c r="U742" t="s">
        <v>3021</v>
      </c>
      <c r="V742" t="s">
        <v>2971</v>
      </c>
      <c r="W742" t="s">
        <v>2972</v>
      </c>
      <c r="Z742" t="s">
        <v>46</v>
      </c>
      <c r="AA742" t="s">
        <v>3036</v>
      </c>
      <c r="AC742">
        <f>COUNTIF(C:C,QLKV_gui_ket_qua_ra_soat[[#This Row],[Mã điểm bán]])</f>
        <v>1</v>
      </c>
    </row>
    <row r="743" spans="1:29" x14ac:dyDescent="0.45">
      <c r="A743" t="s">
        <v>2965</v>
      </c>
      <c r="B743">
        <v>1123</v>
      </c>
      <c r="C743" t="s">
        <v>3162</v>
      </c>
      <c r="D743" t="s">
        <v>3163</v>
      </c>
      <c r="E743" t="s">
        <v>3164</v>
      </c>
      <c r="F743" t="s">
        <v>3165</v>
      </c>
      <c r="G743" t="s">
        <v>177</v>
      </c>
      <c r="H743" t="s">
        <v>54</v>
      </c>
      <c r="I743" t="s">
        <v>3166</v>
      </c>
      <c r="J743" t="s">
        <v>38</v>
      </c>
      <c r="K743" t="s">
        <v>38</v>
      </c>
      <c r="L743" t="s">
        <v>40</v>
      </c>
      <c r="M743" t="s">
        <v>38</v>
      </c>
      <c r="N743" t="s">
        <v>38</v>
      </c>
      <c r="O743" t="s">
        <v>40</v>
      </c>
      <c r="P743" t="s">
        <v>38</v>
      </c>
      <c r="Q743" t="s">
        <v>38</v>
      </c>
      <c r="R743" t="s">
        <v>40</v>
      </c>
      <c r="S743" t="s">
        <v>3167</v>
      </c>
      <c r="T743" t="s">
        <v>3020</v>
      </c>
      <c r="U743" t="s">
        <v>3021</v>
      </c>
      <c r="V743" t="s">
        <v>2971</v>
      </c>
      <c r="W743" t="s">
        <v>2972</v>
      </c>
      <c r="Z743" t="s">
        <v>46</v>
      </c>
      <c r="AA743" t="s">
        <v>3036</v>
      </c>
      <c r="AB743" t="s">
        <v>117</v>
      </c>
      <c r="AC743">
        <f>COUNTIF(C:C,QLKV_gui_ket_qua_ra_soat[[#This Row],[Mã điểm bán]])</f>
        <v>1</v>
      </c>
    </row>
    <row r="744" spans="1:29" x14ac:dyDescent="0.45">
      <c r="A744" t="s">
        <v>2965</v>
      </c>
      <c r="B744">
        <v>1134</v>
      </c>
      <c r="C744" t="s">
        <v>3168</v>
      </c>
      <c r="D744" t="s">
        <v>3169</v>
      </c>
      <c r="E744" t="s">
        <v>269</v>
      </c>
      <c r="F744" t="s">
        <v>53</v>
      </c>
      <c r="G744" t="s">
        <v>177</v>
      </c>
      <c r="H744" t="s">
        <v>54</v>
      </c>
      <c r="I744" t="s">
        <v>3170</v>
      </c>
      <c r="J744" t="s">
        <v>38</v>
      </c>
      <c r="K744" t="s">
        <v>38</v>
      </c>
      <c r="L744" t="s">
        <v>40</v>
      </c>
      <c r="M744" t="s">
        <v>38</v>
      </c>
      <c r="N744" t="s">
        <v>38</v>
      </c>
      <c r="O744" t="s">
        <v>40</v>
      </c>
      <c r="P744" t="s">
        <v>38</v>
      </c>
      <c r="Q744" t="s">
        <v>38</v>
      </c>
      <c r="R744" t="s">
        <v>40</v>
      </c>
      <c r="S744" t="s">
        <v>41</v>
      </c>
      <c r="T744" t="s">
        <v>3020</v>
      </c>
      <c r="U744" t="s">
        <v>3021</v>
      </c>
      <c r="V744" t="s">
        <v>2971</v>
      </c>
      <c r="W744" t="s">
        <v>2972</v>
      </c>
      <c r="X744" t="s">
        <v>46</v>
      </c>
      <c r="AC744">
        <f>COUNTIF(C:C,QLKV_gui_ket_qua_ra_soat[[#This Row],[Mã điểm bán]])</f>
        <v>1</v>
      </c>
    </row>
    <row r="745" spans="1:29" x14ac:dyDescent="0.45">
      <c r="A745" t="s">
        <v>2965</v>
      </c>
      <c r="B745">
        <v>1140</v>
      </c>
      <c r="C745" t="s">
        <v>3171</v>
      </c>
      <c r="D745" t="s">
        <v>3172</v>
      </c>
      <c r="E745" t="s">
        <v>207</v>
      </c>
      <c r="F745" t="s">
        <v>53</v>
      </c>
      <c r="G745" t="s">
        <v>177</v>
      </c>
      <c r="H745" t="s">
        <v>54</v>
      </c>
      <c r="I745" t="s">
        <v>3173</v>
      </c>
      <c r="J745" t="s">
        <v>38</v>
      </c>
      <c r="K745" t="s">
        <v>38</v>
      </c>
      <c r="L745" t="s">
        <v>40</v>
      </c>
      <c r="M745" t="s">
        <v>38</v>
      </c>
      <c r="N745" t="s">
        <v>38</v>
      </c>
      <c r="O745" t="s">
        <v>40</v>
      </c>
      <c r="P745" t="s">
        <v>38</v>
      </c>
      <c r="Q745" t="s">
        <v>38</v>
      </c>
      <c r="R745" t="s">
        <v>40</v>
      </c>
      <c r="S745" t="s">
        <v>41</v>
      </c>
      <c r="T745" t="s">
        <v>3020</v>
      </c>
      <c r="U745" t="s">
        <v>3021</v>
      </c>
      <c r="V745" t="s">
        <v>2971</v>
      </c>
      <c r="W745" t="s">
        <v>2972</v>
      </c>
      <c r="X745" t="s">
        <v>46</v>
      </c>
      <c r="AB745" t="s">
        <v>117</v>
      </c>
      <c r="AC745">
        <f>COUNTIF(C:C,QLKV_gui_ket_qua_ra_soat[[#This Row],[Mã điểm bán]])</f>
        <v>1</v>
      </c>
    </row>
    <row r="746" spans="1:29" x14ac:dyDescent="0.45">
      <c r="A746" t="s">
        <v>2965</v>
      </c>
      <c r="B746">
        <v>1172</v>
      </c>
      <c r="C746" t="s">
        <v>3174</v>
      </c>
      <c r="D746" t="s">
        <v>3064</v>
      </c>
      <c r="E746" t="s">
        <v>3175</v>
      </c>
      <c r="F746" t="s">
        <v>426</v>
      </c>
      <c r="G746" t="s">
        <v>34</v>
      </c>
      <c r="H746" t="s">
        <v>54</v>
      </c>
      <c r="I746" t="s">
        <v>3176</v>
      </c>
      <c r="J746" t="s">
        <v>38</v>
      </c>
      <c r="K746" t="s">
        <v>38</v>
      </c>
      <c r="L746" t="s">
        <v>40</v>
      </c>
      <c r="M746" t="s">
        <v>38</v>
      </c>
      <c r="N746" t="s">
        <v>38</v>
      </c>
      <c r="O746" t="s">
        <v>39</v>
      </c>
      <c r="P746" t="s">
        <v>38</v>
      </c>
      <c r="Q746" t="s">
        <v>38</v>
      </c>
      <c r="R746" t="s">
        <v>39</v>
      </c>
      <c r="S746" t="s">
        <v>41</v>
      </c>
      <c r="T746" t="s">
        <v>2969</v>
      </c>
      <c r="U746" t="s">
        <v>2970</v>
      </c>
      <c r="V746" t="s">
        <v>2971</v>
      </c>
      <c r="W746" t="s">
        <v>2972</v>
      </c>
      <c r="Z746" t="s">
        <v>46</v>
      </c>
      <c r="AA746" t="s">
        <v>3058</v>
      </c>
      <c r="AB746" t="s">
        <v>2999</v>
      </c>
      <c r="AC746">
        <f>COUNTIF(C:C,QLKV_gui_ket_qua_ra_soat[[#This Row],[Mã điểm bán]])</f>
        <v>1</v>
      </c>
    </row>
    <row r="747" spans="1:29" x14ac:dyDescent="0.45">
      <c r="A747" t="s">
        <v>2965</v>
      </c>
      <c r="B747">
        <v>1173</v>
      </c>
      <c r="C747" t="s">
        <v>3177</v>
      </c>
      <c r="D747" t="s">
        <v>3178</v>
      </c>
      <c r="E747" t="s">
        <v>3179</v>
      </c>
      <c r="F747" t="s">
        <v>53</v>
      </c>
      <c r="G747" t="s">
        <v>34</v>
      </c>
      <c r="H747" t="s">
        <v>54</v>
      </c>
      <c r="I747" t="s">
        <v>3180</v>
      </c>
      <c r="J747" t="s">
        <v>38</v>
      </c>
      <c r="K747" t="s">
        <v>38</v>
      </c>
      <c r="L747" t="s">
        <v>39</v>
      </c>
      <c r="M747" t="s">
        <v>38</v>
      </c>
      <c r="N747" t="s">
        <v>38</v>
      </c>
      <c r="O747" t="s">
        <v>39</v>
      </c>
      <c r="P747" t="s">
        <v>38</v>
      </c>
      <c r="Q747" t="s">
        <v>38</v>
      </c>
      <c r="R747" t="s">
        <v>40</v>
      </c>
      <c r="S747" t="s">
        <v>41</v>
      </c>
      <c r="T747" t="s">
        <v>2969</v>
      </c>
      <c r="U747" t="s">
        <v>2970</v>
      </c>
      <c r="V747" t="s">
        <v>2971</v>
      </c>
      <c r="W747" t="s">
        <v>2972</v>
      </c>
      <c r="X747" t="s">
        <v>46</v>
      </c>
      <c r="AC747">
        <f>COUNTIF(C:C,QLKV_gui_ket_qua_ra_soat[[#This Row],[Mã điểm bán]])</f>
        <v>1</v>
      </c>
    </row>
    <row r="748" spans="1:29" x14ac:dyDescent="0.45">
      <c r="A748" t="s">
        <v>2965</v>
      </c>
      <c r="B748">
        <v>1185</v>
      </c>
      <c r="C748" t="s">
        <v>3181</v>
      </c>
      <c r="D748" t="s">
        <v>3182</v>
      </c>
      <c r="E748" t="s">
        <v>3183</v>
      </c>
      <c r="F748" t="s">
        <v>53</v>
      </c>
      <c r="G748" t="s">
        <v>34</v>
      </c>
      <c r="H748" t="s">
        <v>54</v>
      </c>
      <c r="I748" t="s">
        <v>3184</v>
      </c>
      <c r="J748" t="s">
        <v>38</v>
      </c>
      <c r="K748" t="s">
        <v>38</v>
      </c>
      <c r="L748" t="s">
        <v>40</v>
      </c>
      <c r="M748" t="s">
        <v>37</v>
      </c>
      <c r="N748" t="s">
        <v>37</v>
      </c>
      <c r="O748" t="s">
        <v>39</v>
      </c>
      <c r="P748" t="s">
        <v>38</v>
      </c>
      <c r="Q748" t="s">
        <v>38</v>
      </c>
      <c r="R748" t="s">
        <v>40</v>
      </c>
      <c r="S748" t="s">
        <v>41</v>
      </c>
      <c r="T748" t="s">
        <v>2969</v>
      </c>
      <c r="U748" t="s">
        <v>2970</v>
      </c>
      <c r="V748" t="s">
        <v>2971</v>
      </c>
      <c r="W748" t="s">
        <v>2972</v>
      </c>
      <c r="Z748" t="s">
        <v>46</v>
      </c>
      <c r="AA748" t="s">
        <v>3158</v>
      </c>
      <c r="AB748" t="s">
        <v>117</v>
      </c>
      <c r="AC748">
        <f>COUNTIF(C:C,QLKV_gui_ket_qua_ra_soat[[#This Row],[Mã điểm bán]])</f>
        <v>1</v>
      </c>
    </row>
    <row r="749" spans="1:29" x14ac:dyDescent="0.45">
      <c r="A749" t="s">
        <v>2965</v>
      </c>
      <c r="B749">
        <v>1187</v>
      </c>
      <c r="C749" t="s">
        <v>3185</v>
      </c>
      <c r="D749" t="s">
        <v>3186</v>
      </c>
      <c r="E749" t="s">
        <v>3187</v>
      </c>
      <c r="F749" t="s">
        <v>53</v>
      </c>
      <c r="G749" t="s">
        <v>34</v>
      </c>
      <c r="H749" t="s">
        <v>54</v>
      </c>
      <c r="I749" t="s">
        <v>3188</v>
      </c>
      <c r="J749" t="s">
        <v>38</v>
      </c>
      <c r="K749" t="s">
        <v>38</v>
      </c>
      <c r="L749" t="s">
        <v>40</v>
      </c>
      <c r="M749" t="s">
        <v>38</v>
      </c>
      <c r="N749" t="s">
        <v>38</v>
      </c>
      <c r="O749" t="s">
        <v>39</v>
      </c>
      <c r="P749" t="s">
        <v>38</v>
      </c>
      <c r="Q749" t="s">
        <v>38</v>
      </c>
      <c r="R749" t="s">
        <v>40</v>
      </c>
      <c r="S749" t="s">
        <v>41</v>
      </c>
      <c r="T749" t="s">
        <v>2969</v>
      </c>
      <c r="U749" t="s">
        <v>2970</v>
      </c>
      <c r="V749" t="s">
        <v>2971</v>
      </c>
      <c r="W749" t="s">
        <v>2972</v>
      </c>
      <c r="X749" t="s">
        <v>46</v>
      </c>
      <c r="AC749">
        <f>COUNTIF(C:C,QLKV_gui_ket_qua_ra_soat[[#This Row],[Mã điểm bán]])</f>
        <v>1</v>
      </c>
    </row>
    <row r="750" spans="1:29" x14ac:dyDescent="0.45">
      <c r="A750" t="s">
        <v>2965</v>
      </c>
      <c r="B750">
        <v>1189</v>
      </c>
      <c r="C750" t="s">
        <v>3189</v>
      </c>
      <c r="D750" t="s">
        <v>3190</v>
      </c>
      <c r="E750" t="s">
        <v>206</v>
      </c>
      <c r="F750" t="s">
        <v>53</v>
      </c>
      <c r="G750" t="s">
        <v>34</v>
      </c>
      <c r="H750" t="s">
        <v>54</v>
      </c>
      <c r="I750" t="s">
        <v>3191</v>
      </c>
      <c r="J750" t="s">
        <v>38</v>
      </c>
      <c r="K750" t="s">
        <v>38</v>
      </c>
      <c r="L750" t="s">
        <v>40</v>
      </c>
      <c r="M750" t="s">
        <v>38</v>
      </c>
      <c r="N750" t="s">
        <v>38</v>
      </c>
      <c r="O750" t="s">
        <v>39</v>
      </c>
      <c r="P750" t="s">
        <v>37</v>
      </c>
      <c r="Q750" t="s">
        <v>37</v>
      </c>
      <c r="R750" t="s">
        <v>39</v>
      </c>
      <c r="S750" t="s">
        <v>41</v>
      </c>
      <c r="T750" t="s">
        <v>3192</v>
      </c>
      <c r="U750" t="s">
        <v>3046</v>
      </c>
      <c r="V750" t="s">
        <v>2971</v>
      </c>
      <c r="W750" t="s">
        <v>2972</v>
      </c>
      <c r="Z750" t="s">
        <v>46</v>
      </c>
      <c r="AA750" t="s">
        <v>2983</v>
      </c>
      <c r="AB750" t="s">
        <v>117</v>
      </c>
      <c r="AC750">
        <f>COUNTIF(C:C,QLKV_gui_ket_qua_ra_soat[[#This Row],[Mã điểm bán]])</f>
        <v>1</v>
      </c>
    </row>
    <row r="751" spans="1:29" x14ac:dyDescent="0.45">
      <c r="A751" t="s">
        <v>2965</v>
      </c>
      <c r="B751">
        <v>1191</v>
      </c>
      <c r="C751" t="s">
        <v>3193</v>
      </c>
      <c r="D751" t="s">
        <v>3194</v>
      </c>
      <c r="E751" t="s">
        <v>148</v>
      </c>
      <c r="F751" t="s">
        <v>53</v>
      </c>
      <c r="G751" t="s">
        <v>177</v>
      </c>
      <c r="H751" t="s">
        <v>54</v>
      </c>
      <c r="I751" t="s">
        <v>3195</v>
      </c>
      <c r="J751" t="s">
        <v>38</v>
      </c>
      <c r="K751" t="s">
        <v>38</v>
      </c>
      <c r="L751" t="s">
        <v>40</v>
      </c>
      <c r="M751" t="s">
        <v>38</v>
      </c>
      <c r="N751" t="s">
        <v>38</v>
      </c>
      <c r="O751" t="s">
        <v>40</v>
      </c>
      <c r="P751" t="s">
        <v>38</v>
      </c>
      <c r="Q751" t="s">
        <v>38</v>
      </c>
      <c r="R751" t="s">
        <v>40</v>
      </c>
      <c r="S751" t="s">
        <v>41</v>
      </c>
      <c r="T751" t="s">
        <v>3020</v>
      </c>
      <c r="U751" t="s">
        <v>3021</v>
      </c>
      <c r="V751" t="s">
        <v>2971</v>
      </c>
      <c r="W751" t="s">
        <v>2972</v>
      </c>
      <c r="X751" t="s">
        <v>46</v>
      </c>
      <c r="AB751" t="s">
        <v>117</v>
      </c>
      <c r="AC751">
        <f>COUNTIF(C:C,QLKV_gui_ket_qua_ra_soat[[#This Row],[Mã điểm bán]])</f>
        <v>1</v>
      </c>
    </row>
    <row r="752" spans="1:29" x14ac:dyDescent="0.45">
      <c r="A752" t="s">
        <v>2965</v>
      </c>
      <c r="B752">
        <v>1196</v>
      </c>
      <c r="C752" t="s">
        <v>3196</v>
      </c>
      <c r="D752" t="s">
        <v>3197</v>
      </c>
      <c r="E752" t="s">
        <v>3198</v>
      </c>
      <c r="F752" t="s">
        <v>53</v>
      </c>
      <c r="G752" t="s">
        <v>34</v>
      </c>
      <c r="H752" t="s">
        <v>54</v>
      </c>
      <c r="I752" t="s">
        <v>3199</v>
      </c>
      <c r="J752" t="s">
        <v>38</v>
      </c>
      <c r="K752" t="s">
        <v>38</v>
      </c>
      <c r="L752" t="s">
        <v>40</v>
      </c>
      <c r="M752" t="s">
        <v>38</v>
      </c>
      <c r="N752" t="s">
        <v>38</v>
      </c>
      <c r="O752" t="s">
        <v>39</v>
      </c>
      <c r="P752" t="s">
        <v>38</v>
      </c>
      <c r="Q752" t="s">
        <v>38</v>
      </c>
      <c r="R752" t="s">
        <v>40</v>
      </c>
      <c r="S752" t="s">
        <v>41</v>
      </c>
      <c r="T752" t="s">
        <v>2969</v>
      </c>
      <c r="U752" t="s">
        <v>2970</v>
      </c>
      <c r="V752" t="s">
        <v>2971</v>
      </c>
      <c r="W752" t="s">
        <v>2972</v>
      </c>
      <c r="Z752" t="s">
        <v>46</v>
      </c>
      <c r="AA752" t="s">
        <v>3158</v>
      </c>
      <c r="AB752" t="s">
        <v>117</v>
      </c>
      <c r="AC752">
        <f>COUNTIF(C:C,QLKV_gui_ket_qua_ra_soat[[#This Row],[Mã điểm bán]])</f>
        <v>1</v>
      </c>
    </row>
    <row r="753" spans="1:29" x14ac:dyDescent="0.45">
      <c r="A753" t="s">
        <v>2965</v>
      </c>
      <c r="B753">
        <v>1211</v>
      </c>
      <c r="C753" t="s">
        <v>3200</v>
      </c>
      <c r="D753" t="s">
        <v>3201</v>
      </c>
      <c r="E753" t="s">
        <v>3202</v>
      </c>
      <c r="F753" t="s">
        <v>3069</v>
      </c>
      <c r="G753" t="s">
        <v>34</v>
      </c>
      <c r="H753" t="s">
        <v>54</v>
      </c>
      <c r="I753" t="s">
        <v>3203</v>
      </c>
      <c r="J753" t="s">
        <v>38</v>
      </c>
      <c r="K753" t="s">
        <v>38</v>
      </c>
      <c r="L753" t="s">
        <v>39</v>
      </c>
      <c r="M753" t="s">
        <v>37</v>
      </c>
      <c r="N753" t="s">
        <v>37</v>
      </c>
      <c r="O753" t="s">
        <v>39</v>
      </c>
      <c r="P753" t="s">
        <v>38</v>
      </c>
      <c r="Q753" t="s">
        <v>38</v>
      </c>
      <c r="R753" t="s">
        <v>39</v>
      </c>
      <c r="S753" t="s">
        <v>41</v>
      </c>
      <c r="T753" t="s">
        <v>3057</v>
      </c>
      <c r="U753" t="s">
        <v>2970</v>
      </c>
      <c r="V753" t="s">
        <v>2971</v>
      </c>
      <c r="W753" t="s">
        <v>2972</v>
      </c>
      <c r="X753" t="s">
        <v>46</v>
      </c>
      <c r="AB753" t="s">
        <v>117</v>
      </c>
      <c r="AC753">
        <f>COUNTIF(C:C,QLKV_gui_ket_qua_ra_soat[[#This Row],[Mã điểm bán]])</f>
        <v>1</v>
      </c>
    </row>
    <row r="754" spans="1:29" x14ac:dyDescent="0.45">
      <c r="A754" t="s">
        <v>2965</v>
      </c>
      <c r="B754">
        <v>1234</v>
      </c>
      <c r="C754" t="s">
        <v>3204</v>
      </c>
      <c r="D754" t="s">
        <v>3205</v>
      </c>
      <c r="E754" t="s">
        <v>223</v>
      </c>
      <c r="F754" t="s">
        <v>3207</v>
      </c>
      <c r="G754" t="s">
        <v>177</v>
      </c>
      <c r="H754" t="s">
        <v>697</v>
      </c>
      <c r="I754" t="s">
        <v>3208</v>
      </c>
      <c r="J754" t="s">
        <v>38</v>
      </c>
      <c r="K754" t="s">
        <v>38</v>
      </c>
      <c r="L754" t="s">
        <v>40</v>
      </c>
      <c r="M754" t="s">
        <v>38</v>
      </c>
      <c r="N754" t="s">
        <v>56</v>
      </c>
      <c r="O754" t="s">
        <v>39</v>
      </c>
      <c r="P754" t="s">
        <v>38</v>
      </c>
      <c r="Q754" t="s">
        <v>38</v>
      </c>
      <c r="R754" t="s">
        <v>40</v>
      </c>
      <c r="S754" t="s">
        <v>3148</v>
      </c>
      <c r="T754" t="s">
        <v>3020</v>
      </c>
      <c r="U754" t="s">
        <v>3021</v>
      </c>
      <c r="V754" t="s">
        <v>2971</v>
      </c>
      <c r="W754" t="s">
        <v>2972</v>
      </c>
      <c r="X754" t="s">
        <v>46</v>
      </c>
      <c r="AC754">
        <f>COUNTIF(C:C,QLKV_gui_ket_qua_ra_soat[[#This Row],[Mã điểm bán]])</f>
        <v>1</v>
      </c>
    </row>
    <row r="755" spans="1:29" x14ac:dyDescent="0.45">
      <c r="A755" t="s">
        <v>2965</v>
      </c>
      <c r="B755">
        <v>1252</v>
      </c>
      <c r="C755" t="s">
        <v>3209</v>
      </c>
      <c r="D755" t="s">
        <v>3210</v>
      </c>
      <c r="E755" t="s">
        <v>3211</v>
      </c>
      <c r="F755" t="s">
        <v>666</v>
      </c>
      <c r="G755" t="s">
        <v>34</v>
      </c>
      <c r="H755" t="s">
        <v>620</v>
      </c>
      <c r="I755" t="s">
        <v>3212</v>
      </c>
      <c r="J755" t="s">
        <v>38</v>
      </c>
      <c r="K755" t="s">
        <v>38</v>
      </c>
      <c r="L755" t="s">
        <v>40</v>
      </c>
      <c r="M755" t="s">
        <v>38</v>
      </c>
      <c r="N755" t="s">
        <v>38</v>
      </c>
      <c r="O755" t="s">
        <v>39</v>
      </c>
      <c r="P755" t="s">
        <v>38</v>
      </c>
      <c r="Q755" t="s">
        <v>38</v>
      </c>
      <c r="R755" t="s">
        <v>40</v>
      </c>
      <c r="S755" t="s">
        <v>41</v>
      </c>
      <c r="T755" t="s">
        <v>2969</v>
      </c>
      <c r="U755" t="s">
        <v>2970</v>
      </c>
      <c r="V755" t="s">
        <v>2971</v>
      </c>
      <c r="W755" t="s">
        <v>2972</v>
      </c>
      <c r="X755" t="s">
        <v>46</v>
      </c>
      <c r="AC755">
        <f>COUNTIF(C:C,QLKV_gui_ket_qua_ra_soat[[#This Row],[Mã điểm bán]])</f>
        <v>1</v>
      </c>
    </row>
    <row r="756" spans="1:29" x14ac:dyDescent="0.45">
      <c r="A756" t="s">
        <v>2965</v>
      </c>
      <c r="B756">
        <v>1257</v>
      </c>
      <c r="C756" t="s">
        <v>3213</v>
      </c>
      <c r="D756" t="s">
        <v>3214</v>
      </c>
      <c r="E756" t="s">
        <v>3215</v>
      </c>
      <c r="F756" t="s">
        <v>3216</v>
      </c>
      <c r="G756" t="s">
        <v>34</v>
      </c>
      <c r="H756" t="s">
        <v>54</v>
      </c>
      <c r="I756" t="s">
        <v>3217</v>
      </c>
      <c r="J756" t="s">
        <v>37</v>
      </c>
      <c r="K756" t="s">
        <v>37</v>
      </c>
      <c r="L756" t="s">
        <v>39</v>
      </c>
      <c r="M756" t="s">
        <v>37</v>
      </c>
      <c r="N756" t="s">
        <v>37</v>
      </c>
      <c r="O756" t="s">
        <v>39</v>
      </c>
      <c r="P756" t="s">
        <v>38</v>
      </c>
      <c r="Q756" t="s">
        <v>38</v>
      </c>
      <c r="R756" t="s">
        <v>39</v>
      </c>
      <c r="S756" t="s">
        <v>41</v>
      </c>
      <c r="T756" t="s">
        <v>3057</v>
      </c>
      <c r="U756" t="s">
        <v>2970</v>
      </c>
      <c r="V756" t="s">
        <v>2971</v>
      </c>
      <c r="W756" t="s">
        <v>2972</v>
      </c>
      <c r="X756" t="s">
        <v>46</v>
      </c>
      <c r="AC756">
        <f>COUNTIF(C:C,QLKV_gui_ket_qua_ra_soat[[#This Row],[Mã điểm bán]])</f>
        <v>1</v>
      </c>
    </row>
    <row r="757" spans="1:29" x14ac:dyDescent="0.45">
      <c r="A757" t="s">
        <v>2965</v>
      </c>
      <c r="B757">
        <v>1262</v>
      </c>
      <c r="C757" t="s">
        <v>3218</v>
      </c>
      <c r="D757" t="s">
        <v>3219</v>
      </c>
      <c r="E757" t="s">
        <v>853</v>
      </c>
      <c r="F757" t="s">
        <v>3207</v>
      </c>
      <c r="G757" t="s">
        <v>177</v>
      </c>
      <c r="H757" t="s">
        <v>546</v>
      </c>
      <c r="I757" t="s">
        <v>3220</v>
      </c>
      <c r="J757" t="s">
        <v>38</v>
      </c>
      <c r="K757" t="s">
        <v>38</v>
      </c>
      <c r="L757" t="s">
        <v>40</v>
      </c>
      <c r="M757" t="s">
        <v>38</v>
      </c>
      <c r="N757" t="s">
        <v>37</v>
      </c>
      <c r="O757" t="s">
        <v>39</v>
      </c>
      <c r="P757" t="s">
        <v>38</v>
      </c>
      <c r="Q757" t="s">
        <v>38</v>
      </c>
      <c r="R757" t="s">
        <v>40</v>
      </c>
      <c r="S757" t="s">
        <v>3221</v>
      </c>
      <c r="T757" t="s">
        <v>3020</v>
      </c>
      <c r="U757" t="s">
        <v>3021</v>
      </c>
      <c r="V757" t="s">
        <v>2971</v>
      </c>
      <c r="W757" t="s">
        <v>2972</v>
      </c>
      <c r="X757" t="s">
        <v>46</v>
      </c>
      <c r="AC757">
        <f>COUNTIF(C:C,QLKV_gui_ket_qua_ra_soat[[#This Row],[Mã điểm bán]])</f>
        <v>1</v>
      </c>
    </row>
    <row r="758" spans="1:29" x14ac:dyDescent="0.45">
      <c r="A758" t="s">
        <v>2965</v>
      </c>
      <c r="B758">
        <v>1264</v>
      </c>
      <c r="C758" t="s">
        <v>3222</v>
      </c>
      <c r="D758" t="s">
        <v>3223</v>
      </c>
      <c r="E758" t="s">
        <v>51</v>
      </c>
      <c r="F758" t="s">
        <v>53</v>
      </c>
      <c r="G758" t="s">
        <v>177</v>
      </c>
      <c r="H758" t="s">
        <v>54</v>
      </c>
      <c r="I758" t="s">
        <v>3225</v>
      </c>
      <c r="J758" t="s">
        <v>37</v>
      </c>
      <c r="K758" t="s">
        <v>37</v>
      </c>
      <c r="L758" t="s">
        <v>39</v>
      </c>
      <c r="M758" t="s">
        <v>37</v>
      </c>
      <c r="N758" t="s">
        <v>37</v>
      </c>
      <c r="O758" t="s">
        <v>39</v>
      </c>
      <c r="P758" t="s">
        <v>38</v>
      </c>
      <c r="Q758" t="s">
        <v>38</v>
      </c>
      <c r="R758" t="s">
        <v>39</v>
      </c>
      <c r="S758" t="s">
        <v>41</v>
      </c>
      <c r="T758" t="s">
        <v>3226</v>
      </c>
      <c r="U758" t="s">
        <v>3227</v>
      </c>
      <c r="V758" t="s">
        <v>2971</v>
      </c>
      <c r="W758" t="s">
        <v>2972</v>
      </c>
      <c r="X758" t="s">
        <v>46</v>
      </c>
      <c r="AC758">
        <f>COUNTIF(C:C,QLKV_gui_ket_qua_ra_soat[[#This Row],[Mã điểm bán]])</f>
        <v>1</v>
      </c>
    </row>
    <row r="759" spans="1:29" x14ac:dyDescent="0.45">
      <c r="A759" t="s">
        <v>2965</v>
      </c>
      <c r="B759">
        <v>1265</v>
      </c>
      <c r="C759" t="s">
        <v>3228</v>
      </c>
      <c r="D759" t="s">
        <v>3229</v>
      </c>
      <c r="E759" t="s">
        <v>3230</v>
      </c>
      <c r="F759" t="s">
        <v>224</v>
      </c>
      <c r="G759" t="s">
        <v>34</v>
      </c>
      <c r="H759" t="s">
        <v>54</v>
      </c>
      <c r="I759" t="s">
        <v>3231</v>
      </c>
      <c r="J759" t="s">
        <v>38</v>
      </c>
      <c r="K759" t="s">
        <v>38</v>
      </c>
      <c r="L759" t="s">
        <v>40</v>
      </c>
      <c r="M759" t="s">
        <v>38</v>
      </c>
      <c r="N759" t="s">
        <v>38</v>
      </c>
      <c r="O759" t="s">
        <v>39</v>
      </c>
      <c r="P759" t="s">
        <v>38</v>
      </c>
      <c r="Q759" t="s">
        <v>38</v>
      </c>
      <c r="R759" t="s">
        <v>40</v>
      </c>
      <c r="S759" t="s">
        <v>41</v>
      </c>
      <c r="T759" t="s">
        <v>2969</v>
      </c>
      <c r="U759" t="s">
        <v>2970</v>
      </c>
      <c r="V759" t="s">
        <v>2971</v>
      </c>
      <c r="W759" t="s">
        <v>2972</v>
      </c>
      <c r="Z759" t="s">
        <v>46</v>
      </c>
      <c r="AA759" t="s">
        <v>3058</v>
      </c>
      <c r="AB759" t="s">
        <v>3012</v>
      </c>
      <c r="AC759">
        <f>COUNTIF(C:C,QLKV_gui_ket_qua_ra_soat[[#This Row],[Mã điểm bán]])</f>
        <v>1</v>
      </c>
    </row>
    <row r="760" spans="1:29" x14ac:dyDescent="0.45">
      <c r="A760" t="s">
        <v>2965</v>
      </c>
      <c r="B760">
        <v>1267</v>
      </c>
      <c r="C760" t="s">
        <v>3232</v>
      </c>
      <c r="D760" t="s">
        <v>3233</v>
      </c>
      <c r="E760" t="s">
        <v>190</v>
      </c>
      <c r="F760" t="s">
        <v>829</v>
      </c>
      <c r="G760" t="s">
        <v>177</v>
      </c>
      <c r="H760" t="s">
        <v>54</v>
      </c>
      <c r="I760" t="s">
        <v>3234</v>
      </c>
      <c r="J760" t="s">
        <v>38</v>
      </c>
      <c r="K760" t="s">
        <v>38</v>
      </c>
      <c r="L760" t="s">
        <v>39</v>
      </c>
      <c r="M760" t="s">
        <v>38</v>
      </c>
      <c r="N760" t="s">
        <v>38</v>
      </c>
      <c r="O760" t="s">
        <v>39</v>
      </c>
      <c r="P760" t="s">
        <v>38</v>
      </c>
      <c r="Q760" t="s">
        <v>38</v>
      </c>
      <c r="R760" t="s">
        <v>39</v>
      </c>
      <c r="S760" t="s">
        <v>41</v>
      </c>
      <c r="T760" t="s">
        <v>3045</v>
      </c>
      <c r="U760" t="s">
        <v>3046</v>
      </c>
      <c r="V760" t="s">
        <v>2971</v>
      </c>
      <c r="W760" t="s">
        <v>2972</v>
      </c>
      <c r="X760" t="s">
        <v>46</v>
      </c>
      <c r="AC760">
        <f>COUNTIF(C:C,QLKV_gui_ket_qua_ra_soat[[#This Row],[Mã điểm bán]])</f>
        <v>1</v>
      </c>
    </row>
    <row r="761" spans="1:29" x14ac:dyDescent="0.45">
      <c r="A761" t="s">
        <v>2965</v>
      </c>
      <c r="B761">
        <v>1279</v>
      </c>
      <c r="C761" t="s">
        <v>3235</v>
      </c>
      <c r="D761" t="s">
        <v>3236</v>
      </c>
      <c r="E761" t="s">
        <v>206</v>
      </c>
      <c r="F761" t="s">
        <v>3237</v>
      </c>
      <c r="G761" t="s">
        <v>177</v>
      </c>
      <c r="H761" t="s">
        <v>708</v>
      </c>
      <c r="I761" t="s">
        <v>3238</v>
      </c>
      <c r="J761" t="s">
        <v>38</v>
      </c>
      <c r="K761" t="s">
        <v>38</v>
      </c>
      <c r="L761" t="s">
        <v>39</v>
      </c>
      <c r="M761" t="s">
        <v>38</v>
      </c>
      <c r="N761" t="s">
        <v>38</v>
      </c>
      <c r="O761" t="s">
        <v>39</v>
      </c>
      <c r="P761" t="s">
        <v>38</v>
      </c>
      <c r="Q761" t="s">
        <v>38</v>
      </c>
      <c r="R761" t="s">
        <v>39</v>
      </c>
      <c r="S761" t="s">
        <v>41</v>
      </c>
      <c r="T761" t="s">
        <v>3045</v>
      </c>
      <c r="U761" t="s">
        <v>3046</v>
      </c>
      <c r="V761" t="s">
        <v>2971</v>
      </c>
      <c r="W761" t="s">
        <v>2972</v>
      </c>
      <c r="Y761" t="s">
        <v>46</v>
      </c>
      <c r="AC761">
        <f>COUNTIF(C:C,QLKV_gui_ket_qua_ra_soat[[#This Row],[Mã điểm bán]])</f>
        <v>1</v>
      </c>
    </row>
    <row r="762" spans="1:29" x14ac:dyDescent="0.45">
      <c r="A762" t="s">
        <v>2965</v>
      </c>
      <c r="B762">
        <v>1285</v>
      </c>
      <c r="C762" t="s">
        <v>3239</v>
      </c>
      <c r="D762" t="s">
        <v>3240</v>
      </c>
      <c r="E762" t="s">
        <v>1870</v>
      </c>
      <c r="F762" t="s">
        <v>666</v>
      </c>
      <c r="G762" t="s">
        <v>34</v>
      </c>
      <c r="H762" t="s">
        <v>54</v>
      </c>
      <c r="I762" t="s">
        <v>3241</v>
      </c>
      <c r="J762" t="s">
        <v>38</v>
      </c>
      <c r="K762" t="s">
        <v>38</v>
      </c>
      <c r="L762" t="s">
        <v>39</v>
      </c>
      <c r="M762" t="s">
        <v>38</v>
      </c>
      <c r="N762" t="s">
        <v>38</v>
      </c>
      <c r="O762" t="s">
        <v>39</v>
      </c>
      <c r="P762" t="s">
        <v>38</v>
      </c>
      <c r="Q762" t="s">
        <v>38</v>
      </c>
      <c r="R762" t="s">
        <v>39</v>
      </c>
      <c r="S762" t="s">
        <v>41</v>
      </c>
      <c r="T762" t="s">
        <v>3057</v>
      </c>
      <c r="U762" t="s">
        <v>2970</v>
      </c>
      <c r="V762" t="s">
        <v>2971</v>
      </c>
      <c r="W762" t="s">
        <v>2972</v>
      </c>
      <c r="Z762" t="s">
        <v>46</v>
      </c>
      <c r="AA762" t="s">
        <v>3058</v>
      </c>
      <c r="AB762" t="s">
        <v>3012</v>
      </c>
      <c r="AC762">
        <f>COUNTIF(C:C,QLKV_gui_ket_qua_ra_soat[[#This Row],[Mã điểm bán]])</f>
        <v>1</v>
      </c>
    </row>
    <row r="763" spans="1:29" x14ac:dyDescent="0.45">
      <c r="A763" t="s">
        <v>2965</v>
      </c>
      <c r="B763">
        <v>1287</v>
      </c>
      <c r="C763" t="s">
        <v>3242</v>
      </c>
      <c r="D763" t="s">
        <v>3243</v>
      </c>
      <c r="E763" t="s">
        <v>1870</v>
      </c>
      <c r="F763" t="s">
        <v>3244</v>
      </c>
      <c r="G763" t="s">
        <v>34</v>
      </c>
      <c r="H763" t="s">
        <v>546</v>
      </c>
      <c r="I763" t="s">
        <v>3245</v>
      </c>
      <c r="J763" t="s">
        <v>38</v>
      </c>
      <c r="K763" t="s">
        <v>38</v>
      </c>
      <c r="L763" t="s">
        <v>40</v>
      </c>
      <c r="M763" t="s">
        <v>38</v>
      </c>
      <c r="N763" t="s">
        <v>37</v>
      </c>
      <c r="O763" t="s">
        <v>39</v>
      </c>
      <c r="P763" t="s">
        <v>38</v>
      </c>
      <c r="Q763" t="s">
        <v>38</v>
      </c>
      <c r="R763" t="s">
        <v>40</v>
      </c>
      <c r="S763" t="s">
        <v>3246</v>
      </c>
      <c r="T763" t="s">
        <v>3020</v>
      </c>
      <c r="U763" t="s">
        <v>3021</v>
      </c>
      <c r="V763" t="s">
        <v>2971</v>
      </c>
      <c r="W763" t="s">
        <v>2972</v>
      </c>
      <c r="X763" t="s">
        <v>46</v>
      </c>
      <c r="AB763" t="s">
        <v>117</v>
      </c>
      <c r="AC763">
        <f>COUNTIF(C:C,QLKV_gui_ket_qua_ra_soat[[#This Row],[Mã điểm bán]])</f>
        <v>1</v>
      </c>
    </row>
    <row r="764" spans="1:29" x14ac:dyDescent="0.45">
      <c r="A764" t="s">
        <v>2965</v>
      </c>
      <c r="B764">
        <v>1289</v>
      </c>
      <c r="C764" t="s">
        <v>3247</v>
      </c>
      <c r="D764" t="s">
        <v>3248</v>
      </c>
      <c r="E764" t="s">
        <v>3249</v>
      </c>
      <c r="F764" t="s">
        <v>53</v>
      </c>
      <c r="G764" t="s">
        <v>177</v>
      </c>
      <c r="H764" t="s">
        <v>214</v>
      </c>
      <c r="I764" t="s">
        <v>3250</v>
      </c>
      <c r="J764" t="s">
        <v>37</v>
      </c>
      <c r="K764" t="s">
        <v>37</v>
      </c>
      <c r="L764" t="s">
        <v>39</v>
      </c>
      <c r="M764" t="s">
        <v>37</v>
      </c>
      <c r="N764" t="s">
        <v>37</v>
      </c>
      <c r="O764" t="s">
        <v>39</v>
      </c>
      <c r="P764" t="s">
        <v>38</v>
      </c>
      <c r="Q764" t="s">
        <v>38</v>
      </c>
      <c r="R764" t="s">
        <v>40</v>
      </c>
      <c r="S764" t="s">
        <v>41</v>
      </c>
      <c r="T764" t="s">
        <v>3226</v>
      </c>
      <c r="U764" t="s">
        <v>3227</v>
      </c>
      <c r="V764" t="s">
        <v>2971</v>
      </c>
      <c r="W764" t="s">
        <v>2972</v>
      </c>
      <c r="Z764" t="s">
        <v>46</v>
      </c>
      <c r="AA764" t="s">
        <v>3058</v>
      </c>
      <c r="AB764" t="s">
        <v>2999</v>
      </c>
      <c r="AC764">
        <f>COUNTIF(C:C,QLKV_gui_ket_qua_ra_soat[[#This Row],[Mã điểm bán]])</f>
        <v>1</v>
      </c>
    </row>
    <row r="765" spans="1:29" x14ac:dyDescent="0.45">
      <c r="A765" t="s">
        <v>2965</v>
      </c>
      <c r="B765">
        <v>1293</v>
      </c>
      <c r="C765" t="s">
        <v>3251</v>
      </c>
      <c r="D765" t="s">
        <v>3252</v>
      </c>
      <c r="E765" t="s">
        <v>682</v>
      </c>
      <c r="F765" t="s">
        <v>1573</v>
      </c>
      <c r="G765" t="s">
        <v>177</v>
      </c>
      <c r="H765" t="s">
        <v>54</v>
      </c>
      <c r="I765" t="s">
        <v>3253</v>
      </c>
      <c r="J765" t="s">
        <v>38</v>
      </c>
      <c r="K765" t="s">
        <v>38</v>
      </c>
      <c r="L765" t="s">
        <v>39</v>
      </c>
      <c r="M765" t="s">
        <v>38</v>
      </c>
      <c r="N765" t="s">
        <v>38</v>
      </c>
      <c r="O765" t="s">
        <v>39</v>
      </c>
      <c r="P765" t="s">
        <v>38</v>
      </c>
      <c r="Q765" t="s">
        <v>38</v>
      </c>
      <c r="R765" t="s">
        <v>39</v>
      </c>
      <c r="S765" t="s">
        <v>3254</v>
      </c>
      <c r="T765" t="s">
        <v>3045</v>
      </c>
      <c r="U765" t="s">
        <v>3046</v>
      </c>
      <c r="V765" t="s">
        <v>2971</v>
      </c>
      <c r="W765" t="s">
        <v>2972</v>
      </c>
      <c r="Z765" t="s">
        <v>46</v>
      </c>
      <c r="AA765" t="s">
        <v>2983</v>
      </c>
      <c r="AB765" t="s">
        <v>117</v>
      </c>
      <c r="AC765">
        <f>COUNTIF(C:C,QLKV_gui_ket_qua_ra_soat[[#This Row],[Mã điểm bán]])</f>
        <v>1</v>
      </c>
    </row>
    <row r="766" spans="1:29" x14ac:dyDescent="0.45">
      <c r="A766" t="s">
        <v>2965</v>
      </c>
      <c r="B766">
        <v>1298</v>
      </c>
      <c r="C766" t="s">
        <v>3255</v>
      </c>
      <c r="D766" t="s">
        <v>3256</v>
      </c>
      <c r="E766" t="s">
        <v>3257</v>
      </c>
      <c r="F766" t="s">
        <v>3258</v>
      </c>
      <c r="G766" t="s">
        <v>177</v>
      </c>
      <c r="H766" t="s">
        <v>214</v>
      </c>
      <c r="I766" t="s">
        <v>3259</v>
      </c>
      <c r="J766" t="s">
        <v>38</v>
      </c>
      <c r="K766" t="s">
        <v>38</v>
      </c>
      <c r="L766" t="s">
        <v>40</v>
      </c>
      <c r="M766" t="s">
        <v>38</v>
      </c>
      <c r="N766" t="s">
        <v>56</v>
      </c>
      <c r="O766" t="s">
        <v>39</v>
      </c>
      <c r="P766" t="s">
        <v>38</v>
      </c>
      <c r="Q766" t="s">
        <v>38</v>
      </c>
      <c r="R766" t="s">
        <v>40</v>
      </c>
      <c r="S766" t="s">
        <v>3260</v>
      </c>
      <c r="T766" t="s">
        <v>3020</v>
      </c>
      <c r="U766" t="s">
        <v>3021</v>
      </c>
      <c r="V766" t="s">
        <v>2971</v>
      </c>
      <c r="W766" t="s">
        <v>2972</v>
      </c>
      <c r="X766" t="s">
        <v>46</v>
      </c>
      <c r="AC766">
        <f>COUNTIF(C:C,QLKV_gui_ket_qua_ra_soat[[#This Row],[Mã điểm bán]])</f>
        <v>1</v>
      </c>
    </row>
    <row r="767" spans="1:29" x14ac:dyDescent="0.45">
      <c r="A767" t="s">
        <v>2965</v>
      </c>
      <c r="B767">
        <v>1300</v>
      </c>
      <c r="C767" t="s">
        <v>3261</v>
      </c>
      <c r="D767" t="s">
        <v>3262</v>
      </c>
      <c r="E767" t="s">
        <v>3263</v>
      </c>
      <c r="F767" t="s">
        <v>3264</v>
      </c>
      <c r="G767" t="s">
        <v>177</v>
      </c>
      <c r="H767" t="s">
        <v>54</v>
      </c>
      <c r="I767" t="s">
        <v>3265</v>
      </c>
      <c r="J767" t="s">
        <v>37</v>
      </c>
      <c r="K767" t="s">
        <v>37</v>
      </c>
      <c r="L767" t="s">
        <v>39</v>
      </c>
      <c r="M767" t="s">
        <v>37</v>
      </c>
      <c r="N767" t="s">
        <v>37</v>
      </c>
      <c r="O767" t="s">
        <v>39</v>
      </c>
      <c r="P767" t="s">
        <v>38</v>
      </c>
      <c r="Q767" t="s">
        <v>38</v>
      </c>
      <c r="R767" t="s">
        <v>40</v>
      </c>
      <c r="S767" t="s">
        <v>41</v>
      </c>
      <c r="T767" t="s">
        <v>3226</v>
      </c>
      <c r="U767" t="s">
        <v>3227</v>
      </c>
      <c r="V767" t="s">
        <v>2971</v>
      </c>
      <c r="W767" t="s">
        <v>2972</v>
      </c>
      <c r="X767" t="s">
        <v>46</v>
      </c>
      <c r="AC767">
        <f>COUNTIF(C:C,QLKV_gui_ket_qua_ra_soat[[#This Row],[Mã điểm bán]])</f>
        <v>1</v>
      </c>
    </row>
    <row r="768" spans="1:29" x14ac:dyDescent="0.45">
      <c r="A768" t="s">
        <v>2965</v>
      </c>
      <c r="B768">
        <v>1302</v>
      </c>
      <c r="C768" t="s">
        <v>3266</v>
      </c>
      <c r="D768" t="s">
        <v>3267</v>
      </c>
      <c r="E768" t="s">
        <v>64</v>
      </c>
      <c r="F768" t="s">
        <v>53</v>
      </c>
      <c r="G768" t="s">
        <v>177</v>
      </c>
      <c r="H768" t="s">
        <v>2593</v>
      </c>
      <c r="I768" t="s">
        <v>3268</v>
      </c>
      <c r="J768" t="s">
        <v>38</v>
      </c>
      <c r="K768" t="s">
        <v>38</v>
      </c>
      <c r="L768" t="s">
        <v>39</v>
      </c>
      <c r="M768" t="s">
        <v>38</v>
      </c>
      <c r="N768" t="s">
        <v>37</v>
      </c>
      <c r="O768" t="s">
        <v>39</v>
      </c>
      <c r="P768" t="s">
        <v>38</v>
      </c>
      <c r="Q768" t="s">
        <v>38</v>
      </c>
      <c r="R768" t="s">
        <v>39</v>
      </c>
      <c r="S768" t="s">
        <v>41</v>
      </c>
      <c r="T768" t="s">
        <v>3045</v>
      </c>
      <c r="U768" t="s">
        <v>3046</v>
      </c>
      <c r="V768" t="s">
        <v>2971</v>
      </c>
      <c r="W768" t="s">
        <v>2972</v>
      </c>
      <c r="X768" t="s">
        <v>46</v>
      </c>
      <c r="AC768">
        <f>COUNTIF(C:C,QLKV_gui_ket_qua_ra_soat[[#This Row],[Mã điểm bán]])</f>
        <v>1</v>
      </c>
    </row>
    <row r="769" spans="1:29" x14ac:dyDescent="0.45">
      <c r="A769" t="s">
        <v>2965</v>
      </c>
      <c r="B769">
        <v>1319</v>
      </c>
      <c r="C769" t="s">
        <v>3269</v>
      </c>
      <c r="D769" t="s">
        <v>3270</v>
      </c>
      <c r="E769" t="s">
        <v>3271</v>
      </c>
      <c r="F769" t="s">
        <v>53</v>
      </c>
      <c r="G769" t="s">
        <v>34</v>
      </c>
      <c r="H769" t="s">
        <v>54</v>
      </c>
      <c r="I769" t="s">
        <v>3272</v>
      </c>
      <c r="J769" t="s">
        <v>38</v>
      </c>
      <c r="K769" t="s">
        <v>38</v>
      </c>
      <c r="L769" t="s">
        <v>40</v>
      </c>
      <c r="M769" t="s">
        <v>38</v>
      </c>
      <c r="N769" t="s">
        <v>38</v>
      </c>
      <c r="O769" t="s">
        <v>39</v>
      </c>
      <c r="P769" t="s">
        <v>38</v>
      </c>
      <c r="Q769" t="s">
        <v>38</v>
      </c>
      <c r="R769" t="s">
        <v>40</v>
      </c>
      <c r="S769" t="s">
        <v>41</v>
      </c>
      <c r="T769" t="s">
        <v>2969</v>
      </c>
      <c r="U769" t="s">
        <v>2970</v>
      </c>
      <c r="V769" t="s">
        <v>2971</v>
      </c>
      <c r="W769" t="s">
        <v>2972</v>
      </c>
      <c r="Z769" t="s">
        <v>46</v>
      </c>
      <c r="AA769" t="s">
        <v>3158</v>
      </c>
      <c r="AB769" t="s">
        <v>117</v>
      </c>
      <c r="AC769">
        <f>COUNTIF(C:C,QLKV_gui_ket_qua_ra_soat[[#This Row],[Mã điểm bán]])</f>
        <v>1</v>
      </c>
    </row>
    <row r="770" spans="1:29" x14ac:dyDescent="0.45">
      <c r="A770" t="s">
        <v>2965</v>
      </c>
      <c r="B770">
        <v>1324</v>
      </c>
      <c r="C770" t="s">
        <v>3273</v>
      </c>
      <c r="D770" t="s">
        <v>881</v>
      </c>
      <c r="E770" t="s">
        <v>69</v>
      </c>
      <c r="F770" t="s">
        <v>53</v>
      </c>
      <c r="G770" t="s">
        <v>34</v>
      </c>
      <c r="H770" t="s">
        <v>54</v>
      </c>
      <c r="I770" t="s">
        <v>3274</v>
      </c>
      <c r="J770" t="s">
        <v>38</v>
      </c>
      <c r="K770" t="s">
        <v>38</v>
      </c>
      <c r="L770" t="s">
        <v>40</v>
      </c>
      <c r="M770" t="s">
        <v>37</v>
      </c>
      <c r="N770" t="s">
        <v>37</v>
      </c>
      <c r="O770" t="s">
        <v>39</v>
      </c>
      <c r="P770" t="s">
        <v>38</v>
      </c>
      <c r="Q770" t="s">
        <v>38</v>
      </c>
      <c r="R770" t="s">
        <v>40</v>
      </c>
      <c r="S770" t="s">
        <v>41</v>
      </c>
      <c r="T770" t="s">
        <v>2969</v>
      </c>
      <c r="U770" t="s">
        <v>2970</v>
      </c>
      <c r="V770" t="s">
        <v>2971</v>
      </c>
      <c r="W770" t="s">
        <v>2972</v>
      </c>
      <c r="X770" t="s">
        <v>46</v>
      </c>
      <c r="AB770" t="s">
        <v>94</v>
      </c>
      <c r="AC770">
        <f>COUNTIF(C:C,QLKV_gui_ket_qua_ra_soat[[#This Row],[Mã điểm bán]])</f>
        <v>1</v>
      </c>
    </row>
    <row r="771" spans="1:29" x14ac:dyDescent="0.45">
      <c r="A771" t="s">
        <v>2965</v>
      </c>
      <c r="B771">
        <v>1328</v>
      </c>
      <c r="C771" t="s">
        <v>3275</v>
      </c>
      <c r="D771" t="s">
        <v>3276</v>
      </c>
      <c r="E771" t="s">
        <v>69</v>
      </c>
      <c r="F771" t="s">
        <v>441</v>
      </c>
      <c r="G771" t="s">
        <v>177</v>
      </c>
      <c r="H771" t="s">
        <v>54</v>
      </c>
      <c r="I771" t="s">
        <v>3277</v>
      </c>
      <c r="J771" t="s">
        <v>56</v>
      </c>
      <c r="K771" t="s">
        <v>56</v>
      </c>
      <c r="L771" t="s">
        <v>39</v>
      </c>
      <c r="M771" t="s">
        <v>56</v>
      </c>
      <c r="N771" t="s">
        <v>56</v>
      </c>
      <c r="O771" t="s">
        <v>39</v>
      </c>
      <c r="P771" t="s">
        <v>37</v>
      </c>
      <c r="Q771" t="s">
        <v>37</v>
      </c>
      <c r="R771" t="s">
        <v>40</v>
      </c>
      <c r="S771" t="s">
        <v>3003</v>
      </c>
      <c r="T771" t="s">
        <v>2976</v>
      </c>
      <c r="U771" t="s">
        <v>2977</v>
      </c>
      <c r="V771" t="s">
        <v>2971</v>
      </c>
      <c r="W771" t="s">
        <v>2972</v>
      </c>
      <c r="Z771" t="s">
        <v>46</v>
      </c>
      <c r="AA771" t="s">
        <v>2983</v>
      </c>
      <c r="AC771">
        <f>COUNTIF(C:C,QLKV_gui_ket_qua_ra_soat[[#This Row],[Mã điểm bán]])</f>
        <v>1</v>
      </c>
    </row>
    <row r="772" spans="1:29" x14ac:dyDescent="0.45">
      <c r="A772" t="s">
        <v>2965</v>
      </c>
      <c r="B772">
        <v>1331</v>
      </c>
      <c r="C772" t="s">
        <v>3278</v>
      </c>
      <c r="D772" t="s">
        <v>196</v>
      </c>
      <c r="E772" t="s">
        <v>3279</v>
      </c>
      <c r="F772" t="s">
        <v>53</v>
      </c>
      <c r="G772" t="s">
        <v>34</v>
      </c>
      <c r="H772" t="s">
        <v>54</v>
      </c>
      <c r="I772" t="s">
        <v>3280</v>
      </c>
      <c r="J772" t="s">
        <v>38</v>
      </c>
      <c r="K772" t="s">
        <v>38</v>
      </c>
      <c r="L772" t="s">
        <v>40</v>
      </c>
      <c r="M772" t="s">
        <v>38</v>
      </c>
      <c r="N772" t="s">
        <v>38</v>
      </c>
      <c r="O772" t="s">
        <v>39</v>
      </c>
      <c r="P772" t="s">
        <v>38</v>
      </c>
      <c r="Q772" t="s">
        <v>38</v>
      </c>
      <c r="R772" t="s">
        <v>40</v>
      </c>
      <c r="S772" t="s">
        <v>41</v>
      </c>
      <c r="T772" t="s">
        <v>2969</v>
      </c>
      <c r="U772" t="s">
        <v>2970</v>
      </c>
      <c r="V772" t="s">
        <v>2971</v>
      </c>
      <c r="W772" t="s">
        <v>2972</v>
      </c>
      <c r="X772" t="s">
        <v>46</v>
      </c>
      <c r="AC772">
        <f>COUNTIF(C:C,QLKV_gui_ket_qua_ra_soat[[#This Row],[Mã điểm bán]])</f>
        <v>1</v>
      </c>
    </row>
    <row r="773" spans="1:29" x14ac:dyDescent="0.45">
      <c r="A773" t="s">
        <v>2965</v>
      </c>
      <c r="B773">
        <v>1345</v>
      </c>
      <c r="C773" t="s">
        <v>3281</v>
      </c>
      <c r="D773" t="s">
        <v>3282</v>
      </c>
      <c r="E773" t="s">
        <v>290</v>
      </c>
      <c r="F773" t="s">
        <v>325</v>
      </c>
      <c r="G773" t="s">
        <v>34</v>
      </c>
      <c r="H773" t="s">
        <v>54</v>
      </c>
      <c r="I773" t="s">
        <v>3283</v>
      </c>
      <c r="J773" t="s">
        <v>37</v>
      </c>
      <c r="K773" t="s">
        <v>37</v>
      </c>
      <c r="L773" t="s">
        <v>39</v>
      </c>
      <c r="M773" t="s">
        <v>37</v>
      </c>
      <c r="N773" t="s">
        <v>37</v>
      </c>
      <c r="O773" t="s">
        <v>39</v>
      </c>
      <c r="P773" t="s">
        <v>38</v>
      </c>
      <c r="Q773" t="s">
        <v>38</v>
      </c>
      <c r="R773" t="s">
        <v>39</v>
      </c>
      <c r="S773" t="s">
        <v>41</v>
      </c>
      <c r="T773" t="s">
        <v>3057</v>
      </c>
      <c r="U773" t="s">
        <v>2970</v>
      </c>
      <c r="V773" t="s">
        <v>2971</v>
      </c>
      <c r="W773" t="s">
        <v>2972</v>
      </c>
      <c r="X773" t="s">
        <v>46</v>
      </c>
      <c r="AB773" t="s">
        <v>3012</v>
      </c>
      <c r="AC773">
        <f>COUNTIF(C:C,QLKV_gui_ket_qua_ra_soat[[#This Row],[Mã điểm bán]])</f>
        <v>1</v>
      </c>
    </row>
    <row r="774" spans="1:29" x14ac:dyDescent="0.45">
      <c r="A774" t="s">
        <v>2965</v>
      </c>
      <c r="B774">
        <v>1347</v>
      </c>
      <c r="C774" t="s">
        <v>3284</v>
      </c>
      <c r="D774" t="s">
        <v>3285</v>
      </c>
      <c r="E774" t="s">
        <v>728</v>
      </c>
      <c r="F774" t="s">
        <v>417</v>
      </c>
      <c r="G774" t="s">
        <v>34</v>
      </c>
      <c r="H774" t="s">
        <v>54</v>
      </c>
      <c r="I774" t="s">
        <v>3286</v>
      </c>
      <c r="J774" t="s">
        <v>38</v>
      </c>
      <c r="K774" t="s">
        <v>38</v>
      </c>
      <c r="L774" t="s">
        <v>39</v>
      </c>
      <c r="M774" t="s">
        <v>37</v>
      </c>
      <c r="N774" t="s">
        <v>37</v>
      </c>
      <c r="O774" t="s">
        <v>39</v>
      </c>
      <c r="P774" t="s">
        <v>38</v>
      </c>
      <c r="Q774" t="s">
        <v>37</v>
      </c>
      <c r="R774" t="s">
        <v>39</v>
      </c>
      <c r="S774" t="s">
        <v>41</v>
      </c>
      <c r="T774" t="s">
        <v>3057</v>
      </c>
      <c r="U774" t="s">
        <v>2970</v>
      </c>
      <c r="V774" t="s">
        <v>2971</v>
      </c>
      <c r="W774" t="s">
        <v>2972</v>
      </c>
      <c r="Z774" t="s">
        <v>46</v>
      </c>
      <c r="AA774" t="s">
        <v>3158</v>
      </c>
      <c r="AB774" t="s">
        <v>117</v>
      </c>
      <c r="AC774">
        <f>COUNTIF(C:C,QLKV_gui_ket_qua_ra_soat[[#This Row],[Mã điểm bán]])</f>
        <v>1</v>
      </c>
    </row>
    <row r="775" spans="1:29" x14ac:dyDescent="0.45">
      <c r="A775" t="s">
        <v>2965</v>
      </c>
      <c r="B775">
        <v>1348</v>
      </c>
      <c r="C775" t="s">
        <v>3287</v>
      </c>
      <c r="D775" t="s">
        <v>3288</v>
      </c>
      <c r="E775" t="s">
        <v>148</v>
      </c>
      <c r="F775" t="s">
        <v>53</v>
      </c>
      <c r="G775" t="s">
        <v>177</v>
      </c>
      <c r="H775" t="s">
        <v>54</v>
      </c>
      <c r="I775" t="s">
        <v>3289</v>
      </c>
      <c r="J775" t="s">
        <v>38</v>
      </c>
      <c r="K775" t="s">
        <v>38</v>
      </c>
      <c r="L775" t="s">
        <v>40</v>
      </c>
      <c r="M775" t="s">
        <v>38</v>
      </c>
      <c r="N775" t="s">
        <v>38</v>
      </c>
      <c r="O775" t="s">
        <v>40</v>
      </c>
      <c r="P775" t="s">
        <v>38</v>
      </c>
      <c r="Q775" t="s">
        <v>38</v>
      </c>
      <c r="R775" t="s">
        <v>40</v>
      </c>
      <c r="S775" t="s">
        <v>3290</v>
      </c>
      <c r="T775" t="s">
        <v>3020</v>
      </c>
      <c r="U775" t="s">
        <v>3021</v>
      </c>
      <c r="V775" t="s">
        <v>2971</v>
      </c>
      <c r="W775" t="s">
        <v>2972</v>
      </c>
      <c r="X775" t="s">
        <v>46</v>
      </c>
      <c r="AB775" t="s">
        <v>117</v>
      </c>
      <c r="AC775">
        <f>COUNTIF(C:C,QLKV_gui_ket_qua_ra_soat[[#This Row],[Mã điểm bán]])</f>
        <v>1</v>
      </c>
    </row>
    <row r="776" spans="1:29" x14ac:dyDescent="0.45">
      <c r="A776" t="s">
        <v>2965</v>
      </c>
      <c r="B776">
        <v>1352</v>
      </c>
      <c r="C776" t="s">
        <v>3291</v>
      </c>
      <c r="D776" t="s">
        <v>3292</v>
      </c>
      <c r="E776" t="s">
        <v>3293</v>
      </c>
      <c r="F776" t="s">
        <v>3216</v>
      </c>
      <c r="G776" t="s">
        <v>34</v>
      </c>
      <c r="H776" t="s">
        <v>54</v>
      </c>
      <c r="I776" t="s">
        <v>3294</v>
      </c>
      <c r="J776" t="s">
        <v>37</v>
      </c>
      <c r="K776" t="s">
        <v>37</v>
      </c>
      <c r="L776" t="s">
        <v>39</v>
      </c>
      <c r="M776" t="s">
        <v>37</v>
      </c>
      <c r="N776" t="s">
        <v>56</v>
      </c>
      <c r="O776" t="s">
        <v>39</v>
      </c>
      <c r="P776" t="s">
        <v>38</v>
      </c>
      <c r="Q776" t="s">
        <v>38</v>
      </c>
      <c r="R776" t="s">
        <v>39</v>
      </c>
      <c r="S776" t="s">
        <v>41</v>
      </c>
      <c r="T776" t="s">
        <v>3057</v>
      </c>
      <c r="U776" t="s">
        <v>2970</v>
      </c>
      <c r="V776" t="s">
        <v>2971</v>
      </c>
      <c r="W776" t="s">
        <v>2972</v>
      </c>
      <c r="Z776" t="s">
        <v>46</v>
      </c>
      <c r="AA776" t="s">
        <v>3058</v>
      </c>
      <c r="AB776" t="s">
        <v>2999</v>
      </c>
      <c r="AC776">
        <f>COUNTIF(C:C,QLKV_gui_ket_qua_ra_soat[[#This Row],[Mã điểm bán]])</f>
        <v>1</v>
      </c>
    </row>
    <row r="777" spans="1:29" x14ac:dyDescent="0.45">
      <c r="A777" t="s">
        <v>2965</v>
      </c>
      <c r="B777">
        <v>1353</v>
      </c>
      <c r="C777" t="s">
        <v>3295</v>
      </c>
      <c r="D777" t="s">
        <v>3296</v>
      </c>
      <c r="E777" t="s">
        <v>109</v>
      </c>
      <c r="F777" t="s">
        <v>53</v>
      </c>
      <c r="G777" t="s">
        <v>177</v>
      </c>
      <c r="H777" t="s">
        <v>54</v>
      </c>
      <c r="I777" t="s">
        <v>3297</v>
      </c>
      <c r="J777" t="s">
        <v>38</v>
      </c>
      <c r="K777" t="s">
        <v>38</v>
      </c>
      <c r="L777" t="s">
        <v>40</v>
      </c>
      <c r="M777" t="s">
        <v>38</v>
      </c>
      <c r="N777" t="s">
        <v>38</v>
      </c>
      <c r="O777" t="s">
        <v>40</v>
      </c>
      <c r="P777" t="s">
        <v>38</v>
      </c>
      <c r="Q777" t="s">
        <v>38</v>
      </c>
      <c r="R777" t="s">
        <v>40</v>
      </c>
      <c r="S777" t="s">
        <v>41</v>
      </c>
      <c r="T777" t="s">
        <v>3020</v>
      </c>
      <c r="U777" t="s">
        <v>3021</v>
      </c>
      <c r="V777" t="s">
        <v>2971</v>
      </c>
      <c r="W777" t="s">
        <v>2972</v>
      </c>
      <c r="X777" t="s">
        <v>46</v>
      </c>
      <c r="AC777">
        <f>COUNTIF(C:C,QLKV_gui_ket_qua_ra_soat[[#This Row],[Mã điểm bán]])</f>
        <v>1</v>
      </c>
    </row>
    <row r="778" spans="1:29" x14ac:dyDescent="0.45">
      <c r="A778" t="s">
        <v>2965</v>
      </c>
      <c r="B778">
        <v>1360</v>
      </c>
      <c r="C778" t="s">
        <v>3298</v>
      </c>
      <c r="D778" t="s">
        <v>3299</v>
      </c>
      <c r="E778" t="s">
        <v>3300</v>
      </c>
      <c r="F778" t="s">
        <v>53</v>
      </c>
      <c r="G778" t="s">
        <v>34</v>
      </c>
      <c r="H778" t="s">
        <v>54</v>
      </c>
      <c r="I778" t="s">
        <v>3301</v>
      </c>
      <c r="J778" t="s">
        <v>38</v>
      </c>
      <c r="K778" t="s">
        <v>38</v>
      </c>
      <c r="L778" t="s">
        <v>40</v>
      </c>
      <c r="M778" t="s">
        <v>38</v>
      </c>
      <c r="N778" t="s">
        <v>38</v>
      </c>
      <c r="O778" t="s">
        <v>39</v>
      </c>
      <c r="P778" t="s">
        <v>38</v>
      </c>
      <c r="Q778" t="s">
        <v>38</v>
      </c>
      <c r="R778" t="s">
        <v>40</v>
      </c>
      <c r="S778" t="s">
        <v>41</v>
      </c>
      <c r="T778" t="s">
        <v>2969</v>
      </c>
      <c r="U778" t="s">
        <v>2970</v>
      </c>
      <c r="V778" t="s">
        <v>2971</v>
      </c>
      <c r="W778" t="s">
        <v>2972</v>
      </c>
      <c r="Z778" t="s">
        <v>46</v>
      </c>
      <c r="AA778" t="s">
        <v>3158</v>
      </c>
      <c r="AB778" t="s">
        <v>117</v>
      </c>
      <c r="AC778">
        <f>COUNTIF(C:C,QLKV_gui_ket_qua_ra_soat[[#This Row],[Mã điểm bán]])</f>
        <v>1</v>
      </c>
    </row>
    <row r="779" spans="1:29" x14ac:dyDescent="0.45">
      <c r="A779" t="s">
        <v>2965</v>
      </c>
      <c r="B779">
        <v>1366</v>
      </c>
      <c r="C779" t="s">
        <v>3302</v>
      </c>
      <c r="D779" t="s">
        <v>3303</v>
      </c>
      <c r="E779" t="s">
        <v>1610</v>
      </c>
      <c r="F779" t="s">
        <v>581</v>
      </c>
      <c r="G779" t="s">
        <v>177</v>
      </c>
      <c r="H779" t="s">
        <v>546</v>
      </c>
      <c r="I779" t="s">
        <v>3304</v>
      </c>
      <c r="J779" t="s">
        <v>38</v>
      </c>
      <c r="K779" t="s">
        <v>38</v>
      </c>
      <c r="L779" t="s">
        <v>40</v>
      </c>
      <c r="M779" t="s">
        <v>38</v>
      </c>
      <c r="N779" t="s">
        <v>56</v>
      </c>
      <c r="O779" t="s">
        <v>39</v>
      </c>
      <c r="P779" t="s">
        <v>38</v>
      </c>
      <c r="Q779" t="s">
        <v>38</v>
      </c>
      <c r="R779" t="s">
        <v>40</v>
      </c>
      <c r="S779" t="s">
        <v>3305</v>
      </c>
      <c r="T779" t="s">
        <v>3020</v>
      </c>
      <c r="U779" t="s">
        <v>3021</v>
      </c>
      <c r="V779" t="s">
        <v>2971</v>
      </c>
      <c r="W779" t="s">
        <v>2972</v>
      </c>
      <c r="Z779" t="s">
        <v>46</v>
      </c>
      <c r="AA779" t="s">
        <v>3036</v>
      </c>
      <c r="AC779">
        <f>COUNTIF(C:C,QLKV_gui_ket_qua_ra_soat[[#This Row],[Mã điểm bán]])</f>
        <v>1</v>
      </c>
    </row>
    <row r="780" spans="1:29" x14ac:dyDescent="0.45">
      <c r="A780" t="s">
        <v>2965</v>
      </c>
      <c r="B780">
        <v>1369</v>
      </c>
      <c r="C780" t="s">
        <v>3306</v>
      </c>
      <c r="D780" t="s">
        <v>3307</v>
      </c>
      <c r="E780" t="s">
        <v>3308</v>
      </c>
      <c r="F780" t="s">
        <v>401</v>
      </c>
      <c r="G780" t="s">
        <v>34</v>
      </c>
      <c r="H780" t="s">
        <v>54</v>
      </c>
      <c r="I780" t="s">
        <v>3309</v>
      </c>
      <c r="J780" t="s">
        <v>38</v>
      </c>
      <c r="K780" t="s">
        <v>38</v>
      </c>
      <c r="L780" t="s">
        <v>40</v>
      </c>
      <c r="M780" t="s">
        <v>38</v>
      </c>
      <c r="N780" t="s">
        <v>38</v>
      </c>
      <c r="O780" t="s">
        <v>39</v>
      </c>
      <c r="P780" t="s">
        <v>38</v>
      </c>
      <c r="Q780" t="s">
        <v>38</v>
      </c>
      <c r="R780" t="s">
        <v>40</v>
      </c>
      <c r="S780" t="s">
        <v>41</v>
      </c>
      <c r="T780" t="s">
        <v>2969</v>
      </c>
      <c r="U780" t="s">
        <v>2970</v>
      </c>
      <c r="V780" t="s">
        <v>2971</v>
      </c>
      <c r="W780" t="s">
        <v>2972</v>
      </c>
      <c r="X780" t="s">
        <v>46</v>
      </c>
      <c r="AC780">
        <f>COUNTIF(C:C,QLKV_gui_ket_qua_ra_soat[[#This Row],[Mã điểm bán]])</f>
        <v>1</v>
      </c>
    </row>
    <row r="781" spans="1:29" x14ac:dyDescent="0.45">
      <c r="A781" t="s">
        <v>2965</v>
      </c>
      <c r="B781">
        <v>1380</v>
      </c>
      <c r="C781" t="s">
        <v>3310</v>
      </c>
      <c r="D781" t="s">
        <v>3311</v>
      </c>
      <c r="E781" t="s">
        <v>255</v>
      </c>
      <c r="F781" t="s">
        <v>930</v>
      </c>
      <c r="G781" t="s">
        <v>177</v>
      </c>
      <c r="H781" t="s">
        <v>54</v>
      </c>
      <c r="I781" t="s">
        <v>3312</v>
      </c>
      <c r="J781" t="s">
        <v>38</v>
      </c>
      <c r="K781" t="s">
        <v>38</v>
      </c>
      <c r="L781" t="s">
        <v>39</v>
      </c>
      <c r="M781" t="s">
        <v>38</v>
      </c>
      <c r="N781" t="s">
        <v>38</v>
      </c>
      <c r="O781" t="s">
        <v>39</v>
      </c>
      <c r="P781" t="s">
        <v>38</v>
      </c>
      <c r="Q781" t="s">
        <v>38</v>
      </c>
      <c r="R781" t="s">
        <v>39</v>
      </c>
      <c r="S781" t="s">
        <v>41</v>
      </c>
      <c r="T781" t="s">
        <v>3057</v>
      </c>
      <c r="U781" t="s">
        <v>2970</v>
      </c>
      <c r="V781" t="s">
        <v>2971</v>
      </c>
      <c r="W781" t="s">
        <v>2972</v>
      </c>
      <c r="X781" t="s">
        <v>46</v>
      </c>
      <c r="AC781">
        <f>COUNTIF(C:C,QLKV_gui_ket_qua_ra_soat[[#This Row],[Mã điểm bán]])</f>
        <v>1</v>
      </c>
    </row>
    <row r="782" spans="1:29" x14ac:dyDescent="0.45">
      <c r="A782" t="s">
        <v>2965</v>
      </c>
      <c r="B782">
        <v>1383</v>
      </c>
      <c r="C782" t="s">
        <v>3313</v>
      </c>
      <c r="D782" t="s">
        <v>3314</v>
      </c>
      <c r="E782" t="s">
        <v>3315</v>
      </c>
      <c r="F782" t="s">
        <v>53</v>
      </c>
      <c r="G782" t="s">
        <v>34</v>
      </c>
      <c r="H782" t="s">
        <v>54</v>
      </c>
      <c r="I782" t="s">
        <v>3316</v>
      </c>
      <c r="J782" t="s">
        <v>38</v>
      </c>
      <c r="K782" t="s">
        <v>38</v>
      </c>
      <c r="L782" t="s">
        <v>40</v>
      </c>
      <c r="M782" t="s">
        <v>38</v>
      </c>
      <c r="N782" t="s">
        <v>38</v>
      </c>
      <c r="O782" t="s">
        <v>39</v>
      </c>
      <c r="P782" t="s">
        <v>38</v>
      </c>
      <c r="Q782" t="s">
        <v>38</v>
      </c>
      <c r="R782" t="s">
        <v>40</v>
      </c>
      <c r="S782" t="s">
        <v>41</v>
      </c>
      <c r="T782" t="s">
        <v>2969</v>
      </c>
      <c r="U782" t="s">
        <v>2970</v>
      </c>
      <c r="V782" t="s">
        <v>2971</v>
      </c>
      <c r="W782" t="s">
        <v>2972</v>
      </c>
      <c r="X782" t="s">
        <v>46</v>
      </c>
      <c r="AC782">
        <f>COUNTIF(C:C,QLKV_gui_ket_qua_ra_soat[[#This Row],[Mã điểm bán]])</f>
        <v>1</v>
      </c>
    </row>
    <row r="783" spans="1:29" x14ac:dyDescent="0.45">
      <c r="A783" t="s">
        <v>2965</v>
      </c>
      <c r="B783">
        <v>1387</v>
      </c>
      <c r="C783" t="s">
        <v>3317</v>
      </c>
      <c r="D783" t="s">
        <v>3318</v>
      </c>
      <c r="E783" t="s">
        <v>563</v>
      </c>
      <c r="F783" t="s">
        <v>3319</v>
      </c>
      <c r="G783" t="s">
        <v>177</v>
      </c>
      <c r="H783" t="s">
        <v>54</v>
      </c>
      <c r="I783" t="s">
        <v>3320</v>
      </c>
      <c r="J783" t="s">
        <v>38</v>
      </c>
      <c r="K783" t="s">
        <v>38</v>
      </c>
      <c r="L783" t="s">
        <v>40</v>
      </c>
      <c r="M783" t="s">
        <v>38</v>
      </c>
      <c r="N783" t="s">
        <v>37</v>
      </c>
      <c r="O783" t="s">
        <v>39</v>
      </c>
      <c r="P783" t="s">
        <v>38</v>
      </c>
      <c r="Q783" t="s">
        <v>38</v>
      </c>
      <c r="R783" t="s">
        <v>40</v>
      </c>
      <c r="S783" t="s">
        <v>3321</v>
      </c>
      <c r="T783" t="s">
        <v>3020</v>
      </c>
      <c r="U783" t="s">
        <v>3021</v>
      </c>
      <c r="V783" t="s">
        <v>2971</v>
      </c>
      <c r="W783" t="s">
        <v>2972</v>
      </c>
      <c r="Z783" t="s">
        <v>46</v>
      </c>
      <c r="AA783" t="s">
        <v>3058</v>
      </c>
      <c r="AB783" t="s">
        <v>2999</v>
      </c>
      <c r="AC783">
        <f>COUNTIF(C:C,QLKV_gui_ket_qua_ra_soat[[#This Row],[Mã điểm bán]])</f>
        <v>1</v>
      </c>
    </row>
    <row r="784" spans="1:29" x14ac:dyDescent="0.45">
      <c r="A784" t="s">
        <v>2965</v>
      </c>
      <c r="B784">
        <v>1389</v>
      </c>
      <c r="C784" t="s">
        <v>3322</v>
      </c>
      <c r="D784" t="s">
        <v>3323</v>
      </c>
      <c r="E784" t="s">
        <v>587</v>
      </c>
      <c r="F784" t="s">
        <v>53</v>
      </c>
      <c r="G784" t="s">
        <v>34</v>
      </c>
      <c r="H784" t="s">
        <v>54</v>
      </c>
      <c r="I784" t="s">
        <v>3324</v>
      </c>
      <c r="J784" t="s">
        <v>38</v>
      </c>
      <c r="K784" t="s">
        <v>38</v>
      </c>
      <c r="L784" t="s">
        <v>40</v>
      </c>
      <c r="M784" t="s">
        <v>38</v>
      </c>
      <c r="N784" t="s">
        <v>38</v>
      </c>
      <c r="O784" t="s">
        <v>39</v>
      </c>
      <c r="P784" t="s">
        <v>37</v>
      </c>
      <c r="Q784" t="s">
        <v>37</v>
      </c>
      <c r="R784" t="s">
        <v>39</v>
      </c>
      <c r="S784" t="s">
        <v>41</v>
      </c>
      <c r="T784" t="s">
        <v>3192</v>
      </c>
      <c r="U784" t="s">
        <v>3046</v>
      </c>
      <c r="V784" t="s">
        <v>2971</v>
      </c>
      <c r="W784" t="s">
        <v>2972</v>
      </c>
      <c r="X784" t="s">
        <v>46</v>
      </c>
      <c r="AC784">
        <f>COUNTIF(C:C,QLKV_gui_ket_qua_ra_soat[[#This Row],[Mã điểm bán]])</f>
        <v>1</v>
      </c>
    </row>
    <row r="785" spans="1:29" x14ac:dyDescent="0.45">
      <c r="A785" t="s">
        <v>2965</v>
      </c>
      <c r="B785">
        <v>1392</v>
      </c>
      <c r="C785" t="s">
        <v>3325</v>
      </c>
      <c r="D785" t="s">
        <v>3326</v>
      </c>
      <c r="E785" t="s">
        <v>3327</v>
      </c>
      <c r="F785" t="s">
        <v>53</v>
      </c>
      <c r="G785" t="s">
        <v>34</v>
      </c>
      <c r="H785" t="s">
        <v>214</v>
      </c>
      <c r="I785" t="s">
        <v>3328</v>
      </c>
      <c r="J785" t="s">
        <v>38</v>
      </c>
      <c r="K785" t="s">
        <v>38</v>
      </c>
      <c r="L785" t="s">
        <v>40</v>
      </c>
      <c r="M785" t="s">
        <v>37</v>
      </c>
      <c r="N785" t="s">
        <v>37</v>
      </c>
      <c r="O785" t="s">
        <v>39</v>
      </c>
      <c r="P785" t="s">
        <v>38</v>
      </c>
      <c r="Q785" t="s">
        <v>38</v>
      </c>
      <c r="R785" t="s">
        <v>40</v>
      </c>
      <c r="S785" t="s">
        <v>41</v>
      </c>
      <c r="T785" t="s">
        <v>3226</v>
      </c>
      <c r="U785" t="s">
        <v>3227</v>
      </c>
      <c r="V785" t="s">
        <v>2971</v>
      </c>
      <c r="W785" t="s">
        <v>2972</v>
      </c>
      <c r="X785" t="s">
        <v>46</v>
      </c>
      <c r="AC785">
        <f>COUNTIF(C:C,QLKV_gui_ket_qua_ra_soat[[#This Row],[Mã điểm bán]])</f>
        <v>1</v>
      </c>
    </row>
    <row r="786" spans="1:29" x14ac:dyDescent="0.45">
      <c r="A786" t="s">
        <v>2965</v>
      </c>
      <c r="B786">
        <v>1415</v>
      </c>
      <c r="C786" t="s">
        <v>3329</v>
      </c>
      <c r="D786" t="s">
        <v>3330</v>
      </c>
      <c r="E786" t="s">
        <v>3331</v>
      </c>
      <c r="F786" t="s">
        <v>401</v>
      </c>
      <c r="G786" t="s">
        <v>34</v>
      </c>
      <c r="H786" t="s">
        <v>54</v>
      </c>
      <c r="I786" t="s">
        <v>3332</v>
      </c>
      <c r="J786" t="s">
        <v>38</v>
      </c>
      <c r="K786" t="s">
        <v>38</v>
      </c>
      <c r="L786" t="s">
        <v>40</v>
      </c>
      <c r="M786" t="s">
        <v>37</v>
      </c>
      <c r="N786" t="s">
        <v>37</v>
      </c>
      <c r="O786" t="s">
        <v>39</v>
      </c>
      <c r="P786" t="s">
        <v>38</v>
      </c>
      <c r="Q786" t="s">
        <v>38</v>
      </c>
      <c r="R786" t="s">
        <v>40</v>
      </c>
      <c r="S786" t="s">
        <v>41</v>
      </c>
      <c r="T786" t="s">
        <v>2969</v>
      </c>
      <c r="U786" t="s">
        <v>2970</v>
      </c>
      <c r="V786" t="s">
        <v>2971</v>
      </c>
      <c r="W786" t="s">
        <v>2972</v>
      </c>
      <c r="Z786" t="s">
        <v>46</v>
      </c>
      <c r="AA786" t="s">
        <v>3158</v>
      </c>
      <c r="AB786" t="s">
        <v>2999</v>
      </c>
      <c r="AC786">
        <f>COUNTIF(C:C,QLKV_gui_ket_qua_ra_soat[[#This Row],[Mã điểm bán]])</f>
        <v>1</v>
      </c>
    </row>
    <row r="787" spans="1:29" x14ac:dyDescent="0.45">
      <c r="A787" t="s">
        <v>2965</v>
      </c>
      <c r="B787">
        <v>1418</v>
      </c>
      <c r="C787" t="s">
        <v>3333</v>
      </c>
      <c r="D787" t="s">
        <v>3334</v>
      </c>
      <c r="E787" t="s">
        <v>376</v>
      </c>
      <c r="F787" t="s">
        <v>115</v>
      </c>
      <c r="G787" t="s">
        <v>34</v>
      </c>
      <c r="H787" t="s">
        <v>54</v>
      </c>
      <c r="I787" t="s">
        <v>3335</v>
      </c>
      <c r="J787" t="s">
        <v>38</v>
      </c>
      <c r="K787" t="s">
        <v>38</v>
      </c>
      <c r="L787" t="s">
        <v>40</v>
      </c>
      <c r="M787" t="s">
        <v>38</v>
      </c>
      <c r="N787" t="s">
        <v>38</v>
      </c>
      <c r="O787" t="s">
        <v>39</v>
      </c>
      <c r="P787" t="s">
        <v>38</v>
      </c>
      <c r="Q787" t="s">
        <v>38</v>
      </c>
      <c r="R787" t="s">
        <v>40</v>
      </c>
      <c r="S787" t="s">
        <v>41</v>
      </c>
      <c r="T787" t="s">
        <v>2969</v>
      </c>
      <c r="U787" t="s">
        <v>2970</v>
      </c>
      <c r="V787" t="s">
        <v>2971</v>
      </c>
      <c r="W787" t="s">
        <v>2972</v>
      </c>
      <c r="Z787" t="s">
        <v>46</v>
      </c>
      <c r="AA787" t="s">
        <v>3058</v>
      </c>
      <c r="AB787" t="s">
        <v>2999</v>
      </c>
      <c r="AC787">
        <f>COUNTIF(C:C,QLKV_gui_ket_qua_ra_soat[[#This Row],[Mã điểm bán]])</f>
        <v>1</v>
      </c>
    </row>
    <row r="788" spans="1:29" x14ac:dyDescent="0.45">
      <c r="A788" t="s">
        <v>2965</v>
      </c>
      <c r="B788">
        <v>1436</v>
      </c>
      <c r="C788" t="s">
        <v>3336</v>
      </c>
      <c r="D788" t="s">
        <v>3337</v>
      </c>
      <c r="E788" t="s">
        <v>3338</v>
      </c>
      <c r="F788" t="s">
        <v>53</v>
      </c>
      <c r="G788" t="s">
        <v>34</v>
      </c>
      <c r="H788" t="s">
        <v>54</v>
      </c>
      <c r="I788" t="s">
        <v>3339</v>
      </c>
      <c r="J788" t="s">
        <v>38</v>
      </c>
      <c r="K788" t="s">
        <v>38</v>
      </c>
      <c r="L788" t="s">
        <v>40</v>
      </c>
      <c r="M788" t="s">
        <v>38</v>
      </c>
      <c r="N788" t="s">
        <v>38</v>
      </c>
      <c r="O788" t="s">
        <v>39</v>
      </c>
      <c r="P788" t="s">
        <v>38</v>
      </c>
      <c r="Q788" t="s">
        <v>38</v>
      </c>
      <c r="R788" t="s">
        <v>40</v>
      </c>
      <c r="S788" t="s">
        <v>41</v>
      </c>
      <c r="T788" t="s">
        <v>2969</v>
      </c>
      <c r="U788" t="s">
        <v>2970</v>
      </c>
      <c r="V788" t="s">
        <v>2971</v>
      </c>
      <c r="W788" t="s">
        <v>2972</v>
      </c>
      <c r="X788" t="s">
        <v>46</v>
      </c>
      <c r="AC788">
        <f>COUNTIF(C:C,QLKV_gui_ket_qua_ra_soat[[#This Row],[Mã điểm bán]])</f>
        <v>1</v>
      </c>
    </row>
    <row r="789" spans="1:29" x14ac:dyDescent="0.45">
      <c r="A789" t="s">
        <v>2965</v>
      </c>
      <c r="B789">
        <v>1438</v>
      </c>
      <c r="C789" t="s">
        <v>3340</v>
      </c>
      <c r="D789" t="s">
        <v>3341</v>
      </c>
      <c r="E789" t="s">
        <v>87</v>
      </c>
      <c r="F789" t="s">
        <v>53</v>
      </c>
      <c r="G789" t="s">
        <v>34</v>
      </c>
      <c r="H789" t="s">
        <v>54</v>
      </c>
      <c r="I789" t="s">
        <v>3342</v>
      </c>
      <c r="J789" t="s">
        <v>38</v>
      </c>
      <c r="K789" t="s">
        <v>38</v>
      </c>
      <c r="L789" t="s">
        <v>40</v>
      </c>
      <c r="M789" t="s">
        <v>38</v>
      </c>
      <c r="N789" t="s">
        <v>38</v>
      </c>
      <c r="O789" t="s">
        <v>39</v>
      </c>
      <c r="P789" t="s">
        <v>38</v>
      </c>
      <c r="Q789" t="s">
        <v>38</v>
      </c>
      <c r="R789" t="s">
        <v>40</v>
      </c>
      <c r="S789" t="s">
        <v>41</v>
      </c>
      <c r="T789" t="s">
        <v>2969</v>
      </c>
      <c r="U789" t="s">
        <v>2970</v>
      </c>
      <c r="V789" t="s">
        <v>2971</v>
      </c>
      <c r="W789" t="s">
        <v>2972</v>
      </c>
      <c r="X789" t="s">
        <v>46</v>
      </c>
      <c r="AC789">
        <f>COUNTIF(C:C,QLKV_gui_ket_qua_ra_soat[[#This Row],[Mã điểm bán]])</f>
        <v>1</v>
      </c>
    </row>
    <row r="790" spans="1:29" x14ac:dyDescent="0.45">
      <c r="A790" t="s">
        <v>2965</v>
      </c>
      <c r="B790">
        <v>1440</v>
      </c>
      <c r="C790" t="s">
        <v>3343</v>
      </c>
      <c r="D790" t="s">
        <v>3344</v>
      </c>
      <c r="E790" t="s">
        <v>3345</v>
      </c>
      <c r="F790" t="s">
        <v>53</v>
      </c>
      <c r="G790" t="s">
        <v>34</v>
      </c>
      <c r="H790" t="s">
        <v>54</v>
      </c>
      <c r="I790" t="s">
        <v>3346</v>
      </c>
      <c r="J790" t="s">
        <v>38</v>
      </c>
      <c r="K790" t="s">
        <v>38</v>
      </c>
      <c r="L790" t="s">
        <v>40</v>
      </c>
      <c r="M790" t="s">
        <v>38</v>
      </c>
      <c r="N790" t="s">
        <v>38</v>
      </c>
      <c r="O790" t="s">
        <v>39</v>
      </c>
      <c r="P790" t="s">
        <v>38</v>
      </c>
      <c r="Q790" t="s">
        <v>38</v>
      </c>
      <c r="R790" t="s">
        <v>40</v>
      </c>
      <c r="S790" t="s">
        <v>41</v>
      </c>
      <c r="T790" t="s">
        <v>2969</v>
      </c>
      <c r="U790" t="s">
        <v>2970</v>
      </c>
      <c r="V790" t="s">
        <v>2971</v>
      </c>
      <c r="W790" t="s">
        <v>2972</v>
      </c>
      <c r="X790" t="s">
        <v>46</v>
      </c>
      <c r="AC790">
        <f>COUNTIF(C:C,QLKV_gui_ket_qua_ra_soat[[#This Row],[Mã điểm bán]])</f>
        <v>1</v>
      </c>
    </row>
    <row r="791" spans="1:29" x14ac:dyDescent="0.45">
      <c r="A791" t="s">
        <v>2965</v>
      </c>
      <c r="B791">
        <v>1443</v>
      </c>
      <c r="C791" t="s">
        <v>3347</v>
      </c>
      <c r="D791" t="s">
        <v>3348</v>
      </c>
      <c r="E791" t="s">
        <v>1043</v>
      </c>
      <c r="F791" t="s">
        <v>53</v>
      </c>
      <c r="G791" t="s">
        <v>177</v>
      </c>
      <c r="H791" t="s">
        <v>54</v>
      </c>
      <c r="I791" t="s">
        <v>3349</v>
      </c>
      <c r="J791" t="s">
        <v>56</v>
      </c>
      <c r="K791" t="s">
        <v>56</v>
      </c>
      <c r="L791" t="s">
        <v>39</v>
      </c>
      <c r="M791" t="s">
        <v>56</v>
      </c>
      <c r="N791" t="s">
        <v>56</v>
      </c>
      <c r="O791" t="s">
        <v>39</v>
      </c>
      <c r="P791" t="s">
        <v>37</v>
      </c>
      <c r="Q791" t="s">
        <v>37</v>
      </c>
      <c r="R791" t="s">
        <v>40</v>
      </c>
      <c r="S791" t="s">
        <v>3003</v>
      </c>
      <c r="T791" t="s">
        <v>2976</v>
      </c>
      <c r="U791" t="s">
        <v>2977</v>
      </c>
      <c r="V791" t="s">
        <v>2971</v>
      </c>
      <c r="W791" t="s">
        <v>2972</v>
      </c>
      <c r="X791" t="s">
        <v>46</v>
      </c>
      <c r="AC791">
        <f>COUNTIF(C:C,QLKV_gui_ket_qua_ra_soat[[#This Row],[Mã điểm bán]])</f>
        <v>1</v>
      </c>
    </row>
    <row r="792" spans="1:29" x14ac:dyDescent="0.45">
      <c r="A792" t="s">
        <v>2965</v>
      </c>
      <c r="B792">
        <v>1452</v>
      </c>
      <c r="C792" t="s">
        <v>3350</v>
      </c>
      <c r="D792" t="s">
        <v>1818</v>
      </c>
      <c r="E792" t="s">
        <v>108</v>
      </c>
      <c r="F792" t="s">
        <v>456</v>
      </c>
      <c r="G792" t="s">
        <v>34</v>
      </c>
      <c r="H792" t="s">
        <v>54</v>
      </c>
      <c r="I792" t="s">
        <v>3351</v>
      </c>
      <c r="J792" t="s">
        <v>37</v>
      </c>
      <c r="K792" t="s">
        <v>38</v>
      </c>
      <c r="L792" t="s">
        <v>39</v>
      </c>
      <c r="M792" t="s">
        <v>38</v>
      </c>
      <c r="N792" t="s">
        <v>38</v>
      </c>
      <c r="O792" t="s">
        <v>39</v>
      </c>
      <c r="P792" t="s">
        <v>38</v>
      </c>
      <c r="Q792" t="s">
        <v>38</v>
      </c>
      <c r="R792" t="s">
        <v>39</v>
      </c>
      <c r="S792" t="s">
        <v>41</v>
      </c>
      <c r="T792" t="s">
        <v>3057</v>
      </c>
      <c r="U792" t="s">
        <v>2970</v>
      </c>
      <c r="V792" t="s">
        <v>2971</v>
      </c>
      <c r="W792" t="s">
        <v>2972</v>
      </c>
      <c r="X792" t="s">
        <v>46</v>
      </c>
      <c r="AC792">
        <f>COUNTIF(C:C,QLKV_gui_ket_qua_ra_soat[[#This Row],[Mã điểm bán]])</f>
        <v>1</v>
      </c>
    </row>
    <row r="793" spans="1:29" x14ac:dyDescent="0.45">
      <c r="A793" t="s">
        <v>2965</v>
      </c>
      <c r="B793">
        <v>1456</v>
      </c>
      <c r="C793" t="s">
        <v>3352</v>
      </c>
      <c r="D793" t="s">
        <v>3353</v>
      </c>
      <c r="E793" t="s">
        <v>114</v>
      </c>
      <c r="F793" t="s">
        <v>819</v>
      </c>
      <c r="G793" t="s">
        <v>177</v>
      </c>
      <c r="H793" t="s">
        <v>54</v>
      </c>
      <c r="I793" t="s">
        <v>3354</v>
      </c>
      <c r="J793" t="s">
        <v>37</v>
      </c>
      <c r="K793" t="s">
        <v>37</v>
      </c>
      <c r="L793" t="s">
        <v>39</v>
      </c>
      <c r="M793" t="s">
        <v>37</v>
      </c>
      <c r="N793" t="s">
        <v>37</v>
      </c>
      <c r="O793" t="s">
        <v>39</v>
      </c>
      <c r="P793" t="s">
        <v>38</v>
      </c>
      <c r="Q793" t="s">
        <v>38</v>
      </c>
      <c r="R793" t="s">
        <v>40</v>
      </c>
      <c r="S793" t="s">
        <v>41</v>
      </c>
      <c r="T793" t="s">
        <v>3226</v>
      </c>
      <c r="U793" t="s">
        <v>3227</v>
      </c>
      <c r="V793" t="s">
        <v>2971</v>
      </c>
      <c r="W793" t="s">
        <v>2972</v>
      </c>
      <c r="X793" t="s">
        <v>46</v>
      </c>
      <c r="AC793">
        <f>COUNTIF(C:C,QLKV_gui_ket_qua_ra_soat[[#This Row],[Mã điểm bán]])</f>
        <v>1</v>
      </c>
    </row>
    <row r="794" spans="1:29" x14ac:dyDescent="0.45">
      <c r="A794" t="s">
        <v>2965</v>
      </c>
      <c r="B794">
        <v>1458</v>
      </c>
      <c r="C794" t="s">
        <v>3355</v>
      </c>
      <c r="D794" t="s">
        <v>3356</v>
      </c>
      <c r="E794" t="s">
        <v>3357</v>
      </c>
      <c r="F794" t="s">
        <v>3069</v>
      </c>
      <c r="G794" t="s">
        <v>34</v>
      </c>
      <c r="H794" t="s">
        <v>54</v>
      </c>
      <c r="I794" t="s">
        <v>3358</v>
      </c>
      <c r="J794" t="s">
        <v>38</v>
      </c>
      <c r="K794" t="s">
        <v>38</v>
      </c>
      <c r="L794" t="s">
        <v>39</v>
      </c>
      <c r="M794" t="s">
        <v>38</v>
      </c>
      <c r="N794" t="s">
        <v>38</v>
      </c>
      <c r="O794" t="s">
        <v>39</v>
      </c>
      <c r="P794" t="s">
        <v>38</v>
      </c>
      <c r="Q794" t="s">
        <v>38</v>
      </c>
      <c r="R794" t="s">
        <v>39</v>
      </c>
      <c r="S794" t="s">
        <v>41</v>
      </c>
      <c r="T794" t="s">
        <v>3057</v>
      </c>
      <c r="U794" t="s">
        <v>2970</v>
      </c>
      <c r="V794" t="s">
        <v>2971</v>
      </c>
      <c r="W794" t="s">
        <v>2972</v>
      </c>
      <c r="X794" t="s">
        <v>46</v>
      </c>
      <c r="AC794">
        <f>COUNTIF(C:C,QLKV_gui_ket_qua_ra_soat[[#This Row],[Mã điểm bán]])</f>
        <v>1</v>
      </c>
    </row>
    <row r="795" spans="1:29" x14ac:dyDescent="0.45">
      <c r="A795" t="s">
        <v>2965</v>
      </c>
      <c r="B795">
        <v>1464</v>
      </c>
      <c r="C795" t="s">
        <v>3359</v>
      </c>
      <c r="D795" t="s">
        <v>3360</v>
      </c>
      <c r="E795" t="s">
        <v>3361</v>
      </c>
      <c r="F795" t="s">
        <v>53</v>
      </c>
      <c r="G795" t="s">
        <v>34</v>
      </c>
      <c r="H795" t="s">
        <v>54</v>
      </c>
      <c r="I795" t="s">
        <v>3362</v>
      </c>
      <c r="J795" t="s">
        <v>37</v>
      </c>
      <c r="K795" t="s">
        <v>37</v>
      </c>
      <c r="L795" t="s">
        <v>39</v>
      </c>
      <c r="M795" t="s">
        <v>37</v>
      </c>
      <c r="N795" t="s">
        <v>37</v>
      </c>
      <c r="O795" t="s">
        <v>39</v>
      </c>
      <c r="P795" t="s">
        <v>38</v>
      </c>
      <c r="Q795" t="s">
        <v>38</v>
      </c>
      <c r="R795" t="s">
        <v>40</v>
      </c>
      <c r="S795" t="s">
        <v>41</v>
      </c>
      <c r="T795" t="s">
        <v>3226</v>
      </c>
      <c r="U795" t="s">
        <v>3227</v>
      </c>
      <c r="V795" t="s">
        <v>2971</v>
      </c>
      <c r="W795" t="s">
        <v>2972</v>
      </c>
      <c r="Z795" t="s">
        <v>46</v>
      </c>
      <c r="AA795" t="s">
        <v>3158</v>
      </c>
      <c r="AB795" t="s">
        <v>2999</v>
      </c>
      <c r="AC795">
        <f>COUNTIF(C:C,QLKV_gui_ket_qua_ra_soat[[#This Row],[Mã điểm bán]])</f>
        <v>1</v>
      </c>
    </row>
    <row r="796" spans="1:29" x14ac:dyDescent="0.45">
      <c r="A796" t="s">
        <v>2965</v>
      </c>
      <c r="B796">
        <v>1474</v>
      </c>
      <c r="C796" t="s">
        <v>3363</v>
      </c>
      <c r="D796" t="s">
        <v>3364</v>
      </c>
      <c r="E796" t="s">
        <v>3365</v>
      </c>
      <c r="F796" t="s">
        <v>325</v>
      </c>
      <c r="G796" t="s">
        <v>34</v>
      </c>
      <c r="H796" t="s">
        <v>54</v>
      </c>
      <c r="I796" t="s">
        <v>3366</v>
      </c>
      <c r="J796" t="s">
        <v>37</v>
      </c>
      <c r="K796" t="s">
        <v>37</v>
      </c>
      <c r="L796" t="s">
        <v>39</v>
      </c>
      <c r="M796" t="s">
        <v>37</v>
      </c>
      <c r="N796" t="s">
        <v>37</v>
      </c>
      <c r="O796" t="s">
        <v>39</v>
      </c>
      <c r="P796" t="s">
        <v>38</v>
      </c>
      <c r="Q796" t="s">
        <v>38</v>
      </c>
      <c r="R796" t="s">
        <v>40</v>
      </c>
      <c r="S796" t="s">
        <v>41</v>
      </c>
      <c r="T796" t="s">
        <v>3226</v>
      </c>
      <c r="U796" t="s">
        <v>3227</v>
      </c>
      <c r="V796" t="s">
        <v>2971</v>
      </c>
      <c r="W796" t="s">
        <v>2972</v>
      </c>
      <c r="Z796" t="s">
        <v>46</v>
      </c>
      <c r="AA796" t="s">
        <v>3158</v>
      </c>
      <c r="AB796" t="s">
        <v>117</v>
      </c>
      <c r="AC796">
        <f>COUNTIF(C:C,QLKV_gui_ket_qua_ra_soat[[#This Row],[Mã điểm bán]])</f>
        <v>1</v>
      </c>
    </row>
    <row r="797" spans="1:29" x14ac:dyDescent="0.45">
      <c r="A797" t="s">
        <v>2965</v>
      </c>
      <c r="B797">
        <v>1480</v>
      </c>
      <c r="C797" t="s">
        <v>3367</v>
      </c>
      <c r="D797" t="s">
        <v>3368</v>
      </c>
      <c r="E797" t="s">
        <v>3369</v>
      </c>
      <c r="F797" t="s">
        <v>53</v>
      </c>
      <c r="G797" t="s">
        <v>34</v>
      </c>
      <c r="H797" t="s">
        <v>54</v>
      </c>
      <c r="I797" t="s">
        <v>3370</v>
      </c>
      <c r="J797" t="s">
        <v>38</v>
      </c>
      <c r="K797" t="s">
        <v>38</v>
      </c>
      <c r="L797" t="s">
        <v>40</v>
      </c>
      <c r="M797" t="s">
        <v>37</v>
      </c>
      <c r="N797" t="s">
        <v>37</v>
      </c>
      <c r="O797" t="s">
        <v>39</v>
      </c>
      <c r="P797" t="s">
        <v>38</v>
      </c>
      <c r="Q797" t="s">
        <v>38</v>
      </c>
      <c r="R797" t="s">
        <v>40</v>
      </c>
      <c r="S797" t="s">
        <v>41</v>
      </c>
      <c r="T797" t="s">
        <v>2997</v>
      </c>
      <c r="U797" t="s">
        <v>2998</v>
      </c>
      <c r="V797" t="s">
        <v>2971</v>
      </c>
      <c r="W797" t="s">
        <v>2978</v>
      </c>
      <c r="X797" t="s">
        <v>46</v>
      </c>
      <c r="AB797" t="s">
        <v>117</v>
      </c>
      <c r="AC797">
        <f>COUNTIF(C:C,QLKV_gui_ket_qua_ra_soat[[#This Row],[Mã điểm bán]])</f>
        <v>1</v>
      </c>
    </row>
    <row r="798" spans="1:29" x14ac:dyDescent="0.45">
      <c r="A798" t="s">
        <v>2965</v>
      </c>
      <c r="B798">
        <v>1484</v>
      </c>
      <c r="C798" t="s">
        <v>3371</v>
      </c>
      <c r="D798" t="s">
        <v>3372</v>
      </c>
      <c r="E798" t="s">
        <v>728</v>
      </c>
      <c r="F798" t="s">
        <v>1024</v>
      </c>
      <c r="G798" t="s">
        <v>34</v>
      </c>
      <c r="H798" t="s">
        <v>54</v>
      </c>
      <c r="I798" t="s">
        <v>3373</v>
      </c>
      <c r="J798" t="s">
        <v>38</v>
      </c>
      <c r="K798" t="s">
        <v>38</v>
      </c>
      <c r="L798" t="s">
        <v>39</v>
      </c>
      <c r="M798" t="s">
        <v>38</v>
      </c>
      <c r="N798" t="s">
        <v>38</v>
      </c>
      <c r="O798" t="s">
        <v>39</v>
      </c>
      <c r="P798" t="s">
        <v>38</v>
      </c>
      <c r="Q798" t="s">
        <v>38</v>
      </c>
      <c r="R798" t="s">
        <v>39</v>
      </c>
      <c r="S798" t="s">
        <v>41</v>
      </c>
      <c r="T798" t="s">
        <v>3057</v>
      </c>
      <c r="U798" t="s">
        <v>2970</v>
      </c>
      <c r="V798" t="s">
        <v>2971</v>
      </c>
      <c r="W798" t="s">
        <v>2972</v>
      </c>
      <c r="X798" t="s">
        <v>46</v>
      </c>
      <c r="AC798">
        <f>COUNTIF(C:C,QLKV_gui_ket_qua_ra_soat[[#This Row],[Mã điểm bán]])</f>
        <v>1</v>
      </c>
    </row>
    <row r="799" spans="1:29" x14ac:dyDescent="0.45">
      <c r="A799" t="s">
        <v>2965</v>
      </c>
      <c r="B799">
        <v>1485</v>
      </c>
      <c r="C799" t="s">
        <v>3374</v>
      </c>
      <c r="D799" t="s">
        <v>3375</v>
      </c>
      <c r="E799" t="s">
        <v>3376</v>
      </c>
      <c r="F799" t="s">
        <v>53</v>
      </c>
      <c r="G799" t="s">
        <v>34</v>
      </c>
      <c r="H799" t="s">
        <v>54</v>
      </c>
      <c r="I799" t="s">
        <v>3328</v>
      </c>
      <c r="J799" t="s">
        <v>37</v>
      </c>
      <c r="K799" t="s">
        <v>37</v>
      </c>
      <c r="L799" t="s">
        <v>39</v>
      </c>
      <c r="M799" t="s">
        <v>37</v>
      </c>
      <c r="N799" t="s">
        <v>37</v>
      </c>
      <c r="O799" t="s">
        <v>39</v>
      </c>
      <c r="P799" t="s">
        <v>38</v>
      </c>
      <c r="Q799" t="s">
        <v>38</v>
      </c>
      <c r="R799" t="s">
        <v>40</v>
      </c>
      <c r="S799" t="s">
        <v>41</v>
      </c>
      <c r="T799" t="s">
        <v>3226</v>
      </c>
      <c r="U799" t="s">
        <v>3227</v>
      </c>
      <c r="V799" t="s">
        <v>2971</v>
      </c>
      <c r="W799" t="s">
        <v>2972</v>
      </c>
      <c r="Z799" t="s">
        <v>46</v>
      </c>
      <c r="AA799" t="s">
        <v>3058</v>
      </c>
      <c r="AB799" t="s">
        <v>2999</v>
      </c>
      <c r="AC799">
        <f>COUNTIF(C:C,QLKV_gui_ket_qua_ra_soat[[#This Row],[Mã điểm bán]])</f>
        <v>1</v>
      </c>
    </row>
    <row r="800" spans="1:29" x14ac:dyDescent="0.45">
      <c r="A800" t="s">
        <v>2965</v>
      </c>
      <c r="B800">
        <v>1491</v>
      </c>
      <c r="C800" t="s">
        <v>3377</v>
      </c>
      <c r="D800" t="s">
        <v>196</v>
      </c>
      <c r="E800" t="s">
        <v>1443</v>
      </c>
      <c r="F800" t="s">
        <v>3069</v>
      </c>
      <c r="G800" t="s">
        <v>34</v>
      </c>
      <c r="H800" t="s">
        <v>685</v>
      </c>
      <c r="I800" t="s">
        <v>3378</v>
      </c>
      <c r="J800" t="s">
        <v>37</v>
      </c>
      <c r="K800" t="s">
        <v>37</v>
      </c>
      <c r="L800" t="s">
        <v>39</v>
      </c>
      <c r="M800" t="s">
        <v>37</v>
      </c>
      <c r="N800" t="s">
        <v>37</v>
      </c>
      <c r="O800" t="s">
        <v>39</v>
      </c>
      <c r="P800" t="s">
        <v>38</v>
      </c>
      <c r="Q800" t="s">
        <v>38</v>
      </c>
      <c r="R800" t="s">
        <v>40</v>
      </c>
      <c r="S800" t="s">
        <v>41</v>
      </c>
      <c r="T800" t="s">
        <v>2997</v>
      </c>
      <c r="U800" t="s">
        <v>2998</v>
      </c>
      <c r="V800" t="s">
        <v>2971</v>
      </c>
      <c r="W800" t="s">
        <v>2972</v>
      </c>
      <c r="X800" t="s">
        <v>46</v>
      </c>
      <c r="AC800">
        <f>COUNTIF(C:C,QLKV_gui_ket_qua_ra_soat[[#This Row],[Mã điểm bán]])</f>
        <v>1</v>
      </c>
    </row>
    <row r="801" spans="1:29" x14ac:dyDescent="0.45">
      <c r="A801" t="s">
        <v>2965</v>
      </c>
      <c r="B801">
        <v>1497</v>
      </c>
      <c r="C801" t="s">
        <v>3379</v>
      </c>
      <c r="D801" t="s">
        <v>3380</v>
      </c>
      <c r="E801" t="s">
        <v>3381</v>
      </c>
      <c r="F801" t="s">
        <v>53</v>
      </c>
      <c r="G801" t="s">
        <v>34</v>
      </c>
      <c r="H801" t="s">
        <v>54</v>
      </c>
      <c r="I801" t="s">
        <v>3382</v>
      </c>
      <c r="J801" t="s">
        <v>37</v>
      </c>
      <c r="K801" t="s">
        <v>37</v>
      </c>
      <c r="L801" t="s">
        <v>39</v>
      </c>
      <c r="M801" t="s">
        <v>37</v>
      </c>
      <c r="N801" t="s">
        <v>37</v>
      </c>
      <c r="O801" t="s">
        <v>39</v>
      </c>
      <c r="P801" t="s">
        <v>38</v>
      </c>
      <c r="Q801" t="s">
        <v>38</v>
      </c>
      <c r="R801" t="s">
        <v>40</v>
      </c>
      <c r="S801" t="s">
        <v>41</v>
      </c>
      <c r="T801" t="s">
        <v>2997</v>
      </c>
      <c r="U801" t="s">
        <v>2998</v>
      </c>
      <c r="V801" t="s">
        <v>2971</v>
      </c>
      <c r="W801" t="s">
        <v>2972</v>
      </c>
      <c r="X801" t="s">
        <v>46</v>
      </c>
      <c r="AB801" t="s">
        <v>2999</v>
      </c>
      <c r="AC801">
        <f>COUNTIF(C:C,QLKV_gui_ket_qua_ra_soat[[#This Row],[Mã điểm bán]])</f>
        <v>1</v>
      </c>
    </row>
    <row r="802" spans="1:29" x14ac:dyDescent="0.45">
      <c r="A802" t="s">
        <v>2965</v>
      </c>
      <c r="B802">
        <v>1500</v>
      </c>
      <c r="C802" t="s">
        <v>3383</v>
      </c>
      <c r="D802" t="s">
        <v>3384</v>
      </c>
      <c r="E802" t="s">
        <v>3385</v>
      </c>
      <c r="F802" t="s">
        <v>53</v>
      </c>
      <c r="G802" t="s">
        <v>34</v>
      </c>
      <c r="H802" t="s">
        <v>54</v>
      </c>
      <c r="I802" t="s">
        <v>3386</v>
      </c>
      <c r="J802" t="s">
        <v>38</v>
      </c>
      <c r="K802" t="s">
        <v>38</v>
      </c>
      <c r="L802" t="s">
        <v>40</v>
      </c>
      <c r="M802" t="s">
        <v>37</v>
      </c>
      <c r="N802" t="s">
        <v>37</v>
      </c>
      <c r="O802" t="s">
        <v>39</v>
      </c>
      <c r="P802" t="s">
        <v>38</v>
      </c>
      <c r="Q802" t="s">
        <v>38</v>
      </c>
      <c r="R802" t="s">
        <v>40</v>
      </c>
      <c r="S802" t="s">
        <v>41</v>
      </c>
      <c r="T802" t="s">
        <v>2997</v>
      </c>
      <c r="U802" t="s">
        <v>2998</v>
      </c>
      <c r="V802" t="s">
        <v>2971</v>
      </c>
      <c r="W802" t="s">
        <v>2972</v>
      </c>
      <c r="X802" t="s">
        <v>46</v>
      </c>
      <c r="AB802" t="s">
        <v>117</v>
      </c>
      <c r="AC802">
        <f>COUNTIF(C:C,QLKV_gui_ket_qua_ra_soat[[#This Row],[Mã điểm bán]])</f>
        <v>1</v>
      </c>
    </row>
    <row r="803" spans="1:29" x14ac:dyDescent="0.45">
      <c r="A803" t="s">
        <v>2965</v>
      </c>
      <c r="B803">
        <v>1512</v>
      </c>
      <c r="C803" t="s">
        <v>3387</v>
      </c>
      <c r="D803" t="s">
        <v>3388</v>
      </c>
      <c r="E803" t="s">
        <v>176</v>
      </c>
      <c r="F803" t="s">
        <v>53</v>
      </c>
      <c r="G803" t="s">
        <v>177</v>
      </c>
      <c r="H803" t="s">
        <v>54</v>
      </c>
      <c r="I803" t="s">
        <v>3389</v>
      </c>
      <c r="J803" t="s">
        <v>38</v>
      </c>
      <c r="K803" t="s">
        <v>38</v>
      </c>
      <c r="L803" t="s">
        <v>40</v>
      </c>
      <c r="M803" t="s">
        <v>38</v>
      </c>
      <c r="N803" t="s">
        <v>38</v>
      </c>
      <c r="O803" t="s">
        <v>40</v>
      </c>
      <c r="P803" t="s">
        <v>38</v>
      </c>
      <c r="Q803" t="s">
        <v>38</v>
      </c>
      <c r="R803" t="s">
        <v>40</v>
      </c>
      <c r="S803" t="s">
        <v>3148</v>
      </c>
      <c r="T803" t="s">
        <v>3020</v>
      </c>
      <c r="U803" t="s">
        <v>3021</v>
      </c>
      <c r="V803" t="s">
        <v>2971</v>
      </c>
      <c r="W803" t="s">
        <v>2972</v>
      </c>
      <c r="X803" t="s">
        <v>46</v>
      </c>
      <c r="AB803" t="s">
        <v>117</v>
      </c>
      <c r="AC803">
        <f>COUNTIF(C:C,QLKV_gui_ket_qua_ra_soat[[#This Row],[Mã điểm bán]])</f>
        <v>1</v>
      </c>
    </row>
    <row r="804" spans="1:29" x14ac:dyDescent="0.45">
      <c r="A804" t="s">
        <v>2965</v>
      </c>
      <c r="B804">
        <v>1529</v>
      </c>
      <c r="C804" t="s">
        <v>3390</v>
      </c>
      <c r="D804" t="s">
        <v>3391</v>
      </c>
      <c r="E804" t="s">
        <v>3392</v>
      </c>
      <c r="F804" t="s">
        <v>53</v>
      </c>
      <c r="G804" t="s">
        <v>34</v>
      </c>
      <c r="H804" t="s">
        <v>54</v>
      </c>
      <c r="I804" t="s">
        <v>3393</v>
      </c>
      <c r="J804" t="s">
        <v>37</v>
      </c>
      <c r="K804" t="s">
        <v>37</v>
      </c>
      <c r="L804" t="s">
        <v>39</v>
      </c>
      <c r="M804" t="s">
        <v>37</v>
      </c>
      <c r="N804" t="s">
        <v>37</v>
      </c>
      <c r="O804" t="s">
        <v>39</v>
      </c>
      <c r="P804" t="s">
        <v>38</v>
      </c>
      <c r="Q804" t="s">
        <v>38</v>
      </c>
      <c r="R804" t="s">
        <v>40</v>
      </c>
      <c r="S804" t="s">
        <v>41</v>
      </c>
      <c r="T804" t="s">
        <v>3226</v>
      </c>
      <c r="U804" t="s">
        <v>3227</v>
      </c>
      <c r="V804" t="s">
        <v>2971</v>
      </c>
      <c r="W804" t="s">
        <v>2972</v>
      </c>
      <c r="X804" t="s">
        <v>46</v>
      </c>
      <c r="AB804" t="s">
        <v>159</v>
      </c>
      <c r="AC804">
        <f>COUNTIF(C:C,QLKV_gui_ket_qua_ra_soat[[#This Row],[Mã điểm bán]])</f>
        <v>1</v>
      </c>
    </row>
    <row r="805" spans="1:29" x14ac:dyDescent="0.45">
      <c r="A805" t="s">
        <v>2965</v>
      </c>
      <c r="B805">
        <v>1539</v>
      </c>
      <c r="C805" t="s">
        <v>3394</v>
      </c>
      <c r="D805" t="s">
        <v>3395</v>
      </c>
      <c r="E805" t="s">
        <v>3396</v>
      </c>
      <c r="F805" t="s">
        <v>401</v>
      </c>
      <c r="G805" t="s">
        <v>34</v>
      </c>
      <c r="H805" t="s">
        <v>54</v>
      </c>
      <c r="I805" t="s">
        <v>3397</v>
      </c>
      <c r="J805" t="s">
        <v>38</v>
      </c>
      <c r="K805" t="s">
        <v>38</v>
      </c>
      <c r="L805" t="s">
        <v>40</v>
      </c>
      <c r="M805" t="s">
        <v>37</v>
      </c>
      <c r="N805" t="s">
        <v>37</v>
      </c>
      <c r="O805" t="s">
        <v>39</v>
      </c>
      <c r="P805" t="s">
        <v>38</v>
      </c>
      <c r="Q805" t="s">
        <v>38</v>
      </c>
      <c r="R805" t="s">
        <v>40</v>
      </c>
      <c r="S805" t="s">
        <v>41</v>
      </c>
      <c r="T805" t="s">
        <v>2969</v>
      </c>
      <c r="U805" t="s">
        <v>2970</v>
      </c>
      <c r="V805" t="s">
        <v>2971</v>
      </c>
      <c r="W805" t="s">
        <v>2972</v>
      </c>
      <c r="X805" t="s">
        <v>46</v>
      </c>
      <c r="AC805">
        <f>COUNTIF(C:C,QLKV_gui_ket_qua_ra_soat[[#This Row],[Mã điểm bán]])</f>
        <v>1</v>
      </c>
    </row>
    <row r="806" spans="1:29" x14ac:dyDescent="0.45">
      <c r="A806" t="s">
        <v>2965</v>
      </c>
      <c r="B806">
        <v>1550</v>
      </c>
      <c r="C806" t="s">
        <v>3398</v>
      </c>
      <c r="D806" t="s">
        <v>3399</v>
      </c>
      <c r="E806" t="s">
        <v>3400</v>
      </c>
      <c r="F806" t="s">
        <v>426</v>
      </c>
      <c r="G806" t="s">
        <v>34</v>
      </c>
      <c r="H806" t="s">
        <v>54</v>
      </c>
      <c r="I806" t="s">
        <v>3401</v>
      </c>
      <c r="J806" t="s">
        <v>38</v>
      </c>
      <c r="K806" t="s">
        <v>38</v>
      </c>
      <c r="L806" t="s">
        <v>40</v>
      </c>
      <c r="M806" t="s">
        <v>38</v>
      </c>
      <c r="N806" t="s">
        <v>38</v>
      </c>
      <c r="O806" t="s">
        <v>39</v>
      </c>
      <c r="P806" t="s">
        <v>38</v>
      </c>
      <c r="Q806" t="s">
        <v>38</v>
      </c>
      <c r="R806" t="s">
        <v>40</v>
      </c>
      <c r="S806" t="s">
        <v>41</v>
      </c>
      <c r="T806" t="s">
        <v>2969</v>
      </c>
      <c r="U806" t="s">
        <v>2970</v>
      </c>
      <c r="V806" t="s">
        <v>2971</v>
      </c>
      <c r="W806" t="s">
        <v>2972</v>
      </c>
      <c r="X806" t="s">
        <v>46</v>
      </c>
      <c r="AC806">
        <f>COUNTIF(C:C,QLKV_gui_ket_qua_ra_soat[[#This Row],[Mã điểm bán]])</f>
        <v>1</v>
      </c>
    </row>
    <row r="807" spans="1:29" x14ac:dyDescent="0.45">
      <c r="A807" t="s">
        <v>2965</v>
      </c>
      <c r="B807">
        <v>1557</v>
      </c>
      <c r="C807" t="s">
        <v>3402</v>
      </c>
      <c r="D807" t="s">
        <v>3403</v>
      </c>
      <c r="E807" t="s">
        <v>3404</v>
      </c>
      <c r="F807" t="s">
        <v>53</v>
      </c>
      <c r="G807" t="s">
        <v>34</v>
      </c>
      <c r="H807" t="s">
        <v>54</v>
      </c>
      <c r="I807" t="s">
        <v>3405</v>
      </c>
      <c r="J807" t="s">
        <v>38</v>
      </c>
      <c r="K807" t="s">
        <v>38</v>
      </c>
      <c r="L807" t="s">
        <v>40</v>
      </c>
      <c r="M807" t="s">
        <v>38</v>
      </c>
      <c r="N807" t="s">
        <v>38</v>
      </c>
      <c r="O807" t="s">
        <v>39</v>
      </c>
      <c r="P807" t="s">
        <v>38</v>
      </c>
      <c r="Q807" t="s">
        <v>38</v>
      </c>
      <c r="R807" t="s">
        <v>40</v>
      </c>
      <c r="S807" t="s">
        <v>41</v>
      </c>
      <c r="T807" t="s">
        <v>2969</v>
      </c>
      <c r="U807" t="s">
        <v>2970</v>
      </c>
      <c r="V807" t="s">
        <v>2971</v>
      </c>
      <c r="W807" t="s">
        <v>2972</v>
      </c>
      <c r="X807" t="s">
        <v>46</v>
      </c>
      <c r="AC807">
        <f>COUNTIF(C:C,QLKV_gui_ket_qua_ra_soat[[#This Row],[Mã điểm bán]])</f>
        <v>1</v>
      </c>
    </row>
    <row r="808" spans="1:29" x14ac:dyDescent="0.45">
      <c r="A808" t="s">
        <v>2965</v>
      </c>
      <c r="B808">
        <v>1558</v>
      </c>
      <c r="C808" t="s">
        <v>3406</v>
      </c>
      <c r="D808" t="s">
        <v>3407</v>
      </c>
      <c r="E808" t="s">
        <v>3408</v>
      </c>
      <c r="F808" t="s">
        <v>53</v>
      </c>
      <c r="G808" t="s">
        <v>34</v>
      </c>
      <c r="H808" t="s">
        <v>54</v>
      </c>
      <c r="I808" t="s">
        <v>3409</v>
      </c>
      <c r="J808" t="s">
        <v>38</v>
      </c>
      <c r="K808" t="s">
        <v>38</v>
      </c>
      <c r="L808" t="s">
        <v>40</v>
      </c>
      <c r="M808" t="s">
        <v>38</v>
      </c>
      <c r="N808" t="s">
        <v>38</v>
      </c>
      <c r="O808" t="s">
        <v>40</v>
      </c>
      <c r="P808" t="s">
        <v>38</v>
      </c>
      <c r="Q808" t="s">
        <v>38</v>
      </c>
      <c r="R808" t="s">
        <v>40</v>
      </c>
      <c r="S808" t="s">
        <v>41</v>
      </c>
      <c r="T808" t="s">
        <v>2997</v>
      </c>
      <c r="U808" t="s">
        <v>2998</v>
      </c>
      <c r="V808" t="s">
        <v>2971</v>
      </c>
      <c r="W808" t="s">
        <v>2972</v>
      </c>
      <c r="X808" t="s">
        <v>46</v>
      </c>
      <c r="AB808" t="s">
        <v>117</v>
      </c>
      <c r="AC808">
        <f>COUNTIF(C:C,QLKV_gui_ket_qua_ra_soat[[#This Row],[Mã điểm bán]])</f>
        <v>1</v>
      </c>
    </row>
    <row r="809" spans="1:29" x14ac:dyDescent="0.45">
      <c r="A809" t="s">
        <v>2965</v>
      </c>
      <c r="B809">
        <v>1560</v>
      </c>
      <c r="C809" t="s">
        <v>3410</v>
      </c>
      <c r="D809" t="s">
        <v>3411</v>
      </c>
      <c r="E809" t="s">
        <v>3412</v>
      </c>
      <c r="F809" t="s">
        <v>53</v>
      </c>
      <c r="G809" t="s">
        <v>34</v>
      </c>
      <c r="H809" t="s">
        <v>54</v>
      </c>
      <c r="I809" t="s">
        <v>3413</v>
      </c>
      <c r="J809" t="s">
        <v>38</v>
      </c>
      <c r="K809" t="s">
        <v>38</v>
      </c>
      <c r="L809" t="s">
        <v>40</v>
      </c>
      <c r="M809" t="s">
        <v>38</v>
      </c>
      <c r="N809" t="s">
        <v>38</v>
      </c>
      <c r="O809" t="s">
        <v>39</v>
      </c>
      <c r="P809" t="s">
        <v>38</v>
      </c>
      <c r="Q809" t="s">
        <v>38</v>
      </c>
      <c r="R809" t="s">
        <v>40</v>
      </c>
      <c r="S809" t="s">
        <v>41</v>
      </c>
      <c r="T809" t="s">
        <v>2997</v>
      </c>
      <c r="U809" t="s">
        <v>2998</v>
      </c>
      <c r="V809" t="s">
        <v>2971</v>
      </c>
      <c r="W809" t="s">
        <v>2972</v>
      </c>
      <c r="X809" t="s">
        <v>46</v>
      </c>
      <c r="AB809" t="s">
        <v>117</v>
      </c>
      <c r="AC809">
        <f>COUNTIF(C:C,QLKV_gui_ket_qua_ra_soat[[#This Row],[Mã điểm bán]])</f>
        <v>1</v>
      </c>
    </row>
    <row r="810" spans="1:29" x14ac:dyDescent="0.45">
      <c r="A810" t="s">
        <v>2965</v>
      </c>
      <c r="B810">
        <v>1563</v>
      </c>
      <c r="C810" t="s">
        <v>3414</v>
      </c>
      <c r="D810" t="s">
        <v>3415</v>
      </c>
      <c r="E810" t="s">
        <v>3416</v>
      </c>
      <c r="F810" t="s">
        <v>3417</v>
      </c>
      <c r="G810" t="s">
        <v>34</v>
      </c>
      <c r="H810" t="s">
        <v>917</v>
      </c>
      <c r="I810" t="s">
        <v>3418</v>
      </c>
      <c r="J810" t="s">
        <v>38</v>
      </c>
      <c r="K810" t="s">
        <v>38</v>
      </c>
      <c r="L810" t="s">
        <v>39</v>
      </c>
      <c r="M810" t="s">
        <v>38</v>
      </c>
      <c r="N810" t="s">
        <v>37</v>
      </c>
      <c r="O810" t="s">
        <v>39</v>
      </c>
      <c r="P810" t="s">
        <v>38</v>
      </c>
      <c r="Q810" t="s">
        <v>38</v>
      </c>
      <c r="R810" t="s">
        <v>39</v>
      </c>
      <c r="S810" t="s">
        <v>3419</v>
      </c>
      <c r="T810" t="s">
        <v>3045</v>
      </c>
      <c r="U810" t="s">
        <v>3046</v>
      </c>
      <c r="V810" t="s">
        <v>2971</v>
      </c>
      <c r="W810" t="s">
        <v>2972</v>
      </c>
      <c r="Z810" t="s">
        <v>46</v>
      </c>
      <c r="AA810" t="s">
        <v>2983</v>
      </c>
      <c r="AC810">
        <f>COUNTIF(C:C,QLKV_gui_ket_qua_ra_soat[[#This Row],[Mã điểm bán]])</f>
        <v>1</v>
      </c>
    </row>
    <row r="811" spans="1:29" x14ac:dyDescent="0.45">
      <c r="A811" t="s">
        <v>2965</v>
      </c>
      <c r="B811">
        <v>1565</v>
      </c>
      <c r="C811" t="s">
        <v>3420</v>
      </c>
      <c r="D811" t="s">
        <v>3421</v>
      </c>
      <c r="E811" t="s">
        <v>108</v>
      </c>
      <c r="F811" t="s">
        <v>53</v>
      </c>
      <c r="G811" t="s">
        <v>177</v>
      </c>
      <c r="H811" t="s">
        <v>54</v>
      </c>
      <c r="I811" t="s">
        <v>3422</v>
      </c>
      <c r="J811" t="s">
        <v>38</v>
      </c>
      <c r="K811" t="s">
        <v>38</v>
      </c>
      <c r="L811" t="s">
        <v>40</v>
      </c>
      <c r="M811" t="s">
        <v>38</v>
      </c>
      <c r="N811" t="s">
        <v>38</v>
      </c>
      <c r="O811" t="s">
        <v>40</v>
      </c>
      <c r="P811" t="s">
        <v>38</v>
      </c>
      <c r="Q811" t="s">
        <v>38</v>
      </c>
      <c r="R811" t="s">
        <v>40</v>
      </c>
      <c r="S811" t="s">
        <v>41</v>
      </c>
      <c r="T811" t="s">
        <v>3020</v>
      </c>
      <c r="U811" t="s">
        <v>3021</v>
      </c>
      <c r="V811" t="s">
        <v>2971</v>
      </c>
      <c r="W811" t="s">
        <v>2972</v>
      </c>
      <c r="X811" t="s">
        <v>46</v>
      </c>
      <c r="AB811" t="s">
        <v>117</v>
      </c>
      <c r="AC811">
        <f>COUNTIF(C:C,QLKV_gui_ket_qua_ra_soat[[#This Row],[Mã điểm bán]])</f>
        <v>1</v>
      </c>
    </row>
    <row r="812" spans="1:29" x14ac:dyDescent="0.45">
      <c r="A812" t="s">
        <v>2965</v>
      </c>
      <c r="B812">
        <v>1566</v>
      </c>
      <c r="C812" t="s">
        <v>3423</v>
      </c>
      <c r="D812" t="s">
        <v>3424</v>
      </c>
      <c r="E812" t="s">
        <v>3425</v>
      </c>
      <c r="F812" t="s">
        <v>456</v>
      </c>
      <c r="G812" t="s">
        <v>177</v>
      </c>
      <c r="H812" t="s">
        <v>54</v>
      </c>
      <c r="I812" t="s">
        <v>3426</v>
      </c>
      <c r="J812" t="s">
        <v>37</v>
      </c>
      <c r="K812" t="s">
        <v>37</v>
      </c>
      <c r="L812" t="s">
        <v>39</v>
      </c>
      <c r="M812" t="s">
        <v>56</v>
      </c>
      <c r="N812" t="s">
        <v>56</v>
      </c>
      <c r="O812" t="s">
        <v>39</v>
      </c>
      <c r="P812" t="s">
        <v>38</v>
      </c>
      <c r="Q812" t="s">
        <v>38</v>
      </c>
      <c r="R812" t="s">
        <v>40</v>
      </c>
      <c r="S812" t="s">
        <v>41</v>
      </c>
      <c r="T812" t="s">
        <v>3226</v>
      </c>
      <c r="U812" t="s">
        <v>3227</v>
      </c>
      <c r="V812" t="s">
        <v>2971</v>
      </c>
      <c r="W812" t="s">
        <v>2972</v>
      </c>
      <c r="X812" t="s">
        <v>46</v>
      </c>
      <c r="AC812">
        <f>COUNTIF(C:C,QLKV_gui_ket_qua_ra_soat[[#This Row],[Mã điểm bán]])</f>
        <v>1</v>
      </c>
    </row>
    <row r="813" spans="1:29" x14ac:dyDescent="0.45">
      <c r="A813" t="s">
        <v>2965</v>
      </c>
      <c r="B813">
        <v>1570</v>
      </c>
      <c r="C813" t="s">
        <v>3427</v>
      </c>
      <c r="D813" t="s">
        <v>3428</v>
      </c>
      <c r="E813" t="s">
        <v>3430</v>
      </c>
      <c r="F813" t="s">
        <v>53</v>
      </c>
      <c r="G813" t="s">
        <v>34</v>
      </c>
      <c r="H813" t="s">
        <v>54</v>
      </c>
      <c r="I813" t="s">
        <v>3431</v>
      </c>
      <c r="J813" t="s">
        <v>38</v>
      </c>
      <c r="K813" t="s">
        <v>38</v>
      </c>
      <c r="L813" t="s">
        <v>40</v>
      </c>
      <c r="M813" t="s">
        <v>38</v>
      </c>
      <c r="N813" t="s">
        <v>38</v>
      </c>
      <c r="O813" t="s">
        <v>39</v>
      </c>
      <c r="P813" t="s">
        <v>38</v>
      </c>
      <c r="Q813" t="s">
        <v>38</v>
      </c>
      <c r="R813" t="s">
        <v>40</v>
      </c>
      <c r="S813" t="s">
        <v>41</v>
      </c>
      <c r="T813" t="s">
        <v>2997</v>
      </c>
      <c r="U813" t="s">
        <v>2998</v>
      </c>
      <c r="V813" t="s">
        <v>2971</v>
      </c>
      <c r="W813" t="s">
        <v>2978</v>
      </c>
      <c r="X813" t="s">
        <v>46</v>
      </c>
      <c r="AC813">
        <f>COUNTIF(C:C,QLKV_gui_ket_qua_ra_soat[[#This Row],[Mã điểm bán]])</f>
        <v>1</v>
      </c>
    </row>
    <row r="814" spans="1:29" x14ac:dyDescent="0.45">
      <c r="A814" t="s">
        <v>2965</v>
      </c>
      <c r="B814">
        <v>1572</v>
      </c>
      <c r="C814" t="s">
        <v>3432</v>
      </c>
      <c r="D814" t="s">
        <v>3433</v>
      </c>
      <c r="E814" t="s">
        <v>967</v>
      </c>
      <c r="F814" t="s">
        <v>417</v>
      </c>
      <c r="G814" t="s">
        <v>34</v>
      </c>
      <c r="H814" t="s">
        <v>54</v>
      </c>
      <c r="I814" t="s">
        <v>3434</v>
      </c>
      <c r="J814" t="s">
        <v>38</v>
      </c>
      <c r="K814" t="s">
        <v>38</v>
      </c>
      <c r="L814" t="s">
        <v>39</v>
      </c>
      <c r="M814" t="s">
        <v>38</v>
      </c>
      <c r="N814" t="s">
        <v>38</v>
      </c>
      <c r="O814" t="s">
        <v>39</v>
      </c>
      <c r="P814" t="s">
        <v>38</v>
      </c>
      <c r="Q814" t="s">
        <v>38</v>
      </c>
      <c r="R814" t="s">
        <v>39</v>
      </c>
      <c r="S814" t="s">
        <v>41</v>
      </c>
      <c r="T814" t="s">
        <v>3057</v>
      </c>
      <c r="U814" t="s">
        <v>2970</v>
      </c>
      <c r="V814" t="s">
        <v>2971</v>
      </c>
      <c r="W814" t="s">
        <v>2972</v>
      </c>
      <c r="X814" t="s">
        <v>46</v>
      </c>
      <c r="AC814">
        <f>COUNTIF(C:C,QLKV_gui_ket_qua_ra_soat[[#This Row],[Mã điểm bán]])</f>
        <v>1</v>
      </c>
    </row>
    <row r="815" spans="1:29" x14ac:dyDescent="0.45">
      <c r="A815" t="s">
        <v>2965</v>
      </c>
      <c r="B815">
        <v>1574</v>
      </c>
      <c r="C815" t="s">
        <v>3435</v>
      </c>
      <c r="D815" t="s">
        <v>3436</v>
      </c>
      <c r="E815" t="s">
        <v>108</v>
      </c>
      <c r="F815" t="s">
        <v>166</v>
      </c>
      <c r="G815" t="s">
        <v>177</v>
      </c>
      <c r="H815" t="s">
        <v>54</v>
      </c>
      <c r="I815" t="s">
        <v>3437</v>
      </c>
      <c r="J815" t="s">
        <v>38</v>
      </c>
      <c r="K815" t="s">
        <v>38</v>
      </c>
      <c r="L815" t="s">
        <v>40</v>
      </c>
      <c r="M815" t="s">
        <v>38</v>
      </c>
      <c r="N815" t="s">
        <v>37</v>
      </c>
      <c r="O815" t="s">
        <v>40</v>
      </c>
      <c r="P815" t="s">
        <v>38</v>
      </c>
      <c r="Q815" t="s">
        <v>38</v>
      </c>
      <c r="R815" t="s">
        <v>40</v>
      </c>
      <c r="S815" t="s">
        <v>3438</v>
      </c>
      <c r="T815" t="s">
        <v>3020</v>
      </c>
      <c r="U815" t="s">
        <v>3021</v>
      </c>
      <c r="V815" t="s">
        <v>2971</v>
      </c>
      <c r="W815" t="s">
        <v>2972</v>
      </c>
      <c r="X815" t="s">
        <v>46</v>
      </c>
      <c r="AC815">
        <f>COUNTIF(C:C,QLKV_gui_ket_qua_ra_soat[[#This Row],[Mã điểm bán]])</f>
        <v>1</v>
      </c>
    </row>
    <row r="816" spans="1:29" x14ac:dyDescent="0.45">
      <c r="A816" t="s">
        <v>2965</v>
      </c>
      <c r="B816">
        <v>1575</v>
      </c>
      <c r="C816" t="s">
        <v>3439</v>
      </c>
      <c r="D816" t="s">
        <v>3440</v>
      </c>
      <c r="E816" t="s">
        <v>3441</v>
      </c>
      <c r="F816" t="s">
        <v>53</v>
      </c>
      <c r="G816" t="s">
        <v>177</v>
      </c>
      <c r="H816" t="s">
        <v>54</v>
      </c>
      <c r="I816" t="s">
        <v>237</v>
      </c>
      <c r="J816" t="s">
        <v>37</v>
      </c>
      <c r="K816" t="s">
        <v>37</v>
      </c>
      <c r="L816" t="s">
        <v>39</v>
      </c>
      <c r="M816" t="s">
        <v>56</v>
      </c>
      <c r="N816" t="s">
        <v>56</v>
      </c>
      <c r="O816" t="s">
        <v>39</v>
      </c>
      <c r="P816" t="s">
        <v>38</v>
      </c>
      <c r="Q816" t="s">
        <v>38</v>
      </c>
      <c r="R816" t="s">
        <v>40</v>
      </c>
      <c r="S816" t="s">
        <v>41</v>
      </c>
      <c r="T816" t="s">
        <v>3226</v>
      </c>
      <c r="U816" t="s">
        <v>3227</v>
      </c>
      <c r="V816" t="s">
        <v>2971</v>
      </c>
      <c r="W816" t="s">
        <v>2972</v>
      </c>
      <c r="X816" t="s">
        <v>46</v>
      </c>
      <c r="AC816">
        <f>COUNTIF(C:C,QLKV_gui_ket_qua_ra_soat[[#This Row],[Mã điểm bán]])</f>
        <v>1</v>
      </c>
    </row>
    <row r="817" spans="1:29" x14ac:dyDescent="0.45">
      <c r="A817" t="s">
        <v>2965</v>
      </c>
      <c r="B817">
        <v>1585</v>
      </c>
      <c r="C817" t="s">
        <v>3442</v>
      </c>
      <c r="D817" t="s">
        <v>3443</v>
      </c>
      <c r="E817" t="s">
        <v>2139</v>
      </c>
      <c r="F817" t="s">
        <v>417</v>
      </c>
      <c r="G817" t="s">
        <v>34</v>
      </c>
      <c r="H817" t="s">
        <v>54</v>
      </c>
      <c r="I817" t="s">
        <v>3444</v>
      </c>
      <c r="J817" t="s">
        <v>38</v>
      </c>
      <c r="K817" t="s">
        <v>38</v>
      </c>
      <c r="L817" t="s">
        <v>39</v>
      </c>
      <c r="M817" t="s">
        <v>37</v>
      </c>
      <c r="N817" t="s">
        <v>37</v>
      </c>
      <c r="O817" t="s">
        <v>39</v>
      </c>
      <c r="P817" t="s">
        <v>38</v>
      </c>
      <c r="Q817" t="s">
        <v>38</v>
      </c>
      <c r="R817" t="s">
        <v>39</v>
      </c>
      <c r="S817" t="s">
        <v>41</v>
      </c>
      <c r="T817" t="s">
        <v>3057</v>
      </c>
      <c r="U817" t="s">
        <v>2970</v>
      </c>
      <c r="V817" t="s">
        <v>2971</v>
      </c>
      <c r="W817" t="s">
        <v>2972</v>
      </c>
      <c r="Z817" t="s">
        <v>46</v>
      </c>
      <c r="AA817" t="s">
        <v>3158</v>
      </c>
      <c r="AB817" t="s">
        <v>117</v>
      </c>
      <c r="AC817">
        <f>COUNTIF(C:C,QLKV_gui_ket_qua_ra_soat[[#This Row],[Mã điểm bán]])</f>
        <v>1</v>
      </c>
    </row>
    <row r="818" spans="1:29" x14ac:dyDescent="0.45">
      <c r="A818" t="s">
        <v>2965</v>
      </c>
      <c r="B818">
        <v>1588</v>
      </c>
      <c r="C818" t="s">
        <v>3445</v>
      </c>
      <c r="D818" t="s">
        <v>3446</v>
      </c>
      <c r="E818" t="s">
        <v>3073</v>
      </c>
      <c r="F818" t="s">
        <v>3156</v>
      </c>
      <c r="G818" t="s">
        <v>34</v>
      </c>
      <c r="H818" t="s">
        <v>54</v>
      </c>
      <c r="I818" t="s">
        <v>3447</v>
      </c>
      <c r="J818" t="s">
        <v>38</v>
      </c>
      <c r="K818" t="s">
        <v>38</v>
      </c>
      <c r="L818" t="s">
        <v>39</v>
      </c>
      <c r="M818" t="s">
        <v>38</v>
      </c>
      <c r="N818" t="s">
        <v>38</v>
      </c>
      <c r="O818" t="s">
        <v>39</v>
      </c>
      <c r="P818" t="s">
        <v>38</v>
      </c>
      <c r="Q818" t="s">
        <v>38</v>
      </c>
      <c r="R818" t="s">
        <v>40</v>
      </c>
      <c r="S818" t="s">
        <v>3448</v>
      </c>
      <c r="T818" t="s">
        <v>2997</v>
      </c>
      <c r="U818" t="s">
        <v>2998</v>
      </c>
      <c r="V818" t="s">
        <v>2971</v>
      </c>
      <c r="W818" t="s">
        <v>2978</v>
      </c>
      <c r="X818" t="s">
        <v>46</v>
      </c>
      <c r="AC818">
        <f>COUNTIF(C:C,QLKV_gui_ket_qua_ra_soat[[#This Row],[Mã điểm bán]])</f>
        <v>1</v>
      </c>
    </row>
    <row r="819" spans="1:29" x14ac:dyDescent="0.45">
      <c r="A819" t="s">
        <v>2965</v>
      </c>
      <c r="B819">
        <v>1589</v>
      </c>
      <c r="C819" t="s">
        <v>3449</v>
      </c>
      <c r="D819" t="s">
        <v>3450</v>
      </c>
      <c r="E819" t="s">
        <v>701</v>
      </c>
      <c r="F819" t="s">
        <v>115</v>
      </c>
      <c r="G819" t="s">
        <v>177</v>
      </c>
      <c r="H819" t="s">
        <v>54</v>
      </c>
      <c r="I819" t="s">
        <v>3451</v>
      </c>
      <c r="J819" t="s">
        <v>38</v>
      </c>
      <c r="K819" t="s">
        <v>38</v>
      </c>
      <c r="L819" t="s">
        <v>40</v>
      </c>
      <c r="M819" t="s">
        <v>38</v>
      </c>
      <c r="N819" t="s">
        <v>38</v>
      </c>
      <c r="O819" t="s">
        <v>40</v>
      </c>
      <c r="P819" t="s">
        <v>38</v>
      </c>
      <c r="Q819" t="s">
        <v>38</v>
      </c>
      <c r="R819" t="s">
        <v>40</v>
      </c>
      <c r="S819" t="s">
        <v>3452</v>
      </c>
      <c r="T819" t="s">
        <v>3020</v>
      </c>
      <c r="U819" t="s">
        <v>3021</v>
      </c>
      <c r="V819" t="s">
        <v>2971</v>
      </c>
      <c r="W819" t="s">
        <v>2972</v>
      </c>
      <c r="X819" t="s">
        <v>46</v>
      </c>
      <c r="AB819" t="s">
        <v>117</v>
      </c>
      <c r="AC819">
        <f>COUNTIF(C:C,QLKV_gui_ket_qua_ra_soat[[#This Row],[Mã điểm bán]])</f>
        <v>1</v>
      </c>
    </row>
    <row r="820" spans="1:29" x14ac:dyDescent="0.45">
      <c r="A820" t="s">
        <v>2965</v>
      </c>
      <c r="B820">
        <v>1595</v>
      </c>
      <c r="C820" t="s">
        <v>3453</v>
      </c>
      <c r="D820" t="s">
        <v>3454</v>
      </c>
      <c r="E820" t="s">
        <v>3455</v>
      </c>
      <c r="F820" t="s">
        <v>456</v>
      </c>
      <c r="G820" t="s">
        <v>177</v>
      </c>
      <c r="H820" t="s">
        <v>171</v>
      </c>
      <c r="I820" t="s">
        <v>3456</v>
      </c>
      <c r="J820" t="s">
        <v>37</v>
      </c>
      <c r="K820" t="s">
        <v>37</v>
      </c>
      <c r="L820" t="s">
        <v>39</v>
      </c>
      <c r="M820" t="s">
        <v>56</v>
      </c>
      <c r="N820" t="s">
        <v>56</v>
      </c>
      <c r="O820" t="s">
        <v>39</v>
      </c>
      <c r="P820" t="s">
        <v>38</v>
      </c>
      <c r="Q820" t="s">
        <v>38</v>
      </c>
      <c r="R820" t="s">
        <v>40</v>
      </c>
      <c r="S820" t="s">
        <v>41</v>
      </c>
      <c r="T820" t="s">
        <v>3226</v>
      </c>
      <c r="U820" t="s">
        <v>3227</v>
      </c>
      <c r="V820" t="s">
        <v>2971</v>
      </c>
      <c r="W820" t="s">
        <v>2972</v>
      </c>
      <c r="X820" t="s">
        <v>46</v>
      </c>
      <c r="AB820" t="s">
        <v>117</v>
      </c>
      <c r="AC820">
        <f>COUNTIF(C:C,QLKV_gui_ket_qua_ra_soat[[#This Row],[Mã điểm bán]])</f>
        <v>1</v>
      </c>
    </row>
    <row r="821" spans="1:29" x14ac:dyDescent="0.45">
      <c r="A821" t="s">
        <v>2965</v>
      </c>
      <c r="B821">
        <v>1599</v>
      </c>
      <c r="C821" t="s">
        <v>3457</v>
      </c>
      <c r="D821" t="s">
        <v>3458</v>
      </c>
      <c r="E821" t="s">
        <v>3459</v>
      </c>
      <c r="F821" t="s">
        <v>426</v>
      </c>
      <c r="G821" t="s">
        <v>177</v>
      </c>
      <c r="H821" t="s">
        <v>171</v>
      </c>
      <c r="I821" t="s">
        <v>3460</v>
      </c>
      <c r="J821" t="s">
        <v>37</v>
      </c>
      <c r="K821" t="s">
        <v>37</v>
      </c>
      <c r="L821" t="s">
        <v>39</v>
      </c>
      <c r="M821" t="s">
        <v>56</v>
      </c>
      <c r="N821" t="s">
        <v>56</v>
      </c>
      <c r="O821" t="s">
        <v>39</v>
      </c>
      <c r="P821" t="s">
        <v>38</v>
      </c>
      <c r="Q821" t="s">
        <v>38</v>
      </c>
      <c r="R821" t="s">
        <v>40</v>
      </c>
      <c r="S821" t="s">
        <v>41</v>
      </c>
      <c r="T821" t="s">
        <v>3226</v>
      </c>
      <c r="U821" t="s">
        <v>3227</v>
      </c>
      <c r="V821" t="s">
        <v>2971</v>
      </c>
      <c r="W821" t="s">
        <v>2972</v>
      </c>
      <c r="X821" t="s">
        <v>46</v>
      </c>
      <c r="AB821" t="s">
        <v>117</v>
      </c>
      <c r="AC821">
        <f>COUNTIF(C:C,QLKV_gui_ket_qua_ra_soat[[#This Row],[Mã điểm bán]])</f>
        <v>1</v>
      </c>
    </row>
    <row r="822" spans="1:29" x14ac:dyDescent="0.45">
      <c r="A822" t="s">
        <v>2965</v>
      </c>
      <c r="B822">
        <v>1603</v>
      </c>
      <c r="C822" t="s">
        <v>3461</v>
      </c>
      <c r="D822" t="s">
        <v>3462</v>
      </c>
      <c r="E822" t="s">
        <v>185</v>
      </c>
      <c r="F822" t="s">
        <v>819</v>
      </c>
      <c r="G822" t="s">
        <v>177</v>
      </c>
      <c r="H822" t="s">
        <v>214</v>
      </c>
      <c r="I822" t="s">
        <v>3463</v>
      </c>
      <c r="J822" t="s">
        <v>37</v>
      </c>
      <c r="K822" t="s">
        <v>37</v>
      </c>
      <c r="L822" t="s">
        <v>39</v>
      </c>
      <c r="M822" t="s">
        <v>56</v>
      </c>
      <c r="N822" t="s">
        <v>56</v>
      </c>
      <c r="O822" t="s">
        <v>39</v>
      </c>
      <c r="P822" t="s">
        <v>38</v>
      </c>
      <c r="Q822" t="s">
        <v>38</v>
      </c>
      <c r="R822" t="s">
        <v>40</v>
      </c>
      <c r="S822" t="s">
        <v>41</v>
      </c>
      <c r="T822" t="s">
        <v>3226</v>
      </c>
      <c r="U822" t="s">
        <v>3227</v>
      </c>
      <c r="V822" t="s">
        <v>2971</v>
      </c>
      <c r="W822" t="s">
        <v>2972</v>
      </c>
      <c r="X822" t="s">
        <v>46</v>
      </c>
      <c r="AC822">
        <f>COUNTIF(C:C,QLKV_gui_ket_qua_ra_soat[[#This Row],[Mã điểm bán]])</f>
        <v>1</v>
      </c>
    </row>
    <row r="823" spans="1:29" x14ac:dyDescent="0.45">
      <c r="A823" t="s">
        <v>2965</v>
      </c>
      <c r="B823">
        <v>1607</v>
      </c>
      <c r="C823" t="s">
        <v>3464</v>
      </c>
      <c r="D823" t="s">
        <v>3465</v>
      </c>
      <c r="E823" t="s">
        <v>207</v>
      </c>
      <c r="F823" t="s">
        <v>456</v>
      </c>
      <c r="G823" t="s">
        <v>34</v>
      </c>
      <c r="H823" t="s">
        <v>685</v>
      </c>
      <c r="I823" t="s">
        <v>3456</v>
      </c>
      <c r="J823" t="s">
        <v>37</v>
      </c>
      <c r="K823" t="s">
        <v>37</v>
      </c>
      <c r="L823" t="s">
        <v>39</v>
      </c>
      <c r="M823" t="s">
        <v>56</v>
      </c>
      <c r="N823" t="s">
        <v>56</v>
      </c>
      <c r="O823" t="s">
        <v>39</v>
      </c>
      <c r="P823" t="s">
        <v>38</v>
      </c>
      <c r="Q823" t="s">
        <v>38</v>
      </c>
      <c r="R823" t="s">
        <v>40</v>
      </c>
      <c r="S823" t="s">
        <v>41</v>
      </c>
      <c r="T823" t="s">
        <v>3226</v>
      </c>
      <c r="U823" t="s">
        <v>3227</v>
      </c>
      <c r="V823" t="s">
        <v>2971</v>
      </c>
      <c r="W823" t="s">
        <v>2972</v>
      </c>
      <c r="X823" t="s">
        <v>46</v>
      </c>
      <c r="AC823">
        <f>COUNTIF(C:C,QLKV_gui_ket_qua_ra_soat[[#This Row],[Mã điểm bán]])</f>
        <v>1</v>
      </c>
    </row>
    <row r="824" spans="1:29" x14ac:dyDescent="0.45">
      <c r="A824" t="s">
        <v>2965</v>
      </c>
      <c r="B824">
        <v>1610</v>
      </c>
      <c r="C824" t="s">
        <v>3466</v>
      </c>
      <c r="D824" t="s">
        <v>3467</v>
      </c>
      <c r="E824" t="s">
        <v>3468</v>
      </c>
      <c r="F824" t="s">
        <v>53</v>
      </c>
      <c r="G824" t="s">
        <v>34</v>
      </c>
      <c r="H824" t="s">
        <v>54</v>
      </c>
      <c r="I824" t="s">
        <v>3469</v>
      </c>
      <c r="J824" t="s">
        <v>38</v>
      </c>
      <c r="K824" t="s">
        <v>38</v>
      </c>
      <c r="L824" t="s">
        <v>40</v>
      </c>
      <c r="M824" t="s">
        <v>38</v>
      </c>
      <c r="N824" t="s">
        <v>38</v>
      </c>
      <c r="O824" t="s">
        <v>39</v>
      </c>
      <c r="P824" t="s">
        <v>38</v>
      </c>
      <c r="Q824" t="s">
        <v>38</v>
      </c>
      <c r="R824" t="s">
        <v>39</v>
      </c>
      <c r="S824" t="s">
        <v>41</v>
      </c>
      <c r="T824" t="s">
        <v>2969</v>
      </c>
      <c r="U824" t="s">
        <v>2970</v>
      </c>
      <c r="V824" t="s">
        <v>2971</v>
      </c>
      <c r="W824" t="s">
        <v>2972</v>
      </c>
      <c r="X824" t="s">
        <v>46</v>
      </c>
      <c r="AC824">
        <f>COUNTIF(C:C,QLKV_gui_ket_qua_ra_soat[[#This Row],[Mã điểm bán]])</f>
        <v>1</v>
      </c>
    </row>
    <row r="825" spans="1:29" x14ac:dyDescent="0.45">
      <c r="A825" t="s">
        <v>2965</v>
      </c>
      <c r="B825">
        <v>1614</v>
      </c>
      <c r="C825" t="s">
        <v>3470</v>
      </c>
      <c r="D825" t="s">
        <v>3471</v>
      </c>
      <c r="E825" t="s">
        <v>3472</v>
      </c>
      <c r="F825" t="s">
        <v>1573</v>
      </c>
      <c r="G825" t="s">
        <v>177</v>
      </c>
      <c r="H825" t="s">
        <v>550</v>
      </c>
      <c r="I825" t="s">
        <v>3473</v>
      </c>
      <c r="J825" t="s">
        <v>37</v>
      </c>
      <c r="K825" t="s">
        <v>37</v>
      </c>
      <c r="L825" t="s">
        <v>39</v>
      </c>
      <c r="M825" t="s">
        <v>37</v>
      </c>
      <c r="N825" t="s">
        <v>56</v>
      </c>
      <c r="O825" t="s">
        <v>39</v>
      </c>
      <c r="P825" t="s">
        <v>38</v>
      </c>
      <c r="Q825" t="s">
        <v>38</v>
      </c>
      <c r="R825" t="s">
        <v>40</v>
      </c>
      <c r="S825" t="s">
        <v>41</v>
      </c>
      <c r="T825" t="s">
        <v>3226</v>
      </c>
      <c r="U825" t="s">
        <v>3227</v>
      </c>
      <c r="V825" t="s">
        <v>2971</v>
      </c>
      <c r="W825" t="s">
        <v>2972</v>
      </c>
      <c r="Z825" t="s">
        <v>46</v>
      </c>
      <c r="AA825" t="s">
        <v>3058</v>
      </c>
      <c r="AB825" t="s">
        <v>2999</v>
      </c>
      <c r="AC825">
        <f>COUNTIF(C:C,QLKV_gui_ket_qua_ra_soat[[#This Row],[Mã điểm bán]])</f>
        <v>1</v>
      </c>
    </row>
    <row r="826" spans="1:29" x14ac:dyDescent="0.45">
      <c r="A826" t="s">
        <v>2965</v>
      </c>
      <c r="B826">
        <v>1631</v>
      </c>
      <c r="C826" t="s">
        <v>3474</v>
      </c>
      <c r="D826" t="s">
        <v>3475</v>
      </c>
      <c r="E826" t="s">
        <v>3476</v>
      </c>
      <c r="F826" t="s">
        <v>53</v>
      </c>
      <c r="G826" t="s">
        <v>34</v>
      </c>
      <c r="H826" t="s">
        <v>54</v>
      </c>
      <c r="I826" t="s">
        <v>3328</v>
      </c>
      <c r="J826" t="s">
        <v>37</v>
      </c>
      <c r="K826" t="s">
        <v>37</v>
      </c>
      <c r="L826" t="s">
        <v>39</v>
      </c>
      <c r="M826" t="s">
        <v>37</v>
      </c>
      <c r="N826" t="s">
        <v>37</v>
      </c>
      <c r="O826" t="s">
        <v>39</v>
      </c>
      <c r="P826" t="s">
        <v>38</v>
      </c>
      <c r="Q826" t="s">
        <v>38</v>
      </c>
      <c r="R826" t="s">
        <v>40</v>
      </c>
      <c r="S826" t="s">
        <v>41</v>
      </c>
      <c r="T826" t="s">
        <v>3226</v>
      </c>
      <c r="U826" t="s">
        <v>3227</v>
      </c>
      <c r="V826" t="s">
        <v>2971</v>
      </c>
      <c r="W826" t="s">
        <v>2972</v>
      </c>
      <c r="X826" t="s">
        <v>46</v>
      </c>
      <c r="AC826">
        <f>COUNTIF(C:C,QLKV_gui_ket_qua_ra_soat[[#This Row],[Mã điểm bán]])</f>
        <v>1</v>
      </c>
    </row>
    <row r="827" spans="1:29" x14ac:dyDescent="0.45">
      <c r="A827" t="s">
        <v>2965</v>
      </c>
      <c r="B827">
        <v>1642</v>
      </c>
      <c r="C827" t="s">
        <v>3477</v>
      </c>
      <c r="D827" t="s">
        <v>3478</v>
      </c>
      <c r="E827" t="s">
        <v>3479</v>
      </c>
      <c r="F827" t="s">
        <v>2432</v>
      </c>
      <c r="G827" t="s">
        <v>34</v>
      </c>
      <c r="H827" t="s">
        <v>54</v>
      </c>
      <c r="I827" t="s">
        <v>3480</v>
      </c>
      <c r="J827" t="s">
        <v>38</v>
      </c>
      <c r="K827" t="s">
        <v>38</v>
      </c>
      <c r="L827" t="s">
        <v>39</v>
      </c>
      <c r="M827" t="s">
        <v>37</v>
      </c>
      <c r="N827" t="s">
        <v>37</v>
      </c>
      <c r="O827" t="s">
        <v>39</v>
      </c>
      <c r="P827" t="s">
        <v>38</v>
      </c>
      <c r="Q827" t="s">
        <v>38</v>
      </c>
      <c r="R827" t="s">
        <v>40</v>
      </c>
      <c r="S827" t="s">
        <v>41</v>
      </c>
      <c r="T827" t="s">
        <v>3226</v>
      </c>
      <c r="U827" t="s">
        <v>3227</v>
      </c>
      <c r="V827" t="s">
        <v>2971</v>
      </c>
      <c r="W827" t="s">
        <v>2972</v>
      </c>
      <c r="Z827" t="s">
        <v>46</v>
      </c>
      <c r="AA827" t="s">
        <v>3158</v>
      </c>
      <c r="AB827" t="s">
        <v>117</v>
      </c>
      <c r="AC827">
        <f>COUNTIF(C:C,QLKV_gui_ket_qua_ra_soat[[#This Row],[Mã điểm bán]])</f>
        <v>1</v>
      </c>
    </row>
    <row r="828" spans="1:29" x14ac:dyDescent="0.45">
      <c r="A828" t="s">
        <v>2965</v>
      </c>
      <c r="B828">
        <v>1652</v>
      </c>
      <c r="C828" t="s">
        <v>3481</v>
      </c>
      <c r="D828" t="s">
        <v>3482</v>
      </c>
      <c r="E828" t="s">
        <v>74</v>
      </c>
      <c r="F828" t="s">
        <v>3483</v>
      </c>
      <c r="G828" t="s">
        <v>177</v>
      </c>
      <c r="H828" t="s">
        <v>35</v>
      </c>
      <c r="I828" t="s">
        <v>3484</v>
      </c>
      <c r="J828" t="s">
        <v>56</v>
      </c>
      <c r="K828" t="s">
        <v>56</v>
      </c>
      <c r="L828" t="s">
        <v>39</v>
      </c>
      <c r="M828" t="s">
        <v>56</v>
      </c>
      <c r="N828" t="s">
        <v>56</v>
      </c>
      <c r="O828" t="s">
        <v>39</v>
      </c>
      <c r="P828" t="s">
        <v>37</v>
      </c>
      <c r="Q828" t="s">
        <v>37</v>
      </c>
      <c r="R828" t="s">
        <v>40</v>
      </c>
      <c r="S828" t="s">
        <v>3003</v>
      </c>
      <c r="T828" t="s">
        <v>2976</v>
      </c>
      <c r="U828" t="s">
        <v>2977</v>
      </c>
      <c r="V828" t="s">
        <v>2971</v>
      </c>
      <c r="W828" t="s">
        <v>2978</v>
      </c>
      <c r="Z828" t="s">
        <v>46</v>
      </c>
      <c r="AA828" t="s">
        <v>2983</v>
      </c>
      <c r="AB828" t="s">
        <v>2999</v>
      </c>
      <c r="AC828">
        <f>COUNTIF(C:C,QLKV_gui_ket_qua_ra_soat[[#This Row],[Mã điểm bán]])</f>
        <v>1</v>
      </c>
    </row>
    <row r="829" spans="1:29" x14ac:dyDescent="0.45">
      <c r="A829" t="s">
        <v>2965</v>
      </c>
      <c r="B829">
        <v>1660</v>
      </c>
      <c r="C829" t="s">
        <v>3485</v>
      </c>
      <c r="D829" t="s">
        <v>3486</v>
      </c>
      <c r="E829" t="s">
        <v>3487</v>
      </c>
      <c r="F829" t="s">
        <v>53</v>
      </c>
      <c r="G829" t="s">
        <v>34</v>
      </c>
      <c r="H829" t="s">
        <v>54</v>
      </c>
      <c r="I829" t="s">
        <v>3488</v>
      </c>
      <c r="J829" t="s">
        <v>38</v>
      </c>
      <c r="K829" t="s">
        <v>38</v>
      </c>
      <c r="L829" t="s">
        <v>40</v>
      </c>
      <c r="M829" t="s">
        <v>38</v>
      </c>
      <c r="N829" t="s">
        <v>38</v>
      </c>
      <c r="O829" t="s">
        <v>39</v>
      </c>
      <c r="P829" t="s">
        <v>38</v>
      </c>
      <c r="Q829" t="s">
        <v>38</v>
      </c>
      <c r="R829" t="s">
        <v>39</v>
      </c>
      <c r="S829" t="s">
        <v>41</v>
      </c>
      <c r="T829" t="s">
        <v>2969</v>
      </c>
      <c r="U829" t="s">
        <v>2970</v>
      </c>
      <c r="V829" t="s">
        <v>2971</v>
      </c>
      <c r="W829" t="s">
        <v>2972</v>
      </c>
      <c r="Z829" t="s">
        <v>46</v>
      </c>
      <c r="AA829" t="s">
        <v>3158</v>
      </c>
      <c r="AB829" t="s">
        <v>117</v>
      </c>
      <c r="AC829">
        <f>COUNTIF(C:C,QLKV_gui_ket_qua_ra_soat[[#This Row],[Mã điểm bán]])</f>
        <v>1</v>
      </c>
    </row>
    <row r="830" spans="1:29" x14ac:dyDescent="0.45">
      <c r="A830" t="s">
        <v>2965</v>
      </c>
      <c r="B830">
        <v>1663</v>
      </c>
      <c r="C830" t="s">
        <v>3489</v>
      </c>
      <c r="D830" t="s">
        <v>3490</v>
      </c>
      <c r="E830" t="s">
        <v>1699</v>
      </c>
      <c r="F830" t="s">
        <v>2196</v>
      </c>
      <c r="G830" t="s">
        <v>34</v>
      </c>
      <c r="H830" t="s">
        <v>54</v>
      </c>
      <c r="I830" t="s">
        <v>3491</v>
      </c>
      <c r="J830" t="s">
        <v>38</v>
      </c>
      <c r="K830" t="s">
        <v>38</v>
      </c>
      <c r="L830" t="s">
        <v>40</v>
      </c>
      <c r="M830" t="s">
        <v>38</v>
      </c>
      <c r="N830" t="s">
        <v>38</v>
      </c>
      <c r="O830" t="s">
        <v>39</v>
      </c>
      <c r="P830" t="s">
        <v>38</v>
      </c>
      <c r="Q830" t="s">
        <v>38</v>
      </c>
      <c r="R830" t="s">
        <v>39</v>
      </c>
      <c r="S830" t="s">
        <v>41</v>
      </c>
      <c r="T830" t="s">
        <v>2969</v>
      </c>
      <c r="U830" t="s">
        <v>2970</v>
      </c>
      <c r="V830" t="s">
        <v>2971</v>
      </c>
      <c r="W830" t="s">
        <v>2972</v>
      </c>
      <c r="Z830" t="s">
        <v>46</v>
      </c>
      <c r="AA830" t="s">
        <v>3058</v>
      </c>
      <c r="AB830" t="s">
        <v>2999</v>
      </c>
      <c r="AC830">
        <f>COUNTIF(C:C,QLKV_gui_ket_qua_ra_soat[[#This Row],[Mã điểm bán]])</f>
        <v>1</v>
      </c>
    </row>
    <row r="831" spans="1:29" x14ac:dyDescent="0.45">
      <c r="A831" t="s">
        <v>2965</v>
      </c>
      <c r="B831">
        <v>1664</v>
      </c>
      <c r="C831" t="s">
        <v>3492</v>
      </c>
      <c r="D831" t="s">
        <v>3493</v>
      </c>
      <c r="E831" t="s">
        <v>157</v>
      </c>
      <c r="F831" t="s">
        <v>53</v>
      </c>
      <c r="G831" t="s">
        <v>177</v>
      </c>
      <c r="H831" t="s">
        <v>54</v>
      </c>
      <c r="I831" t="s">
        <v>3495</v>
      </c>
      <c r="J831" t="s">
        <v>38</v>
      </c>
      <c r="K831" t="s">
        <v>38</v>
      </c>
      <c r="L831" t="s">
        <v>40</v>
      </c>
      <c r="M831" t="s">
        <v>38</v>
      </c>
      <c r="N831" t="s">
        <v>38</v>
      </c>
      <c r="O831" t="s">
        <v>40</v>
      </c>
      <c r="P831" t="s">
        <v>38</v>
      </c>
      <c r="Q831" t="s">
        <v>38</v>
      </c>
      <c r="R831" t="s">
        <v>40</v>
      </c>
      <c r="S831" t="s">
        <v>41</v>
      </c>
      <c r="T831" t="s">
        <v>3020</v>
      </c>
      <c r="U831" t="s">
        <v>3021</v>
      </c>
      <c r="V831" t="s">
        <v>2971</v>
      </c>
      <c r="W831" t="s">
        <v>2972</v>
      </c>
      <c r="X831" t="s">
        <v>46</v>
      </c>
      <c r="AC831">
        <f>COUNTIF(C:C,QLKV_gui_ket_qua_ra_soat[[#This Row],[Mã điểm bán]])</f>
        <v>1</v>
      </c>
    </row>
    <row r="832" spans="1:29" x14ac:dyDescent="0.45">
      <c r="A832" t="s">
        <v>2965</v>
      </c>
      <c r="B832">
        <v>1678</v>
      </c>
      <c r="C832" t="s">
        <v>3496</v>
      </c>
      <c r="D832" t="s">
        <v>3497</v>
      </c>
      <c r="E832" t="s">
        <v>51</v>
      </c>
      <c r="F832" t="s">
        <v>53</v>
      </c>
      <c r="G832" t="s">
        <v>34</v>
      </c>
      <c r="H832" t="s">
        <v>54</v>
      </c>
      <c r="I832" t="s">
        <v>3498</v>
      </c>
      <c r="J832" t="s">
        <v>38</v>
      </c>
      <c r="K832" t="s">
        <v>38</v>
      </c>
      <c r="L832" t="s">
        <v>39</v>
      </c>
      <c r="M832" t="s">
        <v>37</v>
      </c>
      <c r="N832" t="s">
        <v>37</v>
      </c>
      <c r="O832" t="s">
        <v>39</v>
      </c>
      <c r="P832" t="s">
        <v>38</v>
      </c>
      <c r="Q832" t="s">
        <v>38</v>
      </c>
      <c r="R832" t="s">
        <v>39</v>
      </c>
      <c r="S832" t="s">
        <v>41</v>
      </c>
      <c r="T832" t="s">
        <v>3057</v>
      </c>
      <c r="U832" t="s">
        <v>2970</v>
      </c>
      <c r="V832" t="s">
        <v>2971</v>
      </c>
      <c r="W832" t="s">
        <v>2972</v>
      </c>
      <c r="Y832" t="s">
        <v>46</v>
      </c>
      <c r="AC832">
        <f>COUNTIF(C:C,QLKV_gui_ket_qua_ra_soat[[#This Row],[Mã điểm bán]])</f>
        <v>1</v>
      </c>
    </row>
    <row r="833" spans="1:29" x14ac:dyDescent="0.45">
      <c r="A833" t="s">
        <v>2965</v>
      </c>
      <c r="B833">
        <v>1681</v>
      </c>
      <c r="C833" t="s">
        <v>3499</v>
      </c>
      <c r="D833" t="s">
        <v>3500</v>
      </c>
      <c r="E833" t="s">
        <v>3501</v>
      </c>
      <c r="F833" t="s">
        <v>3156</v>
      </c>
      <c r="G833" t="s">
        <v>34</v>
      </c>
      <c r="H833" t="s">
        <v>54</v>
      </c>
      <c r="I833" t="s">
        <v>3502</v>
      </c>
      <c r="J833" t="s">
        <v>37</v>
      </c>
      <c r="K833" t="s">
        <v>37</v>
      </c>
      <c r="L833" t="s">
        <v>39</v>
      </c>
      <c r="M833" t="s">
        <v>37</v>
      </c>
      <c r="N833" t="s">
        <v>56</v>
      </c>
      <c r="O833" t="s">
        <v>39</v>
      </c>
      <c r="P833" t="s">
        <v>38</v>
      </c>
      <c r="Q833" t="s">
        <v>38</v>
      </c>
      <c r="R833" t="s">
        <v>39</v>
      </c>
      <c r="S833" t="s">
        <v>41</v>
      </c>
      <c r="T833" t="s">
        <v>3057</v>
      </c>
      <c r="U833" t="s">
        <v>2970</v>
      </c>
      <c r="V833" t="s">
        <v>2971</v>
      </c>
      <c r="W833" t="s">
        <v>2972</v>
      </c>
      <c r="X833" t="s">
        <v>46</v>
      </c>
      <c r="AB833" t="s">
        <v>2999</v>
      </c>
      <c r="AC833">
        <f>COUNTIF(C:C,QLKV_gui_ket_qua_ra_soat[[#This Row],[Mã điểm bán]])</f>
        <v>1</v>
      </c>
    </row>
    <row r="834" spans="1:29" x14ac:dyDescent="0.45">
      <c r="A834" t="s">
        <v>2965</v>
      </c>
      <c r="B834">
        <v>1694</v>
      </c>
      <c r="C834" t="s">
        <v>3503</v>
      </c>
      <c r="D834" t="s">
        <v>3504</v>
      </c>
      <c r="E834" t="s">
        <v>3505</v>
      </c>
      <c r="F834" t="s">
        <v>3506</v>
      </c>
      <c r="G834" t="s">
        <v>34</v>
      </c>
      <c r="H834" t="s">
        <v>54</v>
      </c>
      <c r="I834" t="s">
        <v>3507</v>
      </c>
      <c r="J834" t="s">
        <v>38</v>
      </c>
      <c r="K834" t="s">
        <v>38</v>
      </c>
      <c r="L834" t="s">
        <v>39</v>
      </c>
      <c r="M834" t="s">
        <v>37</v>
      </c>
      <c r="N834" t="s">
        <v>37</v>
      </c>
      <c r="O834" t="s">
        <v>39</v>
      </c>
      <c r="P834" t="s">
        <v>38</v>
      </c>
      <c r="Q834" t="s">
        <v>38</v>
      </c>
      <c r="R834" t="s">
        <v>39</v>
      </c>
      <c r="S834" t="s">
        <v>41</v>
      </c>
      <c r="T834" t="s">
        <v>3057</v>
      </c>
      <c r="U834" t="s">
        <v>2970</v>
      </c>
      <c r="V834" t="s">
        <v>2971</v>
      </c>
      <c r="W834" t="s">
        <v>2972</v>
      </c>
      <c r="X834" t="s">
        <v>46</v>
      </c>
      <c r="AB834" t="s">
        <v>2999</v>
      </c>
      <c r="AC834">
        <f>COUNTIF(C:C,QLKV_gui_ket_qua_ra_soat[[#This Row],[Mã điểm bán]])</f>
        <v>1</v>
      </c>
    </row>
    <row r="835" spans="1:29" x14ac:dyDescent="0.45">
      <c r="A835" t="s">
        <v>2965</v>
      </c>
      <c r="B835">
        <v>1700</v>
      </c>
      <c r="C835" t="s">
        <v>3508</v>
      </c>
      <c r="D835" t="s">
        <v>3509</v>
      </c>
      <c r="E835" t="s">
        <v>3510</v>
      </c>
      <c r="F835" t="s">
        <v>115</v>
      </c>
      <c r="G835" t="s">
        <v>177</v>
      </c>
      <c r="H835" t="s">
        <v>54</v>
      </c>
      <c r="I835" t="s">
        <v>3511</v>
      </c>
      <c r="J835" t="s">
        <v>37</v>
      </c>
      <c r="K835" t="s">
        <v>37</v>
      </c>
      <c r="L835" t="s">
        <v>39</v>
      </c>
      <c r="M835" t="s">
        <v>37</v>
      </c>
      <c r="N835" t="s">
        <v>37</v>
      </c>
      <c r="O835" t="s">
        <v>39</v>
      </c>
      <c r="P835" t="s">
        <v>38</v>
      </c>
      <c r="Q835" t="s">
        <v>38</v>
      </c>
      <c r="R835" t="s">
        <v>40</v>
      </c>
      <c r="S835" t="s">
        <v>3512</v>
      </c>
      <c r="T835" t="s">
        <v>3226</v>
      </c>
      <c r="U835" t="s">
        <v>3227</v>
      </c>
      <c r="V835" t="s">
        <v>2971</v>
      </c>
      <c r="W835" t="s">
        <v>2972</v>
      </c>
      <c r="X835" t="s">
        <v>46</v>
      </c>
      <c r="AC835">
        <f>COUNTIF(C:C,QLKV_gui_ket_qua_ra_soat[[#This Row],[Mã điểm bán]])</f>
        <v>1</v>
      </c>
    </row>
    <row r="836" spans="1:29" x14ac:dyDescent="0.45">
      <c r="A836" t="s">
        <v>2965</v>
      </c>
      <c r="B836">
        <v>1716</v>
      </c>
      <c r="C836" t="s">
        <v>3513</v>
      </c>
      <c r="D836" t="s">
        <v>3514</v>
      </c>
      <c r="E836" t="s">
        <v>3516</v>
      </c>
      <c r="F836" t="s">
        <v>53</v>
      </c>
      <c r="G836" t="s">
        <v>34</v>
      </c>
      <c r="H836" t="s">
        <v>54</v>
      </c>
      <c r="I836" t="s">
        <v>3517</v>
      </c>
      <c r="J836" t="s">
        <v>38</v>
      </c>
      <c r="K836" t="s">
        <v>38</v>
      </c>
      <c r="L836" t="s">
        <v>40</v>
      </c>
      <c r="M836" t="s">
        <v>38</v>
      </c>
      <c r="N836" t="s">
        <v>38</v>
      </c>
      <c r="O836" t="s">
        <v>40</v>
      </c>
      <c r="P836" t="s">
        <v>38</v>
      </c>
      <c r="Q836" t="s">
        <v>38</v>
      </c>
      <c r="R836" t="s">
        <v>40</v>
      </c>
      <c r="S836" t="s">
        <v>3518</v>
      </c>
      <c r="T836" t="s">
        <v>2997</v>
      </c>
      <c r="U836" t="s">
        <v>2998</v>
      </c>
      <c r="V836" t="s">
        <v>2971</v>
      </c>
      <c r="W836" t="s">
        <v>2978</v>
      </c>
      <c r="X836" t="s">
        <v>46</v>
      </c>
      <c r="AB836" t="s">
        <v>117</v>
      </c>
      <c r="AC836">
        <f>COUNTIF(C:C,QLKV_gui_ket_qua_ra_soat[[#This Row],[Mã điểm bán]])</f>
        <v>1</v>
      </c>
    </row>
    <row r="837" spans="1:29" x14ac:dyDescent="0.45">
      <c r="A837" t="s">
        <v>2965</v>
      </c>
      <c r="B837">
        <v>1723</v>
      </c>
      <c r="C837" t="s">
        <v>3519</v>
      </c>
      <c r="D837" t="s">
        <v>3520</v>
      </c>
      <c r="E837" t="s">
        <v>3521</v>
      </c>
      <c r="F837" t="s">
        <v>3522</v>
      </c>
      <c r="G837" t="s">
        <v>34</v>
      </c>
      <c r="H837" t="s">
        <v>685</v>
      </c>
      <c r="I837" t="s">
        <v>3523</v>
      </c>
      <c r="J837" t="s">
        <v>37</v>
      </c>
      <c r="K837" t="s">
        <v>37</v>
      </c>
      <c r="L837" t="s">
        <v>39</v>
      </c>
      <c r="M837" t="s">
        <v>37</v>
      </c>
      <c r="N837" t="s">
        <v>37</v>
      </c>
      <c r="O837" t="s">
        <v>39</v>
      </c>
      <c r="P837" t="s">
        <v>38</v>
      </c>
      <c r="Q837" t="s">
        <v>38</v>
      </c>
      <c r="R837" t="s">
        <v>39</v>
      </c>
      <c r="S837" t="s">
        <v>41</v>
      </c>
      <c r="T837" t="s">
        <v>3057</v>
      </c>
      <c r="U837" t="s">
        <v>2970</v>
      </c>
      <c r="V837" t="s">
        <v>2971</v>
      </c>
      <c r="W837" t="s">
        <v>2972</v>
      </c>
      <c r="X837" t="s">
        <v>46</v>
      </c>
      <c r="AC837">
        <f>COUNTIF(C:C,QLKV_gui_ket_qua_ra_soat[[#This Row],[Mã điểm bán]])</f>
        <v>1</v>
      </c>
    </row>
    <row r="838" spans="1:29" x14ac:dyDescent="0.45">
      <c r="A838" t="s">
        <v>2965</v>
      </c>
      <c r="B838">
        <v>1734</v>
      </c>
      <c r="C838" t="s">
        <v>3524</v>
      </c>
      <c r="D838" t="s">
        <v>3525</v>
      </c>
      <c r="E838" t="s">
        <v>3526</v>
      </c>
      <c r="F838" t="s">
        <v>3527</v>
      </c>
      <c r="G838" t="s">
        <v>34</v>
      </c>
      <c r="H838" t="s">
        <v>54</v>
      </c>
      <c r="I838" t="s">
        <v>3528</v>
      </c>
      <c r="J838" t="s">
        <v>38</v>
      </c>
      <c r="K838" t="s">
        <v>38</v>
      </c>
      <c r="L838" t="s">
        <v>40</v>
      </c>
      <c r="M838" t="s">
        <v>37</v>
      </c>
      <c r="N838" t="s">
        <v>37</v>
      </c>
      <c r="O838" t="s">
        <v>39</v>
      </c>
      <c r="P838" t="s">
        <v>38</v>
      </c>
      <c r="Q838" t="s">
        <v>38</v>
      </c>
      <c r="R838" t="s">
        <v>39</v>
      </c>
      <c r="S838" t="s">
        <v>41</v>
      </c>
      <c r="T838" t="s">
        <v>2969</v>
      </c>
      <c r="U838" t="s">
        <v>2970</v>
      </c>
      <c r="V838" t="s">
        <v>2971</v>
      </c>
      <c r="W838" t="s">
        <v>2972</v>
      </c>
      <c r="Z838" t="s">
        <v>46</v>
      </c>
      <c r="AA838" t="s">
        <v>3058</v>
      </c>
      <c r="AB838" t="s">
        <v>2999</v>
      </c>
      <c r="AC838">
        <f>COUNTIF(C:C,QLKV_gui_ket_qua_ra_soat[[#This Row],[Mã điểm bán]])</f>
        <v>1</v>
      </c>
    </row>
    <row r="839" spans="1:29" x14ac:dyDescent="0.45">
      <c r="A839" t="s">
        <v>2965</v>
      </c>
      <c r="B839">
        <v>1739</v>
      </c>
      <c r="C839" t="s">
        <v>3529</v>
      </c>
      <c r="D839" t="s">
        <v>3530</v>
      </c>
      <c r="E839" t="s">
        <v>3531</v>
      </c>
      <c r="F839" t="s">
        <v>3049</v>
      </c>
      <c r="G839" t="s">
        <v>177</v>
      </c>
      <c r="H839" t="s">
        <v>214</v>
      </c>
      <c r="I839" t="s">
        <v>3532</v>
      </c>
      <c r="J839" t="s">
        <v>37</v>
      </c>
      <c r="K839" t="s">
        <v>37</v>
      </c>
      <c r="L839" t="s">
        <v>39</v>
      </c>
      <c r="M839" t="s">
        <v>37</v>
      </c>
      <c r="N839" t="s">
        <v>37</v>
      </c>
      <c r="O839" t="s">
        <v>39</v>
      </c>
      <c r="P839" t="s">
        <v>38</v>
      </c>
      <c r="Q839" t="s">
        <v>38</v>
      </c>
      <c r="R839" t="s">
        <v>40</v>
      </c>
      <c r="S839" t="s">
        <v>41</v>
      </c>
      <c r="T839" t="s">
        <v>3057</v>
      </c>
      <c r="U839" t="s">
        <v>2970</v>
      </c>
      <c r="V839" t="s">
        <v>2971</v>
      </c>
      <c r="W839" t="s">
        <v>2972</v>
      </c>
      <c r="X839" t="s">
        <v>46</v>
      </c>
      <c r="AC839">
        <f>COUNTIF(C:C,QLKV_gui_ket_qua_ra_soat[[#This Row],[Mã điểm bán]])</f>
        <v>1</v>
      </c>
    </row>
    <row r="840" spans="1:29" x14ac:dyDescent="0.45">
      <c r="A840" t="s">
        <v>2965</v>
      </c>
      <c r="B840">
        <v>1816</v>
      </c>
      <c r="C840" t="s">
        <v>3533</v>
      </c>
      <c r="D840" t="s">
        <v>3534</v>
      </c>
      <c r="E840" t="s">
        <v>69</v>
      </c>
      <c r="F840" t="s">
        <v>53</v>
      </c>
      <c r="G840" t="s">
        <v>177</v>
      </c>
      <c r="H840" t="s">
        <v>54</v>
      </c>
      <c r="I840" t="s">
        <v>3535</v>
      </c>
      <c r="J840" t="s">
        <v>38</v>
      </c>
      <c r="K840" t="s">
        <v>38</v>
      </c>
      <c r="L840" t="s">
        <v>40</v>
      </c>
      <c r="M840" t="s">
        <v>38</v>
      </c>
      <c r="N840" t="s">
        <v>38</v>
      </c>
      <c r="O840" t="s">
        <v>40</v>
      </c>
      <c r="P840" t="s">
        <v>38</v>
      </c>
      <c r="Q840" t="s">
        <v>38</v>
      </c>
      <c r="R840" t="s">
        <v>40</v>
      </c>
      <c r="S840" t="s">
        <v>41</v>
      </c>
      <c r="T840" t="s">
        <v>3020</v>
      </c>
      <c r="U840" t="s">
        <v>3021</v>
      </c>
      <c r="V840" t="s">
        <v>2971</v>
      </c>
      <c r="W840" t="s">
        <v>2972</v>
      </c>
      <c r="X840" t="s">
        <v>46</v>
      </c>
      <c r="AC840">
        <f>COUNTIF(C:C,QLKV_gui_ket_qua_ra_soat[[#This Row],[Mã điểm bán]])</f>
        <v>1</v>
      </c>
    </row>
    <row r="841" spans="1:29" x14ac:dyDescent="0.45">
      <c r="A841" t="s">
        <v>2965</v>
      </c>
      <c r="B841">
        <v>1820</v>
      </c>
      <c r="C841" t="s">
        <v>3536</v>
      </c>
      <c r="D841" t="s">
        <v>3537</v>
      </c>
      <c r="E841" t="s">
        <v>3538</v>
      </c>
      <c r="F841" t="s">
        <v>2365</v>
      </c>
      <c r="G841" t="s">
        <v>177</v>
      </c>
      <c r="H841" t="s">
        <v>54</v>
      </c>
      <c r="I841" t="s">
        <v>3539</v>
      </c>
      <c r="J841" t="s">
        <v>38</v>
      </c>
      <c r="K841" t="s">
        <v>38</v>
      </c>
      <c r="L841" t="s">
        <v>40</v>
      </c>
      <c r="M841" t="s">
        <v>38</v>
      </c>
      <c r="N841" t="s">
        <v>38</v>
      </c>
      <c r="O841" t="s">
        <v>40</v>
      </c>
      <c r="P841" t="s">
        <v>38</v>
      </c>
      <c r="Q841" t="s">
        <v>38</v>
      </c>
      <c r="R841" t="s">
        <v>40</v>
      </c>
      <c r="S841" t="s">
        <v>3540</v>
      </c>
      <c r="T841" t="s">
        <v>3020</v>
      </c>
      <c r="U841" t="s">
        <v>3021</v>
      </c>
      <c r="V841" t="s">
        <v>2971</v>
      </c>
      <c r="W841" t="s">
        <v>2972</v>
      </c>
      <c r="Z841" t="s">
        <v>46</v>
      </c>
      <c r="AA841" t="s">
        <v>3036</v>
      </c>
      <c r="AB841" t="s">
        <v>117</v>
      </c>
      <c r="AC841">
        <f>COUNTIF(C:C,QLKV_gui_ket_qua_ra_soat[[#This Row],[Mã điểm bán]])</f>
        <v>1</v>
      </c>
    </row>
    <row r="842" spans="1:29" x14ac:dyDescent="0.45">
      <c r="A842" t="s">
        <v>2965</v>
      </c>
      <c r="B842">
        <v>1822</v>
      </c>
      <c r="C842" t="s">
        <v>3541</v>
      </c>
      <c r="D842" t="s">
        <v>3542</v>
      </c>
      <c r="E842" t="s">
        <v>3543</v>
      </c>
      <c r="F842" t="s">
        <v>53</v>
      </c>
      <c r="G842" t="s">
        <v>34</v>
      </c>
      <c r="H842" t="s">
        <v>54</v>
      </c>
      <c r="I842" t="s">
        <v>3544</v>
      </c>
      <c r="J842" t="s">
        <v>38</v>
      </c>
      <c r="K842" t="s">
        <v>38</v>
      </c>
      <c r="L842" t="s">
        <v>40</v>
      </c>
      <c r="M842" t="s">
        <v>38</v>
      </c>
      <c r="N842" t="s">
        <v>38</v>
      </c>
      <c r="O842" t="s">
        <v>39</v>
      </c>
      <c r="P842" t="s">
        <v>38</v>
      </c>
      <c r="Q842" t="s">
        <v>38</v>
      </c>
      <c r="R842" t="s">
        <v>40</v>
      </c>
      <c r="S842" t="s">
        <v>41</v>
      </c>
      <c r="T842" t="s">
        <v>3226</v>
      </c>
      <c r="U842" t="s">
        <v>3227</v>
      </c>
      <c r="V842" t="s">
        <v>2971</v>
      </c>
      <c r="W842" t="s">
        <v>2972</v>
      </c>
      <c r="Z842" t="s">
        <v>46</v>
      </c>
      <c r="AA842" t="s">
        <v>3058</v>
      </c>
      <c r="AB842" t="s">
        <v>2999</v>
      </c>
      <c r="AC842">
        <f>COUNTIF(C:C,QLKV_gui_ket_qua_ra_soat[[#This Row],[Mã điểm bán]])</f>
        <v>1</v>
      </c>
    </row>
    <row r="843" spans="1:29" x14ac:dyDescent="0.45">
      <c r="A843" t="s">
        <v>2965</v>
      </c>
      <c r="B843">
        <v>1831</v>
      </c>
      <c r="C843" t="s">
        <v>3545</v>
      </c>
      <c r="D843" t="s">
        <v>3546</v>
      </c>
      <c r="E843" t="s">
        <v>148</v>
      </c>
      <c r="F843" t="s">
        <v>417</v>
      </c>
      <c r="G843" t="s">
        <v>34</v>
      </c>
      <c r="H843" t="s">
        <v>479</v>
      </c>
      <c r="I843" t="s">
        <v>3547</v>
      </c>
      <c r="J843" t="s">
        <v>38</v>
      </c>
      <c r="K843" t="s">
        <v>38</v>
      </c>
      <c r="L843" t="s">
        <v>39</v>
      </c>
      <c r="M843" t="s">
        <v>38</v>
      </c>
      <c r="N843" t="s">
        <v>37</v>
      </c>
      <c r="O843" t="s">
        <v>39</v>
      </c>
      <c r="P843" t="s">
        <v>38</v>
      </c>
      <c r="Q843" t="s">
        <v>38</v>
      </c>
      <c r="R843" t="s">
        <v>39</v>
      </c>
      <c r="S843" t="s">
        <v>41</v>
      </c>
      <c r="T843" t="s">
        <v>3045</v>
      </c>
      <c r="U843" t="s">
        <v>3046</v>
      </c>
      <c r="V843" t="s">
        <v>2971</v>
      </c>
      <c r="W843" t="s">
        <v>2972</v>
      </c>
      <c r="Z843" t="s">
        <v>46</v>
      </c>
      <c r="AA843" t="s">
        <v>2983</v>
      </c>
      <c r="AC843">
        <f>COUNTIF(C:C,QLKV_gui_ket_qua_ra_soat[[#This Row],[Mã điểm bán]])</f>
        <v>1</v>
      </c>
    </row>
    <row r="844" spans="1:29" x14ac:dyDescent="0.45">
      <c r="A844" t="s">
        <v>2965</v>
      </c>
      <c r="B844">
        <v>1833</v>
      </c>
      <c r="C844" t="s">
        <v>3548</v>
      </c>
      <c r="D844" t="s">
        <v>3549</v>
      </c>
      <c r="E844" t="s">
        <v>170</v>
      </c>
      <c r="F844" t="s">
        <v>53</v>
      </c>
      <c r="G844" t="s">
        <v>34</v>
      </c>
      <c r="H844" t="s">
        <v>54</v>
      </c>
      <c r="I844" t="s">
        <v>3550</v>
      </c>
      <c r="J844" t="s">
        <v>38</v>
      </c>
      <c r="K844" t="s">
        <v>38</v>
      </c>
      <c r="L844" t="s">
        <v>39</v>
      </c>
      <c r="M844" t="s">
        <v>37</v>
      </c>
      <c r="N844" t="s">
        <v>37</v>
      </c>
      <c r="O844" t="s">
        <v>39</v>
      </c>
      <c r="P844" t="s">
        <v>38</v>
      </c>
      <c r="Q844" t="s">
        <v>38</v>
      </c>
      <c r="R844" t="s">
        <v>39</v>
      </c>
      <c r="S844" t="s">
        <v>41</v>
      </c>
      <c r="T844" t="s">
        <v>3057</v>
      </c>
      <c r="U844" t="s">
        <v>2970</v>
      </c>
      <c r="V844" t="s">
        <v>2971</v>
      </c>
      <c r="W844" t="s">
        <v>2972</v>
      </c>
      <c r="Z844" t="s">
        <v>46</v>
      </c>
      <c r="AA844" t="s">
        <v>3158</v>
      </c>
      <c r="AB844" t="s">
        <v>117</v>
      </c>
      <c r="AC844">
        <f>COUNTIF(C:C,QLKV_gui_ket_qua_ra_soat[[#This Row],[Mã điểm bán]])</f>
        <v>1</v>
      </c>
    </row>
    <row r="845" spans="1:29" x14ac:dyDescent="0.45">
      <c r="A845" t="s">
        <v>2965</v>
      </c>
      <c r="B845">
        <v>1839</v>
      </c>
      <c r="C845" t="s">
        <v>3551</v>
      </c>
      <c r="D845" t="s">
        <v>3552</v>
      </c>
      <c r="E845" t="s">
        <v>701</v>
      </c>
      <c r="F845" t="s">
        <v>70</v>
      </c>
      <c r="G845" t="s">
        <v>177</v>
      </c>
      <c r="H845" t="s">
        <v>54</v>
      </c>
      <c r="I845" t="s">
        <v>3553</v>
      </c>
      <c r="J845" t="s">
        <v>38</v>
      </c>
      <c r="K845" t="s">
        <v>38</v>
      </c>
      <c r="L845" t="s">
        <v>40</v>
      </c>
      <c r="M845" t="s">
        <v>38</v>
      </c>
      <c r="N845" t="s">
        <v>38</v>
      </c>
      <c r="O845" t="s">
        <v>40</v>
      </c>
      <c r="P845" t="s">
        <v>38</v>
      </c>
      <c r="Q845" t="s">
        <v>38</v>
      </c>
      <c r="R845" t="s">
        <v>40</v>
      </c>
      <c r="S845" t="s">
        <v>41</v>
      </c>
      <c r="T845" t="s">
        <v>3020</v>
      </c>
      <c r="U845" t="s">
        <v>3021</v>
      </c>
      <c r="V845" t="s">
        <v>2971</v>
      </c>
      <c r="W845" t="s">
        <v>2972</v>
      </c>
      <c r="X845" t="s">
        <v>46</v>
      </c>
      <c r="AB845" t="s">
        <v>117</v>
      </c>
      <c r="AC845">
        <f>COUNTIF(C:C,QLKV_gui_ket_qua_ra_soat[[#This Row],[Mã điểm bán]])</f>
        <v>1</v>
      </c>
    </row>
    <row r="846" spans="1:29" x14ac:dyDescent="0.45">
      <c r="A846" t="s">
        <v>2965</v>
      </c>
      <c r="B846">
        <v>1840</v>
      </c>
      <c r="C846" t="s">
        <v>3554</v>
      </c>
      <c r="D846" t="s">
        <v>3555</v>
      </c>
      <c r="E846" t="s">
        <v>3556</v>
      </c>
      <c r="F846" t="s">
        <v>461</v>
      </c>
      <c r="G846" t="s">
        <v>34</v>
      </c>
      <c r="H846" t="s">
        <v>1542</v>
      </c>
      <c r="I846" t="s">
        <v>3557</v>
      </c>
      <c r="J846" t="s">
        <v>38</v>
      </c>
      <c r="K846" t="s">
        <v>38</v>
      </c>
      <c r="L846" t="s">
        <v>39</v>
      </c>
      <c r="M846" t="s">
        <v>37</v>
      </c>
      <c r="N846" t="s">
        <v>37</v>
      </c>
      <c r="O846" t="s">
        <v>39</v>
      </c>
      <c r="P846" t="s">
        <v>38</v>
      </c>
      <c r="Q846" t="s">
        <v>38</v>
      </c>
      <c r="R846" t="s">
        <v>39</v>
      </c>
      <c r="S846" t="s">
        <v>41</v>
      </c>
      <c r="T846" t="s">
        <v>3057</v>
      </c>
      <c r="U846" t="s">
        <v>2970</v>
      </c>
      <c r="V846" t="s">
        <v>2971</v>
      </c>
      <c r="W846" t="s">
        <v>2972</v>
      </c>
      <c r="Z846" t="s">
        <v>46</v>
      </c>
      <c r="AA846" t="s">
        <v>3158</v>
      </c>
      <c r="AB846" t="s">
        <v>2999</v>
      </c>
      <c r="AC846">
        <f>COUNTIF(C:C,QLKV_gui_ket_qua_ra_soat[[#This Row],[Mã điểm bán]])</f>
        <v>1</v>
      </c>
    </row>
    <row r="847" spans="1:29" x14ac:dyDescent="0.45">
      <c r="A847" t="s">
        <v>2965</v>
      </c>
      <c r="B847">
        <v>1844</v>
      </c>
      <c r="C847" t="s">
        <v>3558</v>
      </c>
      <c r="D847" t="s">
        <v>3559</v>
      </c>
      <c r="E847" t="s">
        <v>296</v>
      </c>
      <c r="F847" t="s">
        <v>3560</v>
      </c>
      <c r="G847" t="s">
        <v>177</v>
      </c>
      <c r="H847" t="s">
        <v>834</v>
      </c>
      <c r="I847" t="s">
        <v>3561</v>
      </c>
      <c r="J847" t="s">
        <v>38</v>
      </c>
      <c r="K847" t="s">
        <v>38</v>
      </c>
      <c r="L847" t="s">
        <v>39</v>
      </c>
      <c r="M847" t="s">
        <v>38</v>
      </c>
      <c r="N847" t="s">
        <v>37</v>
      </c>
      <c r="O847" t="s">
        <v>39</v>
      </c>
      <c r="P847" t="s">
        <v>38</v>
      </c>
      <c r="Q847" t="s">
        <v>38</v>
      </c>
      <c r="R847" t="s">
        <v>39</v>
      </c>
      <c r="S847" t="s">
        <v>3562</v>
      </c>
      <c r="T847" t="s">
        <v>3045</v>
      </c>
      <c r="U847" t="s">
        <v>3046</v>
      </c>
      <c r="V847" t="s">
        <v>2971</v>
      </c>
      <c r="W847" t="s">
        <v>2972</v>
      </c>
      <c r="X847" t="s">
        <v>46</v>
      </c>
      <c r="AB847" t="s">
        <v>117</v>
      </c>
      <c r="AC847">
        <f>COUNTIF(C:C,QLKV_gui_ket_qua_ra_soat[[#This Row],[Mã điểm bán]])</f>
        <v>1</v>
      </c>
    </row>
    <row r="848" spans="1:29" x14ac:dyDescent="0.45">
      <c r="A848" t="s">
        <v>2965</v>
      </c>
      <c r="B848">
        <v>1860</v>
      </c>
      <c r="C848" t="s">
        <v>3563</v>
      </c>
      <c r="D848" t="s">
        <v>3564</v>
      </c>
      <c r="E848" t="s">
        <v>290</v>
      </c>
      <c r="F848" t="s">
        <v>3216</v>
      </c>
      <c r="G848" t="s">
        <v>177</v>
      </c>
      <c r="H848" t="s">
        <v>54</v>
      </c>
      <c r="I848" t="s">
        <v>3565</v>
      </c>
      <c r="J848" t="s">
        <v>38</v>
      </c>
      <c r="K848" t="s">
        <v>38</v>
      </c>
      <c r="L848" t="s">
        <v>40</v>
      </c>
      <c r="M848" t="s">
        <v>38</v>
      </c>
      <c r="N848" t="s">
        <v>38</v>
      </c>
      <c r="O848" t="s">
        <v>39</v>
      </c>
      <c r="P848" t="s">
        <v>38</v>
      </c>
      <c r="Q848" t="s">
        <v>38</v>
      </c>
      <c r="R848" t="s">
        <v>40</v>
      </c>
      <c r="S848" t="s">
        <v>3566</v>
      </c>
      <c r="T848" t="s">
        <v>3020</v>
      </c>
      <c r="U848" t="s">
        <v>3021</v>
      </c>
      <c r="V848" t="s">
        <v>2971</v>
      </c>
      <c r="W848" t="s">
        <v>2972</v>
      </c>
      <c r="X848" t="s">
        <v>46</v>
      </c>
      <c r="AB848" t="s">
        <v>117</v>
      </c>
      <c r="AC848">
        <f>COUNTIF(C:C,QLKV_gui_ket_qua_ra_soat[[#This Row],[Mã điểm bán]])</f>
        <v>1</v>
      </c>
    </row>
    <row r="849" spans="1:29" x14ac:dyDescent="0.45">
      <c r="A849" t="s">
        <v>2965</v>
      </c>
      <c r="B849">
        <v>1874</v>
      </c>
      <c r="C849" t="s">
        <v>3567</v>
      </c>
      <c r="D849" t="s">
        <v>3568</v>
      </c>
      <c r="E849" t="s">
        <v>1104</v>
      </c>
      <c r="F849" t="s">
        <v>53</v>
      </c>
      <c r="G849" t="s">
        <v>34</v>
      </c>
      <c r="H849" t="s">
        <v>54</v>
      </c>
      <c r="I849" t="s">
        <v>3569</v>
      </c>
      <c r="J849" t="s">
        <v>38</v>
      </c>
      <c r="K849" t="s">
        <v>38</v>
      </c>
      <c r="L849" t="s">
        <v>39</v>
      </c>
      <c r="M849" t="s">
        <v>38</v>
      </c>
      <c r="N849" t="s">
        <v>38</v>
      </c>
      <c r="O849" t="s">
        <v>39</v>
      </c>
      <c r="P849" t="s">
        <v>38</v>
      </c>
      <c r="Q849" t="s">
        <v>38</v>
      </c>
      <c r="R849" t="s">
        <v>39</v>
      </c>
      <c r="S849" t="s">
        <v>41</v>
      </c>
      <c r="T849" t="s">
        <v>3057</v>
      </c>
      <c r="U849" t="s">
        <v>2970</v>
      </c>
      <c r="V849" t="s">
        <v>2971</v>
      </c>
      <c r="W849" t="s">
        <v>2972</v>
      </c>
      <c r="X849" t="s">
        <v>46</v>
      </c>
      <c r="AB849" t="s">
        <v>117</v>
      </c>
      <c r="AC849">
        <f>COUNTIF(C:C,QLKV_gui_ket_qua_ra_soat[[#This Row],[Mã điểm bán]])</f>
        <v>1</v>
      </c>
    </row>
    <row r="850" spans="1:29" x14ac:dyDescent="0.45">
      <c r="A850" t="s">
        <v>2965</v>
      </c>
      <c r="B850">
        <v>1878</v>
      </c>
      <c r="C850" t="s">
        <v>3570</v>
      </c>
      <c r="D850" t="s">
        <v>3571</v>
      </c>
      <c r="E850" t="s">
        <v>1695</v>
      </c>
      <c r="F850" t="s">
        <v>934</v>
      </c>
      <c r="G850" t="s">
        <v>177</v>
      </c>
      <c r="H850" t="s">
        <v>54</v>
      </c>
      <c r="I850" t="s">
        <v>3572</v>
      </c>
      <c r="J850" t="s">
        <v>56</v>
      </c>
      <c r="K850" t="s">
        <v>56</v>
      </c>
      <c r="L850" t="s">
        <v>39</v>
      </c>
      <c r="M850" t="s">
        <v>56</v>
      </c>
      <c r="N850" t="s">
        <v>56</v>
      </c>
      <c r="O850" t="s">
        <v>39</v>
      </c>
      <c r="P850" t="s">
        <v>37</v>
      </c>
      <c r="Q850" t="s">
        <v>37</v>
      </c>
      <c r="R850" t="s">
        <v>40</v>
      </c>
      <c r="S850" t="s">
        <v>3003</v>
      </c>
      <c r="T850" t="s">
        <v>2976</v>
      </c>
      <c r="U850" t="s">
        <v>2977</v>
      </c>
      <c r="V850" t="s">
        <v>2971</v>
      </c>
      <c r="W850" t="s">
        <v>2972</v>
      </c>
      <c r="Z850" t="s">
        <v>46</v>
      </c>
      <c r="AA850" t="s">
        <v>2983</v>
      </c>
      <c r="AB850" t="s">
        <v>2999</v>
      </c>
      <c r="AC850">
        <f>COUNTIF(C:C,QLKV_gui_ket_qua_ra_soat[[#This Row],[Mã điểm bán]])</f>
        <v>1</v>
      </c>
    </row>
    <row r="851" spans="1:29" x14ac:dyDescent="0.45">
      <c r="A851" t="s">
        <v>2965</v>
      </c>
      <c r="B851">
        <v>1892</v>
      </c>
      <c r="C851" t="s">
        <v>3573</v>
      </c>
      <c r="D851" t="s">
        <v>3574</v>
      </c>
      <c r="E851" t="s">
        <v>69</v>
      </c>
      <c r="F851" t="s">
        <v>53</v>
      </c>
      <c r="G851" t="s">
        <v>177</v>
      </c>
      <c r="H851" t="s">
        <v>54</v>
      </c>
      <c r="I851" t="s">
        <v>3575</v>
      </c>
      <c r="J851" t="s">
        <v>56</v>
      </c>
      <c r="K851" t="s">
        <v>56</v>
      </c>
      <c r="L851" t="s">
        <v>39</v>
      </c>
      <c r="M851" t="s">
        <v>56</v>
      </c>
      <c r="N851" t="s">
        <v>56</v>
      </c>
      <c r="O851" t="s">
        <v>39</v>
      </c>
      <c r="P851" t="s">
        <v>37</v>
      </c>
      <c r="Q851" t="s">
        <v>37</v>
      </c>
      <c r="R851" t="s">
        <v>40</v>
      </c>
      <c r="S851" t="s">
        <v>3003</v>
      </c>
      <c r="T851" t="s">
        <v>2976</v>
      </c>
      <c r="U851" t="s">
        <v>2977</v>
      </c>
      <c r="V851" t="s">
        <v>2971</v>
      </c>
      <c r="W851" t="s">
        <v>2972</v>
      </c>
      <c r="X851" t="s">
        <v>46</v>
      </c>
      <c r="AC851">
        <f>COUNTIF(C:C,QLKV_gui_ket_qua_ra_soat[[#This Row],[Mã điểm bán]])</f>
        <v>1</v>
      </c>
    </row>
    <row r="852" spans="1:29" x14ac:dyDescent="0.45">
      <c r="A852" t="s">
        <v>2965</v>
      </c>
      <c r="B852">
        <v>1901</v>
      </c>
      <c r="C852" t="s">
        <v>3576</v>
      </c>
      <c r="D852" t="s">
        <v>3577</v>
      </c>
      <c r="E852" t="s">
        <v>304</v>
      </c>
      <c r="F852" t="s">
        <v>53</v>
      </c>
      <c r="G852" t="s">
        <v>177</v>
      </c>
      <c r="H852" t="s">
        <v>54</v>
      </c>
      <c r="I852" t="s">
        <v>3578</v>
      </c>
      <c r="J852" t="s">
        <v>56</v>
      </c>
      <c r="K852" t="s">
        <v>56</v>
      </c>
      <c r="L852" t="s">
        <v>39</v>
      </c>
      <c r="M852" t="s">
        <v>56</v>
      </c>
      <c r="N852" t="s">
        <v>56</v>
      </c>
      <c r="O852" t="s">
        <v>39</v>
      </c>
      <c r="P852" t="s">
        <v>37</v>
      </c>
      <c r="Q852" t="s">
        <v>37</v>
      </c>
      <c r="R852" t="s">
        <v>40</v>
      </c>
      <c r="S852" t="s">
        <v>3579</v>
      </c>
      <c r="T852" t="s">
        <v>2976</v>
      </c>
      <c r="U852" t="s">
        <v>2977</v>
      </c>
      <c r="V852" t="s">
        <v>2971</v>
      </c>
      <c r="W852" t="s">
        <v>2972</v>
      </c>
      <c r="X852" t="s">
        <v>46</v>
      </c>
      <c r="AC852">
        <f>COUNTIF(C:C,QLKV_gui_ket_qua_ra_soat[[#This Row],[Mã điểm bán]])</f>
        <v>1</v>
      </c>
    </row>
    <row r="853" spans="1:29" x14ac:dyDescent="0.45">
      <c r="A853" t="s">
        <v>2965</v>
      </c>
      <c r="B853">
        <v>1923</v>
      </c>
      <c r="C853" t="s">
        <v>3580</v>
      </c>
      <c r="D853" t="s">
        <v>3581</v>
      </c>
      <c r="E853" t="s">
        <v>338</v>
      </c>
      <c r="F853" t="s">
        <v>286</v>
      </c>
      <c r="G853" t="s">
        <v>177</v>
      </c>
      <c r="H853" t="s">
        <v>2294</v>
      </c>
      <c r="I853" t="s">
        <v>3582</v>
      </c>
      <c r="J853" t="s">
        <v>56</v>
      </c>
      <c r="K853" t="s">
        <v>56</v>
      </c>
      <c r="L853" t="s">
        <v>39</v>
      </c>
      <c r="M853" t="s">
        <v>56</v>
      </c>
      <c r="N853" t="s">
        <v>56</v>
      </c>
      <c r="O853" t="s">
        <v>39</v>
      </c>
      <c r="P853" t="s">
        <v>37</v>
      </c>
      <c r="Q853" t="s">
        <v>37</v>
      </c>
      <c r="R853" t="s">
        <v>40</v>
      </c>
      <c r="S853" t="s">
        <v>3003</v>
      </c>
      <c r="T853" t="s">
        <v>2976</v>
      </c>
      <c r="U853" t="s">
        <v>2977</v>
      </c>
      <c r="V853" t="s">
        <v>2971</v>
      </c>
      <c r="W853" t="s">
        <v>2972</v>
      </c>
      <c r="Z853" t="s">
        <v>46</v>
      </c>
      <c r="AA853" t="s">
        <v>2983</v>
      </c>
      <c r="AB853" t="s">
        <v>117</v>
      </c>
      <c r="AC853">
        <f>COUNTIF(C:C,QLKV_gui_ket_qua_ra_soat[[#This Row],[Mã điểm bán]])</f>
        <v>1</v>
      </c>
    </row>
    <row r="854" spans="1:29" x14ac:dyDescent="0.45">
      <c r="A854" t="s">
        <v>2965</v>
      </c>
      <c r="B854">
        <v>1926</v>
      </c>
      <c r="C854" t="s">
        <v>3583</v>
      </c>
      <c r="D854" t="s">
        <v>3584</v>
      </c>
      <c r="E854" t="s">
        <v>149</v>
      </c>
      <c r="F854" t="s">
        <v>53</v>
      </c>
      <c r="G854" t="s">
        <v>34</v>
      </c>
      <c r="H854" t="s">
        <v>54</v>
      </c>
      <c r="I854" t="s">
        <v>3585</v>
      </c>
      <c r="J854" t="s">
        <v>38</v>
      </c>
      <c r="K854" t="s">
        <v>38</v>
      </c>
      <c r="L854" t="s">
        <v>39</v>
      </c>
      <c r="M854" t="s">
        <v>37</v>
      </c>
      <c r="N854" t="s">
        <v>37</v>
      </c>
      <c r="O854" t="s">
        <v>39</v>
      </c>
      <c r="P854" t="s">
        <v>38</v>
      </c>
      <c r="Q854" t="s">
        <v>38</v>
      </c>
      <c r="R854" t="s">
        <v>39</v>
      </c>
      <c r="S854" t="s">
        <v>41</v>
      </c>
      <c r="T854" t="s">
        <v>3057</v>
      </c>
      <c r="U854" t="s">
        <v>2970</v>
      </c>
      <c r="V854" t="s">
        <v>2971</v>
      </c>
      <c r="W854" t="s">
        <v>2972</v>
      </c>
      <c r="Z854" t="s">
        <v>46</v>
      </c>
      <c r="AA854" t="s">
        <v>3158</v>
      </c>
      <c r="AB854" t="s">
        <v>2999</v>
      </c>
      <c r="AC854">
        <f>COUNTIF(C:C,QLKV_gui_ket_qua_ra_soat[[#This Row],[Mã điểm bán]])</f>
        <v>1</v>
      </c>
    </row>
    <row r="855" spans="1:29" x14ac:dyDescent="0.45">
      <c r="A855" t="s">
        <v>2965</v>
      </c>
      <c r="B855">
        <v>1931</v>
      </c>
      <c r="C855" t="s">
        <v>3586</v>
      </c>
      <c r="D855" t="s">
        <v>3587</v>
      </c>
      <c r="E855" t="s">
        <v>3538</v>
      </c>
      <c r="F855" t="s">
        <v>401</v>
      </c>
      <c r="G855" t="s">
        <v>34</v>
      </c>
      <c r="H855" t="s">
        <v>54</v>
      </c>
      <c r="I855" t="s">
        <v>3588</v>
      </c>
      <c r="J855" t="s">
        <v>38</v>
      </c>
      <c r="K855" t="s">
        <v>38</v>
      </c>
      <c r="L855" t="s">
        <v>40</v>
      </c>
      <c r="M855" t="s">
        <v>37</v>
      </c>
      <c r="N855" t="s">
        <v>37</v>
      </c>
      <c r="O855" t="s">
        <v>39</v>
      </c>
      <c r="P855" t="s">
        <v>38</v>
      </c>
      <c r="Q855" t="s">
        <v>38</v>
      </c>
      <c r="R855" t="s">
        <v>39</v>
      </c>
      <c r="S855" t="s">
        <v>41</v>
      </c>
      <c r="T855" t="s">
        <v>2969</v>
      </c>
      <c r="U855" t="s">
        <v>2970</v>
      </c>
      <c r="V855" t="s">
        <v>2971</v>
      </c>
      <c r="W855" t="s">
        <v>2972</v>
      </c>
      <c r="X855" t="s">
        <v>46</v>
      </c>
      <c r="AC855">
        <f>COUNTIF(C:C,QLKV_gui_ket_qua_ra_soat[[#This Row],[Mã điểm bán]])</f>
        <v>1</v>
      </c>
    </row>
    <row r="856" spans="1:29" x14ac:dyDescent="0.45">
      <c r="A856" t="s">
        <v>2965</v>
      </c>
      <c r="B856">
        <v>1943</v>
      </c>
      <c r="C856" t="s">
        <v>3589</v>
      </c>
      <c r="D856" t="s">
        <v>3590</v>
      </c>
      <c r="E856" t="s">
        <v>206</v>
      </c>
      <c r="F856" t="s">
        <v>115</v>
      </c>
      <c r="G856" t="s">
        <v>34</v>
      </c>
      <c r="H856" t="s">
        <v>54</v>
      </c>
      <c r="I856" t="s">
        <v>3591</v>
      </c>
      <c r="J856" t="s">
        <v>37</v>
      </c>
      <c r="K856" t="s">
        <v>38</v>
      </c>
      <c r="L856" t="s">
        <v>39</v>
      </c>
      <c r="M856" t="s">
        <v>37</v>
      </c>
      <c r="N856" t="s">
        <v>37</v>
      </c>
      <c r="O856" t="s">
        <v>39</v>
      </c>
      <c r="P856" t="s">
        <v>38</v>
      </c>
      <c r="Q856" t="s">
        <v>38</v>
      </c>
      <c r="R856" t="s">
        <v>39</v>
      </c>
      <c r="S856" t="s">
        <v>41</v>
      </c>
      <c r="T856" t="s">
        <v>3057</v>
      </c>
      <c r="U856" t="s">
        <v>2970</v>
      </c>
      <c r="V856" t="s">
        <v>2971</v>
      </c>
      <c r="W856" t="s">
        <v>2972</v>
      </c>
      <c r="Z856" t="s">
        <v>46</v>
      </c>
      <c r="AA856" t="s">
        <v>3158</v>
      </c>
      <c r="AB856" t="s">
        <v>117</v>
      </c>
      <c r="AC856">
        <f>COUNTIF(C:C,QLKV_gui_ket_qua_ra_soat[[#This Row],[Mã điểm bán]])</f>
        <v>1</v>
      </c>
    </row>
    <row r="857" spans="1:29" x14ac:dyDescent="0.45">
      <c r="A857" t="s">
        <v>2965</v>
      </c>
      <c r="B857">
        <v>1948</v>
      </c>
      <c r="C857" t="s">
        <v>3592</v>
      </c>
      <c r="D857" t="s">
        <v>3593</v>
      </c>
      <c r="E857" t="s">
        <v>51</v>
      </c>
      <c r="F857" t="s">
        <v>53</v>
      </c>
      <c r="G857" t="s">
        <v>34</v>
      </c>
      <c r="H857" t="s">
        <v>54</v>
      </c>
      <c r="I857" t="s">
        <v>3594</v>
      </c>
      <c r="J857" t="s">
        <v>37</v>
      </c>
      <c r="K857" t="s">
        <v>38</v>
      </c>
      <c r="L857" t="s">
        <v>39</v>
      </c>
      <c r="M857" t="s">
        <v>37</v>
      </c>
      <c r="N857" t="s">
        <v>37</v>
      </c>
      <c r="O857" t="s">
        <v>39</v>
      </c>
      <c r="P857" t="s">
        <v>38</v>
      </c>
      <c r="Q857" t="s">
        <v>38</v>
      </c>
      <c r="R857" t="s">
        <v>39</v>
      </c>
      <c r="S857" t="s">
        <v>41</v>
      </c>
      <c r="T857" t="s">
        <v>3057</v>
      </c>
      <c r="U857" t="s">
        <v>2970</v>
      </c>
      <c r="V857" t="s">
        <v>2971</v>
      </c>
      <c r="W857" t="s">
        <v>2972</v>
      </c>
      <c r="X857" t="s">
        <v>46</v>
      </c>
      <c r="AC857">
        <f>COUNTIF(C:C,QLKV_gui_ket_qua_ra_soat[[#This Row],[Mã điểm bán]])</f>
        <v>1</v>
      </c>
    </row>
    <row r="858" spans="1:29" x14ac:dyDescent="0.45">
      <c r="A858" t="s">
        <v>2965</v>
      </c>
      <c r="B858">
        <v>1949</v>
      </c>
      <c r="C858" t="s">
        <v>3595</v>
      </c>
      <c r="D858" t="s">
        <v>3596</v>
      </c>
      <c r="E858" t="s">
        <v>157</v>
      </c>
      <c r="F858" t="s">
        <v>426</v>
      </c>
      <c r="G858" t="s">
        <v>177</v>
      </c>
      <c r="H858" t="s">
        <v>54</v>
      </c>
      <c r="I858" t="s">
        <v>3597</v>
      </c>
      <c r="J858" t="s">
        <v>38</v>
      </c>
      <c r="K858" t="s">
        <v>38</v>
      </c>
      <c r="L858" t="s">
        <v>40</v>
      </c>
      <c r="M858" t="s">
        <v>38</v>
      </c>
      <c r="N858" t="s">
        <v>37</v>
      </c>
      <c r="O858" t="s">
        <v>39</v>
      </c>
      <c r="P858" t="s">
        <v>38</v>
      </c>
      <c r="Q858" t="s">
        <v>38</v>
      </c>
      <c r="R858" t="s">
        <v>40</v>
      </c>
      <c r="S858" t="s">
        <v>3598</v>
      </c>
      <c r="T858" t="s">
        <v>3020</v>
      </c>
      <c r="U858" t="s">
        <v>3021</v>
      </c>
      <c r="V858" t="s">
        <v>2971</v>
      </c>
      <c r="W858" t="s">
        <v>2972</v>
      </c>
      <c r="Z858" t="s">
        <v>46</v>
      </c>
      <c r="AA858" t="s">
        <v>3036</v>
      </c>
      <c r="AC858">
        <f>COUNTIF(C:C,QLKV_gui_ket_qua_ra_soat[[#This Row],[Mã điểm bán]])</f>
        <v>1</v>
      </c>
    </row>
    <row r="859" spans="1:29" x14ac:dyDescent="0.45">
      <c r="A859" t="s">
        <v>2965</v>
      </c>
      <c r="B859">
        <v>1951</v>
      </c>
      <c r="C859" t="s">
        <v>3599</v>
      </c>
      <c r="D859" t="s">
        <v>3600</v>
      </c>
      <c r="E859" t="s">
        <v>97</v>
      </c>
      <c r="F859" t="s">
        <v>3417</v>
      </c>
      <c r="G859" t="s">
        <v>177</v>
      </c>
      <c r="H859" t="s">
        <v>1736</v>
      </c>
      <c r="I859" t="s">
        <v>3601</v>
      </c>
      <c r="J859" t="s">
        <v>38</v>
      </c>
      <c r="K859" t="s">
        <v>38</v>
      </c>
      <c r="L859" t="s">
        <v>39</v>
      </c>
      <c r="M859" t="s">
        <v>38</v>
      </c>
      <c r="N859" t="s">
        <v>37</v>
      </c>
      <c r="O859" t="s">
        <v>39</v>
      </c>
      <c r="P859" t="s">
        <v>38</v>
      </c>
      <c r="Q859" t="s">
        <v>38</v>
      </c>
      <c r="R859" t="s">
        <v>39</v>
      </c>
      <c r="S859" t="s">
        <v>41</v>
      </c>
      <c r="T859" t="s">
        <v>3045</v>
      </c>
      <c r="U859" t="s">
        <v>3046</v>
      </c>
      <c r="V859" t="s">
        <v>2971</v>
      </c>
      <c r="W859" t="s">
        <v>2972</v>
      </c>
      <c r="Z859" t="s">
        <v>46</v>
      </c>
      <c r="AA859" t="s">
        <v>2983</v>
      </c>
      <c r="AB859" t="s">
        <v>2999</v>
      </c>
      <c r="AC859">
        <f>COUNTIF(C:C,QLKV_gui_ket_qua_ra_soat[[#This Row],[Mã điểm bán]])</f>
        <v>1</v>
      </c>
    </row>
    <row r="860" spans="1:29" x14ac:dyDescent="0.45">
      <c r="A860" t="s">
        <v>2965</v>
      </c>
      <c r="B860">
        <v>1952</v>
      </c>
      <c r="C860" t="s">
        <v>3602</v>
      </c>
      <c r="D860" t="s">
        <v>3603</v>
      </c>
      <c r="E860" t="s">
        <v>3604</v>
      </c>
      <c r="F860" t="s">
        <v>53</v>
      </c>
      <c r="G860" t="s">
        <v>34</v>
      </c>
      <c r="H860" t="s">
        <v>171</v>
      </c>
      <c r="I860" t="s">
        <v>3544</v>
      </c>
      <c r="J860" t="s">
        <v>38</v>
      </c>
      <c r="K860" t="s">
        <v>38</v>
      </c>
      <c r="L860" t="s">
        <v>40</v>
      </c>
      <c r="M860" t="s">
        <v>37</v>
      </c>
      <c r="N860" t="s">
        <v>37</v>
      </c>
      <c r="O860" t="s">
        <v>39</v>
      </c>
      <c r="P860" t="s">
        <v>38</v>
      </c>
      <c r="Q860" t="s">
        <v>38</v>
      </c>
      <c r="R860" t="s">
        <v>40</v>
      </c>
      <c r="S860" t="s">
        <v>41</v>
      </c>
      <c r="T860" t="s">
        <v>3226</v>
      </c>
      <c r="U860" t="s">
        <v>3227</v>
      </c>
      <c r="V860" t="s">
        <v>2971</v>
      </c>
      <c r="W860" t="s">
        <v>2972</v>
      </c>
      <c r="Z860" t="s">
        <v>46</v>
      </c>
      <c r="AA860" t="s">
        <v>3158</v>
      </c>
      <c r="AB860" t="s">
        <v>2999</v>
      </c>
      <c r="AC860">
        <f>COUNTIF(C:C,QLKV_gui_ket_qua_ra_soat[[#This Row],[Mã điểm bán]])</f>
        <v>1</v>
      </c>
    </row>
    <row r="861" spans="1:29" x14ac:dyDescent="0.45">
      <c r="A861" t="s">
        <v>2965</v>
      </c>
      <c r="B861">
        <v>1958</v>
      </c>
      <c r="C861" t="s">
        <v>3605</v>
      </c>
      <c r="D861" t="s">
        <v>3606</v>
      </c>
      <c r="E861" t="s">
        <v>3607</v>
      </c>
      <c r="F861" t="s">
        <v>456</v>
      </c>
      <c r="G861" t="s">
        <v>34</v>
      </c>
      <c r="H861" t="s">
        <v>1188</v>
      </c>
      <c r="I861" t="s">
        <v>3608</v>
      </c>
      <c r="J861" t="s">
        <v>38</v>
      </c>
      <c r="K861" t="s">
        <v>38</v>
      </c>
      <c r="L861" t="s">
        <v>40</v>
      </c>
      <c r="M861" t="s">
        <v>37</v>
      </c>
      <c r="N861" t="s">
        <v>37</v>
      </c>
      <c r="O861" t="s">
        <v>39</v>
      </c>
      <c r="P861" t="s">
        <v>38</v>
      </c>
      <c r="Q861" t="s">
        <v>38</v>
      </c>
      <c r="R861" t="s">
        <v>40</v>
      </c>
      <c r="S861" t="s">
        <v>41</v>
      </c>
      <c r="T861" t="s">
        <v>3226</v>
      </c>
      <c r="U861" t="s">
        <v>3227</v>
      </c>
      <c r="V861" t="s">
        <v>2971</v>
      </c>
      <c r="W861" t="s">
        <v>2972</v>
      </c>
      <c r="X861" t="s">
        <v>46</v>
      </c>
      <c r="AC861">
        <f>COUNTIF(C:C,QLKV_gui_ket_qua_ra_soat[[#This Row],[Mã điểm bán]])</f>
        <v>1</v>
      </c>
    </row>
    <row r="862" spans="1:29" x14ac:dyDescent="0.45">
      <c r="A862" t="s">
        <v>2965</v>
      </c>
      <c r="B862">
        <v>1964</v>
      </c>
      <c r="C862" t="s">
        <v>3609</v>
      </c>
      <c r="D862" t="s">
        <v>3610</v>
      </c>
      <c r="E862" t="s">
        <v>3611</v>
      </c>
      <c r="F862" t="s">
        <v>456</v>
      </c>
      <c r="G862" t="s">
        <v>34</v>
      </c>
      <c r="H862" t="s">
        <v>54</v>
      </c>
      <c r="I862" t="s">
        <v>3612</v>
      </c>
      <c r="J862" t="s">
        <v>38</v>
      </c>
      <c r="K862" t="s">
        <v>38</v>
      </c>
      <c r="L862" t="s">
        <v>39</v>
      </c>
      <c r="M862" t="s">
        <v>37</v>
      </c>
      <c r="N862" t="s">
        <v>37</v>
      </c>
      <c r="O862" t="s">
        <v>39</v>
      </c>
      <c r="P862" t="s">
        <v>38</v>
      </c>
      <c r="Q862" t="s">
        <v>38</v>
      </c>
      <c r="R862" t="s">
        <v>39</v>
      </c>
      <c r="S862" t="s">
        <v>41</v>
      </c>
      <c r="T862" t="s">
        <v>3057</v>
      </c>
      <c r="U862" t="s">
        <v>2970</v>
      </c>
      <c r="V862" t="s">
        <v>2971</v>
      </c>
      <c r="W862" t="s">
        <v>2972</v>
      </c>
      <c r="Z862" t="s">
        <v>46</v>
      </c>
      <c r="AA862" t="s">
        <v>3158</v>
      </c>
      <c r="AB862" t="s">
        <v>117</v>
      </c>
      <c r="AC862">
        <f>COUNTIF(C:C,QLKV_gui_ket_qua_ra_soat[[#This Row],[Mã điểm bán]])</f>
        <v>1</v>
      </c>
    </row>
    <row r="863" spans="1:29" x14ac:dyDescent="0.45">
      <c r="A863" t="s">
        <v>2965</v>
      </c>
      <c r="B863">
        <v>1965</v>
      </c>
      <c r="C863" t="s">
        <v>3613</v>
      </c>
      <c r="D863" t="s">
        <v>3614</v>
      </c>
      <c r="E863" t="s">
        <v>3615</v>
      </c>
      <c r="F863" t="s">
        <v>53</v>
      </c>
      <c r="G863" t="s">
        <v>34</v>
      </c>
      <c r="H863" t="s">
        <v>54</v>
      </c>
      <c r="I863" t="s">
        <v>3616</v>
      </c>
      <c r="J863" t="s">
        <v>38</v>
      </c>
      <c r="K863" t="s">
        <v>38</v>
      </c>
      <c r="L863" t="s">
        <v>40</v>
      </c>
      <c r="M863" t="s">
        <v>37</v>
      </c>
      <c r="N863" t="s">
        <v>37</v>
      </c>
      <c r="O863" t="s">
        <v>39</v>
      </c>
      <c r="P863" t="s">
        <v>38</v>
      </c>
      <c r="Q863" t="s">
        <v>38</v>
      </c>
      <c r="R863" t="s">
        <v>39</v>
      </c>
      <c r="S863" t="s">
        <v>41</v>
      </c>
      <c r="T863" t="s">
        <v>2969</v>
      </c>
      <c r="U863" t="s">
        <v>2970</v>
      </c>
      <c r="V863" t="s">
        <v>2971</v>
      </c>
      <c r="W863" t="s">
        <v>2972</v>
      </c>
      <c r="X863" t="s">
        <v>46</v>
      </c>
      <c r="AC863">
        <f>COUNTIF(C:C,QLKV_gui_ket_qua_ra_soat[[#This Row],[Mã điểm bán]])</f>
        <v>1</v>
      </c>
    </row>
    <row r="864" spans="1:29" x14ac:dyDescent="0.45">
      <c r="A864" t="s">
        <v>2965</v>
      </c>
      <c r="B864">
        <v>1971</v>
      </c>
      <c r="C864" t="s">
        <v>3617</v>
      </c>
      <c r="D864" t="s">
        <v>3618</v>
      </c>
      <c r="E864" t="s">
        <v>2943</v>
      </c>
      <c r="F864" t="s">
        <v>3619</v>
      </c>
      <c r="G864" t="s">
        <v>177</v>
      </c>
      <c r="H864" t="s">
        <v>3620</v>
      </c>
      <c r="I864" t="s">
        <v>3621</v>
      </c>
      <c r="J864" t="s">
        <v>38</v>
      </c>
      <c r="K864" t="s">
        <v>38</v>
      </c>
      <c r="L864" t="s">
        <v>40</v>
      </c>
      <c r="M864" t="s">
        <v>38</v>
      </c>
      <c r="N864" t="s">
        <v>38</v>
      </c>
      <c r="O864" t="s">
        <v>40</v>
      </c>
      <c r="P864" t="s">
        <v>38</v>
      </c>
      <c r="Q864" t="s">
        <v>38</v>
      </c>
      <c r="R864" t="s">
        <v>40</v>
      </c>
      <c r="S864" t="s">
        <v>3622</v>
      </c>
      <c r="T864" t="s">
        <v>3020</v>
      </c>
      <c r="U864" t="s">
        <v>3021</v>
      </c>
      <c r="V864" t="s">
        <v>2971</v>
      </c>
      <c r="W864" t="s">
        <v>2972</v>
      </c>
      <c r="Z864" t="s">
        <v>46</v>
      </c>
      <c r="AA864" t="s">
        <v>3058</v>
      </c>
      <c r="AB864" t="s">
        <v>3012</v>
      </c>
      <c r="AC864">
        <f>COUNTIF(C:C,QLKV_gui_ket_qua_ra_soat[[#This Row],[Mã điểm bán]])</f>
        <v>1</v>
      </c>
    </row>
    <row r="865" spans="1:29" x14ac:dyDescent="0.45">
      <c r="A865" t="s">
        <v>2965</v>
      </c>
      <c r="B865">
        <v>1979</v>
      </c>
      <c r="C865" t="s">
        <v>3623</v>
      </c>
      <c r="D865" t="s">
        <v>3624</v>
      </c>
      <c r="E865" t="s">
        <v>3625</v>
      </c>
      <c r="F865" t="s">
        <v>53</v>
      </c>
      <c r="G865" t="s">
        <v>177</v>
      </c>
      <c r="H865" t="s">
        <v>54</v>
      </c>
      <c r="I865" t="s">
        <v>3626</v>
      </c>
      <c r="J865" t="s">
        <v>38</v>
      </c>
      <c r="K865" t="s">
        <v>38</v>
      </c>
      <c r="L865" t="s">
        <v>39</v>
      </c>
      <c r="M865" t="s">
        <v>38</v>
      </c>
      <c r="N865" t="s">
        <v>38</v>
      </c>
      <c r="O865" t="s">
        <v>39</v>
      </c>
      <c r="P865" t="s">
        <v>38</v>
      </c>
      <c r="Q865" t="s">
        <v>38</v>
      </c>
      <c r="R865" t="s">
        <v>39</v>
      </c>
      <c r="S865" t="s">
        <v>41</v>
      </c>
      <c r="T865" t="s">
        <v>3057</v>
      </c>
      <c r="U865" t="s">
        <v>2970</v>
      </c>
      <c r="V865" t="s">
        <v>2971</v>
      </c>
      <c r="W865" t="s">
        <v>2972</v>
      </c>
      <c r="Z865" t="s">
        <v>46</v>
      </c>
      <c r="AA865" t="s">
        <v>3058</v>
      </c>
      <c r="AB865" t="s">
        <v>2999</v>
      </c>
      <c r="AC865">
        <f>COUNTIF(C:C,QLKV_gui_ket_qua_ra_soat[[#This Row],[Mã điểm bán]])</f>
        <v>1</v>
      </c>
    </row>
    <row r="866" spans="1:29" x14ac:dyDescent="0.45">
      <c r="A866" t="s">
        <v>2965</v>
      </c>
      <c r="B866">
        <v>1985</v>
      </c>
      <c r="C866" t="s">
        <v>3627</v>
      </c>
      <c r="D866" t="s">
        <v>3628</v>
      </c>
      <c r="E866" t="s">
        <v>176</v>
      </c>
      <c r="F866" t="s">
        <v>401</v>
      </c>
      <c r="G866" t="s">
        <v>177</v>
      </c>
      <c r="H866" t="s">
        <v>54</v>
      </c>
      <c r="I866" t="s">
        <v>3629</v>
      </c>
      <c r="J866" t="s">
        <v>56</v>
      </c>
      <c r="K866" t="s">
        <v>56</v>
      </c>
      <c r="L866" t="s">
        <v>39</v>
      </c>
      <c r="M866" t="s">
        <v>56</v>
      </c>
      <c r="N866" t="s">
        <v>56</v>
      </c>
      <c r="O866" t="s">
        <v>39</v>
      </c>
      <c r="P866" t="s">
        <v>37</v>
      </c>
      <c r="Q866" t="s">
        <v>37</v>
      </c>
      <c r="R866" t="s">
        <v>40</v>
      </c>
      <c r="S866" t="s">
        <v>3003</v>
      </c>
      <c r="T866" t="s">
        <v>2976</v>
      </c>
      <c r="U866" t="s">
        <v>2977</v>
      </c>
      <c r="V866" t="s">
        <v>2971</v>
      </c>
      <c r="W866" t="s">
        <v>2972</v>
      </c>
      <c r="X866" t="s">
        <v>46</v>
      </c>
      <c r="AC866">
        <f>COUNTIF(C:C,QLKV_gui_ket_qua_ra_soat[[#This Row],[Mã điểm bán]])</f>
        <v>1</v>
      </c>
    </row>
    <row r="867" spans="1:29" x14ac:dyDescent="0.45">
      <c r="A867" t="s">
        <v>2965</v>
      </c>
      <c r="B867">
        <v>2006</v>
      </c>
      <c r="C867" t="s">
        <v>3630</v>
      </c>
      <c r="D867" t="s">
        <v>3631</v>
      </c>
      <c r="E867" t="s">
        <v>3632</v>
      </c>
      <c r="F867" t="s">
        <v>115</v>
      </c>
      <c r="G867" t="s">
        <v>34</v>
      </c>
      <c r="H867" t="s">
        <v>708</v>
      </c>
      <c r="I867" t="s">
        <v>3633</v>
      </c>
      <c r="J867" t="s">
        <v>38</v>
      </c>
      <c r="K867" t="s">
        <v>38</v>
      </c>
      <c r="L867" t="s">
        <v>39</v>
      </c>
      <c r="M867" t="s">
        <v>37</v>
      </c>
      <c r="N867" t="s">
        <v>37</v>
      </c>
      <c r="O867" t="s">
        <v>39</v>
      </c>
      <c r="P867" t="s">
        <v>38</v>
      </c>
      <c r="Q867" t="s">
        <v>38</v>
      </c>
      <c r="R867" t="s">
        <v>39</v>
      </c>
      <c r="S867" t="s">
        <v>41</v>
      </c>
      <c r="T867" t="s">
        <v>3057</v>
      </c>
      <c r="U867" t="s">
        <v>2970</v>
      </c>
      <c r="V867" t="s">
        <v>2971</v>
      </c>
      <c r="W867" t="s">
        <v>2972</v>
      </c>
      <c r="Z867" t="s">
        <v>46</v>
      </c>
      <c r="AA867" t="s">
        <v>3158</v>
      </c>
      <c r="AB867" t="s">
        <v>117</v>
      </c>
      <c r="AC867">
        <f>COUNTIF(C:C,QLKV_gui_ket_qua_ra_soat[[#This Row],[Mã điểm bán]])</f>
        <v>1</v>
      </c>
    </row>
    <row r="868" spans="1:29" x14ac:dyDescent="0.45">
      <c r="A868" t="s">
        <v>2965</v>
      </c>
      <c r="B868">
        <v>2008</v>
      </c>
      <c r="C868" t="s">
        <v>3634</v>
      </c>
      <c r="D868" t="s">
        <v>3388</v>
      </c>
      <c r="E868" t="s">
        <v>69</v>
      </c>
      <c r="F868" t="s">
        <v>53</v>
      </c>
      <c r="G868" t="s">
        <v>177</v>
      </c>
      <c r="H868" t="s">
        <v>1715</v>
      </c>
      <c r="I868" t="s">
        <v>3635</v>
      </c>
      <c r="J868" t="s">
        <v>38</v>
      </c>
      <c r="K868" t="s">
        <v>38</v>
      </c>
      <c r="L868" t="s">
        <v>39</v>
      </c>
      <c r="M868" t="s">
        <v>38</v>
      </c>
      <c r="N868" t="s">
        <v>56</v>
      </c>
      <c r="O868" t="s">
        <v>39</v>
      </c>
      <c r="P868" t="s">
        <v>38</v>
      </c>
      <c r="Q868" t="s">
        <v>38</v>
      </c>
      <c r="R868" t="s">
        <v>39</v>
      </c>
      <c r="S868" t="s">
        <v>3636</v>
      </c>
      <c r="T868" t="s">
        <v>3045</v>
      </c>
      <c r="U868" t="s">
        <v>3046</v>
      </c>
      <c r="V868" t="s">
        <v>2971</v>
      </c>
      <c r="W868" t="s">
        <v>2972</v>
      </c>
      <c r="X868" t="s">
        <v>46</v>
      </c>
      <c r="AB868" t="s">
        <v>117</v>
      </c>
      <c r="AC868">
        <f>COUNTIF(C:C,QLKV_gui_ket_qua_ra_soat[[#This Row],[Mã điểm bán]])</f>
        <v>1</v>
      </c>
    </row>
    <row r="869" spans="1:29" x14ac:dyDescent="0.45">
      <c r="A869" t="s">
        <v>2965</v>
      </c>
      <c r="B869">
        <v>2019</v>
      </c>
      <c r="C869" t="s">
        <v>3637</v>
      </c>
      <c r="D869" t="s">
        <v>3638</v>
      </c>
      <c r="E869" t="s">
        <v>1043</v>
      </c>
      <c r="F869" t="s">
        <v>53</v>
      </c>
      <c r="G869" t="s">
        <v>177</v>
      </c>
      <c r="H869" t="s">
        <v>54</v>
      </c>
      <c r="I869" t="s">
        <v>3639</v>
      </c>
      <c r="J869" t="s">
        <v>38</v>
      </c>
      <c r="K869" t="s">
        <v>38</v>
      </c>
      <c r="L869" t="s">
        <v>40</v>
      </c>
      <c r="M869" t="s">
        <v>38</v>
      </c>
      <c r="N869" t="s">
        <v>38</v>
      </c>
      <c r="O869" t="s">
        <v>39</v>
      </c>
      <c r="P869" t="s">
        <v>38</v>
      </c>
      <c r="Q869" t="s">
        <v>38</v>
      </c>
      <c r="R869" t="s">
        <v>40</v>
      </c>
      <c r="S869" t="s">
        <v>3640</v>
      </c>
      <c r="T869" t="s">
        <v>3192</v>
      </c>
      <c r="U869" t="s">
        <v>3046</v>
      </c>
      <c r="V869" t="s">
        <v>2971</v>
      </c>
      <c r="W869" t="s">
        <v>2972</v>
      </c>
      <c r="X869" t="s">
        <v>46</v>
      </c>
      <c r="AC869">
        <f>COUNTIF(C:C,QLKV_gui_ket_qua_ra_soat[[#This Row],[Mã điểm bán]])</f>
        <v>1</v>
      </c>
    </row>
    <row r="870" spans="1:29" x14ac:dyDescent="0.45">
      <c r="A870" t="s">
        <v>2965</v>
      </c>
      <c r="B870">
        <v>2025</v>
      </c>
      <c r="C870" t="s">
        <v>3641</v>
      </c>
      <c r="D870" t="s">
        <v>3642</v>
      </c>
      <c r="E870" t="s">
        <v>3643</v>
      </c>
      <c r="F870" t="s">
        <v>53</v>
      </c>
      <c r="G870" t="s">
        <v>34</v>
      </c>
      <c r="H870" t="s">
        <v>54</v>
      </c>
      <c r="I870" t="s">
        <v>3644</v>
      </c>
      <c r="J870" t="s">
        <v>38</v>
      </c>
      <c r="K870" t="s">
        <v>38</v>
      </c>
      <c r="L870" t="s">
        <v>40</v>
      </c>
      <c r="M870" t="s">
        <v>38</v>
      </c>
      <c r="N870" t="s">
        <v>38</v>
      </c>
      <c r="O870" t="s">
        <v>39</v>
      </c>
      <c r="P870" t="s">
        <v>38</v>
      </c>
      <c r="Q870" t="s">
        <v>38</v>
      </c>
      <c r="R870" t="s">
        <v>39</v>
      </c>
      <c r="S870" t="s">
        <v>41</v>
      </c>
      <c r="T870" t="s">
        <v>2969</v>
      </c>
      <c r="U870" t="s">
        <v>2970</v>
      </c>
      <c r="V870" t="s">
        <v>2971</v>
      </c>
      <c r="W870" t="s">
        <v>2972</v>
      </c>
      <c r="Z870" t="s">
        <v>46</v>
      </c>
      <c r="AA870" t="s">
        <v>3058</v>
      </c>
      <c r="AB870" t="s">
        <v>2999</v>
      </c>
      <c r="AC870">
        <f>COUNTIF(C:C,QLKV_gui_ket_qua_ra_soat[[#This Row],[Mã điểm bán]])</f>
        <v>1</v>
      </c>
    </row>
    <row r="871" spans="1:29" x14ac:dyDescent="0.45">
      <c r="A871" t="s">
        <v>2965</v>
      </c>
      <c r="B871">
        <v>2027</v>
      </c>
      <c r="C871" t="s">
        <v>3645</v>
      </c>
      <c r="D871" t="s">
        <v>3646</v>
      </c>
      <c r="E871" t="s">
        <v>416</v>
      </c>
      <c r="F871" t="s">
        <v>53</v>
      </c>
      <c r="G871" t="s">
        <v>34</v>
      </c>
      <c r="H871" t="s">
        <v>54</v>
      </c>
      <c r="I871" t="s">
        <v>3647</v>
      </c>
      <c r="J871" t="s">
        <v>38</v>
      </c>
      <c r="K871" t="s">
        <v>38</v>
      </c>
      <c r="L871" t="s">
        <v>40</v>
      </c>
      <c r="M871" t="s">
        <v>38</v>
      </c>
      <c r="N871" t="s">
        <v>38</v>
      </c>
      <c r="O871" t="s">
        <v>40</v>
      </c>
      <c r="P871" t="s">
        <v>38</v>
      </c>
      <c r="Q871" t="s">
        <v>38</v>
      </c>
      <c r="R871" t="s">
        <v>40</v>
      </c>
      <c r="S871" t="s">
        <v>41</v>
      </c>
      <c r="T871" t="s">
        <v>3035</v>
      </c>
      <c r="U871" t="s">
        <v>2998</v>
      </c>
      <c r="V871" t="s">
        <v>2971</v>
      </c>
      <c r="W871" t="s">
        <v>2972</v>
      </c>
      <c r="X871" t="s">
        <v>46</v>
      </c>
      <c r="AB871" t="s">
        <v>117</v>
      </c>
      <c r="AC871">
        <f>COUNTIF(C:C,QLKV_gui_ket_qua_ra_soat[[#This Row],[Mã điểm bán]])</f>
        <v>1</v>
      </c>
    </row>
    <row r="872" spans="1:29" x14ac:dyDescent="0.45">
      <c r="A872" t="s">
        <v>2965</v>
      </c>
      <c r="B872">
        <v>2076</v>
      </c>
      <c r="C872" t="s">
        <v>3648</v>
      </c>
      <c r="D872" t="s">
        <v>3649</v>
      </c>
      <c r="E872" t="s">
        <v>3650</v>
      </c>
      <c r="F872" t="s">
        <v>53</v>
      </c>
      <c r="G872" t="s">
        <v>34</v>
      </c>
      <c r="H872" t="s">
        <v>54</v>
      </c>
      <c r="I872" t="s">
        <v>3544</v>
      </c>
      <c r="J872" t="s">
        <v>38</v>
      </c>
      <c r="K872" t="s">
        <v>38</v>
      </c>
      <c r="L872" t="s">
        <v>40</v>
      </c>
      <c r="M872" t="s">
        <v>38</v>
      </c>
      <c r="N872" t="s">
        <v>38</v>
      </c>
      <c r="O872" t="s">
        <v>39</v>
      </c>
      <c r="P872" t="s">
        <v>38</v>
      </c>
      <c r="Q872" t="s">
        <v>38</v>
      </c>
      <c r="R872" t="s">
        <v>40</v>
      </c>
      <c r="S872" t="s">
        <v>41</v>
      </c>
      <c r="T872" t="s">
        <v>3226</v>
      </c>
      <c r="U872" t="s">
        <v>3227</v>
      </c>
      <c r="V872" t="s">
        <v>2971</v>
      </c>
      <c r="W872" t="s">
        <v>2972</v>
      </c>
      <c r="X872" t="s">
        <v>46</v>
      </c>
      <c r="AC872">
        <f>COUNTIF(C:C,QLKV_gui_ket_qua_ra_soat[[#This Row],[Mã điểm bán]])</f>
        <v>1</v>
      </c>
    </row>
    <row r="873" spans="1:29" x14ac:dyDescent="0.45">
      <c r="A873" t="s">
        <v>2965</v>
      </c>
      <c r="B873">
        <v>2118</v>
      </c>
      <c r="C873" t="s">
        <v>3651</v>
      </c>
      <c r="D873" t="s">
        <v>3652</v>
      </c>
      <c r="E873" t="s">
        <v>989</v>
      </c>
      <c r="F873" t="s">
        <v>53</v>
      </c>
      <c r="G873" t="s">
        <v>34</v>
      </c>
      <c r="H873" t="s">
        <v>54</v>
      </c>
      <c r="I873" t="s">
        <v>3653</v>
      </c>
      <c r="J873" t="s">
        <v>38</v>
      </c>
      <c r="K873" t="s">
        <v>38</v>
      </c>
      <c r="L873" t="s">
        <v>40</v>
      </c>
      <c r="M873" t="s">
        <v>38</v>
      </c>
      <c r="N873" t="s">
        <v>38</v>
      </c>
      <c r="O873" t="s">
        <v>39</v>
      </c>
      <c r="P873" t="s">
        <v>38</v>
      </c>
      <c r="Q873" t="s">
        <v>37</v>
      </c>
      <c r="R873" t="s">
        <v>39</v>
      </c>
      <c r="S873" t="s">
        <v>41</v>
      </c>
      <c r="T873" t="s">
        <v>3192</v>
      </c>
      <c r="U873" t="s">
        <v>3046</v>
      </c>
      <c r="V873" t="s">
        <v>2971</v>
      </c>
      <c r="W873" t="s">
        <v>2972</v>
      </c>
      <c r="X873" t="s">
        <v>46</v>
      </c>
      <c r="AB873" t="s">
        <v>117</v>
      </c>
      <c r="AC873">
        <f>COUNTIF(C:C,QLKV_gui_ket_qua_ra_soat[[#This Row],[Mã điểm bán]])</f>
        <v>1</v>
      </c>
    </row>
    <row r="874" spans="1:29" x14ac:dyDescent="0.45">
      <c r="A874" t="s">
        <v>2965</v>
      </c>
      <c r="B874">
        <v>2127</v>
      </c>
      <c r="C874" t="s">
        <v>3654</v>
      </c>
      <c r="D874" t="s">
        <v>3256</v>
      </c>
      <c r="E874" t="s">
        <v>3655</v>
      </c>
      <c r="F874" t="s">
        <v>819</v>
      </c>
      <c r="G874" t="s">
        <v>34</v>
      </c>
      <c r="H874" t="s">
        <v>54</v>
      </c>
      <c r="I874" t="s">
        <v>3656</v>
      </c>
      <c r="J874" t="s">
        <v>38</v>
      </c>
      <c r="K874" t="s">
        <v>38</v>
      </c>
      <c r="L874" t="s">
        <v>40</v>
      </c>
      <c r="M874" t="s">
        <v>38</v>
      </c>
      <c r="N874" t="s">
        <v>38</v>
      </c>
      <c r="O874" t="s">
        <v>39</v>
      </c>
      <c r="P874" t="s">
        <v>38</v>
      </c>
      <c r="Q874" t="s">
        <v>38</v>
      </c>
      <c r="R874" t="s">
        <v>39</v>
      </c>
      <c r="S874" t="s">
        <v>41</v>
      </c>
      <c r="T874" t="s">
        <v>2969</v>
      </c>
      <c r="U874" t="s">
        <v>2970</v>
      </c>
      <c r="V874" t="s">
        <v>2971</v>
      </c>
      <c r="W874" t="s">
        <v>2972</v>
      </c>
      <c r="X874" t="s">
        <v>46</v>
      </c>
      <c r="AC874">
        <f>COUNTIF(C:C,QLKV_gui_ket_qua_ra_soat[[#This Row],[Mã điểm bán]])</f>
        <v>1</v>
      </c>
    </row>
    <row r="875" spans="1:29" x14ac:dyDescent="0.45">
      <c r="A875" t="s">
        <v>2965</v>
      </c>
      <c r="B875">
        <v>2128</v>
      </c>
      <c r="C875" t="s">
        <v>3657</v>
      </c>
      <c r="D875" t="s">
        <v>3658</v>
      </c>
      <c r="E875" t="s">
        <v>157</v>
      </c>
      <c r="F875" t="s">
        <v>401</v>
      </c>
      <c r="G875" t="s">
        <v>177</v>
      </c>
      <c r="H875" t="s">
        <v>54</v>
      </c>
      <c r="I875" t="s">
        <v>3659</v>
      </c>
      <c r="J875" t="s">
        <v>37</v>
      </c>
      <c r="K875" t="s">
        <v>37</v>
      </c>
      <c r="L875" t="s">
        <v>40</v>
      </c>
      <c r="M875" t="s">
        <v>56</v>
      </c>
      <c r="N875" t="s">
        <v>56</v>
      </c>
      <c r="O875" t="s">
        <v>39</v>
      </c>
      <c r="P875" t="s">
        <v>37</v>
      </c>
      <c r="Q875" t="s">
        <v>37</v>
      </c>
      <c r="R875" t="s">
        <v>40</v>
      </c>
      <c r="S875" t="s">
        <v>3003</v>
      </c>
      <c r="T875" t="s">
        <v>2976</v>
      </c>
      <c r="U875" t="s">
        <v>2977</v>
      </c>
      <c r="V875" t="s">
        <v>2971</v>
      </c>
      <c r="W875" t="s">
        <v>2972</v>
      </c>
      <c r="Z875" t="s">
        <v>46</v>
      </c>
      <c r="AA875" t="s">
        <v>2983</v>
      </c>
      <c r="AC875">
        <f>COUNTIF(C:C,QLKV_gui_ket_qua_ra_soat[[#This Row],[Mã điểm bán]])</f>
        <v>1</v>
      </c>
    </row>
    <row r="876" spans="1:29" x14ac:dyDescent="0.45">
      <c r="A876" t="s">
        <v>2965</v>
      </c>
      <c r="B876">
        <v>2129</v>
      </c>
      <c r="C876" t="s">
        <v>3660</v>
      </c>
      <c r="D876" t="s">
        <v>3661</v>
      </c>
      <c r="E876" t="s">
        <v>97</v>
      </c>
      <c r="F876" t="s">
        <v>426</v>
      </c>
      <c r="G876" t="s">
        <v>177</v>
      </c>
      <c r="H876" t="s">
        <v>54</v>
      </c>
      <c r="I876" t="s">
        <v>3662</v>
      </c>
      <c r="J876" t="s">
        <v>38</v>
      </c>
      <c r="K876" t="s">
        <v>38</v>
      </c>
      <c r="L876" t="s">
        <v>40</v>
      </c>
      <c r="M876" t="s">
        <v>38</v>
      </c>
      <c r="N876" t="s">
        <v>37</v>
      </c>
      <c r="O876" t="s">
        <v>39</v>
      </c>
      <c r="P876" t="s">
        <v>38</v>
      </c>
      <c r="Q876" t="s">
        <v>37</v>
      </c>
      <c r="R876" t="s">
        <v>39</v>
      </c>
      <c r="S876" t="s">
        <v>3663</v>
      </c>
      <c r="T876" t="s">
        <v>3192</v>
      </c>
      <c r="U876" t="s">
        <v>3046</v>
      </c>
      <c r="V876" t="s">
        <v>2971</v>
      </c>
      <c r="W876" t="s">
        <v>2972</v>
      </c>
      <c r="Z876" t="s">
        <v>46</v>
      </c>
      <c r="AA876" t="s">
        <v>2983</v>
      </c>
      <c r="AB876" t="s">
        <v>2999</v>
      </c>
      <c r="AC876">
        <f>COUNTIF(C:C,QLKV_gui_ket_qua_ra_soat[[#This Row],[Mã điểm bán]])</f>
        <v>1</v>
      </c>
    </row>
    <row r="877" spans="1:29" x14ac:dyDescent="0.45">
      <c r="A877" t="s">
        <v>2965</v>
      </c>
      <c r="B877">
        <v>2131</v>
      </c>
      <c r="C877" t="s">
        <v>3664</v>
      </c>
      <c r="D877" t="s">
        <v>3665</v>
      </c>
      <c r="E877" t="s">
        <v>108</v>
      </c>
      <c r="F877" t="s">
        <v>666</v>
      </c>
      <c r="G877" t="s">
        <v>177</v>
      </c>
      <c r="H877" t="s">
        <v>54</v>
      </c>
      <c r="I877" t="s">
        <v>3666</v>
      </c>
      <c r="J877" t="s">
        <v>38</v>
      </c>
      <c r="K877" t="s">
        <v>38</v>
      </c>
      <c r="L877" t="s">
        <v>40</v>
      </c>
      <c r="M877" t="s">
        <v>38</v>
      </c>
      <c r="N877" t="s">
        <v>37</v>
      </c>
      <c r="O877" t="s">
        <v>39</v>
      </c>
      <c r="P877" t="s">
        <v>38</v>
      </c>
      <c r="Q877" t="s">
        <v>38</v>
      </c>
      <c r="R877" t="s">
        <v>40</v>
      </c>
      <c r="S877" t="s">
        <v>3667</v>
      </c>
      <c r="T877" t="s">
        <v>3020</v>
      </c>
      <c r="U877" t="s">
        <v>3021</v>
      </c>
      <c r="V877" t="s">
        <v>2971</v>
      </c>
      <c r="W877" t="s">
        <v>2972</v>
      </c>
      <c r="X877" t="s">
        <v>46</v>
      </c>
      <c r="AC877">
        <f>COUNTIF(C:C,QLKV_gui_ket_qua_ra_soat[[#This Row],[Mã điểm bán]])</f>
        <v>1</v>
      </c>
    </row>
    <row r="878" spans="1:29" x14ac:dyDescent="0.45">
      <c r="A878" t="s">
        <v>2965</v>
      </c>
      <c r="B878">
        <v>2134</v>
      </c>
      <c r="C878" t="s">
        <v>3668</v>
      </c>
      <c r="D878" t="s">
        <v>3669</v>
      </c>
      <c r="E878" t="s">
        <v>64</v>
      </c>
      <c r="F878" t="s">
        <v>53</v>
      </c>
      <c r="G878" t="s">
        <v>34</v>
      </c>
      <c r="H878" t="s">
        <v>54</v>
      </c>
      <c r="I878" t="s">
        <v>3670</v>
      </c>
      <c r="J878" t="s">
        <v>38</v>
      </c>
      <c r="K878" t="s">
        <v>38</v>
      </c>
      <c r="L878" t="s">
        <v>40</v>
      </c>
      <c r="M878" t="s">
        <v>38</v>
      </c>
      <c r="N878" t="s">
        <v>37</v>
      </c>
      <c r="O878" t="s">
        <v>39</v>
      </c>
      <c r="P878" t="s">
        <v>38</v>
      </c>
      <c r="Q878" t="s">
        <v>37</v>
      </c>
      <c r="R878" t="s">
        <v>39</v>
      </c>
      <c r="S878" t="s">
        <v>41</v>
      </c>
      <c r="T878" t="s">
        <v>3192</v>
      </c>
      <c r="U878" t="s">
        <v>3046</v>
      </c>
      <c r="V878" t="s">
        <v>2971</v>
      </c>
      <c r="W878" t="s">
        <v>2972</v>
      </c>
      <c r="X878" t="s">
        <v>46</v>
      </c>
      <c r="AC878">
        <f>COUNTIF(C:C,QLKV_gui_ket_qua_ra_soat[[#This Row],[Mã điểm bán]])</f>
        <v>1</v>
      </c>
    </row>
    <row r="879" spans="1:29" x14ac:dyDescent="0.45">
      <c r="A879" t="s">
        <v>2965</v>
      </c>
      <c r="B879">
        <v>2136</v>
      </c>
      <c r="C879" t="s">
        <v>3671</v>
      </c>
      <c r="D879" t="s">
        <v>3672</v>
      </c>
      <c r="E879" t="s">
        <v>3673</v>
      </c>
      <c r="F879" t="s">
        <v>224</v>
      </c>
      <c r="G879" t="s">
        <v>34</v>
      </c>
      <c r="H879" t="s">
        <v>54</v>
      </c>
      <c r="I879" t="s">
        <v>3674</v>
      </c>
      <c r="J879" t="s">
        <v>38</v>
      </c>
      <c r="K879" t="s">
        <v>38</v>
      </c>
      <c r="L879" t="s">
        <v>40</v>
      </c>
      <c r="M879" t="s">
        <v>38</v>
      </c>
      <c r="N879" t="s">
        <v>38</v>
      </c>
      <c r="O879" t="s">
        <v>39</v>
      </c>
      <c r="P879" t="s">
        <v>38</v>
      </c>
      <c r="Q879" t="s">
        <v>38</v>
      </c>
      <c r="R879" t="s">
        <v>39</v>
      </c>
      <c r="S879" t="s">
        <v>41</v>
      </c>
      <c r="T879" t="s">
        <v>2969</v>
      </c>
      <c r="U879" t="s">
        <v>2970</v>
      </c>
      <c r="V879" t="s">
        <v>2971</v>
      </c>
      <c r="W879" t="s">
        <v>2972</v>
      </c>
      <c r="Z879" t="s">
        <v>46</v>
      </c>
      <c r="AA879" t="s">
        <v>3158</v>
      </c>
      <c r="AB879" t="s">
        <v>117</v>
      </c>
      <c r="AC879">
        <f>COUNTIF(C:C,QLKV_gui_ket_qua_ra_soat[[#This Row],[Mã điểm bán]])</f>
        <v>1</v>
      </c>
    </row>
    <row r="880" spans="1:29" x14ac:dyDescent="0.45">
      <c r="A880" t="s">
        <v>2965</v>
      </c>
      <c r="B880">
        <v>2137</v>
      </c>
      <c r="C880" t="s">
        <v>3675</v>
      </c>
      <c r="D880" t="s">
        <v>3676</v>
      </c>
      <c r="E880" t="s">
        <v>206</v>
      </c>
      <c r="F880" t="s">
        <v>53</v>
      </c>
      <c r="G880" t="s">
        <v>34</v>
      </c>
      <c r="H880" t="s">
        <v>54</v>
      </c>
      <c r="I880" t="s">
        <v>3677</v>
      </c>
      <c r="J880" t="s">
        <v>38</v>
      </c>
      <c r="K880" t="s">
        <v>38</v>
      </c>
      <c r="L880" t="s">
        <v>40</v>
      </c>
      <c r="M880" t="s">
        <v>38</v>
      </c>
      <c r="N880" t="s">
        <v>38</v>
      </c>
      <c r="O880" t="s">
        <v>40</v>
      </c>
      <c r="P880" t="s">
        <v>38</v>
      </c>
      <c r="Q880" t="s">
        <v>38</v>
      </c>
      <c r="R880" t="s">
        <v>40</v>
      </c>
      <c r="S880" t="s">
        <v>3678</v>
      </c>
      <c r="T880" t="s">
        <v>3020</v>
      </c>
      <c r="U880" t="s">
        <v>3021</v>
      </c>
      <c r="V880" t="s">
        <v>2971</v>
      </c>
      <c r="W880" t="s">
        <v>2972</v>
      </c>
      <c r="X880" t="s">
        <v>46</v>
      </c>
      <c r="AB880" t="s">
        <v>2999</v>
      </c>
      <c r="AC880">
        <f>COUNTIF(C:C,QLKV_gui_ket_qua_ra_soat[[#This Row],[Mã điểm bán]])</f>
        <v>1</v>
      </c>
    </row>
    <row r="881" spans="1:29" x14ac:dyDescent="0.45">
      <c r="A881" t="s">
        <v>2965</v>
      </c>
      <c r="B881">
        <v>2143</v>
      </c>
      <c r="C881" t="s">
        <v>3679</v>
      </c>
      <c r="D881" t="s">
        <v>3680</v>
      </c>
      <c r="E881" t="s">
        <v>304</v>
      </c>
      <c r="F881" t="s">
        <v>53</v>
      </c>
      <c r="G881" t="s">
        <v>34</v>
      </c>
      <c r="H881" t="s">
        <v>54</v>
      </c>
      <c r="I881" t="s">
        <v>3681</v>
      </c>
      <c r="J881" t="s">
        <v>38</v>
      </c>
      <c r="K881" t="s">
        <v>38</v>
      </c>
      <c r="L881" t="s">
        <v>40</v>
      </c>
      <c r="M881" t="s">
        <v>38</v>
      </c>
      <c r="N881" t="s">
        <v>37</v>
      </c>
      <c r="O881" t="s">
        <v>39</v>
      </c>
      <c r="P881" t="s">
        <v>38</v>
      </c>
      <c r="Q881" t="s">
        <v>37</v>
      </c>
      <c r="R881" t="s">
        <v>39</v>
      </c>
      <c r="S881" t="s">
        <v>41</v>
      </c>
      <c r="T881" t="s">
        <v>3192</v>
      </c>
      <c r="U881" t="s">
        <v>3046</v>
      </c>
      <c r="V881" t="s">
        <v>2971</v>
      </c>
      <c r="W881" t="s">
        <v>2972</v>
      </c>
      <c r="X881" t="s">
        <v>46</v>
      </c>
      <c r="AC881">
        <f>COUNTIF(C:C,QLKV_gui_ket_qua_ra_soat[[#This Row],[Mã điểm bán]])</f>
        <v>1</v>
      </c>
    </row>
    <row r="882" spans="1:29" x14ac:dyDescent="0.45">
      <c r="A882" t="s">
        <v>2965</v>
      </c>
      <c r="B882">
        <v>2149</v>
      </c>
      <c r="C882" t="s">
        <v>3682</v>
      </c>
      <c r="D882" t="s">
        <v>3267</v>
      </c>
      <c r="E882" t="s">
        <v>64</v>
      </c>
      <c r="F882" t="s">
        <v>53</v>
      </c>
      <c r="G882" t="s">
        <v>34</v>
      </c>
      <c r="H882" t="s">
        <v>54</v>
      </c>
      <c r="I882" t="s">
        <v>3683</v>
      </c>
      <c r="J882" t="s">
        <v>38</v>
      </c>
      <c r="K882" t="s">
        <v>38</v>
      </c>
      <c r="L882" t="s">
        <v>40</v>
      </c>
      <c r="M882" t="s">
        <v>38</v>
      </c>
      <c r="N882" t="s">
        <v>37</v>
      </c>
      <c r="O882" t="s">
        <v>39</v>
      </c>
      <c r="P882" t="s">
        <v>38</v>
      </c>
      <c r="Q882" t="s">
        <v>38</v>
      </c>
      <c r="R882" t="s">
        <v>40</v>
      </c>
      <c r="S882" t="s">
        <v>41</v>
      </c>
      <c r="T882" t="s">
        <v>3192</v>
      </c>
      <c r="U882" t="s">
        <v>3046</v>
      </c>
      <c r="V882" t="s">
        <v>2971</v>
      </c>
      <c r="W882" t="s">
        <v>2972</v>
      </c>
      <c r="X882" t="s">
        <v>46</v>
      </c>
      <c r="AB882" t="s">
        <v>3101</v>
      </c>
      <c r="AC882">
        <f>COUNTIF(C:C,QLKV_gui_ket_qua_ra_soat[[#This Row],[Mã điểm bán]])</f>
        <v>1</v>
      </c>
    </row>
    <row r="883" spans="1:29" x14ac:dyDescent="0.45">
      <c r="A883" t="s">
        <v>2965</v>
      </c>
      <c r="B883">
        <v>2158</v>
      </c>
      <c r="C883" t="s">
        <v>3684</v>
      </c>
      <c r="D883" t="s">
        <v>3685</v>
      </c>
      <c r="E883" t="s">
        <v>3686</v>
      </c>
      <c r="F883" t="s">
        <v>53</v>
      </c>
      <c r="G883" t="s">
        <v>34</v>
      </c>
      <c r="H883" t="s">
        <v>54</v>
      </c>
      <c r="I883" t="s">
        <v>3687</v>
      </c>
      <c r="J883" t="s">
        <v>38</v>
      </c>
      <c r="K883" t="s">
        <v>38</v>
      </c>
      <c r="L883" t="s">
        <v>40</v>
      </c>
      <c r="M883" t="s">
        <v>38</v>
      </c>
      <c r="N883" t="s">
        <v>38</v>
      </c>
      <c r="O883" t="s">
        <v>39</v>
      </c>
      <c r="P883" t="s">
        <v>38</v>
      </c>
      <c r="Q883" t="s">
        <v>38</v>
      </c>
      <c r="R883" t="s">
        <v>39</v>
      </c>
      <c r="S883" t="s">
        <v>41</v>
      </c>
      <c r="T883" t="s">
        <v>2969</v>
      </c>
      <c r="U883" t="s">
        <v>2970</v>
      </c>
      <c r="V883" t="s">
        <v>2971</v>
      </c>
      <c r="W883" t="s">
        <v>2972</v>
      </c>
      <c r="X883" t="s">
        <v>46</v>
      </c>
      <c r="AC883">
        <f>COUNTIF(C:C,QLKV_gui_ket_qua_ra_soat[[#This Row],[Mã điểm bán]])</f>
        <v>1</v>
      </c>
    </row>
    <row r="884" spans="1:29" x14ac:dyDescent="0.45">
      <c r="A884" t="s">
        <v>2965</v>
      </c>
      <c r="B884">
        <v>2164</v>
      </c>
      <c r="C884" t="s">
        <v>3688</v>
      </c>
      <c r="D884" t="s">
        <v>3689</v>
      </c>
      <c r="E884" t="s">
        <v>376</v>
      </c>
      <c r="F884" t="s">
        <v>934</v>
      </c>
      <c r="G884" t="s">
        <v>34</v>
      </c>
      <c r="H884" t="s">
        <v>402</v>
      </c>
      <c r="I884" t="s">
        <v>3690</v>
      </c>
      <c r="J884" t="s">
        <v>38</v>
      </c>
      <c r="K884" t="s">
        <v>38</v>
      </c>
      <c r="L884" t="s">
        <v>40</v>
      </c>
      <c r="M884" t="s">
        <v>38</v>
      </c>
      <c r="N884" t="s">
        <v>38</v>
      </c>
      <c r="O884" t="s">
        <v>40</v>
      </c>
      <c r="P884" t="s">
        <v>38</v>
      </c>
      <c r="Q884" t="s">
        <v>38</v>
      </c>
      <c r="R884" t="s">
        <v>40</v>
      </c>
      <c r="S884" t="s">
        <v>41</v>
      </c>
      <c r="T884" t="s">
        <v>3035</v>
      </c>
      <c r="U884" t="s">
        <v>2998</v>
      </c>
      <c r="V884" t="s">
        <v>2971</v>
      </c>
      <c r="W884" t="s">
        <v>2972</v>
      </c>
      <c r="Z884" t="s">
        <v>46</v>
      </c>
      <c r="AA884" t="s">
        <v>3058</v>
      </c>
      <c r="AB884" t="s">
        <v>2999</v>
      </c>
      <c r="AC884">
        <f>COUNTIF(C:C,QLKV_gui_ket_qua_ra_soat[[#This Row],[Mã điểm bán]])</f>
        <v>1</v>
      </c>
    </row>
    <row r="885" spans="1:29" x14ac:dyDescent="0.45">
      <c r="A885" t="s">
        <v>2965</v>
      </c>
      <c r="B885">
        <v>2168</v>
      </c>
      <c r="C885" t="s">
        <v>3691</v>
      </c>
      <c r="D885" t="s">
        <v>3692</v>
      </c>
      <c r="E885" t="s">
        <v>3501</v>
      </c>
      <c r="F885" t="s">
        <v>3693</v>
      </c>
      <c r="G885" t="s">
        <v>34</v>
      </c>
      <c r="H885" t="s">
        <v>54</v>
      </c>
      <c r="I885" t="s">
        <v>3694</v>
      </c>
      <c r="J885" t="s">
        <v>38</v>
      </c>
      <c r="K885" t="s">
        <v>38</v>
      </c>
      <c r="L885" t="s">
        <v>40</v>
      </c>
      <c r="M885" t="s">
        <v>38</v>
      </c>
      <c r="N885" t="s">
        <v>37</v>
      </c>
      <c r="O885" t="s">
        <v>39</v>
      </c>
      <c r="P885" t="s">
        <v>38</v>
      </c>
      <c r="Q885" t="s">
        <v>37</v>
      </c>
      <c r="R885" t="s">
        <v>39</v>
      </c>
      <c r="S885" t="s">
        <v>41</v>
      </c>
      <c r="T885" t="s">
        <v>3192</v>
      </c>
      <c r="U885" t="s">
        <v>3046</v>
      </c>
      <c r="V885" t="s">
        <v>2971</v>
      </c>
      <c r="W885" t="s">
        <v>2972</v>
      </c>
      <c r="Z885" t="s">
        <v>46</v>
      </c>
      <c r="AA885" t="s">
        <v>2983</v>
      </c>
      <c r="AB885" t="s">
        <v>117</v>
      </c>
      <c r="AC885">
        <f>COUNTIF(C:C,QLKV_gui_ket_qua_ra_soat[[#This Row],[Mã điểm bán]])</f>
        <v>1</v>
      </c>
    </row>
    <row r="886" spans="1:29" x14ac:dyDescent="0.45">
      <c r="A886" t="s">
        <v>2965</v>
      </c>
      <c r="B886">
        <v>2183</v>
      </c>
      <c r="C886" t="s">
        <v>3695</v>
      </c>
      <c r="D886" t="s">
        <v>3696</v>
      </c>
      <c r="E886" t="s">
        <v>3697</v>
      </c>
      <c r="F886" t="s">
        <v>3698</v>
      </c>
      <c r="G886" t="s">
        <v>34</v>
      </c>
      <c r="H886" t="s">
        <v>54</v>
      </c>
      <c r="I886" t="s">
        <v>3699</v>
      </c>
      <c r="J886" t="s">
        <v>38</v>
      </c>
      <c r="K886" t="s">
        <v>38</v>
      </c>
      <c r="L886" t="s">
        <v>39</v>
      </c>
      <c r="M886" t="s">
        <v>38</v>
      </c>
      <c r="N886" t="s">
        <v>37</v>
      </c>
      <c r="O886" t="s">
        <v>39</v>
      </c>
      <c r="P886" t="s">
        <v>38</v>
      </c>
      <c r="Q886" t="s">
        <v>37</v>
      </c>
      <c r="R886" t="s">
        <v>39</v>
      </c>
      <c r="S886" t="s">
        <v>41</v>
      </c>
      <c r="T886" t="s">
        <v>3192</v>
      </c>
      <c r="U886" t="s">
        <v>3046</v>
      </c>
      <c r="V886" t="s">
        <v>2971</v>
      </c>
      <c r="W886" t="s">
        <v>2972</v>
      </c>
      <c r="Z886" t="s">
        <v>46</v>
      </c>
      <c r="AA886" t="s">
        <v>2983</v>
      </c>
      <c r="AB886" t="s">
        <v>117</v>
      </c>
      <c r="AC886">
        <f>COUNTIF(C:C,QLKV_gui_ket_qua_ra_soat[[#This Row],[Mã điểm bán]])</f>
        <v>1</v>
      </c>
    </row>
    <row r="887" spans="1:29" x14ac:dyDescent="0.45">
      <c r="A887" t="s">
        <v>2965</v>
      </c>
      <c r="B887">
        <v>2185</v>
      </c>
      <c r="C887" t="s">
        <v>3700</v>
      </c>
      <c r="D887" t="s">
        <v>3701</v>
      </c>
      <c r="E887" t="s">
        <v>113</v>
      </c>
      <c r="F887" t="s">
        <v>53</v>
      </c>
      <c r="G887" t="s">
        <v>34</v>
      </c>
      <c r="H887" t="s">
        <v>54</v>
      </c>
      <c r="I887" t="s">
        <v>3702</v>
      </c>
      <c r="J887" t="s">
        <v>38</v>
      </c>
      <c r="K887" t="s">
        <v>38</v>
      </c>
      <c r="L887" t="s">
        <v>40</v>
      </c>
      <c r="M887" t="s">
        <v>38</v>
      </c>
      <c r="N887" t="s">
        <v>38</v>
      </c>
      <c r="O887" t="s">
        <v>40</v>
      </c>
      <c r="P887" t="s">
        <v>38</v>
      </c>
      <c r="Q887" t="s">
        <v>38</v>
      </c>
      <c r="R887" t="s">
        <v>40</v>
      </c>
      <c r="S887" t="s">
        <v>41</v>
      </c>
      <c r="T887" t="s">
        <v>3020</v>
      </c>
      <c r="U887" t="s">
        <v>3021</v>
      </c>
      <c r="V887" t="s">
        <v>2971</v>
      </c>
      <c r="W887" t="s">
        <v>2972</v>
      </c>
      <c r="X887" t="s">
        <v>46</v>
      </c>
      <c r="AB887" t="s">
        <v>2999</v>
      </c>
      <c r="AC887">
        <f>COUNTIF(C:C,QLKV_gui_ket_qua_ra_soat[[#This Row],[Mã điểm bán]])</f>
        <v>1</v>
      </c>
    </row>
    <row r="888" spans="1:29" x14ac:dyDescent="0.45">
      <c r="A888" t="s">
        <v>2965</v>
      </c>
      <c r="B888">
        <v>2199</v>
      </c>
      <c r="C888" t="s">
        <v>3703</v>
      </c>
      <c r="D888" t="s">
        <v>3704</v>
      </c>
      <c r="E888" t="s">
        <v>742</v>
      </c>
      <c r="F888" t="s">
        <v>3705</v>
      </c>
      <c r="G888" t="s">
        <v>34</v>
      </c>
      <c r="H888" t="s">
        <v>54</v>
      </c>
      <c r="I888" t="s">
        <v>3706</v>
      </c>
      <c r="J888" t="s">
        <v>38</v>
      </c>
      <c r="K888" t="s">
        <v>38</v>
      </c>
      <c r="L888" t="s">
        <v>40</v>
      </c>
      <c r="M888" t="s">
        <v>37</v>
      </c>
      <c r="N888" t="s">
        <v>37</v>
      </c>
      <c r="O888" t="s">
        <v>39</v>
      </c>
      <c r="P888" t="s">
        <v>38</v>
      </c>
      <c r="Q888" t="s">
        <v>37</v>
      </c>
      <c r="R888" t="s">
        <v>39</v>
      </c>
      <c r="S888" t="s">
        <v>41</v>
      </c>
      <c r="T888" t="s">
        <v>3192</v>
      </c>
      <c r="U888" t="s">
        <v>3046</v>
      </c>
      <c r="V888" t="s">
        <v>2971</v>
      </c>
      <c r="W888" t="s">
        <v>2972</v>
      </c>
      <c r="Z888" t="s">
        <v>46</v>
      </c>
      <c r="AA888" t="s">
        <v>2983</v>
      </c>
      <c r="AB888" t="s">
        <v>117</v>
      </c>
      <c r="AC888">
        <f>COUNTIF(C:C,QLKV_gui_ket_qua_ra_soat[[#This Row],[Mã điểm bán]])</f>
        <v>1</v>
      </c>
    </row>
    <row r="889" spans="1:29" x14ac:dyDescent="0.45">
      <c r="A889" t="s">
        <v>2965</v>
      </c>
      <c r="B889">
        <v>2209</v>
      </c>
      <c r="C889" t="s">
        <v>3707</v>
      </c>
      <c r="D889" t="s">
        <v>3708</v>
      </c>
      <c r="E889" t="s">
        <v>3709</v>
      </c>
      <c r="F889" t="s">
        <v>934</v>
      </c>
      <c r="G889" t="s">
        <v>34</v>
      </c>
      <c r="H889" t="s">
        <v>1188</v>
      </c>
      <c r="I889" t="s">
        <v>3710</v>
      </c>
      <c r="J889" t="s">
        <v>38</v>
      </c>
      <c r="K889" t="s">
        <v>38</v>
      </c>
      <c r="L889" t="s">
        <v>40</v>
      </c>
      <c r="M889" t="s">
        <v>38</v>
      </c>
      <c r="N889" t="s">
        <v>38</v>
      </c>
      <c r="O889" t="s">
        <v>40</v>
      </c>
      <c r="P889" t="s">
        <v>38</v>
      </c>
      <c r="Q889" t="s">
        <v>38</v>
      </c>
      <c r="R889" t="s">
        <v>40</v>
      </c>
      <c r="S889" t="s">
        <v>41</v>
      </c>
      <c r="T889" t="s">
        <v>3035</v>
      </c>
      <c r="U889" t="s">
        <v>2998</v>
      </c>
      <c r="V889" t="s">
        <v>2971</v>
      </c>
      <c r="W889" t="s">
        <v>2972</v>
      </c>
      <c r="X889" t="s">
        <v>46</v>
      </c>
      <c r="AC889">
        <f>COUNTIF(C:C,QLKV_gui_ket_qua_ra_soat[[#This Row],[Mã điểm bán]])</f>
        <v>1</v>
      </c>
    </row>
    <row r="890" spans="1:29" x14ac:dyDescent="0.45">
      <c r="A890" t="s">
        <v>2965</v>
      </c>
      <c r="B890">
        <v>2212</v>
      </c>
      <c r="C890" t="s">
        <v>3711</v>
      </c>
      <c r="D890" t="s">
        <v>3712</v>
      </c>
      <c r="E890" t="s">
        <v>529</v>
      </c>
      <c r="F890" t="s">
        <v>2986</v>
      </c>
      <c r="G890" t="s">
        <v>34</v>
      </c>
      <c r="H890" t="s">
        <v>171</v>
      </c>
      <c r="I890" t="s">
        <v>3713</v>
      </c>
      <c r="J890" t="s">
        <v>38</v>
      </c>
      <c r="K890" t="s">
        <v>38</v>
      </c>
      <c r="L890" t="s">
        <v>39</v>
      </c>
      <c r="M890" t="s">
        <v>37</v>
      </c>
      <c r="N890" t="s">
        <v>37</v>
      </c>
      <c r="O890" t="s">
        <v>39</v>
      </c>
      <c r="P890" t="s">
        <v>38</v>
      </c>
      <c r="Q890" t="s">
        <v>38</v>
      </c>
      <c r="R890" t="s">
        <v>39</v>
      </c>
      <c r="S890" t="s">
        <v>41</v>
      </c>
      <c r="T890" t="s">
        <v>3057</v>
      </c>
      <c r="U890" t="s">
        <v>2970</v>
      </c>
      <c r="V890" t="s">
        <v>2971</v>
      </c>
      <c r="W890" t="s">
        <v>2972</v>
      </c>
      <c r="X890" t="s">
        <v>46</v>
      </c>
      <c r="AC890">
        <f>COUNTIF(C:C,QLKV_gui_ket_qua_ra_soat[[#This Row],[Mã điểm bán]])</f>
        <v>1</v>
      </c>
    </row>
    <row r="891" spans="1:29" x14ac:dyDescent="0.45">
      <c r="A891" t="s">
        <v>2965</v>
      </c>
      <c r="B891">
        <v>2217</v>
      </c>
      <c r="C891" t="s">
        <v>3714</v>
      </c>
      <c r="D891" t="s">
        <v>3715</v>
      </c>
      <c r="E891" t="s">
        <v>3716</v>
      </c>
      <c r="F891" t="s">
        <v>535</v>
      </c>
      <c r="G891" t="s">
        <v>150</v>
      </c>
      <c r="H891" t="s">
        <v>54</v>
      </c>
      <c r="I891" t="s">
        <v>3717</v>
      </c>
      <c r="J891" t="s">
        <v>38</v>
      </c>
      <c r="K891" t="s">
        <v>38</v>
      </c>
      <c r="L891" t="s">
        <v>39</v>
      </c>
      <c r="M891" t="s">
        <v>38</v>
      </c>
      <c r="N891" t="s">
        <v>37</v>
      </c>
      <c r="O891" t="s">
        <v>39</v>
      </c>
      <c r="P891" t="s">
        <v>38</v>
      </c>
      <c r="Q891" t="s">
        <v>38</v>
      </c>
      <c r="R891" t="s">
        <v>39</v>
      </c>
      <c r="S891" t="s">
        <v>41</v>
      </c>
      <c r="T891" t="s">
        <v>3045</v>
      </c>
      <c r="U891" t="s">
        <v>3046</v>
      </c>
      <c r="V891" t="s">
        <v>2971</v>
      </c>
      <c r="W891" t="s">
        <v>2972</v>
      </c>
      <c r="Z891" t="s">
        <v>46</v>
      </c>
      <c r="AA891" t="s">
        <v>2983</v>
      </c>
      <c r="AC891">
        <f>COUNTIF(C:C,QLKV_gui_ket_qua_ra_soat[[#This Row],[Mã điểm bán]])</f>
        <v>1</v>
      </c>
    </row>
    <row r="892" spans="1:29" x14ac:dyDescent="0.45">
      <c r="A892" t="s">
        <v>2965</v>
      </c>
      <c r="B892">
        <v>2224</v>
      </c>
      <c r="C892" t="s">
        <v>3718</v>
      </c>
      <c r="D892" t="s">
        <v>3719</v>
      </c>
      <c r="E892" t="s">
        <v>190</v>
      </c>
      <c r="F892" t="s">
        <v>53</v>
      </c>
      <c r="G892" t="s">
        <v>34</v>
      </c>
      <c r="H892" t="s">
        <v>54</v>
      </c>
      <c r="I892" t="s">
        <v>3720</v>
      </c>
      <c r="J892" t="s">
        <v>38</v>
      </c>
      <c r="K892" t="s">
        <v>38</v>
      </c>
      <c r="L892" t="s">
        <v>40</v>
      </c>
      <c r="M892" t="s">
        <v>38</v>
      </c>
      <c r="N892" t="s">
        <v>38</v>
      </c>
      <c r="O892" t="s">
        <v>40</v>
      </c>
      <c r="P892" t="s">
        <v>38</v>
      </c>
      <c r="Q892" t="s">
        <v>38</v>
      </c>
      <c r="R892" t="s">
        <v>40</v>
      </c>
      <c r="S892" t="s">
        <v>41</v>
      </c>
      <c r="T892" t="s">
        <v>3035</v>
      </c>
      <c r="U892" t="s">
        <v>2998</v>
      </c>
      <c r="V892" t="s">
        <v>2971</v>
      </c>
      <c r="W892" t="s">
        <v>2972</v>
      </c>
      <c r="X892" t="s">
        <v>46</v>
      </c>
      <c r="AC892">
        <f>COUNTIF(C:C,QLKV_gui_ket_qua_ra_soat[[#This Row],[Mã điểm bán]])</f>
        <v>1</v>
      </c>
    </row>
    <row r="893" spans="1:29" x14ac:dyDescent="0.45">
      <c r="A893" t="s">
        <v>2965</v>
      </c>
      <c r="B893">
        <v>2230</v>
      </c>
      <c r="C893" t="s">
        <v>3721</v>
      </c>
      <c r="D893" t="s">
        <v>3722</v>
      </c>
      <c r="E893" t="s">
        <v>695</v>
      </c>
      <c r="F893" t="s">
        <v>934</v>
      </c>
      <c r="G893" t="s">
        <v>177</v>
      </c>
      <c r="H893" t="s">
        <v>54</v>
      </c>
      <c r="I893" t="s">
        <v>3723</v>
      </c>
      <c r="J893" t="s">
        <v>38</v>
      </c>
      <c r="K893" t="s">
        <v>38</v>
      </c>
      <c r="L893" t="s">
        <v>39</v>
      </c>
      <c r="M893" t="s">
        <v>37</v>
      </c>
      <c r="N893" t="s">
        <v>37</v>
      </c>
      <c r="O893" t="s">
        <v>39</v>
      </c>
      <c r="P893" t="s">
        <v>38</v>
      </c>
      <c r="Q893" t="s">
        <v>37</v>
      </c>
      <c r="R893" t="s">
        <v>39</v>
      </c>
      <c r="S893" t="s">
        <v>3724</v>
      </c>
      <c r="T893" t="s">
        <v>3192</v>
      </c>
      <c r="U893" t="s">
        <v>3046</v>
      </c>
      <c r="V893" t="s">
        <v>2971</v>
      </c>
      <c r="W893" t="s">
        <v>2972</v>
      </c>
      <c r="Z893" t="s">
        <v>46</v>
      </c>
      <c r="AA893" t="s">
        <v>2983</v>
      </c>
      <c r="AB893" t="s">
        <v>2999</v>
      </c>
      <c r="AC893">
        <f>COUNTIF(C:C,QLKV_gui_ket_qua_ra_soat[[#This Row],[Mã điểm bán]])</f>
        <v>1</v>
      </c>
    </row>
    <row r="894" spans="1:29" x14ac:dyDescent="0.45">
      <c r="A894" t="s">
        <v>2965</v>
      </c>
      <c r="B894">
        <v>2240</v>
      </c>
      <c r="C894" t="s">
        <v>3725</v>
      </c>
      <c r="D894" t="s">
        <v>3726</v>
      </c>
      <c r="E894" t="s">
        <v>170</v>
      </c>
      <c r="F894" t="s">
        <v>53</v>
      </c>
      <c r="G894" t="s">
        <v>34</v>
      </c>
      <c r="H894" t="s">
        <v>54</v>
      </c>
      <c r="I894" t="s">
        <v>3727</v>
      </c>
      <c r="J894" t="s">
        <v>38</v>
      </c>
      <c r="K894" t="s">
        <v>38</v>
      </c>
      <c r="L894" t="s">
        <v>40</v>
      </c>
      <c r="M894" t="s">
        <v>38</v>
      </c>
      <c r="N894" t="s">
        <v>38</v>
      </c>
      <c r="O894" t="s">
        <v>40</v>
      </c>
      <c r="P894" t="s">
        <v>38</v>
      </c>
      <c r="Q894" t="s">
        <v>38</v>
      </c>
      <c r="R894" t="s">
        <v>40</v>
      </c>
      <c r="S894" t="s">
        <v>41</v>
      </c>
      <c r="T894" t="s">
        <v>3035</v>
      </c>
      <c r="U894" t="s">
        <v>2998</v>
      </c>
      <c r="V894" t="s">
        <v>2971</v>
      </c>
      <c r="W894" t="s">
        <v>2972</v>
      </c>
      <c r="Z894" t="s">
        <v>46</v>
      </c>
      <c r="AA894" t="s">
        <v>3058</v>
      </c>
      <c r="AB894" t="s">
        <v>2999</v>
      </c>
      <c r="AC894">
        <f>COUNTIF(C:C,QLKV_gui_ket_qua_ra_soat[[#This Row],[Mã điểm bán]])</f>
        <v>1</v>
      </c>
    </row>
    <row r="895" spans="1:29" x14ac:dyDescent="0.45">
      <c r="A895" t="s">
        <v>2965</v>
      </c>
      <c r="B895">
        <v>2247</v>
      </c>
      <c r="C895" t="s">
        <v>3728</v>
      </c>
      <c r="D895" t="s">
        <v>3729</v>
      </c>
      <c r="E895" t="s">
        <v>3730</v>
      </c>
      <c r="F895" t="s">
        <v>166</v>
      </c>
      <c r="G895" t="s">
        <v>34</v>
      </c>
      <c r="H895" t="s">
        <v>54</v>
      </c>
      <c r="I895" t="s">
        <v>3731</v>
      </c>
      <c r="J895" t="s">
        <v>38</v>
      </c>
      <c r="K895" t="s">
        <v>38</v>
      </c>
      <c r="L895" t="s">
        <v>39</v>
      </c>
      <c r="M895" t="s">
        <v>37</v>
      </c>
      <c r="N895" t="s">
        <v>37</v>
      </c>
      <c r="O895" t="s">
        <v>39</v>
      </c>
      <c r="P895" t="s">
        <v>38</v>
      </c>
      <c r="Q895" t="s">
        <v>38</v>
      </c>
      <c r="R895" t="s">
        <v>39</v>
      </c>
      <c r="S895" t="s">
        <v>41</v>
      </c>
      <c r="T895" t="s">
        <v>3057</v>
      </c>
      <c r="U895" t="s">
        <v>2970</v>
      </c>
      <c r="V895" t="s">
        <v>2971</v>
      </c>
      <c r="W895" t="s">
        <v>2972</v>
      </c>
      <c r="Z895" t="s">
        <v>46</v>
      </c>
      <c r="AA895" t="s">
        <v>3158</v>
      </c>
      <c r="AB895" t="s">
        <v>117</v>
      </c>
      <c r="AC895">
        <f>COUNTIF(C:C,QLKV_gui_ket_qua_ra_soat[[#This Row],[Mã điểm bán]])</f>
        <v>1</v>
      </c>
    </row>
    <row r="896" spans="1:29" x14ac:dyDescent="0.45">
      <c r="A896" t="s">
        <v>2965</v>
      </c>
      <c r="B896">
        <v>2250</v>
      </c>
      <c r="C896" t="s">
        <v>3732</v>
      </c>
      <c r="D896" t="s">
        <v>3733</v>
      </c>
      <c r="E896" t="s">
        <v>2420</v>
      </c>
      <c r="F896" t="s">
        <v>417</v>
      </c>
      <c r="G896" t="s">
        <v>34</v>
      </c>
      <c r="H896" t="s">
        <v>54</v>
      </c>
      <c r="I896" t="s">
        <v>3734</v>
      </c>
      <c r="J896" t="s">
        <v>38</v>
      </c>
      <c r="K896" t="s">
        <v>38</v>
      </c>
      <c r="L896" t="s">
        <v>40</v>
      </c>
      <c r="M896" t="s">
        <v>37</v>
      </c>
      <c r="N896" t="s">
        <v>37</v>
      </c>
      <c r="O896" t="s">
        <v>39</v>
      </c>
      <c r="P896" t="s">
        <v>37</v>
      </c>
      <c r="Q896" t="s">
        <v>37</v>
      </c>
      <c r="R896" t="s">
        <v>39</v>
      </c>
      <c r="S896" t="s">
        <v>41</v>
      </c>
      <c r="T896" t="s">
        <v>3192</v>
      </c>
      <c r="U896" t="s">
        <v>3046</v>
      </c>
      <c r="V896" t="s">
        <v>2971</v>
      </c>
      <c r="W896" t="s">
        <v>2972</v>
      </c>
      <c r="X896" t="s">
        <v>46</v>
      </c>
      <c r="AC896">
        <f>COUNTIF(C:C,QLKV_gui_ket_qua_ra_soat[[#This Row],[Mã điểm bán]])</f>
        <v>1</v>
      </c>
    </row>
    <row r="897" spans="1:29" x14ac:dyDescent="0.45">
      <c r="A897" t="s">
        <v>2965</v>
      </c>
      <c r="B897">
        <v>2258</v>
      </c>
      <c r="C897" t="s">
        <v>3735</v>
      </c>
      <c r="D897" t="s">
        <v>3736</v>
      </c>
      <c r="E897" t="s">
        <v>3737</v>
      </c>
      <c r="F897" t="s">
        <v>3049</v>
      </c>
      <c r="G897" t="s">
        <v>177</v>
      </c>
      <c r="H897" t="s">
        <v>54</v>
      </c>
      <c r="I897" t="s">
        <v>3738</v>
      </c>
      <c r="J897" t="s">
        <v>38</v>
      </c>
      <c r="K897" t="s">
        <v>38</v>
      </c>
      <c r="L897" t="s">
        <v>39</v>
      </c>
      <c r="M897" t="s">
        <v>38</v>
      </c>
      <c r="N897" t="s">
        <v>37</v>
      </c>
      <c r="O897" t="s">
        <v>39</v>
      </c>
      <c r="P897" t="s">
        <v>38</v>
      </c>
      <c r="Q897" t="s">
        <v>38</v>
      </c>
      <c r="R897" t="s">
        <v>39</v>
      </c>
      <c r="S897" t="s">
        <v>41</v>
      </c>
      <c r="T897" t="s">
        <v>3045</v>
      </c>
      <c r="U897" t="s">
        <v>3046</v>
      </c>
      <c r="V897" t="s">
        <v>2971</v>
      </c>
      <c r="W897" t="s">
        <v>2972</v>
      </c>
      <c r="Z897" t="s">
        <v>46</v>
      </c>
      <c r="AA897" t="s">
        <v>2983</v>
      </c>
      <c r="AC897">
        <f>COUNTIF(C:C,QLKV_gui_ket_qua_ra_soat[[#This Row],[Mã điểm bán]])</f>
        <v>1</v>
      </c>
    </row>
    <row r="898" spans="1:29" x14ac:dyDescent="0.45">
      <c r="A898" t="s">
        <v>2965</v>
      </c>
      <c r="B898">
        <v>2261</v>
      </c>
      <c r="C898" t="s">
        <v>3739</v>
      </c>
      <c r="D898" t="s">
        <v>3740</v>
      </c>
      <c r="E898" t="s">
        <v>69</v>
      </c>
      <c r="F898" t="s">
        <v>70</v>
      </c>
      <c r="G898" t="s">
        <v>177</v>
      </c>
      <c r="H898" t="s">
        <v>54</v>
      </c>
      <c r="I898" t="s">
        <v>3741</v>
      </c>
      <c r="J898" t="s">
        <v>37</v>
      </c>
      <c r="K898" t="s">
        <v>37</v>
      </c>
      <c r="L898" t="s">
        <v>39</v>
      </c>
      <c r="M898" t="s">
        <v>37</v>
      </c>
      <c r="N898" t="s">
        <v>37</v>
      </c>
      <c r="O898" t="s">
        <v>39</v>
      </c>
      <c r="P898" t="s">
        <v>38</v>
      </c>
      <c r="Q898" t="s">
        <v>38</v>
      </c>
      <c r="R898" t="s">
        <v>40</v>
      </c>
      <c r="S898" t="s">
        <v>3003</v>
      </c>
      <c r="T898" t="s">
        <v>2976</v>
      </c>
      <c r="U898" t="s">
        <v>2977</v>
      </c>
      <c r="V898" t="s">
        <v>2971</v>
      </c>
      <c r="W898" t="s">
        <v>2972</v>
      </c>
      <c r="Z898" t="s">
        <v>46</v>
      </c>
      <c r="AA898" t="s">
        <v>2983</v>
      </c>
      <c r="AC898">
        <f>COUNTIF(C:C,QLKV_gui_ket_qua_ra_soat[[#This Row],[Mã điểm bán]])</f>
        <v>1</v>
      </c>
    </row>
    <row r="899" spans="1:29" x14ac:dyDescent="0.45">
      <c r="A899" t="s">
        <v>2965</v>
      </c>
      <c r="B899">
        <v>2277</v>
      </c>
      <c r="C899" t="s">
        <v>3742</v>
      </c>
      <c r="D899" t="s">
        <v>3743</v>
      </c>
      <c r="E899" t="s">
        <v>989</v>
      </c>
      <c r="F899" t="s">
        <v>53</v>
      </c>
      <c r="G899" t="s">
        <v>34</v>
      </c>
      <c r="H899" t="s">
        <v>54</v>
      </c>
      <c r="I899" t="s">
        <v>3744</v>
      </c>
      <c r="J899" t="s">
        <v>38</v>
      </c>
      <c r="K899" t="s">
        <v>38</v>
      </c>
      <c r="L899" t="s">
        <v>40</v>
      </c>
      <c r="M899" t="s">
        <v>38</v>
      </c>
      <c r="N899" t="s">
        <v>38</v>
      </c>
      <c r="O899" t="s">
        <v>40</v>
      </c>
      <c r="P899" t="s">
        <v>38</v>
      </c>
      <c r="Q899" t="s">
        <v>38</v>
      </c>
      <c r="R899" t="s">
        <v>40</v>
      </c>
      <c r="S899" t="s">
        <v>41</v>
      </c>
      <c r="T899" t="s">
        <v>3035</v>
      </c>
      <c r="U899" t="s">
        <v>2998</v>
      </c>
      <c r="V899" t="s">
        <v>2971</v>
      </c>
      <c r="W899" t="s">
        <v>2972</v>
      </c>
      <c r="X899" t="s">
        <v>46</v>
      </c>
      <c r="AC899">
        <f>COUNTIF(C:C,QLKV_gui_ket_qua_ra_soat[[#This Row],[Mã điểm bán]])</f>
        <v>1</v>
      </c>
    </row>
    <row r="900" spans="1:29" x14ac:dyDescent="0.45">
      <c r="A900" t="s">
        <v>2965</v>
      </c>
      <c r="B900">
        <v>2279</v>
      </c>
      <c r="C900" t="s">
        <v>3745</v>
      </c>
      <c r="D900" t="s">
        <v>3746</v>
      </c>
      <c r="E900" t="s">
        <v>86</v>
      </c>
      <c r="F900" t="s">
        <v>3049</v>
      </c>
      <c r="G900" t="s">
        <v>177</v>
      </c>
      <c r="H900" t="s">
        <v>54</v>
      </c>
      <c r="I900" t="s">
        <v>3747</v>
      </c>
      <c r="J900" t="s">
        <v>38</v>
      </c>
      <c r="K900" t="s">
        <v>56</v>
      </c>
      <c r="L900" t="s">
        <v>39</v>
      </c>
      <c r="M900" t="s">
        <v>38</v>
      </c>
      <c r="N900" t="s">
        <v>37</v>
      </c>
      <c r="O900" t="s">
        <v>39</v>
      </c>
      <c r="P900" t="s">
        <v>38</v>
      </c>
      <c r="Q900" t="s">
        <v>38</v>
      </c>
      <c r="R900" t="s">
        <v>39</v>
      </c>
      <c r="S900" t="s">
        <v>41</v>
      </c>
      <c r="T900" t="s">
        <v>3045</v>
      </c>
      <c r="U900" t="s">
        <v>3046</v>
      </c>
      <c r="V900" t="s">
        <v>2971</v>
      </c>
      <c r="W900" t="s">
        <v>2972</v>
      </c>
      <c r="Z900" t="s">
        <v>46</v>
      </c>
      <c r="AA900" t="s">
        <v>2983</v>
      </c>
      <c r="AC900">
        <f>COUNTIF(C:C,QLKV_gui_ket_qua_ra_soat[[#This Row],[Mã điểm bán]])</f>
        <v>1</v>
      </c>
    </row>
    <row r="901" spans="1:29" x14ac:dyDescent="0.45">
      <c r="A901" t="s">
        <v>2965</v>
      </c>
      <c r="B901">
        <v>2286</v>
      </c>
      <c r="C901" t="s">
        <v>3748</v>
      </c>
      <c r="D901" t="s">
        <v>3749</v>
      </c>
      <c r="E901" t="s">
        <v>261</v>
      </c>
      <c r="F901" t="s">
        <v>115</v>
      </c>
      <c r="G901" t="s">
        <v>34</v>
      </c>
      <c r="H901" t="s">
        <v>402</v>
      </c>
      <c r="I901" t="s">
        <v>3750</v>
      </c>
      <c r="J901" t="s">
        <v>38</v>
      </c>
      <c r="K901" t="s">
        <v>38</v>
      </c>
      <c r="L901" t="s">
        <v>40</v>
      </c>
      <c r="M901" t="s">
        <v>38</v>
      </c>
      <c r="N901" t="s">
        <v>38</v>
      </c>
      <c r="O901" t="s">
        <v>40</v>
      </c>
      <c r="P901" t="s">
        <v>38</v>
      </c>
      <c r="Q901" t="s">
        <v>38</v>
      </c>
      <c r="R901" t="s">
        <v>40</v>
      </c>
      <c r="S901" t="s">
        <v>41</v>
      </c>
      <c r="T901" t="s">
        <v>2997</v>
      </c>
      <c r="U901" t="s">
        <v>2998</v>
      </c>
      <c r="V901" t="s">
        <v>2971</v>
      </c>
      <c r="W901" t="s">
        <v>2972</v>
      </c>
      <c r="Z901" t="s">
        <v>46</v>
      </c>
      <c r="AA901" t="s">
        <v>3058</v>
      </c>
      <c r="AB901" t="s">
        <v>2999</v>
      </c>
      <c r="AC901">
        <f>COUNTIF(C:C,QLKV_gui_ket_qua_ra_soat[[#This Row],[Mã điểm bán]])</f>
        <v>1</v>
      </c>
    </row>
    <row r="902" spans="1:29" x14ac:dyDescent="0.45">
      <c r="A902" t="s">
        <v>2965</v>
      </c>
      <c r="B902">
        <v>2289</v>
      </c>
      <c r="C902" t="s">
        <v>3751</v>
      </c>
      <c r="D902" t="s">
        <v>3752</v>
      </c>
      <c r="E902" t="s">
        <v>573</v>
      </c>
      <c r="F902" t="s">
        <v>53</v>
      </c>
      <c r="G902" t="s">
        <v>34</v>
      </c>
      <c r="H902" t="s">
        <v>54</v>
      </c>
      <c r="I902" t="s">
        <v>3753</v>
      </c>
      <c r="J902" t="s">
        <v>38</v>
      </c>
      <c r="K902" t="s">
        <v>38</v>
      </c>
      <c r="L902" t="s">
        <v>40</v>
      </c>
      <c r="M902" t="s">
        <v>38</v>
      </c>
      <c r="N902" t="s">
        <v>38</v>
      </c>
      <c r="O902" t="s">
        <v>40</v>
      </c>
      <c r="P902" t="s">
        <v>38</v>
      </c>
      <c r="Q902" t="s">
        <v>38</v>
      </c>
      <c r="R902" t="s">
        <v>40</v>
      </c>
      <c r="S902" t="s">
        <v>41</v>
      </c>
      <c r="T902" t="s">
        <v>3035</v>
      </c>
      <c r="U902" t="s">
        <v>2998</v>
      </c>
      <c r="V902" t="s">
        <v>2971</v>
      </c>
      <c r="W902" t="s">
        <v>2972</v>
      </c>
      <c r="X902" t="s">
        <v>46</v>
      </c>
      <c r="AB902" t="s">
        <v>117</v>
      </c>
      <c r="AC902">
        <f>COUNTIF(C:C,QLKV_gui_ket_qua_ra_soat[[#This Row],[Mã điểm bán]])</f>
        <v>1</v>
      </c>
    </row>
    <row r="903" spans="1:29" x14ac:dyDescent="0.45">
      <c r="A903" t="s">
        <v>2965</v>
      </c>
      <c r="B903">
        <v>2292</v>
      </c>
      <c r="C903" t="s">
        <v>3754</v>
      </c>
      <c r="D903" t="s">
        <v>3755</v>
      </c>
      <c r="E903" t="s">
        <v>534</v>
      </c>
      <c r="F903" t="s">
        <v>3264</v>
      </c>
      <c r="G903" t="s">
        <v>34</v>
      </c>
      <c r="H903" t="s">
        <v>54</v>
      </c>
      <c r="I903" t="s">
        <v>3756</v>
      </c>
      <c r="J903" t="s">
        <v>38</v>
      </c>
      <c r="K903" t="s">
        <v>38</v>
      </c>
      <c r="L903" t="s">
        <v>40</v>
      </c>
      <c r="M903" t="s">
        <v>38</v>
      </c>
      <c r="N903" t="s">
        <v>38</v>
      </c>
      <c r="O903" t="s">
        <v>40</v>
      </c>
      <c r="P903" t="s">
        <v>38</v>
      </c>
      <c r="Q903" t="s">
        <v>38</v>
      </c>
      <c r="R903" t="s">
        <v>40</v>
      </c>
      <c r="S903" t="s">
        <v>41</v>
      </c>
      <c r="T903" t="s">
        <v>2997</v>
      </c>
      <c r="U903" t="s">
        <v>2998</v>
      </c>
      <c r="V903" t="s">
        <v>2971</v>
      </c>
      <c r="W903" t="s">
        <v>2972</v>
      </c>
      <c r="X903" t="s">
        <v>46</v>
      </c>
      <c r="AC903">
        <f>COUNTIF(C:C,QLKV_gui_ket_qua_ra_soat[[#This Row],[Mã điểm bán]])</f>
        <v>1</v>
      </c>
    </row>
    <row r="904" spans="1:29" x14ac:dyDescent="0.45">
      <c r="A904" t="s">
        <v>2965</v>
      </c>
      <c r="B904">
        <v>2296</v>
      </c>
      <c r="C904" t="s">
        <v>3757</v>
      </c>
      <c r="D904" t="s">
        <v>3758</v>
      </c>
      <c r="E904" t="s">
        <v>109</v>
      </c>
      <c r="F904" t="s">
        <v>53</v>
      </c>
      <c r="G904" t="s">
        <v>34</v>
      </c>
      <c r="H904" t="s">
        <v>54</v>
      </c>
      <c r="I904" t="s">
        <v>3759</v>
      </c>
      <c r="J904" t="s">
        <v>38</v>
      </c>
      <c r="K904" t="s">
        <v>38</v>
      </c>
      <c r="L904" t="s">
        <v>40</v>
      </c>
      <c r="M904" t="s">
        <v>38</v>
      </c>
      <c r="N904" t="s">
        <v>38</v>
      </c>
      <c r="O904" t="s">
        <v>40</v>
      </c>
      <c r="P904" t="s">
        <v>38</v>
      </c>
      <c r="Q904" t="s">
        <v>38</v>
      </c>
      <c r="R904" t="s">
        <v>40</v>
      </c>
      <c r="S904" t="s">
        <v>3760</v>
      </c>
      <c r="T904" t="s">
        <v>3020</v>
      </c>
      <c r="U904" t="s">
        <v>3021</v>
      </c>
      <c r="V904" t="s">
        <v>2971</v>
      </c>
      <c r="W904" t="s">
        <v>2972</v>
      </c>
      <c r="X904" t="s">
        <v>46</v>
      </c>
      <c r="AC904">
        <f>COUNTIF(C:C,QLKV_gui_ket_qua_ra_soat[[#This Row],[Mã điểm bán]])</f>
        <v>1</v>
      </c>
    </row>
    <row r="905" spans="1:29" x14ac:dyDescent="0.45">
      <c r="A905" t="s">
        <v>2965</v>
      </c>
      <c r="B905">
        <v>2302</v>
      </c>
      <c r="C905" t="s">
        <v>3761</v>
      </c>
      <c r="D905" t="s">
        <v>3762</v>
      </c>
      <c r="E905" t="s">
        <v>3763</v>
      </c>
      <c r="F905" t="s">
        <v>3764</v>
      </c>
      <c r="G905" t="s">
        <v>34</v>
      </c>
      <c r="H905" t="s">
        <v>54</v>
      </c>
      <c r="I905" t="s">
        <v>3765</v>
      </c>
      <c r="J905" t="s">
        <v>38</v>
      </c>
      <c r="K905" t="s">
        <v>38</v>
      </c>
      <c r="L905" t="s">
        <v>40</v>
      </c>
      <c r="M905" t="s">
        <v>38</v>
      </c>
      <c r="N905" t="s">
        <v>37</v>
      </c>
      <c r="O905" t="s">
        <v>39</v>
      </c>
      <c r="P905" t="s">
        <v>38</v>
      </c>
      <c r="Q905" t="s">
        <v>37</v>
      </c>
      <c r="R905" t="s">
        <v>39</v>
      </c>
      <c r="S905" t="s">
        <v>41</v>
      </c>
      <c r="T905" t="s">
        <v>3192</v>
      </c>
      <c r="U905" t="s">
        <v>3046</v>
      </c>
      <c r="V905" t="s">
        <v>2971</v>
      </c>
      <c r="W905" t="s">
        <v>2972</v>
      </c>
      <c r="X905" t="s">
        <v>46</v>
      </c>
      <c r="AB905" t="s">
        <v>117</v>
      </c>
      <c r="AC905">
        <f>COUNTIF(C:C,QLKV_gui_ket_qua_ra_soat[[#This Row],[Mã điểm bán]])</f>
        <v>1</v>
      </c>
    </row>
    <row r="906" spans="1:29" x14ac:dyDescent="0.45">
      <c r="A906" t="s">
        <v>2965</v>
      </c>
      <c r="B906">
        <v>2304</v>
      </c>
      <c r="C906" t="s">
        <v>3766</v>
      </c>
      <c r="D906" t="s">
        <v>3767</v>
      </c>
      <c r="E906" t="s">
        <v>87</v>
      </c>
      <c r="F906" t="s">
        <v>53</v>
      </c>
      <c r="G906" t="s">
        <v>34</v>
      </c>
      <c r="H906" t="s">
        <v>54</v>
      </c>
      <c r="I906" t="s">
        <v>3768</v>
      </c>
      <c r="J906" t="s">
        <v>38</v>
      </c>
      <c r="K906" t="s">
        <v>38</v>
      </c>
      <c r="L906" t="s">
        <v>39</v>
      </c>
      <c r="M906" t="s">
        <v>38</v>
      </c>
      <c r="N906" t="s">
        <v>56</v>
      </c>
      <c r="O906" t="s">
        <v>39</v>
      </c>
      <c r="P906" t="s">
        <v>38</v>
      </c>
      <c r="Q906" t="s">
        <v>38</v>
      </c>
      <c r="R906" t="s">
        <v>39</v>
      </c>
      <c r="S906" t="s">
        <v>41</v>
      </c>
      <c r="T906" t="s">
        <v>3045</v>
      </c>
      <c r="U906" t="s">
        <v>3046</v>
      </c>
      <c r="V906" t="s">
        <v>2971</v>
      </c>
      <c r="W906" t="s">
        <v>2972</v>
      </c>
      <c r="X906" t="s">
        <v>46</v>
      </c>
      <c r="AC906">
        <f>COUNTIF(C:C,QLKV_gui_ket_qua_ra_soat[[#This Row],[Mã điểm bán]])</f>
        <v>1</v>
      </c>
    </row>
    <row r="907" spans="1:29" x14ac:dyDescent="0.45">
      <c r="A907" t="s">
        <v>2965</v>
      </c>
      <c r="B907">
        <v>2308</v>
      </c>
      <c r="C907" t="s">
        <v>3769</v>
      </c>
      <c r="D907" t="s">
        <v>3770</v>
      </c>
      <c r="E907" t="s">
        <v>3771</v>
      </c>
      <c r="F907" t="s">
        <v>53</v>
      </c>
      <c r="G907" t="s">
        <v>34</v>
      </c>
      <c r="H907" t="s">
        <v>54</v>
      </c>
      <c r="I907" t="s">
        <v>3772</v>
      </c>
      <c r="J907" t="s">
        <v>38</v>
      </c>
      <c r="K907" t="s">
        <v>38</v>
      </c>
      <c r="L907" t="s">
        <v>40</v>
      </c>
      <c r="M907" t="s">
        <v>38</v>
      </c>
      <c r="N907" t="s">
        <v>38</v>
      </c>
      <c r="O907" t="s">
        <v>40</v>
      </c>
      <c r="P907" t="s">
        <v>38</v>
      </c>
      <c r="Q907" t="s">
        <v>38</v>
      </c>
      <c r="R907" t="s">
        <v>40</v>
      </c>
      <c r="S907" t="s">
        <v>41</v>
      </c>
      <c r="T907" t="s">
        <v>2997</v>
      </c>
      <c r="U907" t="s">
        <v>2998</v>
      </c>
      <c r="V907" t="s">
        <v>2971</v>
      </c>
      <c r="W907" t="s">
        <v>2972</v>
      </c>
      <c r="X907" t="s">
        <v>46</v>
      </c>
      <c r="AC907">
        <f>COUNTIF(C:C,QLKV_gui_ket_qua_ra_soat[[#This Row],[Mã điểm bán]])</f>
        <v>1</v>
      </c>
    </row>
    <row r="908" spans="1:29" x14ac:dyDescent="0.45">
      <c r="A908" t="s">
        <v>2965</v>
      </c>
      <c r="B908">
        <v>2317</v>
      </c>
      <c r="C908" t="s">
        <v>3773</v>
      </c>
      <c r="D908" t="s">
        <v>3774</v>
      </c>
      <c r="E908" t="s">
        <v>3775</v>
      </c>
      <c r="F908" t="s">
        <v>53</v>
      </c>
      <c r="G908" t="s">
        <v>34</v>
      </c>
      <c r="H908" t="s">
        <v>54</v>
      </c>
      <c r="I908" t="s">
        <v>3776</v>
      </c>
      <c r="J908" t="s">
        <v>38</v>
      </c>
      <c r="K908" t="s">
        <v>38</v>
      </c>
      <c r="L908" t="s">
        <v>40</v>
      </c>
      <c r="M908" t="s">
        <v>38</v>
      </c>
      <c r="N908" t="s">
        <v>38</v>
      </c>
      <c r="O908" t="s">
        <v>40</v>
      </c>
      <c r="P908" t="s">
        <v>38</v>
      </c>
      <c r="Q908" t="s">
        <v>38</v>
      </c>
      <c r="R908" t="s">
        <v>40</v>
      </c>
      <c r="S908" t="s">
        <v>41</v>
      </c>
      <c r="T908" t="s">
        <v>2997</v>
      </c>
      <c r="U908" t="s">
        <v>2998</v>
      </c>
      <c r="V908" t="s">
        <v>2971</v>
      </c>
      <c r="W908" t="s">
        <v>2972</v>
      </c>
      <c r="X908" t="s">
        <v>46</v>
      </c>
      <c r="AC908">
        <f>COUNTIF(C:C,QLKV_gui_ket_qua_ra_soat[[#This Row],[Mã điểm bán]])</f>
        <v>1</v>
      </c>
    </row>
    <row r="909" spans="1:29" x14ac:dyDescent="0.45">
      <c r="A909" t="s">
        <v>2965</v>
      </c>
      <c r="B909">
        <v>2319</v>
      </c>
      <c r="C909" t="s">
        <v>3777</v>
      </c>
      <c r="D909" t="s">
        <v>3778</v>
      </c>
      <c r="E909" t="s">
        <v>3779</v>
      </c>
      <c r="F909" t="s">
        <v>3780</v>
      </c>
      <c r="G909" t="s">
        <v>34</v>
      </c>
      <c r="H909" t="s">
        <v>332</v>
      </c>
      <c r="I909" t="s">
        <v>3781</v>
      </c>
      <c r="J909" t="s">
        <v>38</v>
      </c>
      <c r="K909" t="s">
        <v>38</v>
      </c>
      <c r="L909" t="s">
        <v>40</v>
      </c>
      <c r="M909" t="s">
        <v>38</v>
      </c>
      <c r="N909" t="s">
        <v>38</v>
      </c>
      <c r="O909" t="s">
        <v>40</v>
      </c>
      <c r="P909" t="s">
        <v>38</v>
      </c>
      <c r="Q909" t="s">
        <v>38</v>
      </c>
      <c r="R909" t="s">
        <v>40</v>
      </c>
      <c r="S909" t="s">
        <v>41</v>
      </c>
      <c r="T909" t="s">
        <v>2997</v>
      </c>
      <c r="U909" t="s">
        <v>2998</v>
      </c>
      <c r="V909" t="s">
        <v>2971</v>
      </c>
      <c r="W909" t="s">
        <v>2972</v>
      </c>
      <c r="Z909" t="s">
        <v>46</v>
      </c>
      <c r="AA909" t="s">
        <v>3036</v>
      </c>
      <c r="AB909" t="s">
        <v>117</v>
      </c>
      <c r="AC909">
        <f>COUNTIF(C:C,QLKV_gui_ket_qua_ra_soat[[#This Row],[Mã điểm bán]])</f>
        <v>1</v>
      </c>
    </row>
    <row r="910" spans="1:29" x14ac:dyDescent="0.45">
      <c r="A910" t="s">
        <v>2965</v>
      </c>
      <c r="B910">
        <v>2369</v>
      </c>
      <c r="C910" t="s">
        <v>3782</v>
      </c>
      <c r="D910" t="s">
        <v>3783</v>
      </c>
      <c r="E910" t="s">
        <v>3784</v>
      </c>
      <c r="F910" t="s">
        <v>3764</v>
      </c>
      <c r="G910" t="s">
        <v>177</v>
      </c>
      <c r="H910" t="s">
        <v>54</v>
      </c>
      <c r="I910" t="s">
        <v>3785</v>
      </c>
      <c r="J910" t="s">
        <v>38</v>
      </c>
      <c r="K910" t="s">
        <v>38</v>
      </c>
      <c r="L910" t="s">
        <v>40</v>
      </c>
      <c r="M910" t="s">
        <v>38</v>
      </c>
      <c r="N910" t="s">
        <v>38</v>
      </c>
      <c r="O910" t="s">
        <v>39</v>
      </c>
      <c r="P910" t="s">
        <v>37</v>
      </c>
      <c r="Q910" t="s">
        <v>37</v>
      </c>
      <c r="R910" t="s">
        <v>39</v>
      </c>
      <c r="S910" t="s">
        <v>41</v>
      </c>
      <c r="T910" t="s">
        <v>3192</v>
      </c>
      <c r="U910" t="s">
        <v>3046</v>
      </c>
      <c r="V910" t="s">
        <v>2971</v>
      </c>
      <c r="W910" t="s">
        <v>2972</v>
      </c>
      <c r="Z910" t="s">
        <v>46</v>
      </c>
      <c r="AA910" t="s">
        <v>2983</v>
      </c>
      <c r="AC910">
        <f>COUNTIF(C:C,QLKV_gui_ket_qua_ra_soat[[#This Row],[Mã điểm bán]])</f>
        <v>1</v>
      </c>
    </row>
    <row r="911" spans="1:29" x14ac:dyDescent="0.45">
      <c r="A911" t="s">
        <v>2965</v>
      </c>
      <c r="B911">
        <v>2378</v>
      </c>
      <c r="C911" t="s">
        <v>3786</v>
      </c>
      <c r="D911" t="s">
        <v>3787</v>
      </c>
      <c r="E911" t="s">
        <v>176</v>
      </c>
      <c r="F911" t="s">
        <v>456</v>
      </c>
      <c r="G911" t="s">
        <v>177</v>
      </c>
      <c r="H911" t="s">
        <v>54</v>
      </c>
      <c r="I911" t="s">
        <v>3788</v>
      </c>
      <c r="J911" t="s">
        <v>37</v>
      </c>
      <c r="K911" t="s">
        <v>37</v>
      </c>
      <c r="L911" t="s">
        <v>40</v>
      </c>
      <c r="M911" t="s">
        <v>37</v>
      </c>
      <c r="N911" t="s">
        <v>37</v>
      </c>
      <c r="O911" t="s">
        <v>40</v>
      </c>
      <c r="P911" t="s">
        <v>38</v>
      </c>
      <c r="Q911" t="s">
        <v>38</v>
      </c>
      <c r="R911" t="s">
        <v>40</v>
      </c>
      <c r="S911" t="s">
        <v>3003</v>
      </c>
      <c r="T911" t="s">
        <v>2976</v>
      </c>
      <c r="U911" t="s">
        <v>2977</v>
      </c>
      <c r="V911" t="s">
        <v>2971</v>
      </c>
      <c r="W911" t="s">
        <v>2972</v>
      </c>
      <c r="X911" t="s">
        <v>46</v>
      </c>
      <c r="AC911">
        <f>COUNTIF(C:C,QLKV_gui_ket_qua_ra_soat[[#This Row],[Mã điểm bán]])</f>
        <v>1</v>
      </c>
    </row>
    <row r="912" spans="1:29" x14ac:dyDescent="0.45">
      <c r="A912" t="s">
        <v>2965</v>
      </c>
      <c r="B912">
        <v>2380</v>
      </c>
      <c r="C912" t="s">
        <v>3789</v>
      </c>
      <c r="D912" t="s">
        <v>3790</v>
      </c>
      <c r="E912" t="s">
        <v>3791</v>
      </c>
      <c r="F912" t="s">
        <v>53</v>
      </c>
      <c r="G912" t="s">
        <v>34</v>
      </c>
      <c r="H912" t="s">
        <v>54</v>
      </c>
      <c r="I912" t="s">
        <v>3792</v>
      </c>
      <c r="J912" t="s">
        <v>38</v>
      </c>
      <c r="K912" t="s">
        <v>38</v>
      </c>
      <c r="L912" t="s">
        <v>40</v>
      </c>
      <c r="M912" t="s">
        <v>38</v>
      </c>
      <c r="N912" t="s">
        <v>38</v>
      </c>
      <c r="O912" t="s">
        <v>39</v>
      </c>
      <c r="P912" t="s">
        <v>38</v>
      </c>
      <c r="Q912" t="s">
        <v>38</v>
      </c>
      <c r="R912" t="s">
        <v>39</v>
      </c>
      <c r="S912" t="s">
        <v>41</v>
      </c>
      <c r="T912" t="s">
        <v>2969</v>
      </c>
      <c r="U912" t="s">
        <v>2970</v>
      </c>
      <c r="V912" t="s">
        <v>2971</v>
      </c>
      <c r="W912" t="s">
        <v>2972</v>
      </c>
      <c r="X912" t="s">
        <v>46</v>
      </c>
      <c r="AB912" t="s">
        <v>3109</v>
      </c>
      <c r="AC912">
        <f>COUNTIF(C:C,QLKV_gui_ket_qua_ra_soat[[#This Row],[Mã điểm bán]])</f>
        <v>1</v>
      </c>
    </row>
    <row r="913" spans="1:29" x14ac:dyDescent="0.45">
      <c r="A913" t="s">
        <v>2965</v>
      </c>
      <c r="B913">
        <v>2391</v>
      </c>
      <c r="C913" t="s">
        <v>3793</v>
      </c>
      <c r="D913" t="s">
        <v>3794</v>
      </c>
      <c r="E913" t="s">
        <v>3795</v>
      </c>
      <c r="F913" t="s">
        <v>3705</v>
      </c>
      <c r="G913" t="s">
        <v>34</v>
      </c>
      <c r="H913" t="s">
        <v>54</v>
      </c>
      <c r="I913" t="s">
        <v>3796</v>
      </c>
      <c r="J913" t="s">
        <v>38</v>
      </c>
      <c r="K913" t="s">
        <v>38</v>
      </c>
      <c r="L913" t="s">
        <v>40</v>
      </c>
      <c r="M913" t="s">
        <v>37</v>
      </c>
      <c r="N913" t="s">
        <v>37</v>
      </c>
      <c r="O913" t="s">
        <v>39</v>
      </c>
      <c r="P913" t="s">
        <v>37</v>
      </c>
      <c r="Q913" t="s">
        <v>37</v>
      </c>
      <c r="R913" t="s">
        <v>39</v>
      </c>
      <c r="S913" t="s">
        <v>41</v>
      </c>
      <c r="T913" t="s">
        <v>3192</v>
      </c>
      <c r="U913" t="s">
        <v>3046</v>
      </c>
      <c r="V913" t="s">
        <v>2971</v>
      </c>
      <c r="W913" t="s">
        <v>2972</v>
      </c>
      <c r="X913" t="s">
        <v>46</v>
      </c>
      <c r="AC913">
        <f>COUNTIF(C:C,QLKV_gui_ket_qua_ra_soat[[#This Row],[Mã điểm bán]])</f>
        <v>1</v>
      </c>
    </row>
    <row r="914" spans="1:29" x14ac:dyDescent="0.45">
      <c r="A914" t="s">
        <v>2965</v>
      </c>
      <c r="B914">
        <v>2393</v>
      </c>
      <c r="C914" t="s">
        <v>3797</v>
      </c>
      <c r="D914" t="s">
        <v>3798</v>
      </c>
      <c r="E914" t="s">
        <v>148</v>
      </c>
      <c r="F914" t="s">
        <v>819</v>
      </c>
      <c r="G914" t="s">
        <v>34</v>
      </c>
      <c r="H914" t="s">
        <v>214</v>
      </c>
      <c r="I914" t="s">
        <v>3799</v>
      </c>
      <c r="J914" t="s">
        <v>38</v>
      </c>
      <c r="K914" t="s">
        <v>38</v>
      </c>
      <c r="L914" t="s">
        <v>40</v>
      </c>
      <c r="M914" t="s">
        <v>38</v>
      </c>
      <c r="N914" t="s">
        <v>38</v>
      </c>
      <c r="O914" t="s">
        <v>40</v>
      </c>
      <c r="P914" t="s">
        <v>38</v>
      </c>
      <c r="Q914" t="s">
        <v>38</v>
      </c>
      <c r="R914" t="s">
        <v>40</v>
      </c>
      <c r="S914" t="s">
        <v>41</v>
      </c>
      <c r="T914" t="s">
        <v>3035</v>
      </c>
      <c r="U914" t="s">
        <v>2998</v>
      </c>
      <c r="V914" t="s">
        <v>2971</v>
      </c>
      <c r="W914" t="s">
        <v>2972</v>
      </c>
      <c r="X914" t="s">
        <v>46</v>
      </c>
      <c r="AB914" t="s">
        <v>117</v>
      </c>
      <c r="AC914">
        <f>COUNTIF(C:C,QLKV_gui_ket_qua_ra_soat[[#This Row],[Mã điểm bán]])</f>
        <v>1</v>
      </c>
    </row>
    <row r="915" spans="1:29" x14ac:dyDescent="0.45">
      <c r="A915" t="s">
        <v>2965</v>
      </c>
      <c r="B915">
        <v>2397</v>
      </c>
      <c r="C915" t="s">
        <v>3800</v>
      </c>
      <c r="D915" t="s">
        <v>3801</v>
      </c>
      <c r="E915" t="s">
        <v>967</v>
      </c>
      <c r="F915" t="s">
        <v>53</v>
      </c>
      <c r="G915" t="s">
        <v>34</v>
      </c>
      <c r="H915" t="s">
        <v>54</v>
      </c>
      <c r="I915" t="s">
        <v>3802</v>
      </c>
      <c r="J915" t="s">
        <v>38</v>
      </c>
      <c r="K915" t="s">
        <v>38</v>
      </c>
      <c r="L915" t="s">
        <v>40</v>
      </c>
      <c r="M915" t="s">
        <v>38</v>
      </c>
      <c r="N915" t="s">
        <v>38</v>
      </c>
      <c r="O915" t="s">
        <v>40</v>
      </c>
      <c r="P915" t="s">
        <v>38</v>
      </c>
      <c r="Q915" t="s">
        <v>38</v>
      </c>
      <c r="R915" t="s">
        <v>40</v>
      </c>
      <c r="S915" t="s">
        <v>41</v>
      </c>
      <c r="T915" t="s">
        <v>3035</v>
      </c>
      <c r="U915" t="s">
        <v>2998</v>
      </c>
      <c r="V915" t="s">
        <v>2971</v>
      </c>
      <c r="W915" t="s">
        <v>2972</v>
      </c>
      <c r="X915" t="s">
        <v>46</v>
      </c>
      <c r="AC915">
        <f>COUNTIF(C:C,QLKV_gui_ket_qua_ra_soat[[#This Row],[Mã điểm bán]])</f>
        <v>1</v>
      </c>
    </row>
    <row r="916" spans="1:29" x14ac:dyDescent="0.45">
      <c r="A916" t="s">
        <v>2965</v>
      </c>
      <c r="B916">
        <v>2399</v>
      </c>
      <c r="C916" t="s">
        <v>3803</v>
      </c>
      <c r="D916" t="s">
        <v>3804</v>
      </c>
      <c r="E916" t="s">
        <v>69</v>
      </c>
      <c r="F916" t="s">
        <v>53</v>
      </c>
      <c r="G916" t="s">
        <v>34</v>
      </c>
      <c r="H916" t="s">
        <v>54</v>
      </c>
      <c r="I916" t="s">
        <v>3805</v>
      </c>
      <c r="J916" t="s">
        <v>38</v>
      </c>
      <c r="K916" t="s">
        <v>38</v>
      </c>
      <c r="L916" t="s">
        <v>40</v>
      </c>
      <c r="M916" t="s">
        <v>37</v>
      </c>
      <c r="N916" t="s">
        <v>37</v>
      </c>
      <c r="O916" t="s">
        <v>39</v>
      </c>
      <c r="P916" t="s">
        <v>37</v>
      </c>
      <c r="Q916" t="s">
        <v>37</v>
      </c>
      <c r="R916" t="s">
        <v>39</v>
      </c>
      <c r="S916" t="s">
        <v>41</v>
      </c>
      <c r="T916" t="s">
        <v>3192</v>
      </c>
      <c r="U916" t="s">
        <v>3046</v>
      </c>
      <c r="V916" t="s">
        <v>2971</v>
      </c>
      <c r="W916" t="s">
        <v>2972</v>
      </c>
      <c r="X916" t="s">
        <v>46</v>
      </c>
      <c r="AC916">
        <f>COUNTIF(C:C,QLKV_gui_ket_qua_ra_soat[[#This Row],[Mã điểm bán]])</f>
        <v>1</v>
      </c>
    </row>
    <row r="917" spans="1:29" x14ac:dyDescent="0.45">
      <c r="A917" t="s">
        <v>2965</v>
      </c>
      <c r="B917">
        <v>2400</v>
      </c>
      <c r="C917" t="s">
        <v>3806</v>
      </c>
      <c r="D917" t="s">
        <v>3807</v>
      </c>
      <c r="E917" t="s">
        <v>157</v>
      </c>
      <c r="F917" t="s">
        <v>401</v>
      </c>
      <c r="G917" t="s">
        <v>177</v>
      </c>
      <c r="H917" t="s">
        <v>54</v>
      </c>
      <c r="I917" t="s">
        <v>3808</v>
      </c>
      <c r="J917" t="s">
        <v>37</v>
      </c>
      <c r="K917" t="s">
        <v>37</v>
      </c>
      <c r="L917" t="s">
        <v>40</v>
      </c>
      <c r="M917" t="s">
        <v>37</v>
      </c>
      <c r="N917" t="s">
        <v>37</v>
      </c>
      <c r="O917" t="s">
        <v>40</v>
      </c>
      <c r="P917" t="s">
        <v>38</v>
      </c>
      <c r="Q917" t="s">
        <v>38</v>
      </c>
      <c r="R917" t="s">
        <v>40</v>
      </c>
      <c r="S917" t="s">
        <v>3579</v>
      </c>
      <c r="T917" t="s">
        <v>2976</v>
      </c>
      <c r="U917" t="s">
        <v>2977</v>
      </c>
      <c r="V917" t="s">
        <v>2971</v>
      </c>
      <c r="W917" t="s">
        <v>2972</v>
      </c>
      <c r="X917" t="s">
        <v>46</v>
      </c>
      <c r="AC917">
        <f>COUNTIF(C:C,QLKV_gui_ket_qua_ra_soat[[#This Row],[Mã điểm bán]])</f>
        <v>1</v>
      </c>
    </row>
    <row r="918" spans="1:29" x14ac:dyDescent="0.45">
      <c r="A918" t="s">
        <v>2965</v>
      </c>
      <c r="B918">
        <v>2404</v>
      </c>
      <c r="C918" t="s">
        <v>3809</v>
      </c>
      <c r="D918" t="s">
        <v>3810</v>
      </c>
      <c r="E918" t="s">
        <v>455</v>
      </c>
      <c r="F918" t="s">
        <v>684</v>
      </c>
      <c r="G918" t="s">
        <v>177</v>
      </c>
      <c r="H918" t="s">
        <v>54</v>
      </c>
      <c r="I918" t="s">
        <v>3811</v>
      </c>
      <c r="J918" t="s">
        <v>38</v>
      </c>
      <c r="K918" t="s">
        <v>38</v>
      </c>
      <c r="L918" t="s">
        <v>40</v>
      </c>
      <c r="M918" t="s">
        <v>38</v>
      </c>
      <c r="N918" t="s">
        <v>37</v>
      </c>
      <c r="O918" t="s">
        <v>39</v>
      </c>
      <c r="P918" t="s">
        <v>38</v>
      </c>
      <c r="Q918" t="s">
        <v>38</v>
      </c>
      <c r="R918" t="s">
        <v>40</v>
      </c>
      <c r="S918" t="s">
        <v>3812</v>
      </c>
      <c r="T918" t="s">
        <v>3020</v>
      </c>
      <c r="U918" t="s">
        <v>3021</v>
      </c>
      <c r="V918" t="s">
        <v>2971</v>
      </c>
      <c r="W918" t="s">
        <v>2972</v>
      </c>
      <c r="X918" t="s">
        <v>46</v>
      </c>
      <c r="AC918">
        <f>COUNTIF(C:C,QLKV_gui_ket_qua_ra_soat[[#This Row],[Mã điểm bán]])</f>
        <v>1</v>
      </c>
    </row>
    <row r="919" spans="1:29" x14ac:dyDescent="0.45">
      <c r="A919" t="s">
        <v>2965</v>
      </c>
      <c r="B919">
        <v>2406</v>
      </c>
      <c r="C919" t="s">
        <v>3813</v>
      </c>
      <c r="D919" t="s">
        <v>3814</v>
      </c>
      <c r="E919" t="s">
        <v>189</v>
      </c>
      <c r="F919" t="s">
        <v>53</v>
      </c>
      <c r="G919" t="s">
        <v>34</v>
      </c>
      <c r="H919" t="s">
        <v>54</v>
      </c>
      <c r="I919" t="s">
        <v>3815</v>
      </c>
      <c r="J919" t="s">
        <v>37</v>
      </c>
      <c r="K919" t="s">
        <v>37</v>
      </c>
      <c r="L919" t="s">
        <v>39</v>
      </c>
      <c r="M919" t="s">
        <v>37</v>
      </c>
      <c r="N919" t="s">
        <v>37</v>
      </c>
      <c r="O919" t="s">
        <v>39</v>
      </c>
      <c r="P919" t="s">
        <v>38</v>
      </c>
      <c r="Q919" t="s">
        <v>38</v>
      </c>
      <c r="R919" t="s">
        <v>39</v>
      </c>
      <c r="S919" t="s">
        <v>41</v>
      </c>
      <c r="T919" t="s">
        <v>3057</v>
      </c>
      <c r="U919" t="s">
        <v>2970</v>
      </c>
      <c r="V919" t="s">
        <v>2971</v>
      </c>
      <c r="W919" t="s">
        <v>2972</v>
      </c>
      <c r="X919" t="s">
        <v>46</v>
      </c>
      <c r="AB919" t="s">
        <v>117</v>
      </c>
      <c r="AC919">
        <f>COUNTIF(C:C,QLKV_gui_ket_qua_ra_soat[[#This Row],[Mã điểm bán]])</f>
        <v>1</v>
      </c>
    </row>
    <row r="920" spans="1:29" x14ac:dyDescent="0.45">
      <c r="A920" t="s">
        <v>2965</v>
      </c>
      <c r="B920">
        <v>2415</v>
      </c>
      <c r="C920" t="s">
        <v>3816</v>
      </c>
      <c r="D920" t="s">
        <v>3817</v>
      </c>
      <c r="E920" t="s">
        <v>3818</v>
      </c>
      <c r="F920" t="s">
        <v>3705</v>
      </c>
      <c r="G920" t="s">
        <v>34</v>
      </c>
      <c r="H920" t="s">
        <v>54</v>
      </c>
      <c r="I920" t="s">
        <v>3819</v>
      </c>
      <c r="J920" t="s">
        <v>38</v>
      </c>
      <c r="K920" t="s">
        <v>38</v>
      </c>
      <c r="L920" t="s">
        <v>39</v>
      </c>
      <c r="M920" t="s">
        <v>37</v>
      </c>
      <c r="N920" t="s">
        <v>37</v>
      </c>
      <c r="O920" t="s">
        <v>39</v>
      </c>
      <c r="P920" t="s">
        <v>37</v>
      </c>
      <c r="Q920" t="s">
        <v>37</v>
      </c>
      <c r="R920" t="s">
        <v>39</v>
      </c>
      <c r="S920" t="s">
        <v>41</v>
      </c>
      <c r="T920" t="s">
        <v>3192</v>
      </c>
      <c r="U920" t="s">
        <v>3046</v>
      </c>
      <c r="V920" t="s">
        <v>2971</v>
      </c>
      <c r="W920" t="s">
        <v>2972</v>
      </c>
      <c r="X920" t="s">
        <v>46</v>
      </c>
      <c r="AB920" t="s">
        <v>117</v>
      </c>
      <c r="AC920">
        <f>COUNTIF(C:C,QLKV_gui_ket_qua_ra_soat[[#This Row],[Mã điểm bán]])</f>
        <v>1</v>
      </c>
    </row>
    <row r="921" spans="1:29" x14ac:dyDescent="0.45">
      <c r="A921" t="s">
        <v>2965</v>
      </c>
      <c r="B921">
        <v>2421</v>
      </c>
      <c r="C921" t="s">
        <v>3820</v>
      </c>
      <c r="D921" t="s">
        <v>3821</v>
      </c>
      <c r="E921" t="s">
        <v>3822</v>
      </c>
      <c r="F921" t="s">
        <v>53</v>
      </c>
      <c r="G921" t="s">
        <v>34</v>
      </c>
      <c r="H921" t="s">
        <v>54</v>
      </c>
      <c r="I921" t="s">
        <v>3823</v>
      </c>
      <c r="J921" t="s">
        <v>38</v>
      </c>
      <c r="K921" t="s">
        <v>38</v>
      </c>
      <c r="L921" t="s">
        <v>40</v>
      </c>
      <c r="M921" t="s">
        <v>38</v>
      </c>
      <c r="N921" t="s">
        <v>38</v>
      </c>
      <c r="O921" t="s">
        <v>39</v>
      </c>
      <c r="P921" t="s">
        <v>38</v>
      </c>
      <c r="Q921" t="s">
        <v>38</v>
      </c>
      <c r="R921" t="s">
        <v>39</v>
      </c>
      <c r="S921" t="s">
        <v>41</v>
      </c>
      <c r="T921" t="s">
        <v>2969</v>
      </c>
      <c r="U921" t="s">
        <v>2970</v>
      </c>
      <c r="V921" t="s">
        <v>2971</v>
      </c>
      <c r="W921" t="s">
        <v>2972</v>
      </c>
      <c r="Z921" t="s">
        <v>46</v>
      </c>
      <c r="AA921" t="s">
        <v>3158</v>
      </c>
      <c r="AB921" t="s">
        <v>117</v>
      </c>
      <c r="AC921">
        <f>COUNTIF(C:C,QLKV_gui_ket_qua_ra_soat[[#This Row],[Mã điểm bán]])</f>
        <v>1</v>
      </c>
    </row>
    <row r="922" spans="1:29" x14ac:dyDescent="0.45">
      <c r="A922" t="s">
        <v>2965</v>
      </c>
      <c r="B922">
        <v>2422</v>
      </c>
      <c r="C922" t="s">
        <v>3824</v>
      </c>
      <c r="D922" t="s">
        <v>3825</v>
      </c>
      <c r="E922" t="s">
        <v>3826</v>
      </c>
      <c r="F922" t="s">
        <v>930</v>
      </c>
      <c r="G922" t="s">
        <v>34</v>
      </c>
      <c r="H922" t="s">
        <v>54</v>
      </c>
      <c r="I922" t="s">
        <v>3827</v>
      </c>
      <c r="J922" t="s">
        <v>38</v>
      </c>
      <c r="K922" t="s">
        <v>38</v>
      </c>
      <c r="L922" t="s">
        <v>39</v>
      </c>
      <c r="M922" t="s">
        <v>37</v>
      </c>
      <c r="N922" t="s">
        <v>37</v>
      </c>
      <c r="O922" t="s">
        <v>39</v>
      </c>
      <c r="P922" t="s">
        <v>38</v>
      </c>
      <c r="Q922" t="s">
        <v>38</v>
      </c>
      <c r="R922" t="s">
        <v>39</v>
      </c>
      <c r="S922" t="s">
        <v>41</v>
      </c>
      <c r="T922" t="s">
        <v>3057</v>
      </c>
      <c r="U922" t="s">
        <v>2970</v>
      </c>
      <c r="V922" t="s">
        <v>2971</v>
      </c>
      <c r="W922" t="s">
        <v>2972</v>
      </c>
      <c r="X922" t="s">
        <v>46</v>
      </c>
      <c r="AC922">
        <f>COUNTIF(C:C,QLKV_gui_ket_qua_ra_soat[[#This Row],[Mã điểm bán]])</f>
        <v>1</v>
      </c>
    </row>
    <row r="923" spans="1:29" x14ac:dyDescent="0.45">
      <c r="A923" t="s">
        <v>2965</v>
      </c>
      <c r="B923">
        <v>2427</v>
      </c>
      <c r="C923" t="s">
        <v>3828</v>
      </c>
      <c r="D923" t="s">
        <v>3829</v>
      </c>
      <c r="E923" t="s">
        <v>1104</v>
      </c>
      <c r="F923" t="s">
        <v>53</v>
      </c>
      <c r="G923" t="s">
        <v>34</v>
      </c>
      <c r="H923" t="s">
        <v>54</v>
      </c>
      <c r="I923" t="s">
        <v>3830</v>
      </c>
      <c r="J923" t="s">
        <v>38</v>
      </c>
      <c r="K923" t="s">
        <v>38</v>
      </c>
      <c r="L923" t="s">
        <v>39</v>
      </c>
      <c r="M923" t="s">
        <v>37</v>
      </c>
      <c r="N923" t="s">
        <v>38</v>
      </c>
      <c r="O923" t="s">
        <v>39</v>
      </c>
      <c r="P923" t="s">
        <v>38</v>
      </c>
      <c r="Q923" t="s">
        <v>38</v>
      </c>
      <c r="R923" t="s">
        <v>39</v>
      </c>
      <c r="S923" t="s">
        <v>41</v>
      </c>
      <c r="T923" t="s">
        <v>3057</v>
      </c>
      <c r="U923" t="s">
        <v>2970</v>
      </c>
      <c r="V923" t="s">
        <v>2971</v>
      </c>
      <c r="W923" t="s">
        <v>2972</v>
      </c>
      <c r="X923" t="s">
        <v>46</v>
      </c>
      <c r="AC923">
        <f>COUNTIF(C:C,QLKV_gui_ket_qua_ra_soat[[#This Row],[Mã điểm bán]])</f>
        <v>1</v>
      </c>
    </row>
    <row r="924" spans="1:29" x14ac:dyDescent="0.45">
      <c r="A924" t="s">
        <v>2965</v>
      </c>
      <c r="B924">
        <v>2429</v>
      </c>
      <c r="C924" t="s">
        <v>3831</v>
      </c>
      <c r="D924" t="s">
        <v>3832</v>
      </c>
      <c r="E924" t="s">
        <v>1043</v>
      </c>
      <c r="F924" t="s">
        <v>53</v>
      </c>
      <c r="G924" t="s">
        <v>34</v>
      </c>
      <c r="H924" t="s">
        <v>54</v>
      </c>
      <c r="I924" t="s">
        <v>3833</v>
      </c>
      <c r="J924" t="s">
        <v>38</v>
      </c>
      <c r="K924" t="s">
        <v>38</v>
      </c>
      <c r="L924" t="s">
        <v>40</v>
      </c>
      <c r="M924" t="s">
        <v>38</v>
      </c>
      <c r="N924" t="s">
        <v>38</v>
      </c>
      <c r="O924" t="s">
        <v>40</v>
      </c>
      <c r="P924" t="s">
        <v>38</v>
      </c>
      <c r="Q924" t="s">
        <v>38</v>
      </c>
      <c r="R924" t="s">
        <v>40</v>
      </c>
      <c r="S924" t="s">
        <v>41</v>
      </c>
      <c r="T924" t="s">
        <v>2997</v>
      </c>
      <c r="U924" t="s">
        <v>2998</v>
      </c>
      <c r="V924" t="s">
        <v>2971</v>
      </c>
      <c r="W924" t="s">
        <v>2972</v>
      </c>
      <c r="X924" t="s">
        <v>46</v>
      </c>
      <c r="AC924">
        <f>COUNTIF(C:C,QLKV_gui_ket_qua_ra_soat[[#This Row],[Mã điểm bán]])</f>
        <v>1</v>
      </c>
    </row>
    <row r="925" spans="1:29" x14ac:dyDescent="0.45">
      <c r="A925" t="s">
        <v>2965</v>
      </c>
      <c r="B925">
        <v>2431</v>
      </c>
      <c r="C925" t="s">
        <v>3834</v>
      </c>
      <c r="D925" t="s">
        <v>3835</v>
      </c>
      <c r="E925" t="s">
        <v>75</v>
      </c>
      <c r="F925" t="s">
        <v>417</v>
      </c>
      <c r="G925" t="s">
        <v>177</v>
      </c>
      <c r="H925" t="s">
        <v>685</v>
      </c>
      <c r="I925" t="s">
        <v>3836</v>
      </c>
      <c r="J925" t="s">
        <v>38</v>
      </c>
      <c r="K925" t="s">
        <v>38</v>
      </c>
      <c r="L925" t="s">
        <v>40</v>
      </c>
      <c r="M925" t="s">
        <v>38</v>
      </c>
      <c r="N925" t="s">
        <v>56</v>
      </c>
      <c r="O925" t="s">
        <v>121</v>
      </c>
      <c r="P925" t="s">
        <v>38</v>
      </c>
      <c r="Q925" t="s">
        <v>38</v>
      </c>
      <c r="R925" t="s">
        <v>40</v>
      </c>
      <c r="S925" t="s">
        <v>3837</v>
      </c>
      <c r="T925" t="s">
        <v>3020</v>
      </c>
      <c r="U925" t="s">
        <v>3021</v>
      </c>
      <c r="V925" t="s">
        <v>2971</v>
      </c>
      <c r="W925" t="s">
        <v>2972</v>
      </c>
      <c r="X925" t="s">
        <v>46</v>
      </c>
      <c r="AB925" t="s">
        <v>2999</v>
      </c>
      <c r="AC925">
        <f>COUNTIF(C:C,QLKV_gui_ket_qua_ra_soat[[#This Row],[Mã điểm bán]])</f>
        <v>1</v>
      </c>
    </row>
    <row r="926" spans="1:29" x14ac:dyDescent="0.45">
      <c r="A926" t="s">
        <v>2965</v>
      </c>
      <c r="B926">
        <v>2438</v>
      </c>
      <c r="C926" t="s">
        <v>3838</v>
      </c>
      <c r="D926" t="s">
        <v>3839</v>
      </c>
      <c r="E926" t="s">
        <v>3840</v>
      </c>
      <c r="F926" t="s">
        <v>53</v>
      </c>
      <c r="G926" t="s">
        <v>34</v>
      </c>
      <c r="H926" t="s">
        <v>54</v>
      </c>
      <c r="I926" t="s">
        <v>3841</v>
      </c>
      <c r="J926" t="s">
        <v>38</v>
      </c>
      <c r="K926" t="s">
        <v>38</v>
      </c>
      <c r="L926" t="s">
        <v>39</v>
      </c>
      <c r="M926" t="s">
        <v>37</v>
      </c>
      <c r="N926" t="s">
        <v>37</v>
      </c>
      <c r="O926" t="s">
        <v>39</v>
      </c>
      <c r="P926" t="s">
        <v>37</v>
      </c>
      <c r="Q926" t="s">
        <v>37</v>
      </c>
      <c r="R926" t="s">
        <v>39</v>
      </c>
      <c r="S926" t="s">
        <v>41</v>
      </c>
      <c r="T926" t="s">
        <v>3192</v>
      </c>
      <c r="U926" t="s">
        <v>3046</v>
      </c>
      <c r="V926" t="s">
        <v>2971</v>
      </c>
      <c r="W926" t="s">
        <v>2972</v>
      </c>
      <c r="X926" t="s">
        <v>46</v>
      </c>
      <c r="AC926">
        <f>COUNTIF(C:C,QLKV_gui_ket_qua_ra_soat[[#This Row],[Mã điểm bán]])</f>
        <v>1</v>
      </c>
    </row>
    <row r="927" spans="1:29" x14ac:dyDescent="0.45">
      <c r="A927" t="s">
        <v>2965</v>
      </c>
      <c r="B927">
        <v>2442</v>
      </c>
      <c r="C927" t="s">
        <v>3842</v>
      </c>
      <c r="D927" t="s">
        <v>3843</v>
      </c>
      <c r="E927" t="s">
        <v>190</v>
      </c>
      <c r="F927" t="s">
        <v>53</v>
      </c>
      <c r="G927" t="s">
        <v>34</v>
      </c>
      <c r="H927" t="s">
        <v>54</v>
      </c>
      <c r="I927" t="s">
        <v>3844</v>
      </c>
      <c r="J927" t="s">
        <v>38</v>
      </c>
      <c r="K927" t="s">
        <v>38</v>
      </c>
      <c r="L927" t="s">
        <v>40</v>
      </c>
      <c r="M927" t="s">
        <v>38</v>
      </c>
      <c r="N927" t="s">
        <v>38</v>
      </c>
      <c r="O927" t="s">
        <v>40</v>
      </c>
      <c r="P927" t="s">
        <v>38</v>
      </c>
      <c r="Q927" t="s">
        <v>38</v>
      </c>
      <c r="R927" t="s">
        <v>40</v>
      </c>
      <c r="S927" t="s">
        <v>41</v>
      </c>
      <c r="T927" t="s">
        <v>3035</v>
      </c>
      <c r="U927" t="s">
        <v>2998</v>
      </c>
      <c r="V927" t="s">
        <v>2971</v>
      </c>
      <c r="W927" t="s">
        <v>2972</v>
      </c>
      <c r="X927" t="s">
        <v>46</v>
      </c>
      <c r="AC927">
        <f>COUNTIF(C:C,QLKV_gui_ket_qua_ra_soat[[#This Row],[Mã điểm bán]])</f>
        <v>1</v>
      </c>
    </row>
    <row r="928" spans="1:29" x14ac:dyDescent="0.45">
      <c r="A928" t="s">
        <v>2965</v>
      </c>
      <c r="B928">
        <v>2452</v>
      </c>
      <c r="C928" t="s">
        <v>3845</v>
      </c>
      <c r="D928" t="s">
        <v>3846</v>
      </c>
      <c r="E928" t="s">
        <v>3847</v>
      </c>
      <c r="F928" t="s">
        <v>53</v>
      </c>
      <c r="G928" t="s">
        <v>34</v>
      </c>
      <c r="H928" t="s">
        <v>54</v>
      </c>
      <c r="I928" t="s">
        <v>3848</v>
      </c>
      <c r="J928" t="s">
        <v>37</v>
      </c>
      <c r="K928" t="s">
        <v>37</v>
      </c>
      <c r="L928" t="s">
        <v>39</v>
      </c>
      <c r="M928" t="s">
        <v>37</v>
      </c>
      <c r="N928" t="s">
        <v>56</v>
      </c>
      <c r="O928" t="s">
        <v>39</v>
      </c>
      <c r="P928" t="s">
        <v>38</v>
      </c>
      <c r="Q928" t="s">
        <v>38</v>
      </c>
      <c r="R928" t="s">
        <v>40</v>
      </c>
      <c r="S928" t="s">
        <v>41</v>
      </c>
      <c r="T928" t="s">
        <v>2969</v>
      </c>
      <c r="U928" t="s">
        <v>2970</v>
      </c>
      <c r="V928" t="s">
        <v>2971</v>
      </c>
      <c r="W928" t="s">
        <v>2972</v>
      </c>
      <c r="X928" t="s">
        <v>46</v>
      </c>
      <c r="AB928" t="s">
        <v>94</v>
      </c>
      <c r="AC928">
        <f>COUNTIF(C:C,QLKV_gui_ket_qua_ra_soat[[#This Row],[Mã điểm bán]])</f>
        <v>1</v>
      </c>
    </row>
    <row r="929" spans="1:29" x14ac:dyDescent="0.45">
      <c r="A929" t="s">
        <v>2965</v>
      </c>
      <c r="B929">
        <v>2464</v>
      </c>
      <c r="C929" t="s">
        <v>3849</v>
      </c>
      <c r="D929" t="s">
        <v>3850</v>
      </c>
      <c r="E929" t="s">
        <v>255</v>
      </c>
      <c r="F929" t="s">
        <v>53</v>
      </c>
      <c r="G929" t="s">
        <v>34</v>
      </c>
      <c r="H929" t="s">
        <v>54</v>
      </c>
      <c r="I929" t="s">
        <v>3851</v>
      </c>
      <c r="J929" t="s">
        <v>38</v>
      </c>
      <c r="K929" t="s">
        <v>38</v>
      </c>
      <c r="L929" t="s">
        <v>40</v>
      </c>
      <c r="M929" t="s">
        <v>38</v>
      </c>
      <c r="N929" t="s">
        <v>38</v>
      </c>
      <c r="O929" t="s">
        <v>40</v>
      </c>
      <c r="P929" t="s">
        <v>38</v>
      </c>
      <c r="Q929" t="s">
        <v>38</v>
      </c>
      <c r="R929" t="s">
        <v>40</v>
      </c>
      <c r="S929" t="s">
        <v>41</v>
      </c>
      <c r="T929" t="s">
        <v>3035</v>
      </c>
      <c r="U929" t="s">
        <v>2998</v>
      </c>
      <c r="V929" t="s">
        <v>2971</v>
      </c>
      <c r="W929" t="s">
        <v>2972</v>
      </c>
      <c r="X929" t="s">
        <v>46</v>
      </c>
      <c r="AB929" t="s">
        <v>117</v>
      </c>
      <c r="AC929">
        <f>COUNTIF(C:C,QLKV_gui_ket_qua_ra_soat[[#This Row],[Mã điểm bán]])</f>
        <v>1</v>
      </c>
    </row>
    <row r="930" spans="1:29" x14ac:dyDescent="0.45">
      <c r="A930" t="s">
        <v>2965</v>
      </c>
      <c r="B930">
        <v>2465</v>
      </c>
      <c r="C930" t="s">
        <v>3852</v>
      </c>
      <c r="D930" t="s">
        <v>3853</v>
      </c>
      <c r="E930" t="s">
        <v>3854</v>
      </c>
      <c r="F930" t="s">
        <v>1573</v>
      </c>
      <c r="G930" t="s">
        <v>177</v>
      </c>
      <c r="H930" t="s">
        <v>54</v>
      </c>
      <c r="I930" t="s">
        <v>3855</v>
      </c>
      <c r="J930" t="s">
        <v>38</v>
      </c>
      <c r="K930" t="s">
        <v>38</v>
      </c>
      <c r="L930" t="s">
        <v>39</v>
      </c>
      <c r="M930" t="s">
        <v>38</v>
      </c>
      <c r="N930" t="s">
        <v>37</v>
      </c>
      <c r="O930" t="s">
        <v>39</v>
      </c>
      <c r="P930" t="s">
        <v>38</v>
      </c>
      <c r="Q930" t="s">
        <v>38</v>
      </c>
      <c r="R930" t="s">
        <v>39</v>
      </c>
      <c r="S930" t="s">
        <v>41</v>
      </c>
      <c r="T930" t="s">
        <v>3045</v>
      </c>
      <c r="U930" t="s">
        <v>3046</v>
      </c>
      <c r="V930" t="s">
        <v>2971</v>
      </c>
      <c r="W930" t="s">
        <v>2972</v>
      </c>
      <c r="Z930" t="s">
        <v>46</v>
      </c>
      <c r="AA930" t="s">
        <v>2983</v>
      </c>
      <c r="AB930" t="s">
        <v>2999</v>
      </c>
      <c r="AC930">
        <f>COUNTIF(C:C,QLKV_gui_ket_qua_ra_soat[[#This Row],[Mã điểm bán]])</f>
        <v>1</v>
      </c>
    </row>
    <row r="931" spans="1:29" x14ac:dyDescent="0.45">
      <c r="A931" t="s">
        <v>2965</v>
      </c>
      <c r="B931">
        <v>2470</v>
      </c>
      <c r="C931" t="s">
        <v>3856</v>
      </c>
      <c r="D931" t="s">
        <v>3857</v>
      </c>
      <c r="E931" t="s">
        <v>3858</v>
      </c>
      <c r="F931" t="s">
        <v>53</v>
      </c>
      <c r="G931" t="s">
        <v>34</v>
      </c>
      <c r="H931" t="s">
        <v>54</v>
      </c>
      <c r="I931" t="s">
        <v>3859</v>
      </c>
      <c r="J931" t="s">
        <v>38</v>
      </c>
      <c r="K931" t="s">
        <v>38</v>
      </c>
      <c r="L931" t="s">
        <v>40</v>
      </c>
      <c r="M931" t="s">
        <v>38</v>
      </c>
      <c r="N931" t="s">
        <v>38</v>
      </c>
      <c r="O931" t="s">
        <v>40</v>
      </c>
      <c r="P931" t="s">
        <v>38</v>
      </c>
      <c r="Q931" t="s">
        <v>38</v>
      </c>
      <c r="R931" t="s">
        <v>40</v>
      </c>
      <c r="S931" t="s">
        <v>41</v>
      </c>
      <c r="T931" t="s">
        <v>2997</v>
      </c>
      <c r="U931" t="s">
        <v>2998</v>
      </c>
      <c r="V931" t="s">
        <v>2971</v>
      </c>
      <c r="W931" t="s">
        <v>2978</v>
      </c>
      <c r="X931" t="s">
        <v>46</v>
      </c>
      <c r="AB931" t="s">
        <v>2999</v>
      </c>
      <c r="AC931">
        <f>COUNTIF(C:C,QLKV_gui_ket_qua_ra_soat[[#This Row],[Mã điểm bán]])</f>
        <v>1</v>
      </c>
    </row>
    <row r="932" spans="1:29" x14ac:dyDescent="0.45">
      <c r="A932" t="s">
        <v>2965</v>
      </c>
      <c r="B932">
        <v>2475</v>
      </c>
      <c r="C932" t="s">
        <v>3860</v>
      </c>
      <c r="D932" t="s">
        <v>3861</v>
      </c>
      <c r="E932" t="s">
        <v>207</v>
      </c>
      <c r="F932" t="s">
        <v>53</v>
      </c>
      <c r="G932" t="s">
        <v>34</v>
      </c>
      <c r="H932" t="s">
        <v>54</v>
      </c>
      <c r="I932" t="s">
        <v>3862</v>
      </c>
      <c r="J932" t="s">
        <v>38</v>
      </c>
      <c r="K932" t="s">
        <v>38</v>
      </c>
      <c r="L932" t="s">
        <v>40</v>
      </c>
      <c r="M932" t="s">
        <v>38</v>
      </c>
      <c r="N932" t="s">
        <v>38</v>
      </c>
      <c r="O932" t="s">
        <v>40</v>
      </c>
      <c r="P932" t="s">
        <v>38</v>
      </c>
      <c r="Q932" t="s">
        <v>38</v>
      </c>
      <c r="R932" t="s">
        <v>40</v>
      </c>
      <c r="S932" t="s">
        <v>3863</v>
      </c>
      <c r="T932" t="s">
        <v>3020</v>
      </c>
      <c r="U932" t="s">
        <v>3021</v>
      </c>
      <c r="V932" t="s">
        <v>2971</v>
      </c>
      <c r="W932" t="s">
        <v>2972</v>
      </c>
      <c r="X932" t="s">
        <v>46</v>
      </c>
      <c r="AC932">
        <f>COUNTIF(C:C,QLKV_gui_ket_qua_ra_soat[[#This Row],[Mã điểm bán]])</f>
        <v>1</v>
      </c>
    </row>
    <row r="933" spans="1:29" x14ac:dyDescent="0.45">
      <c r="A933" t="s">
        <v>2965</v>
      </c>
      <c r="B933">
        <v>2494</v>
      </c>
      <c r="C933" t="s">
        <v>3864</v>
      </c>
      <c r="D933" t="s">
        <v>3865</v>
      </c>
      <c r="E933" t="s">
        <v>3866</v>
      </c>
      <c r="F933" t="s">
        <v>1024</v>
      </c>
      <c r="G933" t="s">
        <v>34</v>
      </c>
      <c r="H933" t="s">
        <v>54</v>
      </c>
      <c r="I933" t="s">
        <v>3867</v>
      </c>
      <c r="J933" t="s">
        <v>38</v>
      </c>
      <c r="K933" t="s">
        <v>38</v>
      </c>
      <c r="L933" t="s">
        <v>39</v>
      </c>
      <c r="M933" t="s">
        <v>38</v>
      </c>
      <c r="N933" t="s">
        <v>37</v>
      </c>
      <c r="O933" t="s">
        <v>39</v>
      </c>
      <c r="P933" t="s">
        <v>38</v>
      </c>
      <c r="Q933" t="s">
        <v>38</v>
      </c>
      <c r="R933" t="s">
        <v>39</v>
      </c>
      <c r="S933" t="s">
        <v>41</v>
      </c>
      <c r="T933" t="s">
        <v>3057</v>
      </c>
      <c r="U933" t="s">
        <v>2970</v>
      </c>
      <c r="V933" t="s">
        <v>2971</v>
      </c>
      <c r="W933" t="s">
        <v>2972</v>
      </c>
      <c r="Z933" t="s">
        <v>46</v>
      </c>
      <c r="AA933" t="s">
        <v>3158</v>
      </c>
      <c r="AB933" t="s">
        <v>117</v>
      </c>
      <c r="AC933">
        <f>COUNTIF(C:C,QLKV_gui_ket_qua_ra_soat[[#This Row],[Mã điểm bán]])</f>
        <v>1</v>
      </c>
    </row>
    <row r="934" spans="1:29" x14ac:dyDescent="0.45">
      <c r="A934" t="s">
        <v>2965</v>
      </c>
      <c r="B934">
        <v>2501</v>
      </c>
      <c r="C934" t="s">
        <v>3868</v>
      </c>
      <c r="D934" t="s">
        <v>3869</v>
      </c>
      <c r="E934" t="s">
        <v>1699</v>
      </c>
      <c r="F934" t="s">
        <v>934</v>
      </c>
      <c r="G934" t="s">
        <v>34</v>
      </c>
      <c r="H934" t="s">
        <v>54</v>
      </c>
      <c r="I934" t="s">
        <v>3870</v>
      </c>
      <c r="J934" t="s">
        <v>38</v>
      </c>
      <c r="K934" t="s">
        <v>38</v>
      </c>
      <c r="L934" t="s">
        <v>39</v>
      </c>
      <c r="M934" t="s">
        <v>38</v>
      </c>
      <c r="N934" t="s">
        <v>37</v>
      </c>
      <c r="O934" t="s">
        <v>39</v>
      </c>
      <c r="P934" t="s">
        <v>37</v>
      </c>
      <c r="Q934" t="s">
        <v>37</v>
      </c>
      <c r="R934" t="s">
        <v>39</v>
      </c>
      <c r="S934" t="s">
        <v>41</v>
      </c>
      <c r="T934" t="s">
        <v>3192</v>
      </c>
      <c r="U934" t="s">
        <v>3046</v>
      </c>
      <c r="V934" t="s">
        <v>2971</v>
      </c>
      <c r="W934" t="s">
        <v>2972</v>
      </c>
      <c r="X934" t="s">
        <v>46</v>
      </c>
      <c r="AB934" t="s">
        <v>2999</v>
      </c>
      <c r="AC934">
        <f>COUNTIF(C:C,QLKV_gui_ket_qua_ra_soat[[#This Row],[Mã điểm bán]])</f>
        <v>1</v>
      </c>
    </row>
    <row r="935" spans="1:29" x14ac:dyDescent="0.45">
      <c r="A935" t="s">
        <v>2965</v>
      </c>
      <c r="B935">
        <v>2503</v>
      </c>
      <c r="C935" t="s">
        <v>3871</v>
      </c>
      <c r="D935" t="s">
        <v>3872</v>
      </c>
      <c r="E935" t="s">
        <v>3873</v>
      </c>
      <c r="F935" t="s">
        <v>401</v>
      </c>
      <c r="G935" t="s">
        <v>34</v>
      </c>
      <c r="H935" t="s">
        <v>54</v>
      </c>
      <c r="I935" t="s">
        <v>3874</v>
      </c>
      <c r="J935" t="s">
        <v>37</v>
      </c>
      <c r="K935" t="s">
        <v>37</v>
      </c>
      <c r="L935" t="s">
        <v>39</v>
      </c>
      <c r="M935" t="s">
        <v>37</v>
      </c>
      <c r="N935" t="s">
        <v>37</v>
      </c>
      <c r="O935" t="s">
        <v>39</v>
      </c>
      <c r="P935" t="s">
        <v>38</v>
      </c>
      <c r="Q935" t="s">
        <v>38</v>
      </c>
      <c r="R935" t="s">
        <v>40</v>
      </c>
      <c r="S935" t="s">
        <v>41</v>
      </c>
      <c r="T935" t="s">
        <v>2969</v>
      </c>
      <c r="U935" t="s">
        <v>2970</v>
      </c>
      <c r="V935" t="s">
        <v>2971</v>
      </c>
      <c r="W935" t="s">
        <v>2972</v>
      </c>
      <c r="X935" t="s">
        <v>46</v>
      </c>
      <c r="AC935">
        <f>COUNTIF(C:C,QLKV_gui_ket_qua_ra_soat[[#This Row],[Mã điểm bán]])</f>
        <v>1</v>
      </c>
    </row>
    <row r="936" spans="1:29" x14ac:dyDescent="0.45">
      <c r="A936" t="s">
        <v>2965</v>
      </c>
      <c r="B936">
        <v>2504</v>
      </c>
      <c r="C936" t="s">
        <v>3875</v>
      </c>
      <c r="D936" t="s">
        <v>3876</v>
      </c>
      <c r="E936" t="s">
        <v>3877</v>
      </c>
      <c r="F936" t="s">
        <v>3878</v>
      </c>
      <c r="G936" t="s">
        <v>177</v>
      </c>
      <c r="H936" t="s">
        <v>565</v>
      </c>
      <c r="I936" t="s">
        <v>3879</v>
      </c>
      <c r="J936" t="s">
        <v>38</v>
      </c>
      <c r="K936" t="s">
        <v>38</v>
      </c>
      <c r="L936" t="s">
        <v>39</v>
      </c>
      <c r="M936" t="s">
        <v>38</v>
      </c>
      <c r="N936" t="s">
        <v>37</v>
      </c>
      <c r="O936" t="s">
        <v>39</v>
      </c>
      <c r="P936" t="s">
        <v>38</v>
      </c>
      <c r="Q936" t="s">
        <v>38</v>
      </c>
      <c r="R936" t="s">
        <v>40</v>
      </c>
      <c r="S936" t="s">
        <v>3880</v>
      </c>
      <c r="T936" t="s">
        <v>3020</v>
      </c>
      <c r="U936" t="s">
        <v>3021</v>
      </c>
      <c r="V936" t="s">
        <v>2971</v>
      </c>
      <c r="W936" t="s">
        <v>2972</v>
      </c>
      <c r="Z936" t="s">
        <v>46</v>
      </c>
      <c r="AA936" t="s">
        <v>3058</v>
      </c>
      <c r="AB936" t="s">
        <v>2999</v>
      </c>
      <c r="AC936">
        <f>COUNTIF(C:C,QLKV_gui_ket_qua_ra_soat[[#This Row],[Mã điểm bán]])</f>
        <v>1</v>
      </c>
    </row>
    <row r="937" spans="1:29" x14ac:dyDescent="0.45">
      <c r="A937" t="s">
        <v>2965</v>
      </c>
      <c r="B937">
        <v>2517</v>
      </c>
      <c r="C937" t="s">
        <v>3881</v>
      </c>
      <c r="D937" t="s">
        <v>3882</v>
      </c>
      <c r="E937" t="s">
        <v>370</v>
      </c>
      <c r="F937" t="s">
        <v>3522</v>
      </c>
      <c r="G937" t="s">
        <v>34</v>
      </c>
      <c r="H937" t="s">
        <v>842</v>
      </c>
      <c r="I937" t="s">
        <v>3883</v>
      </c>
      <c r="J937" t="s">
        <v>37</v>
      </c>
      <c r="K937" t="s">
        <v>37</v>
      </c>
      <c r="L937" t="s">
        <v>39</v>
      </c>
      <c r="M937" t="s">
        <v>37</v>
      </c>
      <c r="N937" t="s">
        <v>37</v>
      </c>
      <c r="O937" t="s">
        <v>39</v>
      </c>
      <c r="P937" t="s">
        <v>38</v>
      </c>
      <c r="Q937" t="s">
        <v>38</v>
      </c>
      <c r="R937" t="s">
        <v>40</v>
      </c>
      <c r="S937" t="s">
        <v>41</v>
      </c>
      <c r="T937" t="s">
        <v>2969</v>
      </c>
      <c r="U937" t="s">
        <v>2970</v>
      </c>
      <c r="V937" t="s">
        <v>2971</v>
      </c>
      <c r="W937" t="s">
        <v>2972</v>
      </c>
      <c r="Z937" t="s">
        <v>46</v>
      </c>
      <c r="AA937" t="s">
        <v>3058</v>
      </c>
      <c r="AB937" t="s">
        <v>2999</v>
      </c>
      <c r="AC937">
        <f>COUNTIF(C:C,QLKV_gui_ket_qua_ra_soat[[#This Row],[Mã điểm bán]])</f>
        <v>1</v>
      </c>
    </row>
    <row r="938" spans="1:29" x14ac:dyDescent="0.45">
      <c r="A938" t="s">
        <v>2965</v>
      </c>
      <c r="B938">
        <v>2526</v>
      </c>
      <c r="C938" t="s">
        <v>3884</v>
      </c>
      <c r="D938" t="s">
        <v>3885</v>
      </c>
      <c r="E938" t="s">
        <v>3886</v>
      </c>
      <c r="F938" t="s">
        <v>53</v>
      </c>
      <c r="G938" t="s">
        <v>34</v>
      </c>
      <c r="H938" t="s">
        <v>54</v>
      </c>
      <c r="I938" t="s">
        <v>3887</v>
      </c>
      <c r="J938" t="s">
        <v>38</v>
      </c>
      <c r="K938" t="s">
        <v>38</v>
      </c>
      <c r="L938" t="s">
        <v>39</v>
      </c>
      <c r="M938" t="s">
        <v>37</v>
      </c>
      <c r="N938" t="s">
        <v>37</v>
      </c>
      <c r="O938" t="s">
        <v>39</v>
      </c>
      <c r="P938" t="s">
        <v>37</v>
      </c>
      <c r="Q938" t="s">
        <v>37</v>
      </c>
      <c r="R938" t="s">
        <v>39</v>
      </c>
      <c r="S938" t="s">
        <v>41</v>
      </c>
      <c r="T938" t="s">
        <v>3057</v>
      </c>
      <c r="U938" t="s">
        <v>2970</v>
      </c>
      <c r="V938" t="s">
        <v>2971</v>
      </c>
      <c r="W938" t="s">
        <v>2972</v>
      </c>
      <c r="X938" t="s">
        <v>46</v>
      </c>
      <c r="AB938" t="s">
        <v>2999</v>
      </c>
      <c r="AC938">
        <f>COUNTIF(C:C,QLKV_gui_ket_qua_ra_soat[[#This Row],[Mã điểm bán]])</f>
        <v>1</v>
      </c>
    </row>
    <row r="939" spans="1:29" x14ac:dyDescent="0.45">
      <c r="A939" t="s">
        <v>2965</v>
      </c>
      <c r="B939">
        <v>2539</v>
      </c>
      <c r="C939" t="s">
        <v>3888</v>
      </c>
      <c r="D939" t="s">
        <v>3889</v>
      </c>
      <c r="E939" t="s">
        <v>3890</v>
      </c>
      <c r="F939" t="s">
        <v>53</v>
      </c>
      <c r="G939" t="s">
        <v>34</v>
      </c>
      <c r="H939" t="s">
        <v>54</v>
      </c>
      <c r="I939" t="s">
        <v>3891</v>
      </c>
      <c r="J939" t="s">
        <v>37</v>
      </c>
      <c r="K939" t="s">
        <v>38</v>
      </c>
      <c r="L939" t="s">
        <v>39</v>
      </c>
      <c r="M939" t="s">
        <v>38</v>
      </c>
      <c r="N939" t="s">
        <v>37</v>
      </c>
      <c r="O939" t="s">
        <v>39</v>
      </c>
      <c r="P939" t="s">
        <v>38</v>
      </c>
      <c r="Q939" t="s">
        <v>38</v>
      </c>
      <c r="R939" t="s">
        <v>40</v>
      </c>
      <c r="S939" t="s">
        <v>41</v>
      </c>
      <c r="T939" t="s">
        <v>2969</v>
      </c>
      <c r="U939" t="s">
        <v>2970</v>
      </c>
      <c r="V939" t="s">
        <v>2971</v>
      </c>
      <c r="W939" t="s">
        <v>2972</v>
      </c>
      <c r="X939" t="s">
        <v>46</v>
      </c>
      <c r="AC939">
        <f>COUNTIF(C:C,QLKV_gui_ket_qua_ra_soat[[#This Row],[Mã điểm bán]])</f>
        <v>1</v>
      </c>
    </row>
    <row r="940" spans="1:29" x14ac:dyDescent="0.45">
      <c r="A940" t="s">
        <v>2965</v>
      </c>
      <c r="B940">
        <v>2549</v>
      </c>
      <c r="C940" t="s">
        <v>3892</v>
      </c>
      <c r="D940" t="s">
        <v>3893</v>
      </c>
      <c r="E940" t="s">
        <v>68</v>
      </c>
      <c r="F940" t="s">
        <v>53</v>
      </c>
      <c r="G940" t="s">
        <v>34</v>
      </c>
      <c r="H940" t="s">
        <v>54</v>
      </c>
      <c r="I940" t="s">
        <v>3894</v>
      </c>
      <c r="J940" t="s">
        <v>38</v>
      </c>
      <c r="K940" t="s">
        <v>38</v>
      </c>
      <c r="L940" t="s">
        <v>39</v>
      </c>
      <c r="M940" t="s">
        <v>38</v>
      </c>
      <c r="N940" t="s">
        <v>37</v>
      </c>
      <c r="O940" t="s">
        <v>39</v>
      </c>
      <c r="P940" t="s">
        <v>38</v>
      </c>
      <c r="Q940" t="s">
        <v>37</v>
      </c>
      <c r="R940" t="s">
        <v>39</v>
      </c>
      <c r="S940" t="s">
        <v>41</v>
      </c>
      <c r="T940" t="s">
        <v>3057</v>
      </c>
      <c r="U940" t="s">
        <v>2970</v>
      </c>
      <c r="V940" t="s">
        <v>2971</v>
      </c>
      <c r="W940" t="s">
        <v>2972</v>
      </c>
      <c r="X940" t="s">
        <v>46</v>
      </c>
      <c r="AC940">
        <f>COUNTIF(C:C,QLKV_gui_ket_qua_ra_soat[[#This Row],[Mã điểm bán]])</f>
        <v>1</v>
      </c>
    </row>
    <row r="941" spans="1:29" x14ac:dyDescent="0.45">
      <c r="A941" t="s">
        <v>2965</v>
      </c>
      <c r="B941">
        <v>2557</v>
      </c>
      <c r="C941" t="s">
        <v>3895</v>
      </c>
      <c r="D941" t="s">
        <v>3896</v>
      </c>
      <c r="E941" t="s">
        <v>3897</v>
      </c>
      <c r="F941" t="s">
        <v>325</v>
      </c>
      <c r="G941" t="s">
        <v>34</v>
      </c>
      <c r="H941" t="s">
        <v>54</v>
      </c>
      <c r="I941" t="s">
        <v>3898</v>
      </c>
      <c r="J941" t="s">
        <v>38</v>
      </c>
      <c r="K941" t="s">
        <v>38</v>
      </c>
      <c r="L941" t="s">
        <v>40</v>
      </c>
      <c r="M941" t="s">
        <v>38</v>
      </c>
      <c r="N941" t="s">
        <v>38</v>
      </c>
      <c r="O941" t="s">
        <v>40</v>
      </c>
      <c r="P941" t="s">
        <v>38</v>
      </c>
      <c r="Q941" t="s">
        <v>38</v>
      </c>
      <c r="R941" t="s">
        <v>40</v>
      </c>
      <c r="S941" t="s">
        <v>41</v>
      </c>
      <c r="T941" t="s">
        <v>2997</v>
      </c>
      <c r="U941" t="s">
        <v>2998</v>
      </c>
      <c r="V941" t="s">
        <v>2971</v>
      </c>
      <c r="W941" t="s">
        <v>2972</v>
      </c>
      <c r="Z941" t="s">
        <v>46</v>
      </c>
      <c r="AA941" t="s">
        <v>3058</v>
      </c>
      <c r="AB941" t="s">
        <v>2999</v>
      </c>
      <c r="AC941">
        <f>COUNTIF(C:C,QLKV_gui_ket_qua_ra_soat[[#This Row],[Mã điểm bán]])</f>
        <v>1</v>
      </c>
    </row>
    <row r="942" spans="1:29" x14ac:dyDescent="0.45">
      <c r="A942" t="s">
        <v>2965</v>
      </c>
      <c r="B942">
        <v>2562</v>
      </c>
      <c r="C942" t="s">
        <v>3899</v>
      </c>
      <c r="D942" t="s">
        <v>3900</v>
      </c>
      <c r="E942" t="s">
        <v>3901</v>
      </c>
      <c r="F942" t="s">
        <v>3264</v>
      </c>
      <c r="G942" t="s">
        <v>34</v>
      </c>
      <c r="H942" t="s">
        <v>214</v>
      </c>
      <c r="I942" t="s">
        <v>3902</v>
      </c>
      <c r="J942" t="s">
        <v>38</v>
      </c>
      <c r="K942" t="s">
        <v>38</v>
      </c>
      <c r="L942" t="s">
        <v>40</v>
      </c>
      <c r="M942" t="s">
        <v>38</v>
      </c>
      <c r="N942" t="s">
        <v>38</v>
      </c>
      <c r="O942" t="s">
        <v>40</v>
      </c>
      <c r="P942" t="s">
        <v>38</v>
      </c>
      <c r="Q942" t="s">
        <v>38</v>
      </c>
      <c r="R942" t="s">
        <v>40</v>
      </c>
      <c r="S942" t="s">
        <v>41</v>
      </c>
      <c r="T942" t="s">
        <v>2997</v>
      </c>
      <c r="U942" t="s">
        <v>2998</v>
      </c>
      <c r="V942" t="s">
        <v>2971</v>
      </c>
      <c r="W942" t="s">
        <v>2972</v>
      </c>
      <c r="X942" t="s">
        <v>46</v>
      </c>
      <c r="AB942" t="s">
        <v>117</v>
      </c>
      <c r="AC942">
        <f>COUNTIF(C:C,QLKV_gui_ket_qua_ra_soat[[#This Row],[Mã điểm bán]])</f>
        <v>1</v>
      </c>
    </row>
    <row r="943" spans="1:29" x14ac:dyDescent="0.45">
      <c r="A943" t="s">
        <v>2965</v>
      </c>
      <c r="B943">
        <v>2574</v>
      </c>
      <c r="C943" t="s">
        <v>3903</v>
      </c>
      <c r="D943" t="s">
        <v>3904</v>
      </c>
      <c r="E943" t="s">
        <v>157</v>
      </c>
      <c r="F943" t="s">
        <v>581</v>
      </c>
      <c r="G943" t="s">
        <v>34</v>
      </c>
      <c r="H943" t="s">
        <v>54</v>
      </c>
      <c r="I943" t="s">
        <v>3905</v>
      </c>
      <c r="J943" t="s">
        <v>38</v>
      </c>
      <c r="K943" t="s">
        <v>38</v>
      </c>
      <c r="L943" t="s">
        <v>39</v>
      </c>
      <c r="M943" t="s">
        <v>37</v>
      </c>
      <c r="N943" t="s">
        <v>37</v>
      </c>
      <c r="O943" t="s">
        <v>39</v>
      </c>
      <c r="P943" t="s">
        <v>38</v>
      </c>
      <c r="Q943" t="s">
        <v>37</v>
      </c>
      <c r="R943" t="s">
        <v>39</v>
      </c>
      <c r="S943" t="s">
        <v>41</v>
      </c>
      <c r="T943" t="s">
        <v>3192</v>
      </c>
      <c r="U943" t="s">
        <v>3046</v>
      </c>
      <c r="V943" t="s">
        <v>2971</v>
      </c>
      <c r="W943" t="s">
        <v>2972</v>
      </c>
      <c r="X943" t="s">
        <v>46</v>
      </c>
      <c r="AC943">
        <f>COUNTIF(C:C,QLKV_gui_ket_qua_ra_soat[[#This Row],[Mã điểm bán]])</f>
        <v>1</v>
      </c>
    </row>
    <row r="944" spans="1:29" x14ac:dyDescent="0.45">
      <c r="A944" t="s">
        <v>2965</v>
      </c>
      <c r="B944">
        <v>2575</v>
      </c>
      <c r="C944" t="s">
        <v>3906</v>
      </c>
      <c r="D944" t="s">
        <v>3907</v>
      </c>
      <c r="E944" t="s">
        <v>176</v>
      </c>
      <c r="F944" t="s">
        <v>53</v>
      </c>
      <c r="G944" t="s">
        <v>34</v>
      </c>
      <c r="H944" t="s">
        <v>54</v>
      </c>
      <c r="I944" t="s">
        <v>3908</v>
      </c>
      <c r="J944" t="s">
        <v>38</v>
      </c>
      <c r="K944" t="s">
        <v>38</v>
      </c>
      <c r="L944" t="s">
        <v>40</v>
      </c>
      <c r="M944" t="s">
        <v>38</v>
      </c>
      <c r="N944" t="s">
        <v>38</v>
      </c>
      <c r="O944" t="s">
        <v>40</v>
      </c>
      <c r="P944" t="s">
        <v>38</v>
      </c>
      <c r="Q944" t="s">
        <v>38</v>
      </c>
      <c r="R944" t="s">
        <v>40</v>
      </c>
      <c r="S944" t="s">
        <v>3909</v>
      </c>
      <c r="T944" t="s">
        <v>3020</v>
      </c>
      <c r="U944" t="s">
        <v>3021</v>
      </c>
      <c r="V944" t="s">
        <v>2971</v>
      </c>
      <c r="W944" t="s">
        <v>2972</v>
      </c>
      <c r="X944" t="s">
        <v>46</v>
      </c>
      <c r="AC944">
        <f>COUNTIF(C:C,QLKV_gui_ket_qua_ra_soat[[#This Row],[Mã điểm bán]])</f>
        <v>1</v>
      </c>
    </row>
    <row r="945" spans="1:29" x14ac:dyDescent="0.45">
      <c r="A945" t="s">
        <v>2965</v>
      </c>
      <c r="B945">
        <v>2576</v>
      </c>
      <c r="C945" t="s">
        <v>3910</v>
      </c>
      <c r="D945" t="s">
        <v>3911</v>
      </c>
      <c r="E945" t="s">
        <v>3224</v>
      </c>
      <c r="F945" t="s">
        <v>53</v>
      </c>
      <c r="G945" t="s">
        <v>34</v>
      </c>
      <c r="H945" t="s">
        <v>54</v>
      </c>
      <c r="I945" t="s">
        <v>3912</v>
      </c>
      <c r="J945" t="s">
        <v>38</v>
      </c>
      <c r="K945" t="s">
        <v>38</v>
      </c>
      <c r="L945" t="s">
        <v>39</v>
      </c>
      <c r="M945" t="s">
        <v>38</v>
      </c>
      <c r="N945" t="s">
        <v>37</v>
      </c>
      <c r="O945" t="s">
        <v>39</v>
      </c>
      <c r="P945" t="s">
        <v>38</v>
      </c>
      <c r="Q945" t="s">
        <v>38</v>
      </c>
      <c r="R945" t="s">
        <v>39</v>
      </c>
      <c r="S945" t="s">
        <v>41</v>
      </c>
      <c r="T945" t="s">
        <v>3057</v>
      </c>
      <c r="U945" t="s">
        <v>2970</v>
      </c>
      <c r="V945" t="s">
        <v>2971</v>
      </c>
      <c r="W945" t="s">
        <v>2972</v>
      </c>
      <c r="X945" t="s">
        <v>46</v>
      </c>
      <c r="AC945">
        <f>COUNTIF(C:C,QLKV_gui_ket_qua_ra_soat[[#This Row],[Mã điểm bán]])</f>
        <v>1</v>
      </c>
    </row>
    <row r="946" spans="1:29" x14ac:dyDescent="0.45">
      <c r="A946" t="s">
        <v>2965</v>
      </c>
      <c r="B946">
        <v>2619</v>
      </c>
      <c r="C946" t="s">
        <v>3913</v>
      </c>
      <c r="D946" t="s">
        <v>3914</v>
      </c>
      <c r="E946" t="s">
        <v>1695</v>
      </c>
      <c r="F946" t="s">
        <v>3522</v>
      </c>
      <c r="G946" t="s">
        <v>177</v>
      </c>
      <c r="H946" t="s">
        <v>35</v>
      </c>
      <c r="I946" t="s">
        <v>3915</v>
      </c>
      <c r="J946" t="s">
        <v>37</v>
      </c>
      <c r="K946" t="s">
        <v>37</v>
      </c>
      <c r="L946" t="s">
        <v>40</v>
      </c>
      <c r="M946" t="s">
        <v>37</v>
      </c>
      <c r="N946" t="s">
        <v>37</v>
      </c>
      <c r="O946" t="s">
        <v>40</v>
      </c>
      <c r="P946" t="s">
        <v>38</v>
      </c>
      <c r="Q946" t="s">
        <v>38</v>
      </c>
      <c r="R946" t="s">
        <v>40</v>
      </c>
      <c r="S946" t="s">
        <v>3579</v>
      </c>
      <c r="T946" t="s">
        <v>2976</v>
      </c>
      <c r="U946" t="s">
        <v>2977</v>
      </c>
      <c r="V946" t="s">
        <v>2971</v>
      </c>
      <c r="W946" t="s">
        <v>2972</v>
      </c>
      <c r="Z946" t="s">
        <v>46</v>
      </c>
      <c r="AA946" t="s">
        <v>2983</v>
      </c>
      <c r="AB946" t="s">
        <v>2999</v>
      </c>
      <c r="AC946">
        <f>COUNTIF(C:C,QLKV_gui_ket_qua_ra_soat[[#This Row],[Mã điểm bán]])</f>
        <v>1</v>
      </c>
    </row>
    <row r="947" spans="1:29" x14ac:dyDescent="0.45">
      <c r="A947" t="s">
        <v>2965</v>
      </c>
      <c r="B947">
        <v>2652</v>
      </c>
      <c r="C947" t="s">
        <v>3916</v>
      </c>
      <c r="D947" t="s">
        <v>3917</v>
      </c>
      <c r="E947" t="s">
        <v>3918</v>
      </c>
      <c r="F947" t="s">
        <v>3919</v>
      </c>
      <c r="G947" t="s">
        <v>177</v>
      </c>
      <c r="H947" t="s">
        <v>54</v>
      </c>
      <c r="I947" t="s">
        <v>3920</v>
      </c>
      <c r="J947" t="s">
        <v>37</v>
      </c>
      <c r="K947" t="s">
        <v>37</v>
      </c>
      <c r="L947" t="s">
        <v>40</v>
      </c>
      <c r="M947" t="s">
        <v>37</v>
      </c>
      <c r="N947" t="s">
        <v>37</v>
      </c>
      <c r="O947" t="s">
        <v>40</v>
      </c>
      <c r="P947" t="s">
        <v>37</v>
      </c>
      <c r="Q947" t="s">
        <v>37</v>
      </c>
      <c r="R947" t="s">
        <v>40</v>
      </c>
      <c r="S947" t="s">
        <v>3003</v>
      </c>
      <c r="T947" t="s">
        <v>2976</v>
      </c>
      <c r="U947" t="s">
        <v>2977</v>
      </c>
      <c r="V947" t="s">
        <v>2971</v>
      </c>
      <c r="W947" t="s">
        <v>2972</v>
      </c>
      <c r="X947" t="s">
        <v>46</v>
      </c>
      <c r="AB947" t="s">
        <v>2999</v>
      </c>
      <c r="AC947">
        <f>COUNTIF(C:C,QLKV_gui_ket_qua_ra_soat[[#This Row],[Mã điểm bán]])</f>
        <v>1</v>
      </c>
    </row>
    <row r="948" spans="1:29" x14ac:dyDescent="0.45">
      <c r="A948" t="s">
        <v>2965</v>
      </c>
      <c r="B948">
        <v>2666</v>
      </c>
      <c r="C948" t="s">
        <v>3921</v>
      </c>
      <c r="D948" t="s">
        <v>3922</v>
      </c>
      <c r="E948" t="s">
        <v>3923</v>
      </c>
      <c r="F948" t="s">
        <v>53</v>
      </c>
      <c r="G948" t="s">
        <v>34</v>
      </c>
      <c r="H948" t="s">
        <v>54</v>
      </c>
      <c r="I948" t="s">
        <v>3924</v>
      </c>
      <c r="J948" t="s">
        <v>38</v>
      </c>
      <c r="K948" t="s">
        <v>38</v>
      </c>
      <c r="L948" t="s">
        <v>40</v>
      </c>
      <c r="M948" t="s">
        <v>37</v>
      </c>
      <c r="N948" t="s">
        <v>37</v>
      </c>
      <c r="O948" t="s">
        <v>39</v>
      </c>
      <c r="P948" t="s">
        <v>38</v>
      </c>
      <c r="Q948" t="s">
        <v>38</v>
      </c>
      <c r="R948" t="s">
        <v>39</v>
      </c>
      <c r="S948" t="s">
        <v>41</v>
      </c>
      <c r="T948" t="s">
        <v>2969</v>
      </c>
      <c r="U948" t="s">
        <v>2970</v>
      </c>
      <c r="V948" t="s">
        <v>2971</v>
      </c>
      <c r="W948" t="s">
        <v>2972</v>
      </c>
      <c r="X948" t="s">
        <v>46</v>
      </c>
      <c r="AC948">
        <f>COUNTIF(C:C,QLKV_gui_ket_qua_ra_soat[[#This Row],[Mã điểm bán]])</f>
        <v>1</v>
      </c>
    </row>
    <row r="949" spans="1:29" x14ac:dyDescent="0.45">
      <c r="A949" t="s">
        <v>2965</v>
      </c>
      <c r="B949">
        <v>2667</v>
      </c>
      <c r="C949" t="s">
        <v>3925</v>
      </c>
      <c r="D949" t="s">
        <v>3926</v>
      </c>
      <c r="E949" t="s">
        <v>3927</v>
      </c>
      <c r="F949" t="s">
        <v>53</v>
      </c>
      <c r="G949" t="s">
        <v>34</v>
      </c>
      <c r="H949" t="s">
        <v>54</v>
      </c>
      <c r="I949" t="s">
        <v>3928</v>
      </c>
      <c r="J949" t="s">
        <v>38</v>
      </c>
      <c r="K949" t="s">
        <v>38</v>
      </c>
      <c r="L949" t="s">
        <v>39</v>
      </c>
      <c r="M949" t="s">
        <v>38</v>
      </c>
      <c r="N949" t="s">
        <v>38</v>
      </c>
      <c r="O949" t="s">
        <v>39</v>
      </c>
      <c r="P949" t="s">
        <v>38</v>
      </c>
      <c r="Q949" t="s">
        <v>38</v>
      </c>
      <c r="R949" t="s">
        <v>39</v>
      </c>
      <c r="S949" t="s">
        <v>41</v>
      </c>
      <c r="T949" t="s">
        <v>3192</v>
      </c>
      <c r="U949" t="s">
        <v>3046</v>
      </c>
      <c r="V949" t="s">
        <v>2971</v>
      </c>
      <c r="W949" t="s">
        <v>2972</v>
      </c>
      <c r="X949" t="s">
        <v>46</v>
      </c>
      <c r="AC949">
        <f>COUNTIF(C:C,QLKV_gui_ket_qua_ra_soat[[#This Row],[Mã điểm bán]])</f>
        <v>1</v>
      </c>
    </row>
    <row r="950" spans="1:29" x14ac:dyDescent="0.45">
      <c r="A950" t="s">
        <v>2965</v>
      </c>
      <c r="B950">
        <v>2668</v>
      </c>
      <c r="C950" t="s">
        <v>3929</v>
      </c>
      <c r="D950" t="s">
        <v>3930</v>
      </c>
      <c r="E950" t="s">
        <v>113</v>
      </c>
      <c r="F950" t="s">
        <v>3932</v>
      </c>
      <c r="G950" t="s">
        <v>34</v>
      </c>
      <c r="H950" t="s">
        <v>54</v>
      </c>
      <c r="I950" t="s">
        <v>3933</v>
      </c>
      <c r="J950" t="s">
        <v>38</v>
      </c>
      <c r="K950" t="s">
        <v>38</v>
      </c>
      <c r="L950" t="s">
        <v>40</v>
      </c>
      <c r="M950" t="s">
        <v>38</v>
      </c>
      <c r="N950" t="s">
        <v>56</v>
      </c>
      <c r="O950" t="s">
        <v>39</v>
      </c>
      <c r="P950" t="s">
        <v>38</v>
      </c>
      <c r="Q950" t="s">
        <v>38</v>
      </c>
      <c r="R950" t="s">
        <v>40</v>
      </c>
      <c r="S950" t="s">
        <v>3934</v>
      </c>
      <c r="T950" t="s">
        <v>3020</v>
      </c>
      <c r="U950" t="s">
        <v>3021</v>
      </c>
      <c r="V950" t="s">
        <v>2971</v>
      </c>
      <c r="W950" t="s">
        <v>2972</v>
      </c>
      <c r="X950" t="s">
        <v>46</v>
      </c>
      <c r="AC950">
        <f>COUNTIF(C:C,QLKV_gui_ket_qua_ra_soat[[#This Row],[Mã điểm bán]])</f>
        <v>1</v>
      </c>
    </row>
    <row r="951" spans="1:29" x14ac:dyDescent="0.45">
      <c r="A951" t="s">
        <v>2965</v>
      </c>
      <c r="B951">
        <v>2670</v>
      </c>
      <c r="C951" t="s">
        <v>3935</v>
      </c>
      <c r="D951" t="s">
        <v>3936</v>
      </c>
      <c r="E951" t="s">
        <v>69</v>
      </c>
      <c r="F951" t="s">
        <v>33</v>
      </c>
      <c r="G951" t="s">
        <v>177</v>
      </c>
      <c r="H951" t="s">
        <v>54</v>
      </c>
      <c r="I951" t="s">
        <v>3937</v>
      </c>
      <c r="J951" t="s">
        <v>37</v>
      </c>
      <c r="K951" t="s">
        <v>37</v>
      </c>
      <c r="L951" t="s">
        <v>40</v>
      </c>
      <c r="M951" t="s">
        <v>56</v>
      </c>
      <c r="N951" t="s">
        <v>56</v>
      </c>
      <c r="O951" t="s">
        <v>39</v>
      </c>
      <c r="P951" t="s">
        <v>38</v>
      </c>
      <c r="Q951" t="s">
        <v>38</v>
      </c>
      <c r="R951" t="s">
        <v>40</v>
      </c>
      <c r="S951" t="s">
        <v>3003</v>
      </c>
      <c r="T951" t="s">
        <v>2976</v>
      </c>
      <c r="U951" t="s">
        <v>2977</v>
      </c>
      <c r="V951" t="s">
        <v>2971</v>
      </c>
      <c r="W951" t="s">
        <v>2972</v>
      </c>
      <c r="X951" t="s">
        <v>46</v>
      </c>
      <c r="AC951">
        <f>COUNTIF(C:C,QLKV_gui_ket_qua_ra_soat[[#This Row],[Mã điểm bán]])</f>
        <v>1</v>
      </c>
    </row>
    <row r="952" spans="1:29" x14ac:dyDescent="0.45">
      <c r="A952" t="s">
        <v>2965</v>
      </c>
      <c r="B952">
        <v>2677</v>
      </c>
      <c r="C952" t="s">
        <v>3938</v>
      </c>
      <c r="D952" t="s">
        <v>2820</v>
      </c>
      <c r="E952" t="s">
        <v>69</v>
      </c>
      <c r="F952" t="s">
        <v>53</v>
      </c>
      <c r="G952" t="s">
        <v>177</v>
      </c>
      <c r="H952" t="s">
        <v>54</v>
      </c>
      <c r="I952" t="s">
        <v>3939</v>
      </c>
      <c r="J952" t="s">
        <v>37</v>
      </c>
      <c r="K952" t="s">
        <v>37</v>
      </c>
      <c r="L952" t="s">
        <v>40</v>
      </c>
      <c r="M952" t="s">
        <v>37</v>
      </c>
      <c r="N952" t="s">
        <v>37</v>
      </c>
      <c r="O952" t="s">
        <v>40</v>
      </c>
      <c r="P952" t="s">
        <v>38</v>
      </c>
      <c r="Q952" t="s">
        <v>38</v>
      </c>
      <c r="R952" t="s">
        <v>40</v>
      </c>
      <c r="S952" t="s">
        <v>3003</v>
      </c>
      <c r="T952" t="s">
        <v>2976</v>
      </c>
      <c r="U952" t="s">
        <v>2977</v>
      </c>
      <c r="V952" t="s">
        <v>2971</v>
      </c>
      <c r="W952" t="s">
        <v>2972</v>
      </c>
      <c r="X952" t="s">
        <v>46</v>
      </c>
      <c r="AC952">
        <f>COUNTIF(C:C,QLKV_gui_ket_qua_ra_soat[[#This Row],[Mã điểm bán]])</f>
        <v>1</v>
      </c>
    </row>
    <row r="953" spans="1:29" x14ac:dyDescent="0.45">
      <c r="A953" t="s">
        <v>2965</v>
      </c>
      <c r="B953">
        <v>2681</v>
      </c>
      <c r="C953" t="s">
        <v>3940</v>
      </c>
      <c r="D953" t="s">
        <v>3941</v>
      </c>
      <c r="E953" t="s">
        <v>1360</v>
      </c>
      <c r="F953" t="s">
        <v>401</v>
      </c>
      <c r="G953" t="s">
        <v>34</v>
      </c>
      <c r="H953" t="s">
        <v>685</v>
      </c>
      <c r="I953" t="s">
        <v>3942</v>
      </c>
      <c r="J953" t="s">
        <v>38</v>
      </c>
      <c r="K953" t="s">
        <v>38</v>
      </c>
      <c r="L953" t="s">
        <v>40</v>
      </c>
      <c r="M953" t="s">
        <v>38</v>
      </c>
      <c r="N953" t="s">
        <v>38</v>
      </c>
      <c r="O953" t="s">
        <v>40</v>
      </c>
      <c r="P953" t="s">
        <v>38</v>
      </c>
      <c r="Q953" t="s">
        <v>38</v>
      </c>
      <c r="R953" t="s">
        <v>40</v>
      </c>
      <c r="S953" t="s">
        <v>41</v>
      </c>
      <c r="T953" t="s">
        <v>3035</v>
      </c>
      <c r="U953" t="s">
        <v>2998</v>
      </c>
      <c r="V953" t="s">
        <v>2971</v>
      </c>
      <c r="W953" t="s">
        <v>2978</v>
      </c>
      <c r="AB953" t="s">
        <v>3943</v>
      </c>
      <c r="AC953">
        <f>COUNTIF(C:C,QLKV_gui_ket_qua_ra_soat[[#This Row],[Mã điểm bán]])</f>
        <v>1</v>
      </c>
    </row>
    <row r="954" spans="1:29" x14ac:dyDescent="0.45">
      <c r="A954" t="s">
        <v>2965</v>
      </c>
      <c r="B954">
        <v>2690</v>
      </c>
      <c r="C954" t="s">
        <v>3944</v>
      </c>
      <c r="D954" t="s">
        <v>3945</v>
      </c>
      <c r="E954" t="s">
        <v>376</v>
      </c>
      <c r="F954" t="s">
        <v>934</v>
      </c>
      <c r="G954" t="s">
        <v>34</v>
      </c>
      <c r="H954" t="s">
        <v>697</v>
      </c>
      <c r="I954" t="s">
        <v>3946</v>
      </c>
      <c r="J954" t="s">
        <v>38</v>
      </c>
      <c r="K954" t="s">
        <v>38</v>
      </c>
      <c r="L954" t="s">
        <v>40</v>
      </c>
      <c r="M954" t="s">
        <v>38</v>
      </c>
      <c r="N954" t="s">
        <v>775</v>
      </c>
      <c r="O954" t="s">
        <v>121</v>
      </c>
      <c r="P954" t="s">
        <v>38</v>
      </c>
      <c r="Q954" t="s">
        <v>38</v>
      </c>
      <c r="R954" t="s">
        <v>40</v>
      </c>
      <c r="S954" t="s">
        <v>3947</v>
      </c>
      <c r="T954" t="s">
        <v>3020</v>
      </c>
      <c r="U954" t="s">
        <v>3021</v>
      </c>
      <c r="V954" t="s">
        <v>2971</v>
      </c>
      <c r="W954" t="s">
        <v>2972</v>
      </c>
      <c r="X954" t="s">
        <v>46</v>
      </c>
      <c r="AC954">
        <f>COUNTIF(C:C,QLKV_gui_ket_qua_ra_soat[[#This Row],[Mã điểm bán]])</f>
        <v>1</v>
      </c>
    </row>
    <row r="955" spans="1:29" x14ac:dyDescent="0.45">
      <c r="A955" t="s">
        <v>2965</v>
      </c>
      <c r="B955">
        <v>2696</v>
      </c>
      <c r="C955" t="s">
        <v>3948</v>
      </c>
      <c r="D955" t="s">
        <v>3949</v>
      </c>
      <c r="E955" t="s">
        <v>3950</v>
      </c>
      <c r="F955" t="s">
        <v>53</v>
      </c>
      <c r="G955" t="s">
        <v>34</v>
      </c>
      <c r="H955" t="s">
        <v>54</v>
      </c>
      <c r="I955" t="s">
        <v>3951</v>
      </c>
      <c r="J955" t="s">
        <v>38</v>
      </c>
      <c r="K955" t="s">
        <v>38</v>
      </c>
      <c r="L955" t="s">
        <v>39</v>
      </c>
      <c r="M955" t="s">
        <v>37</v>
      </c>
      <c r="N955" t="s">
        <v>38</v>
      </c>
      <c r="O955" t="s">
        <v>39</v>
      </c>
      <c r="P955" t="s">
        <v>38</v>
      </c>
      <c r="Q955" t="s">
        <v>38</v>
      </c>
      <c r="R955" t="s">
        <v>39</v>
      </c>
      <c r="S955" t="s">
        <v>41</v>
      </c>
      <c r="T955" t="s">
        <v>3057</v>
      </c>
      <c r="U955" t="s">
        <v>2970</v>
      </c>
      <c r="V955" t="s">
        <v>2971</v>
      </c>
      <c r="W955" t="s">
        <v>2972</v>
      </c>
      <c r="X955" t="s">
        <v>46</v>
      </c>
      <c r="AB955" t="s">
        <v>117</v>
      </c>
      <c r="AC955">
        <f>COUNTIF(C:C,QLKV_gui_ket_qua_ra_soat[[#This Row],[Mã điểm bán]])</f>
        <v>1</v>
      </c>
    </row>
    <row r="956" spans="1:29" x14ac:dyDescent="0.45">
      <c r="A956" t="s">
        <v>2965</v>
      </c>
      <c r="B956">
        <v>2699</v>
      </c>
      <c r="C956" t="s">
        <v>3952</v>
      </c>
      <c r="D956" t="s">
        <v>3953</v>
      </c>
      <c r="E956" t="s">
        <v>3954</v>
      </c>
      <c r="F956" t="s">
        <v>53</v>
      </c>
      <c r="G956" t="s">
        <v>34</v>
      </c>
      <c r="H956" t="s">
        <v>54</v>
      </c>
      <c r="I956" t="s">
        <v>3955</v>
      </c>
      <c r="J956" t="s">
        <v>38</v>
      </c>
      <c r="K956" t="s">
        <v>38</v>
      </c>
      <c r="L956" t="s">
        <v>40</v>
      </c>
      <c r="M956" t="s">
        <v>38</v>
      </c>
      <c r="N956" t="s">
        <v>38</v>
      </c>
      <c r="O956" t="s">
        <v>40</v>
      </c>
      <c r="P956" t="s">
        <v>38</v>
      </c>
      <c r="Q956" t="s">
        <v>38</v>
      </c>
      <c r="R956" t="s">
        <v>40</v>
      </c>
      <c r="S956" t="s">
        <v>41</v>
      </c>
      <c r="T956" t="s">
        <v>3035</v>
      </c>
      <c r="U956" t="s">
        <v>2998</v>
      </c>
      <c r="V956" t="s">
        <v>2971</v>
      </c>
      <c r="W956" t="s">
        <v>2978</v>
      </c>
      <c r="X956" t="s">
        <v>46</v>
      </c>
      <c r="AB956" t="s">
        <v>117</v>
      </c>
      <c r="AC956">
        <f>COUNTIF(C:C,QLKV_gui_ket_qua_ra_soat[[#This Row],[Mã điểm bán]])</f>
        <v>1</v>
      </c>
    </row>
    <row r="957" spans="1:29" x14ac:dyDescent="0.45">
      <c r="A957" t="s">
        <v>2965</v>
      </c>
      <c r="B957">
        <v>2706</v>
      </c>
      <c r="C957" t="s">
        <v>3956</v>
      </c>
      <c r="D957" t="s">
        <v>3957</v>
      </c>
      <c r="E957" t="s">
        <v>674</v>
      </c>
      <c r="F957" t="s">
        <v>325</v>
      </c>
      <c r="G957" t="s">
        <v>34</v>
      </c>
      <c r="H957" t="s">
        <v>171</v>
      </c>
      <c r="I957" t="s">
        <v>3958</v>
      </c>
      <c r="J957" t="s">
        <v>38</v>
      </c>
      <c r="K957" t="s">
        <v>38</v>
      </c>
      <c r="L957" t="s">
        <v>40</v>
      </c>
      <c r="M957" t="s">
        <v>38</v>
      </c>
      <c r="N957" t="s">
        <v>38</v>
      </c>
      <c r="O957" t="s">
        <v>40</v>
      </c>
      <c r="P957" t="s">
        <v>38</v>
      </c>
      <c r="Q957" t="s">
        <v>38</v>
      </c>
      <c r="R957" t="s">
        <v>40</v>
      </c>
      <c r="S957" t="s">
        <v>41</v>
      </c>
      <c r="T957" t="s">
        <v>2997</v>
      </c>
      <c r="U957" t="s">
        <v>2998</v>
      </c>
      <c r="V957" t="s">
        <v>2971</v>
      </c>
      <c r="W957" t="s">
        <v>2978</v>
      </c>
      <c r="Z957" t="s">
        <v>46</v>
      </c>
      <c r="AA957" t="s">
        <v>3058</v>
      </c>
      <c r="AB957" t="s">
        <v>3012</v>
      </c>
      <c r="AC957">
        <f>COUNTIF(C:C,QLKV_gui_ket_qua_ra_soat[[#This Row],[Mã điểm bán]])</f>
        <v>1</v>
      </c>
    </row>
    <row r="958" spans="1:29" x14ac:dyDescent="0.45">
      <c r="A958" t="s">
        <v>2965</v>
      </c>
      <c r="B958">
        <v>2708</v>
      </c>
      <c r="C958" t="s">
        <v>3959</v>
      </c>
      <c r="D958" t="s">
        <v>3055</v>
      </c>
      <c r="E958" t="s">
        <v>3960</v>
      </c>
      <c r="F958" t="s">
        <v>53</v>
      </c>
      <c r="G958" t="s">
        <v>34</v>
      </c>
      <c r="H958" t="s">
        <v>54</v>
      </c>
      <c r="I958" t="s">
        <v>3961</v>
      </c>
      <c r="J958" t="s">
        <v>38</v>
      </c>
      <c r="K958" t="s">
        <v>38</v>
      </c>
      <c r="L958" t="s">
        <v>39</v>
      </c>
      <c r="M958" t="s">
        <v>37</v>
      </c>
      <c r="N958" t="s">
        <v>37</v>
      </c>
      <c r="O958" t="s">
        <v>39</v>
      </c>
      <c r="P958" t="s">
        <v>38</v>
      </c>
      <c r="Q958" t="s">
        <v>38</v>
      </c>
      <c r="R958" t="s">
        <v>39</v>
      </c>
      <c r="S958" t="s">
        <v>41</v>
      </c>
      <c r="T958" t="s">
        <v>3192</v>
      </c>
      <c r="U958" t="s">
        <v>3046</v>
      </c>
      <c r="V958" t="s">
        <v>2971</v>
      </c>
      <c r="W958" t="s">
        <v>2972</v>
      </c>
      <c r="X958" t="s">
        <v>46</v>
      </c>
      <c r="AC958">
        <f>COUNTIF(C:C,QLKV_gui_ket_qua_ra_soat[[#This Row],[Mã điểm bán]])</f>
        <v>1</v>
      </c>
    </row>
    <row r="959" spans="1:29" x14ac:dyDescent="0.45">
      <c r="A959" t="s">
        <v>2965</v>
      </c>
      <c r="B959">
        <v>2718</v>
      </c>
      <c r="C959" t="s">
        <v>3962</v>
      </c>
      <c r="D959" t="s">
        <v>3963</v>
      </c>
      <c r="E959" t="s">
        <v>883</v>
      </c>
      <c r="F959" t="s">
        <v>53</v>
      </c>
      <c r="G959" t="s">
        <v>34</v>
      </c>
      <c r="H959" t="s">
        <v>54</v>
      </c>
      <c r="I959" t="s">
        <v>3964</v>
      </c>
      <c r="J959" t="s">
        <v>38</v>
      </c>
      <c r="K959" t="s">
        <v>38</v>
      </c>
      <c r="L959" t="s">
        <v>39</v>
      </c>
      <c r="M959" t="s">
        <v>37</v>
      </c>
      <c r="N959" t="s">
        <v>37</v>
      </c>
      <c r="O959" t="s">
        <v>39</v>
      </c>
      <c r="P959" t="s">
        <v>38</v>
      </c>
      <c r="Q959" t="s">
        <v>38</v>
      </c>
      <c r="R959" t="s">
        <v>39</v>
      </c>
      <c r="S959" t="s">
        <v>41</v>
      </c>
      <c r="T959" t="s">
        <v>3057</v>
      </c>
      <c r="U959" t="s">
        <v>2970</v>
      </c>
      <c r="V959" t="s">
        <v>2971</v>
      </c>
      <c r="W959" t="s">
        <v>2972</v>
      </c>
      <c r="Z959" t="s">
        <v>46</v>
      </c>
      <c r="AA959" t="s">
        <v>3158</v>
      </c>
      <c r="AB959" t="s">
        <v>117</v>
      </c>
      <c r="AC959">
        <f>COUNTIF(C:C,QLKV_gui_ket_qua_ra_soat[[#This Row],[Mã điểm bán]])</f>
        <v>1</v>
      </c>
    </row>
    <row r="960" spans="1:29" x14ac:dyDescent="0.45">
      <c r="A960" t="s">
        <v>2965</v>
      </c>
      <c r="B960">
        <v>2728</v>
      </c>
      <c r="C960" t="s">
        <v>3965</v>
      </c>
      <c r="D960" t="s">
        <v>3966</v>
      </c>
      <c r="E960" t="s">
        <v>3967</v>
      </c>
      <c r="F960" t="s">
        <v>426</v>
      </c>
      <c r="G960" t="s">
        <v>177</v>
      </c>
      <c r="H960" t="s">
        <v>1199</v>
      </c>
      <c r="I960" t="s">
        <v>3968</v>
      </c>
      <c r="J960" t="s">
        <v>38</v>
      </c>
      <c r="K960" t="s">
        <v>38</v>
      </c>
      <c r="L960" t="s">
        <v>39</v>
      </c>
      <c r="M960" t="s">
        <v>37</v>
      </c>
      <c r="N960" t="s">
        <v>37</v>
      </c>
      <c r="O960" t="s">
        <v>39</v>
      </c>
      <c r="P960" t="s">
        <v>38</v>
      </c>
      <c r="Q960" t="s">
        <v>38</v>
      </c>
      <c r="R960" t="s">
        <v>40</v>
      </c>
      <c r="S960" t="s">
        <v>41</v>
      </c>
      <c r="T960" t="s">
        <v>3226</v>
      </c>
      <c r="U960" t="s">
        <v>3227</v>
      </c>
      <c r="V960" t="s">
        <v>2971</v>
      </c>
      <c r="W960" t="s">
        <v>2972</v>
      </c>
      <c r="X960" t="s">
        <v>46</v>
      </c>
      <c r="AB960" t="s">
        <v>3012</v>
      </c>
      <c r="AC960">
        <f>COUNTIF(C:C,QLKV_gui_ket_qua_ra_soat[[#This Row],[Mã điểm bán]])</f>
        <v>1</v>
      </c>
    </row>
    <row r="961" spans="1:29" x14ac:dyDescent="0.45">
      <c r="A961" t="s">
        <v>2965</v>
      </c>
      <c r="B961">
        <v>2731</v>
      </c>
      <c r="C961" t="s">
        <v>3969</v>
      </c>
      <c r="D961" t="s">
        <v>3970</v>
      </c>
      <c r="E961" t="s">
        <v>1204</v>
      </c>
      <c r="F961" t="s">
        <v>53</v>
      </c>
      <c r="G961" t="s">
        <v>34</v>
      </c>
      <c r="H961" t="s">
        <v>54</v>
      </c>
      <c r="I961" t="s">
        <v>3971</v>
      </c>
      <c r="J961" t="s">
        <v>38</v>
      </c>
      <c r="K961" t="s">
        <v>38</v>
      </c>
      <c r="L961" t="s">
        <v>39</v>
      </c>
      <c r="M961" t="s">
        <v>38</v>
      </c>
      <c r="N961" t="s">
        <v>37</v>
      </c>
      <c r="O961" t="s">
        <v>39</v>
      </c>
      <c r="P961" t="s">
        <v>38</v>
      </c>
      <c r="Q961" t="s">
        <v>38</v>
      </c>
      <c r="R961" t="s">
        <v>39</v>
      </c>
      <c r="S961" t="s">
        <v>41</v>
      </c>
      <c r="T961" t="s">
        <v>3192</v>
      </c>
      <c r="U961" t="s">
        <v>3046</v>
      </c>
      <c r="V961" t="s">
        <v>2971</v>
      </c>
      <c r="W961" t="s">
        <v>2972</v>
      </c>
      <c r="X961" t="s">
        <v>46</v>
      </c>
      <c r="AB961" t="s">
        <v>117</v>
      </c>
      <c r="AC961">
        <f>COUNTIF(C:C,QLKV_gui_ket_qua_ra_soat[[#This Row],[Mã điểm bán]])</f>
        <v>1</v>
      </c>
    </row>
    <row r="962" spans="1:29" x14ac:dyDescent="0.45">
      <c r="A962" t="s">
        <v>2965</v>
      </c>
      <c r="B962">
        <v>2732</v>
      </c>
      <c r="C962" t="s">
        <v>3972</v>
      </c>
      <c r="D962" t="s">
        <v>3973</v>
      </c>
      <c r="E962" t="s">
        <v>3974</v>
      </c>
      <c r="F962" t="s">
        <v>325</v>
      </c>
      <c r="G962" t="s">
        <v>34</v>
      </c>
      <c r="H962" t="s">
        <v>1188</v>
      </c>
      <c r="I962" t="s">
        <v>3975</v>
      </c>
      <c r="J962" t="s">
        <v>38</v>
      </c>
      <c r="K962" t="s">
        <v>38</v>
      </c>
      <c r="L962" t="s">
        <v>40</v>
      </c>
      <c r="M962" t="s">
        <v>38</v>
      </c>
      <c r="N962" t="s">
        <v>38</v>
      </c>
      <c r="O962" t="s">
        <v>40</v>
      </c>
      <c r="P962" t="s">
        <v>38</v>
      </c>
      <c r="Q962" t="s">
        <v>38</v>
      </c>
      <c r="R962" t="s">
        <v>40</v>
      </c>
      <c r="S962" t="s">
        <v>41</v>
      </c>
      <c r="T962" t="s">
        <v>2997</v>
      </c>
      <c r="U962" t="s">
        <v>2998</v>
      </c>
      <c r="V962" t="s">
        <v>2971</v>
      </c>
      <c r="W962" t="s">
        <v>2978</v>
      </c>
      <c r="X962" t="s">
        <v>46</v>
      </c>
      <c r="AB962" t="s">
        <v>3012</v>
      </c>
      <c r="AC962">
        <f>COUNTIF(C:C,QLKV_gui_ket_qua_ra_soat[[#This Row],[Mã điểm bán]])</f>
        <v>1</v>
      </c>
    </row>
    <row r="963" spans="1:29" x14ac:dyDescent="0.45">
      <c r="A963" t="s">
        <v>2965</v>
      </c>
      <c r="B963">
        <v>2738</v>
      </c>
      <c r="C963" t="s">
        <v>3976</v>
      </c>
      <c r="D963" t="s">
        <v>3977</v>
      </c>
      <c r="E963" t="s">
        <v>3978</v>
      </c>
      <c r="F963" t="s">
        <v>53</v>
      </c>
      <c r="G963" t="s">
        <v>34</v>
      </c>
      <c r="H963" t="s">
        <v>54</v>
      </c>
      <c r="I963" t="s">
        <v>3979</v>
      </c>
      <c r="J963" t="s">
        <v>38</v>
      </c>
      <c r="K963" t="s">
        <v>38</v>
      </c>
      <c r="L963" t="s">
        <v>40</v>
      </c>
      <c r="M963" t="s">
        <v>38</v>
      </c>
      <c r="N963" t="s">
        <v>38</v>
      </c>
      <c r="O963" t="s">
        <v>39</v>
      </c>
      <c r="P963" t="s">
        <v>38</v>
      </c>
      <c r="Q963" t="s">
        <v>38</v>
      </c>
      <c r="R963" t="s">
        <v>39</v>
      </c>
      <c r="S963" t="s">
        <v>41</v>
      </c>
      <c r="T963" t="s">
        <v>2969</v>
      </c>
      <c r="U963" t="s">
        <v>2970</v>
      </c>
      <c r="V963" t="s">
        <v>2971</v>
      </c>
      <c r="W963" t="s">
        <v>2972</v>
      </c>
      <c r="Z963" t="s">
        <v>46</v>
      </c>
      <c r="AA963" t="s">
        <v>3158</v>
      </c>
      <c r="AB963" t="s">
        <v>117</v>
      </c>
      <c r="AC963">
        <f>COUNTIF(C:C,QLKV_gui_ket_qua_ra_soat[[#This Row],[Mã điểm bán]])</f>
        <v>1</v>
      </c>
    </row>
    <row r="964" spans="1:29" x14ac:dyDescent="0.45">
      <c r="A964" t="s">
        <v>2965</v>
      </c>
      <c r="B964">
        <v>2741</v>
      </c>
      <c r="C964" t="s">
        <v>3980</v>
      </c>
      <c r="D964" t="s">
        <v>3981</v>
      </c>
      <c r="E964" t="s">
        <v>3429</v>
      </c>
      <c r="F964" t="s">
        <v>53</v>
      </c>
      <c r="G964" t="s">
        <v>34</v>
      </c>
      <c r="H964" t="s">
        <v>54</v>
      </c>
      <c r="I964" t="s">
        <v>3982</v>
      </c>
      <c r="J964" t="s">
        <v>38</v>
      </c>
      <c r="K964" t="s">
        <v>38</v>
      </c>
      <c r="L964" t="s">
        <v>40</v>
      </c>
      <c r="M964" t="s">
        <v>38</v>
      </c>
      <c r="N964" t="s">
        <v>38</v>
      </c>
      <c r="O964" t="s">
        <v>40</v>
      </c>
      <c r="P964" t="s">
        <v>38</v>
      </c>
      <c r="Q964" t="s">
        <v>38</v>
      </c>
      <c r="R964" t="s">
        <v>40</v>
      </c>
      <c r="S964" t="s">
        <v>41</v>
      </c>
      <c r="T964" t="s">
        <v>3035</v>
      </c>
      <c r="U964" t="s">
        <v>2998</v>
      </c>
      <c r="V964" t="s">
        <v>2971</v>
      </c>
      <c r="W964" t="s">
        <v>2978</v>
      </c>
      <c r="X964" t="s">
        <v>46</v>
      </c>
      <c r="AB964" t="s">
        <v>117</v>
      </c>
      <c r="AC964">
        <f>COUNTIF(C:C,QLKV_gui_ket_qua_ra_soat[[#This Row],[Mã điểm bán]])</f>
        <v>1</v>
      </c>
    </row>
    <row r="965" spans="1:29" x14ac:dyDescent="0.45">
      <c r="A965" t="s">
        <v>2965</v>
      </c>
      <c r="B965">
        <v>2743</v>
      </c>
      <c r="C965" t="s">
        <v>3983</v>
      </c>
      <c r="D965" t="s">
        <v>3984</v>
      </c>
      <c r="E965" t="s">
        <v>3985</v>
      </c>
      <c r="F965" t="s">
        <v>456</v>
      </c>
      <c r="G965" t="s">
        <v>177</v>
      </c>
      <c r="H965" t="s">
        <v>1877</v>
      </c>
      <c r="I965" t="s">
        <v>3986</v>
      </c>
      <c r="J965" t="s">
        <v>38</v>
      </c>
      <c r="K965" t="s">
        <v>38</v>
      </c>
      <c r="L965" t="s">
        <v>39</v>
      </c>
      <c r="M965" t="s">
        <v>37</v>
      </c>
      <c r="N965" t="s">
        <v>37</v>
      </c>
      <c r="O965" t="s">
        <v>39</v>
      </c>
      <c r="P965" t="s">
        <v>38</v>
      </c>
      <c r="Q965" t="s">
        <v>38</v>
      </c>
      <c r="R965" t="s">
        <v>39</v>
      </c>
      <c r="S965" t="s">
        <v>41</v>
      </c>
      <c r="T965" t="s">
        <v>3226</v>
      </c>
      <c r="U965" t="s">
        <v>3227</v>
      </c>
      <c r="V965" t="s">
        <v>2971</v>
      </c>
      <c r="W965" t="s">
        <v>2972</v>
      </c>
      <c r="X965" t="s">
        <v>46</v>
      </c>
      <c r="AB965" t="s">
        <v>117</v>
      </c>
      <c r="AC965">
        <f>COUNTIF(C:C,QLKV_gui_ket_qua_ra_soat[[#This Row],[Mã điểm bán]])</f>
        <v>1</v>
      </c>
    </row>
    <row r="966" spans="1:29" x14ac:dyDescent="0.45">
      <c r="A966" t="s">
        <v>2965</v>
      </c>
      <c r="B966">
        <v>2752</v>
      </c>
      <c r="C966" t="s">
        <v>3987</v>
      </c>
      <c r="D966" t="s">
        <v>3988</v>
      </c>
      <c r="E966" t="s">
        <v>190</v>
      </c>
      <c r="F966" t="s">
        <v>53</v>
      </c>
      <c r="G966" t="s">
        <v>34</v>
      </c>
      <c r="H966" t="s">
        <v>54</v>
      </c>
      <c r="I966" t="s">
        <v>3989</v>
      </c>
      <c r="J966" t="s">
        <v>38</v>
      </c>
      <c r="K966" t="s">
        <v>38</v>
      </c>
      <c r="L966" t="s">
        <v>40</v>
      </c>
      <c r="M966" t="s">
        <v>38</v>
      </c>
      <c r="N966" t="s">
        <v>38</v>
      </c>
      <c r="O966" t="s">
        <v>40</v>
      </c>
      <c r="P966" t="s">
        <v>38</v>
      </c>
      <c r="Q966" t="s">
        <v>38</v>
      </c>
      <c r="R966" t="s">
        <v>40</v>
      </c>
      <c r="S966" t="s">
        <v>41</v>
      </c>
      <c r="T966" t="s">
        <v>3035</v>
      </c>
      <c r="U966" t="s">
        <v>2998</v>
      </c>
      <c r="V966" t="s">
        <v>2971</v>
      </c>
      <c r="W966" t="s">
        <v>2978</v>
      </c>
      <c r="X966" t="s">
        <v>46</v>
      </c>
      <c r="AC966">
        <f>COUNTIF(C:C,QLKV_gui_ket_qua_ra_soat[[#This Row],[Mã điểm bán]])</f>
        <v>1</v>
      </c>
    </row>
    <row r="967" spans="1:29" x14ac:dyDescent="0.45">
      <c r="A967" t="s">
        <v>2965</v>
      </c>
      <c r="B967">
        <v>2759</v>
      </c>
      <c r="C967" t="s">
        <v>3990</v>
      </c>
      <c r="D967" t="s">
        <v>3991</v>
      </c>
      <c r="E967" t="s">
        <v>1699</v>
      </c>
      <c r="F967" t="s">
        <v>3049</v>
      </c>
      <c r="G967" t="s">
        <v>177</v>
      </c>
      <c r="H967" t="s">
        <v>35</v>
      </c>
      <c r="I967" t="s">
        <v>3992</v>
      </c>
      <c r="J967" t="s">
        <v>38</v>
      </c>
      <c r="K967" t="s">
        <v>38</v>
      </c>
      <c r="L967" t="s">
        <v>39</v>
      </c>
      <c r="M967" t="s">
        <v>37</v>
      </c>
      <c r="N967" t="s">
        <v>37</v>
      </c>
      <c r="O967" t="s">
        <v>121</v>
      </c>
      <c r="P967" t="s">
        <v>38</v>
      </c>
      <c r="Q967" t="s">
        <v>38</v>
      </c>
      <c r="R967" t="s">
        <v>39</v>
      </c>
      <c r="S967" t="s">
        <v>3003</v>
      </c>
      <c r="T967" t="s">
        <v>2976</v>
      </c>
      <c r="U967" t="s">
        <v>2977</v>
      </c>
      <c r="V967" t="s">
        <v>2971</v>
      </c>
      <c r="W967" t="s">
        <v>2972</v>
      </c>
      <c r="Z967" t="s">
        <v>46</v>
      </c>
      <c r="AA967" t="s">
        <v>2983</v>
      </c>
      <c r="AB967" t="s">
        <v>117</v>
      </c>
      <c r="AC967">
        <f>COUNTIF(C:C,QLKV_gui_ket_qua_ra_soat[[#This Row],[Mã điểm bán]])</f>
        <v>1</v>
      </c>
    </row>
    <row r="968" spans="1:29" x14ac:dyDescent="0.45">
      <c r="A968" t="s">
        <v>2965</v>
      </c>
      <c r="B968">
        <v>2763</v>
      </c>
      <c r="C968" t="s">
        <v>3993</v>
      </c>
      <c r="D968" t="s">
        <v>3994</v>
      </c>
      <c r="E968" t="s">
        <v>69</v>
      </c>
      <c r="F968" t="s">
        <v>70</v>
      </c>
      <c r="G968" t="s">
        <v>34</v>
      </c>
      <c r="H968" t="s">
        <v>54</v>
      </c>
      <c r="I968" t="s">
        <v>3995</v>
      </c>
      <c r="J968" t="s">
        <v>38</v>
      </c>
      <c r="K968" t="s">
        <v>38</v>
      </c>
      <c r="L968" t="s">
        <v>40</v>
      </c>
      <c r="M968" t="s">
        <v>38</v>
      </c>
      <c r="N968" t="s">
        <v>38</v>
      </c>
      <c r="O968" t="s">
        <v>40</v>
      </c>
      <c r="P968" t="s">
        <v>38</v>
      </c>
      <c r="Q968" t="s">
        <v>38</v>
      </c>
      <c r="R968" t="s">
        <v>40</v>
      </c>
      <c r="S968" t="s">
        <v>3996</v>
      </c>
      <c r="T968" t="s">
        <v>3020</v>
      </c>
      <c r="U968" t="s">
        <v>3021</v>
      </c>
      <c r="V968" t="s">
        <v>2971</v>
      </c>
      <c r="W968" t="s">
        <v>2972</v>
      </c>
      <c r="X968" t="s">
        <v>46</v>
      </c>
      <c r="AC968">
        <f>COUNTIF(C:C,QLKV_gui_ket_qua_ra_soat[[#This Row],[Mã điểm bán]])</f>
        <v>1</v>
      </c>
    </row>
    <row r="969" spans="1:29" x14ac:dyDescent="0.45">
      <c r="A969" t="s">
        <v>2965</v>
      </c>
      <c r="B969">
        <v>2766</v>
      </c>
      <c r="C969" t="s">
        <v>3997</v>
      </c>
      <c r="D969" t="s">
        <v>3998</v>
      </c>
      <c r="E969" t="s">
        <v>3999</v>
      </c>
      <c r="F969" t="s">
        <v>53</v>
      </c>
      <c r="G969" t="s">
        <v>34</v>
      </c>
      <c r="H969" t="s">
        <v>54</v>
      </c>
      <c r="I969" t="s">
        <v>4000</v>
      </c>
      <c r="J969" t="s">
        <v>38</v>
      </c>
      <c r="K969" t="s">
        <v>38</v>
      </c>
      <c r="L969" t="s">
        <v>40</v>
      </c>
      <c r="M969" t="s">
        <v>38</v>
      </c>
      <c r="N969" t="s">
        <v>38</v>
      </c>
      <c r="O969" t="s">
        <v>40</v>
      </c>
      <c r="P969" t="s">
        <v>38</v>
      </c>
      <c r="Q969" t="s">
        <v>38</v>
      </c>
      <c r="R969" t="s">
        <v>40</v>
      </c>
      <c r="S969" t="s">
        <v>41</v>
      </c>
      <c r="T969" t="s">
        <v>2997</v>
      </c>
      <c r="U969" t="s">
        <v>2998</v>
      </c>
      <c r="V969" t="s">
        <v>2971</v>
      </c>
      <c r="W969" t="s">
        <v>2978</v>
      </c>
      <c r="AB969" t="s">
        <v>3101</v>
      </c>
      <c r="AC969">
        <f>COUNTIF(C:C,QLKV_gui_ket_qua_ra_soat[[#This Row],[Mã điểm bán]])</f>
        <v>1</v>
      </c>
    </row>
    <row r="970" spans="1:29" x14ac:dyDescent="0.45">
      <c r="A970" t="s">
        <v>2965</v>
      </c>
      <c r="B970">
        <v>2774</v>
      </c>
      <c r="C970" t="s">
        <v>4001</v>
      </c>
      <c r="D970" t="s">
        <v>4002</v>
      </c>
      <c r="E970" t="s">
        <v>4003</v>
      </c>
      <c r="F970" t="s">
        <v>53</v>
      </c>
      <c r="G970" t="s">
        <v>34</v>
      </c>
      <c r="H970" t="s">
        <v>54</v>
      </c>
      <c r="I970" t="s">
        <v>4004</v>
      </c>
      <c r="J970" t="s">
        <v>38</v>
      </c>
      <c r="K970" t="s">
        <v>38</v>
      </c>
      <c r="L970" t="s">
        <v>40</v>
      </c>
      <c r="M970" t="s">
        <v>38</v>
      </c>
      <c r="N970" t="s">
        <v>38</v>
      </c>
      <c r="O970" t="s">
        <v>40</v>
      </c>
      <c r="P970" t="s">
        <v>38</v>
      </c>
      <c r="Q970" t="s">
        <v>38</v>
      </c>
      <c r="R970" t="s">
        <v>40</v>
      </c>
      <c r="S970" t="s">
        <v>41</v>
      </c>
      <c r="T970" t="s">
        <v>2997</v>
      </c>
      <c r="U970" t="s">
        <v>2998</v>
      </c>
      <c r="V970" t="s">
        <v>2971</v>
      </c>
      <c r="W970" t="s">
        <v>2978</v>
      </c>
      <c r="X970" t="s">
        <v>46</v>
      </c>
      <c r="AB970" t="s">
        <v>2999</v>
      </c>
      <c r="AC970">
        <f>COUNTIF(C:C,QLKV_gui_ket_qua_ra_soat[[#This Row],[Mã điểm bán]])</f>
        <v>1</v>
      </c>
    </row>
    <row r="971" spans="1:29" x14ac:dyDescent="0.45">
      <c r="A971" t="s">
        <v>2965</v>
      </c>
      <c r="B971">
        <v>2780</v>
      </c>
      <c r="C971" t="s">
        <v>4005</v>
      </c>
      <c r="D971" t="s">
        <v>4006</v>
      </c>
      <c r="E971" t="s">
        <v>4007</v>
      </c>
      <c r="F971" t="s">
        <v>1573</v>
      </c>
      <c r="G971" t="s">
        <v>34</v>
      </c>
      <c r="H971" t="s">
        <v>685</v>
      </c>
      <c r="I971" t="s">
        <v>4008</v>
      </c>
      <c r="J971" t="s">
        <v>38</v>
      </c>
      <c r="K971" t="s">
        <v>38</v>
      </c>
      <c r="L971" t="s">
        <v>40</v>
      </c>
      <c r="M971" t="s">
        <v>37</v>
      </c>
      <c r="N971" t="s">
        <v>37</v>
      </c>
      <c r="O971" t="s">
        <v>39</v>
      </c>
      <c r="P971" t="s">
        <v>38</v>
      </c>
      <c r="Q971" t="s">
        <v>38</v>
      </c>
      <c r="R971" t="s">
        <v>40</v>
      </c>
      <c r="S971" t="s">
        <v>41</v>
      </c>
      <c r="T971" t="s">
        <v>3226</v>
      </c>
      <c r="U971" t="s">
        <v>3227</v>
      </c>
      <c r="V971" t="s">
        <v>2971</v>
      </c>
      <c r="W971" t="s">
        <v>2972</v>
      </c>
      <c r="X971" t="s">
        <v>46</v>
      </c>
      <c r="AB971" t="s">
        <v>117</v>
      </c>
      <c r="AC971">
        <f>COUNTIF(C:C,QLKV_gui_ket_qua_ra_soat[[#This Row],[Mã điểm bán]])</f>
        <v>1</v>
      </c>
    </row>
    <row r="972" spans="1:29" x14ac:dyDescent="0.45">
      <c r="A972" t="s">
        <v>2965</v>
      </c>
      <c r="B972">
        <v>2782</v>
      </c>
      <c r="C972" t="s">
        <v>4009</v>
      </c>
      <c r="D972" t="s">
        <v>4010</v>
      </c>
      <c r="E972" t="s">
        <v>68</v>
      </c>
      <c r="F972" t="s">
        <v>115</v>
      </c>
      <c r="G972" t="s">
        <v>34</v>
      </c>
      <c r="H972" t="s">
        <v>54</v>
      </c>
      <c r="I972" t="s">
        <v>4011</v>
      </c>
      <c r="J972" t="s">
        <v>38</v>
      </c>
      <c r="K972" t="s">
        <v>38</v>
      </c>
      <c r="L972" t="s">
        <v>39</v>
      </c>
      <c r="M972" t="s">
        <v>38</v>
      </c>
      <c r="N972" t="s">
        <v>37</v>
      </c>
      <c r="O972" t="s">
        <v>39</v>
      </c>
      <c r="P972" t="s">
        <v>38</v>
      </c>
      <c r="Q972" t="s">
        <v>38</v>
      </c>
      <c r="R972" t="s">
        <v>39</v>
      </c>
      <c r="S972" t="s">
        <v>4012</v>
      </c>
      <c r="T972" t="s">
        <v>3045</v>
      </c>
      <c r="U972" t="s">
        <v>3046</v>
      </c>
      <c r="V972" t="s">
        <v>2971</v>
      </c>
      <c r="W972" t="s">
        <v>2972</v>
      </c>
      <c r="X972" t="s">
        <v>46</v>
      </c>
      <c r="AB972" t="s">
        <v>117</v>
      </c>
      <c r="AC972">
        <f>COUNTIF(C:C,QLKV_gui_ket_qua_ra_soat[[#This Row],[Mã điểm bán]])</f>
        <v>1</v>
      </c>
    </row>
    <row r="973" spans="1:29" x14ac:dyDescent="0.45">
      <c r="A973" t="s">
        <v>2965</v>
      </c>
      <c r="B973">
        <v>2797</v>
      </c>
      <c r="C973" t="s">
        <v>4013</v>
      </c>
      <c r="D973" t="s">
        <v>4014</v>
      </c>
      <c r="E973" t="s">
        <v>4015</v>
      </c>
      <c r="F973" t="s">
        <v>581</v>
      </c>
      <c r="G973" t="s">
        <v>34</v>
      </c>
      <c r="H973" t="s">
        <v>54</v>
      </c>
      <c r="I973" t="s">
        <v>4016</v>
      </c>
      <c r="J973" t="s">
        <v>38</v>
      </c>
      <c r="K973" t="s">
        <v>38</v>
      </c>
      <c r="L973" t="s">
        <v>40</v>
      </c>
      <c r="M973" t="s">
        <v>38</v>
      </c>
      <c r="N973" t="s">
        <v>38</v>
      </c>
      <c r="O973" t="s">
        <v>40</v>
      </c>
      <c r="P973" t="s">
        <v>38</v>
      </c>
      <c r="Q973" t="s">
        <v>38</v>
      </c>
      <c r="R973" t="s">
        <v>40</v>
      </c>
      <c r="S973" t="s">
        <v>4017</v>
      </c>
      <c r="T973" t="s">
        <v>3020</v>
      </c>
      <c r="U973" t="s">
        <v>3021</v>
      </c>
      <c r="V973" t="s">
        <v>2971</v>
      </c>
      <c r="W973" t="s">
        <v>2972</v>
      </c>
      <c r="Z973" t="s">
        <v>46</v>
      </c>
      <c r="AA973" t="s">
        <v>3036</v>
      </c>
      <c r="AB973" t="s">
        <v>117</v>
      </c>
      <c r="AC973">
        <f>COUNTIF(C:C,QLKV_gui_ket_qua_ra_soat[[#This Row],[Mã điểm bán]])</f>
        <v>1</v>
      </c>
    </row>
    <row r="974" spans="1:29" x14ac:dyDescent="0.45">
      <c r="A974" t="s">
        <v>2965</v>
      </c>
      <c r="B974">
        <v>2815</v>
      </c>
      <c r="C974" t="s">
        <v>4018</v>
      </c>
      <c r="D974" t="s">
        <v>4019</v>
      </c>
      <c r="E974" t="s">
        <v>98</v>
      </c>
      <c r="F974" t="s">
        <v>4020</v>
      </c>
      <c r="G974" t="s">
        <v>177</v>
      </c>
      <c r="H974" t="s">
        <v>54</v>
      </c>
      <c r="I974" t="s">
        <v>4021</v>
      </c>
      <c r="J974" t="s">
        <v>38</v>
      </c>
      <c r="K974" t="s">
        <v>38</v>
      </c>
      <c r="L974" t="s">
        <v>39</v>
      </c>
      <c r="M974" t="s">
        <v>37</v>
      </c>
      <c r="N974" t="s">
        <v>37</v>
      </c>
      <c r="O974" t="s">
        <v>121</v>
      </c>
      <c r="P974" t="s">
        <v>38</v>
      </c>
      <c r="Q974" t="s">
        <v>38</v>
      </c>
      <c r="R974" t="s">
        <v>39</v>
      </c>
      <c r="S974" t="s">
        <v>4022</v>
      </c>
      <c r="T974" t="s">
        <v>2976</v>
      </c>
      <c r="U974" t="s">
        <v>2977</v>
      </c>
      <c r="V974" t="s">
        <v>2971</v>
      </c>
      <c r="W974" t="s">
        <v>2972</v>
      </c>
      <c r="Z974" t="s">
        <v>46</v>
      </c>
      <c r="AA974" t="s">
        <v>2983</v>
      </c>
      <c r="AB974" t="s">
        <v>117</v>
      </c>
      <c r="AC974">
        <f>COUNTIF(C:C,QLKV_gui_ket_qua_ra_soat[[#This Row],[Mã điểm bán]])</f>
        <v>1</v>
      </c>
    </row>
    <row r="975" spans="1:29" x14ac:dyDescent="0.45">
      <c r="A975" t="s">
        <v>2965</v>
      </c>
      <c r="B975">
        <v>2817</v>
      </c>
      <c r="C975" t="s">
        <v>4023</v>
      </c>
      <c r="D975" t="s">
        <v>4024</v>
      </c>
      <c r="E975" t="s">
        <v>4025</v>
      </c>
      <c r="F975" t="s">
        <v>53</v>
      </c>
      <c r="G975" t="s">
        <v>177</v>
      </c>
      <c r="H975" t="s">
        <v>54</v>
      </c>
      <c r="I975" t="s">
        <v>4026</v>
      </c>
      <c r="J975" t="s">
        <v>37</v>
      </c>
      <c r="K975" t="s">
        <v>37</v>
      </c>
      <c r="L975" t="s">
        <v>39</v>
      </c>
      <c r="M975" t="s">
        <v>37</v>
      </c>
      <c r="N975" t="s">
        <v>37</v>
      </c>
      <c r="O975" t="s">
        <v>39</v>
      </c>
      <c r="P975" t="s">
        <v>38</v>
      </c>
      <c r="Q975" t="s">
        <v>38</v>
      </c>
      <c r="R975" t="s">
        <v>40</v>
      </c>
      <c r="S975" t="s">
        <v>41</v>
      </c>
      <c r="T975" t="s">
        <v>3226</v>
      </c>
      <c r="U975" t="s">
        <v>3227</v>
      </c>
      <c r="V975" t="s">
        <v>2971</v>
      </c>
      <c r="W975" t="s">
        <v>2972</v>
      </c>
      <c r="X975" t="s">
        <v>46</v>
      </c>
      <c r="AB975" t="s">
        <v>117</v>
      </c>
      <c r="AC975">
        <f>COUNTIF(C:C,QLKV_gui_ket_qua_ra_soat[[#This Row],[Mã điểm bán]])</f>
        <v>1</v>
      </c>
    </row>
    <row r="976" spans="1:29" x14ac:dyDescent="0.45">
      <c r="A976" t="s">
        <v>2965</v>
      </c>
      <c r="B976">
        <v>2827</v>
      </c>
      <c r="C976" t="s">
        <v>4027</v>
      </c>
      <c r="D976" t="s">
        <v>4028</v>
      </c>
      <c r="E976" t="s">
        <v>738</v>
      </c>
      <c r="F976" t="s">
        <v>53</v>
      </c>
      <c r="G976" t="s">
        <v>34</v>
      </c>
      <c r="H976" t="s">
        <v>54</v>
      </c>
      <c r="I976" t="s">
        <v>4029</v>
      </c>
      <c r="J976" t="s">
        <v>38</v>
      </c>
      <c r="K976" t="s">
        <v>38</v>
      </c>
      <c r="L976" t="s">
        <v>39</v>
      </c>
      <c r="M976" t="s">
        <v>38</v>
      </c>
      <c r="N976" t="s">
        <v>37</v>
      </c>
      <c r="O976" t="s">
        <v>39</v>
      </c>
      <c r="P976" t="s">
        <v>38</v>
      </c>
      <c r="Q976" t="s">
        <v>38</v>
      </c>
      <c r="R976" t="s">
        <v>40</v>
      </c>
      <c r="S976" t="s">
        <v>4030</v>
      </c>
      <c r="T976" t="s">
        <v>3020</v>
      </c>
      <c r="U976" t="s">
        <v>3021</v>
      </c>
      <c r="V976" t="s">
        <v>2971</v>
      </c>
      <c r="W976" t="s">
        <v>2972</v>
      </c>
      <c r="X976" t="s">
        <v>46</v>
      </c>
      <c r="AC976">
        <f>COUNTIF(C:C,QLKV_gui_ket_qua_ra_soat[[#This Row],[Mã điểm bán]])</f>
        <v>1</v>
      </c>
    </row>
    <row r="977" spans="1:29" x14ac:dyDescent="0.45">
      <c r="A977" t="s">
        <v>2965</v>
      </c>
      <c r="B977">
        <v>2829</v>
      </c>
      <c r="C977" t="s">
        <v>4031</v>
      </c>
      <c r="D977" t="s">
        <v>4032</v>
      </c>
      <c r="E977" t="s">
        <v>3515</v>
      </c>
      <c r="F977" t="s">
        <v>456</v>
      </c>
      <c r="G977" t="s">
        <v>177</v>
      </c>
      <c r="H977" t="s">
        <v>1188</v>
      </c>
      <c r="I977" t="s">
        <v>4033</v>
      </c>
      <c r="J977" t="s">
        <v>38</v>
      </c>
      <c r="K977" t="s">
        <v>38</v>
      </c>
      <c r="L977" t="s">
        <v>39</v>
      </c>
      <c r="M977" t="s">
        <v>37</v>
      </c>
      <c r="N977" t="s">
        <v>56</v>
      </c>
      <c r="O977" t="s">
        <v>39</v>
      </c>
      <c r="P977" t="s">
        <v>38</v>
      </c>
      <c r="Q977" t="s">
        <v>38</v>
      </c>
      <c r="R977" t="s">
        <v>40</v>
      </c>
      <c r="S977" t="s">
        <v>41</v>
      </c>
      <c r="T977" t="s">
        <v>3226</v>
      </c>
      <c r="U977" t="s">
        <v>3227</v>
      </c>
      <c r="V977" t="s">
        <v>2971</v>
      </c>
      <c r="W977" t="s">
        <v>2972</v>
      </c>
      <c r="X977" t="s">
        <v>46</v>
      </c>
      <c r="AB977" t="s">
        <v>117</v>
      </c>
      <c r="AC977">
        <f>COUNTIF(C:C,QLKV_gui_ket_qua_ra_soat[[#This Row],[Mã điểm bán]])</f>
        <v>1</v>
      </c>
    </row>
    <row r="978" spans="1:29" x14ac:dyDescent="0.45">
      <c r="A978" t="s">
        <v>2965</v>
      </c>
      <c r="B978">
        <v>2833</v>
      </c>
      <c r="C978" t="s">
        <v>4034</v>
      </c>
      <c r="D978" t="s">
        <v>4035</v>
      </c>
      <c r="E978" t="s">
        <v>882</v>
      </c>
      <c r="F978" t="s">
        <v>53</v>
      </c>
      <c r="G978" t="s">
        <v>34</v>
      </c>
      <c r="H978" t="s">
        <v>54</v>
      </c>
      <c r="I978" t="s">
        <v>3961</v>
      </c>
      <c r="J978" t="s">
        <v>38</v>
      </c>
      <c r="K978" t="s">
        <v>38</v>
      </c>
      <c r="L978" t="s">
        <v>39</v>
      </c>
      <c r="M978" t="s">
        <v>38</v>
      </c>
      <c r="N978" t="s">
        <v>38</v>
      </c>
      <c r="O978" t="s">
        <v>39</v>
      </c>
      <c r="P978" t="s">
        <v>38</v>
      </c>
      <c r="Q978" t="s">
        <v>38</v>
      </c>
      <c r="R978" t="s">
        <v>39</v>
      </c>
      <c r="S978" t="s">
        <v>41</v>
      </c>
      <c r="T978" t="s">
        <v>3192</v>
      </c>
      <c r="U978" t="s">
        <v>3046</v>
      </c>
      <c r="V978" t="s">
        <v>2971</v>
      </c>
      <c r="W978" t="s">
        <v>2972</v>
      </c>
      <c r="X978" t="s">
        <v>46</v>
      </c>
      <c r="AC978">
        <f>COUNTIF(C:C,QLKV_gui_ket_qua_ra_soat[[#This Row],[Mã điểm bán]])</f>
        <v>1</v>
      </c>
    </row>
    <row r="979" spans="1:29" x14ac:dyDescent="0.45">
      <c r="A979" t="s">
        <v>2965</v>
      </c>
      <c r="B979">
        <v>2844</v>
      </c>
      <c r="C979" t="s">
        <v>4036</v>
      </c>
      <c r="D979" t="s">
        <v>4037</v>
      </c>
      <c r="E979" t="s">
        <v>69</v>
      </c>
      <c r="F979" t="s">
        <v>3061</v>
      </c>
      <c r="G979" t="s">
        <v>34</v>
      </c>
      <c r="H979" t="s">
        <v>620</v>
      </c>
      <c r="I979" t="s">
        <v>4038</v>
      </c>
      <c r="J979" t="s">
        <v>38</v>
      </c>
      <c r="K979" t="s">
        <v>38</v>
      </c>
      <c r="L979" t="s">
        <v>39</v>
      </c>
      <c r="M979" t="s">
        <v>56</v>
      </c>
      <c r="N979" t="s">
        <v>56</v>
      </c>
      <c r="O979" t="s">
        <v>39</v>
      </c>
      <c r="P979" t="s">
        <v>38</v>
      </c>
      <c r="Q979" t="s">
        <v>37</v>
      </c>
      <c r="R979" t="s">
        <v>39</v>
      </c>
      <c r="S979" t="s">
        <v>4039</v>
      </c>
      <c r="T979" t="s">
        <v>3045</v>
      </c>
      <c r="U979" t="s">
        <v>3046</v>
      </c>
      <c r="V979" t="s">
        <v>2971</v>
      </c>
      <c r="W979" t="s">
        <v>2972</v>
      </c>
      <c r="Y979" t="s">
        <v>46</v>
      </c>
      <c r="AC979">
        <f>COUNTIF(C:C,QLKV_gui_ket_qua_ra_soat[[#This Row],[Mã điểm bán]])</f>
        <v>1</v>
      </c>
    </row>
    <row r="980" spans="1:29" x14ac:dyDescent="0.45">
      <c r="A980" t="s">
        <v>2965</v>
      </c>
      <c r="B980">
        <v>2861</v>
      </c>
      <c r="C980" t="s">
        <v>4040</v>
      </c>
      <c r="D980" t="s">
        <v>4041</v>
      </c>
      <c r="E980" t="s">
        <v>4042</v>
      </c>
      <c r="F980" t="s">
        <v>53</v>
      </c>
      <c r="G980" t="s">
        <v>34</v>
      </c>
      <c r="H980" t="s">
        <v>54</v>
      </c>
      <c r="I980" t="s">
        <v>4043</v>
      </c>
      <c r="J980" t="s">
        <v>38</v>
      </c>
      <c r="K980" t="s">
        <v>38</v>
      </c>
      <c r="L980" t="s">
        <v>39</v>
      </c>
      <c r="M980" t="s">
        <v>38</v>
      </c>
      <c r="N980" t="s">
        <v>38</v>
      </c>
      <c r="O980" t="s">
        <v>39</v>
      </c>
      <c r="P980" t="s">
        <v>38</v>
      </c>
      <c r="Q980" t="s">
        <v>38</v>
      </c>
      <c r="R980" t="s">
        <v>39</v>
      </c>
      <c r="S980" t="s">
        <v>41</v>
      </c>
      <c r="T980" t="s">
        <v>3192</v>
      </c>
      <c r="U980" t="s">
        <v>3046</v>
      </c>
      <c r="V980" t="s">
        <v>2971</v>
      </c>
      <c r="W980" t="s">
        <v>2972</v>
      </c>
      <c r="X980" t="s">
        <v>46</v>
      </c>
      <c r="AC980">
        <f>COUNTIF(C:C,QLKV_gui_ket_qua_ra_soat[[#This Row],[Mã điểm bán]])</f>
        <v>1</v>
      </c>
    </row>
    <row r="981" spans="1:29" x14ac:dyDescent="0.45">
      <c r="A981" t="s">
        <v>2965</v>
      </c>
      <c r="B981">
        <v>2871</v>
      </c>
      <c r="C981" t="s">
        <v>4044</v>
      </c>
      <c r="D981" t="s">
        <v>3542</v>
      </c>
      <c r="E981" t="s">
        <v>69</v>
      </c>
      <c r="F981" t="s">
        <v>53</v>
      </c>
      <c r="G981" t="s">
        <v>34</v>
      </c>
      <c r="H981" t="s">
        <v>54</v>
      </c>
      <c r="I981" t="s">
        <v>4045</v>
      </c>
      <c r="J981" t="s">
        <v>38</v>
      </c>
      <c r="K981" t="s">
        <v>38</v>
      </c>
      <c r="L981" t="s">
        <v>40</v>
      </c>
      <c r="M981" t="s">
        <v>38</v>
      </c>
      <c r="N981" t="s">
        <v>38</v>
      </c>
      <c r="O981" t="s">
        <v>40</v>
      </c>
      <c r="P981" t="s">
        <v>38</v>
      </c>
      <c r="Q981" t="s">
        <v>37</v>
      </c>
      <c r="R981" t="s">
        <v>39</v>
      </c>
      <c r="S981" t="s">
        <v>4046</v>
      </c>
      <c r="T981" t="s">
        <v>3020</v>
      </c>
      <c r="U981" t="s">
        <v>3021</v>
      </c>
      <c r="V981" t="s">
        <v>2971</v>
      </c>
      <c r="W981" t="s">
        <v>2972</v>
      </c>
      <c r="X981" t="s">
        <v>46</v>
      </c>
      <c r="AC981">
        <f>COUNTIF(C:C,QLKV_gui_ket_qua_ra_soat[[#This Row],[Mã điểm bán]])</f>
        <v>1</v>
      </c>
    </row>
    <row r="982" spans="1:29" x14ac:dyDescent="0.45">
      <c r="A982" t="s">
        <v>2965</v>
      </c>
      <c r="B982">
        <v>2930</v>
      </c>
      <c r="C982" t="s">
        <v>4047</v>
      </c>
      <c r="D982" t="s">
        <v>4048</v>
      </c>
      <c r="E982" t="s">
        <v>4049</v>
      </c>
      <c r="F982" t="s">
        <v>426</v>
      </c>
      <c r="G982" t="s">
        <v>34</v>
      </c>
      <c r="H982" t="s">
        <v>54</v>
      </c>
      <c r="I982" t="s">
        <v>4050</v>
      </c>
      <c r="J982" t="s">
        <v>38</v>
      </c>
      <c r="K982" t="s">
        <v>38</v>
      </c>
      <c r="L982" t="s">
        <v>40</v>
      </c>
      <c r="M982" t="s">
        <v>56</v>
      </c>
      <c r="N982" t="s">
        <v>56</v>
      </c>
      <c r="O982" t="s">
        <v>40</v>
      </c>
      <c r="P982" t="s">
        <v>38</v>
      </c>
      <c r="Q982" t="s">
        <v>38</v>
      </c>
      <c r="R982" t="s">
        <v>40</v>
      </c>
      <c r="S982" t="s">
        <v>41</v>
      </c>
      <c r="T982" t="s">
        <v>3226</v>
      </c>
      <c r="U982" t="s">
        <v>3227</v>
      </c>
      <c r="V982" t="s">
        <v>2971</v>
      </c>
      <c r="W982" t="s">
        <v>2972</v>
      </c>
      <c r="X982" t="s">
        <v>46</v>
      </c>
      <c r="AC982">
        <f>COUNTIF(C:C,QLKV_gui_ket_qua_ra_soat[[#This Row],[Mã điểm bán]])</f>
        <v>1</v>
      </c>
    </row>
    <row r="983" spans="1:29" x14ac:dyDescent="0.45">
      <c r="A983" t="s">
        <v>2965</v>
      </c>
      <c r="B983">
        <v>2945</v>
      </c>
      <c r="C983" t="s">
        <v>4051</v>
      </c>
      <c r="D983" t="s">
        <v>4052</v>
      </c>
      <c r="E983" t="s">
        <v>4053</v>
      </c>
      <c r="F983" t="s">
        <v>3764</v>
      </c>
      <c r="G983" t="s">
        <v>34</v>
      </c>
      <c r="H983" t="s">
        <v>171</v>
      </c>
      <c r="I983" t="s">
        <v>4054</v>
      </c>
      <c r="J983" t="s">
        <v>56</v>
      </c>
      <c r="K983" t="s">
        <v>56</v>
      </c>
      <c r="L983" t="s">
        <v>40</v>
      </c>
      <c r="M983" t="s">
        <v>37</v>
      </c>
      <c r="N983" t="s">
        <v>37</v>
      </c>
      <c r="O983" t="s">
        <v>40</v>
      </c>
      <c r="P983" t="s">
        <v>37</v>
      </c>
      <c r="Q983" t="s">
        <v>37</v>
      </c>
      <c r="R983" t="s">
        <v>40</v>
      </c>
      <c r="S983" t="s">
        <v>41</v>
      </c>
      <c r="T983" t="s">
        <v>2976</v>
      </c>
      <c r="U983" t="s">
        <v>2977</v>
      </c>
      <c r="V983" t="s">
        <v>2971</v>
      </c>
      <c r="W983" t="s">
        <v>2978</v>
      </c>
      <c r="Z983" t="s">
        <v>46</v>
      </c>
      <c r="AA983" t="s">
        <v>2983</v>
      </c>
      <c r="AC983">
        <f>COUNTIF(C:C,QLKV_gui_ket_qua_ra_soat[[#This Row],[Mã điểm bán]])</f>
        <v>1</v>
      </c>
    </row>
    <row r="984" spans="1:29" x14ac:dyDescent="0.45">
      <c r="A984" t="s">
        <v>2965</v>
      </c>
      <c r="B984">
        <v>2970</v>
      </c>
      <c r="C984" t="s">
        <v>4055</v>
      </c>
      <c r="D984" t="s">
        <v>4056</v>
      </c>
      <c r="E984" t="s">
        <v>4057</v>
      </c>
      <c r="F984" t="s">
        <v>884</v>
      </c>
      <c r="G984" t="s">
        <v>34</v>
      </c>
      <c r="H984" t="s">
        <v>1750</v>
      </c>
      <c r="I984" t="s">
        <v>4058</v>
      </c>
      <c r="J984" t="s">
        <v>37</v>
      </c>
      <c r="K984" t="s">
        <v>56</v>
      </c>
      <c r="L984" t="s">
        <v>40</v>
      </c>
      <c r="M984" t="s">
        <v>37</v>
      </c>
      <c r="N984" t="s">
        <v>37</v>
      </c>
      <c r="O984" t="s">
        <v>40</v>
      </c>
      <c r="P984" t="s">
        <v>38</v>
      </c>
      <c r="Q984" t="s">
        <v>38</v>
      </c>
      <c r="R984" t="s">
        <v>40</v>
      </c>
      <c r="S984" t="s">
        <v>41</v>
      </c>
      <c r="T984" t="s">
        <v>2976</v>
      </c>
      <c r="U984" t="s">
        <v>2977</v>
      </c>
      <c r="V984" t="s">
        <v>2971</v>
      </c>
      <c r="W984" t="s">
        <v>2978</v>
      </c>
      <c r="Z984" t="s">
        <v>46</v>
      </c>
      <c r="AA984" t="s">
        <v>2983</v>
      </c>
      <c r="AB984" t="s">
        <v>117</v>
      </c>
      <c r="AC984">
        <f>COUNTIF(C:C,QLKV_gui_ket_qua_ra_soat[[#This Row],[Mã điểm bán]])</f>
        <v>1</v>
      </c>
    </row>
    <row r="985" spans="1:29" x14ac:dyDescent="0.45">
      <c r="A985" t="s">
        <v>2965</v>
      </c>
      <c r="B985">
        <v>2973</v>
      </c>
      <c r="C985" t="s">
        <v>4059</v>
      </c>
      <c r="D985" t="s">
        <v>4060</v>
      </c>
      <c r="E985" t="s">
        <v>455</v>
      </c>
      <c r="F985" t="s">
        <v>4061</v>
      </c>
      <c r="G985" t="s">
        <v>177</v>
      </c>
      <c r="H985" t="s">
        <v>473</v>
      </c>
      <c r="I985" t="s">
        <v>4062</v>
      </c>
      <c r="J985" t="s">
        <v>38</v>
      </c>
      <c r="K985" t="s">
        <v>38</v>
      </c>
      <c r="L985" t="s">
        <v>39</v>
      </c>
      <c r="M985" t="s">
        <v>37</v>
      </c>
      <c r="N985" t="s">
        <v>775</v>
      </c>
      <c r="O985" t="s">
        <v>121</v>
      </c>
      <c r="P985" t="s">
        <v>37</v>
      </c>
      <c r="Q985" t="s">
        <v>37</v>
      </c>
      <c r="R985" t="s">
        <v>39</v>
      </c>
      <c r="S985" t="s">
        <v>4063</v>
      </c>
      <c r="T985" t="s">
        <v>3045</v>
      </c>
      <c r="U985" t="s">
        <v>3046</v>
      </c>
      <c r="V985" t="s">
        <v>2971</v>
      </c>
      <c r="W985" t="s">
        <v>2972</v>
      </c>
      <c r="X985" t="s">
        <v>46</v>
      </c>
      <c r="AC985">
        <f>COUNTIF(C:C,QLKV_gui_ket_qua_ra_soat[[#This Row],[Mã điểm bán]])</f>
        <v>1</v>
      </c>
    </row>
    <row r="986" spans="1:29" x14ac:dyDescent="0.45">
      <c r="A986" t="s">
        <v>2965</v>
      </c>
      <c r="B986">
        <v>2975</v>
      </c>
      <c r="C986" t="s">
        <v>4064</v>
      </c>
      <c r="D986" t="s">
        <v>4065</v>
      </c>
      <c r="E986" t="s">
        <v>4066</v>
      </c>
      <c r="F986" t="s">
        <v>417</v>
      </c>
      <c r="G986" t="s">
        <v>34</v>
      </c>
      <c r="H986" t="s">
        <v>1188</v>
      </c>
      <c r="I986" t="s">
        <v>4067</v>
      </c>
      <c r="J986" t="s">
        <v>37</v>
      </c>
      <c r="K986" t="s">
        <v>37</v>
      </c>
      <c r="L986" t="s">
        <v>39</v>
      </c>
      <c r="M986" t="s">
        <v>37</v>
      </c>
      <c r="N986" t="s">
        <v>56</v>
      </c>
      <c r="O986" t="s">
        <v>39</v>
      </c>
      <c r="P986" t="s">
        <v>38</v>
      </c>
      <c r="Q986" t="s">
        <v>38</v>
      </c>
      <c r="R986" t="s">
        <v>39</v>
      </c>
      <c r="S986" t="s">
        <v>41</v>
      </c>
      <c r="T986" t="s">
        <v>3057</v>
      </c>
      <c r="U986" t="s">
        <v>2970</v>
      </c>
      <c r="V986" t="s">
        <v>2971</v>
      </c>
      <c r="W986" t="s">
        <v>2972</v>
      </c>
      <c r="Z986" t="s">
        <v>46</v>
      </c>
      <c r="AA986" t="s">
        <v>3058</v>
      </c>
      <c r="AB986" t="s">
        <v>2999</v>
      </c>
      <c r="AC986">
        <f>COUNTIF(C:C,QLKV_gui_ket_qua_ra_soat[[#This Row],[Mã điểm bán]])</f>
        <v>1</v>
      </c>
    </row>
    <row r="987" spans="1:29" x14ac:dyDescent="0.45">
      <c r="A987" t="s">
        <v>2965</v>
      </c>
      <c r="B987">
        <v>2978</v>
      </c>
      <c r="C987" t="s">
        <v>4068</v>
      </c>
      <c r="D987" t="s">
        <v>4069</v>
      </c>
      <c r="E987" t="s">
        <v>407</v>
      </c>
      <c r="F987" t="s">
        <v>53</v>
      </c>
      <c r="G987" t="s">
        <v>34</v>
      </c>
      <c r="H987" t="s">
        <v>54</v>
      </c>
      <c r="I987" t="s">
        <v>4070</v>
      </c>
      <c r="J987" t="s">
        <v>38</v>
      </c>
      <c r="K987" t="s">
        <v>38</v>
      </c>
      <c r="L987" t="s">
        <v>40</v>
      </c>
      <c r="M987" t="s">
        <v>56</v>
      </c>
      <c r="N987" t="s">
        <v>37</v>
      </c>
      <c r="O987" t="s">
        <v>39</v>
      </c>
      <c r="P987" t="s">
        <v>38</v>
      </c>
      <c r="Q987" t="s">
        <v>56</v>
      </c>
      <c r="R987" t="s">
        <v>39</v>
      </c>
      <c r="S987" t="s">
        <v>41</v>
      </c>
      <c r="T987" t="s">
        <v>3045</v>
      </c>
      <c r="U987" t="s">
        <v>3046</v>
      </c>
      <c r="V987" t="s">
        <v>2971</v>
      </c>
      <c r="W987" t="s">
        <v>2972</v>
      </c>
      <c r="X987" t="s">
        <v>46</v>
      </c>
      <c r="AC987">
        <f>COUNTIF(C:C,QLKV_gui_ket_qua_ra_soat[[#This Row],[Mã điểm bán]])</f>
        <v>1</v>
      </c>
    </row>
    <row r="988" spans="1:29" x14ac:dyDescent="0.45">
      <c r="A988" t="s">
        <v>2965</v>
      </c>
      <c r="B988">
        <v>2981</v>
      </c>
      <c r="C988" t="s">
        <v>4071</v>
      </c>
      <c r="D988" t="s">
        <v>4072</v>
      </c>
      <c r="E988" t="s">
        <v>4073</v>
      </c>
      <c r="F988" t="s">
        <v>53</v>
      </c>
      <c r="G988" t="s">
        <v>34</v>
      </c>
      <c r="H988" t="s">
        <v>54</v>
      </c>
      <c r="I988" t="s">
        <v>4074</v>
      </c>
      <c r="J988" t="s">
        <v>37</v>
      </c>
      <c r="K988" t="s">
        <v>38</v>
      </c>
      <c r="L988" t="s">
        <v>39</v>
      </c>
      <c r="M988" t="s">
        <v>38</v>
      </c>
      <c r="N988" t="s">
        <v>37</v>
      </c>
      <c r="O988" t="s">
        <v>39</v>
      </c>
      <c r="P988" t="s">
        <v>38</v>
      </c>
      <c r="Q988" t="s">
        <v>38</v>
      </c>
      <c r="R988" t="s">
        <v>40</v>
      </c>
      <c r="S988" t="s">
        <v>41</v>
      </c>
      <c r="T988" t="s">
        <v>3057</v>
      </c>
      <c r="U988" t="s">
        <v>2970</v>
      </c>
      <c r="V988" t="s">
        <v>2971</v>
      </c>
      <c r="W988" t="s">
        <v>2972</v>
      </c>
      <c r="X988" t="s">
        <v>46</v>
      </c>
      <c r="AC988">
        <f>COUNTIF(C:C,QLKV_gui_ket_qua_ra_soat[[#This Row],[Mã điểm bán]])</f>
        <v>1</v>
      </c>
    </row>
    <row r="989" spans="1:29" x14ac:dyDescent="0.45">
      <c r="A989" t="s">
        <v>2965</v>
      </c>
      <c r="B989">
        <v>2982</v>
      </c>
      <c r="C989" t="s">
        <v>4075</v>
      </c>
      <c r="D989" t="s">
        <v>4076</v>
      </c>
      <c r="E989" t="s">
        <v>279</v>
      </c>
      <c r="F989" t="s">
        <v>401</v>
      </c>
      <c r="G989" t="s">
        <v>34</v>
      </c>
      <c r="H989" t="s">
        <v>54</v>
      </c>
      <c r="I989" t="s">
        <v>4077</v>
      </c>
      <c r="J989" t="s">
        <v>56</v>
      </c>
      <c r="K989" t="s">
        <v>38</v>
      </c>
      <c r="L989" t="s">
        <v>39</v>
      </c>
      <c r="M989" t="s">
        <v>56</v>
      </c>
      <c r="N989" t="s">
        <v>56</v>
      </c>
      <c r="O989" t="s">
        <v>39</v>
      </c>
      <c r="P989" t="s">
        <v>37</v>
      </c>
      <c r="Q989" t="s">
        <v>37</v>
      </c>
      <c r="R989" t="s">
        <v>39</v>
      </c>
      <c r="S989" t="s">
        <v>4078</v>
      </c>
      <c r="T989" t="s">
        <v>3045</v>
      </c>
      <c r="U989" t="s">
        <v>3046</v>
      </c>
      <c r="V989" t="s">
        <v>2971</v>
      </c>
      <c r="W989" t="s">
        <v>2972</v>
      </c>
      <c r="X989" t="s">
        <v>46</v>
      </c>
      <c r="AB989" t="s">
        <v>2999</v>
      </c>
      <c r="AC989">
        <f>COUNTIF(C:C,QLKV_gui_ket_qua_ra_soat[[#This Row],[Mã điểm bán]])</f>
        <v>1</v>
      </c>
    </row>
    <row r="990" spans="1:29" x14ac:dyDescent="0.45">
      <c r="A990" t="s">
        <v>2965</v>
      </c>
      <c r="B990">
        <v>2983</v>
      </c>
      <c r="C990" t="s">
        <v>4079</v>
      </c>
      <c r="D990" t="s">
        <v>4080</v>
      </c>
      <c r="E990" t="s">
        <v>873</v>
      </c>
      <c r="F990" t="s">
        <v>53</v>
      </c>
      <c r="G990" t="s">
        <v>34</v>
      </c>
      <c r="H990" t="s">
        <v>54</v>
      </c>
      <c r="I990" t="s">
        <v>4081</v>
      </c>
      <c r="J990" t="s">
        <v>38</v>
      </c>
      <c r="K990" t="s">
        <v>38</v>
      </c>
      <c r="L990" t="s">
        <v>40</v>
      </c>
      <c r="M990" t="s">
        <v>37</v>
      </c>
      <c r="N990" t="s">
        <v>56</v>
      </c>
      <c r="O990" t="s">
        <v>39</v>
      </c>
      <c r="P990" t="s">
        <v>38</v>
      </c>
      <c r="Q990" t="s">
        <v>38</v>
      </c>
      <c r="R990" t="s">
        <v>40</v>
      </c>
      <c r="S990" t="s">
        <v>41</v>
      </c>
      <c r="T990" t="s">
        <v>2969</v>
      </c>
      <c r="U990" t="s">
        <v>2970</v>
      </c>
      <c r="V990" t="s">
        <v>2971</v>
      </c>
      <c r="W990" t="s">
        <v>2972</v>
      </c>
      <c r="X990" t="s">
        <v>46</v>
      </c>
      <c r="AC990">
        <f>COUNTIF(C:C,QLKV_gui_ket_qua_ra_soat[[#This Row],[Mã điểm bán]])</f>
        <v>1</v>
      </c>
    </row>
    <row r="991" spans="1:29" x14ac:dyDescent="0.45">
      <c r="A991" t="s">
        <v>2965</v>
      </c>
      <c r="B991">
        <v>2984</v>
      </c>
      <c r="C991" t="s">
        <v>4082</v>
      </c>
      <c r="D991" t="s">
        <v>4083</v>
      </c>
      <c r="E991" t="s">
        <v>3202</v>
      </c>
      <c r="F991" t="s">
        <v>819</v>
      </c>
      <c r="G991" t="s">
        <v>34</v>
      </c>
      <c r="H991" t="s">
        <v>54</v>
      </c>
      <c r="I991" t="s">
        <v>4084</v>
      </c>
      <c r="J991" t="s">
        <v>38</v>
      </c>
      <c r="K991" t="s">
        <v>38</v>
      </c>
      <c r="L991" t="s">
        <v>40</v>
      </c>
      <c r="M991" t="s">
        <v>38</v>
      </c>
      <c r="N991" t="s">
        <v>38</v>
      </c>
      <c r="O991" t="s">
        <v>40</v>
      </c>
      <c r="P991" t="s">
        <v>38</v>
      </c>
      <c r="Q991" t="s">
        <v>38</v>
      </c>
      <c r="R991" t="s">
        <v>40</v>
      </c>
      <c r="S991" t="s">
        <v>41</v>
      </c>
      <c r="T991" t="s">
        <v>3035</v>
      </c>
      <c r="U991" t="s">
        <v>2998</v>
      </c>
      <c r="V991" t="s">
        <v>2971</v>
      </c>
      <c r="W991" t="s">
        <v>2972</v>
      </c>
      <c r="X991" t="s">
        <v>46</v>
      </c>
      <c r="AB991" t="s">
        <v>2999</v>
      </c>
      <c r="AC991">
        <f>COUNTIF(C:C,QLKV_gui_ket_qua_ra_soat[[#This Row],[Mã điểm bán]])</f>
        <v>1</v>
      </c>
    </row>
    <row r="992" spans="1:29" x14ac:dyDescent="0.45">
      <c r="A992" t="s">
        <v>2965</v>
      </c>
      <c r="B992">
        <v>2986</v>
      </c>
      <c r="C992" t="s">
        <v>4085</v>
      </c>
      <c r="D992" t="s">
        <v>1502</v>
      </c>
      <c r="E992" t="s">
        <v>128</v>
      </c>
      <c r="F992" t="s">
        <v>4086</v>
      </c>
      <c r="G992" t="s">
        <v>34</v>
      </c>
      <c r="H992" t="s">
        <v>54</v>
      </c>
      <c r="I992" t="s">
        <v>4087</v>
      </c>
      <c r="J992" t="s">
        <v>38</v>
      </c>
      <c r="K992" t="s">
        <v>38</v>
      </c>
      <c r="L992" t="s">
        <v>39</v>
      </c>
      <c r="M992" t="s">
        <v>38</v>
      </c>
      <c r="N992" t="s">
        <v>38</v>
      </c>
      <c r="O992" t="s">
        <v>39</v>
      </c>
      <c r="P992" t="s">
        <v>38</v>
      </c>
      <c r="Q992" t="s">
        <v>38</v>
      </c>
      <c r="R992" t="s">
        <v>39</v>
      </c>
      <c r="S992" t="s">
        <v>41</v>
      </c>
      <c r="T992" t="s">
        <v>3192</v>
      </c>
      <c r="U992" t="s">
        <v>3046</v>
      </c>
      <c r="V992" t="s">
        <v>2971</v>
      </c>
      <c r="W992" t="s">
        <v>2972</v>
      </c>
      <c r="Z992" t="s">
        <v>46</v>
      </c>
      <c r="AA992" t="s">
        <v>2983</v>
      </c>
      <c r="AC992">
        <f>COUNTIF(C:C,QLKV_gui_ket_qua_ra_soat[[#This Row],[Mã điểm bán]])</f>
        <v>1</v>
      </c>
    </row>
    <row r="993" spans="1:29" x14ac:dyDescent="0.45">
      <c r="A993" t="s">
        <v>2965</v>
      </c>
      <c r="B993">
        <v>2988</v>
      </c>
      <c r="C993" t="s">
        <v>4088</v>
      </c>
      <c r="D993" t="s">
        <v>4089</v>
      </c>
      <c r="E993" t="s">
        <v>63</v>
      </c>
      <c r="F993" t="s">
        <v>666</v>
      </c>
      <c r="G993" t="s">
        <v>34</v>
      </c>
      <c r="H993" t="s">
        <v>54</v>
      </c>
      <c r="I993" t="s">
        <v>4090</v>
      </c>
      <c r="J993" t="s">
        <v>38</v>
      </c>
      <c r="K993" t="s">
        <v>38</v>
      </c>
      <c r="L993" t="s">
        <v>40</v>
      </c>
      <c r="M993" t="s">
        <v>38</v>
      </c>
      <c r="N993" t="s">
        <v>38</v>
      </c>
      <c r="O993" t="s">
        <v>40</v>
      </c>
      <c r="P993" t="s">
        <v>38</v>
      </c>
      <c r="Q993" t="s">
        <v>38</v>
      </c>
      <c r="R993" t="s">
        <v>40</v>
      </c>
      <c r="S993" t="s">
        <v>41</v>
      </c>
      <c r="T993" t="s">
        <v>3035</v>
      </c>
      <c r="U993" t="s">
        <v>2998</v>
      </c>
      <c r="V993" t="s">
        <v>2971</v>
      </c>
      <c r="W993" t="s">
        <v>2972</v>
      </c>
      <c r="X993" t="s">
        <v>46</v>
      </c>
      <c r="AC993">
        <f>COUNTIF(C:C,QLKV_gui_ket_qua_ra_soat[[#This Row],[Mã điểm bán]])</f>
        <v>1</v>
      </c>
    </row>
    <row r="994" spans="1:29" x14ac:dyDescent="0.45">
      <c r="A994" t="s">
        <v>2965</v>
      </c>
      <c r="B994">
        <v>2989</v>
      </c>
      <c r="C994" t="s">
        <v>4091</v>
      </c>
      <c r="D994" t="s">
        <v>4092</v>
      </c>
      <c r="E994" t="s">
        <v>92</v>
      </c>
      <c r="F994" t="s">
        <v>115</v>
      </c>
      <c r="G994" t="s">
        <v>34</v>
      </c>
      <c r="H994" t="s">
        <v>35</v>
      </c>
      <c r="I994" t="s">
        <v>4093</v>
      </c>
      <c r="J994" t="s">
        <v>56</v>
      </c>
      <c r="K994" t="s">
        <v>56</v>
      </c>
      <c r="L994" t="s">
        <v>39</v>
      </c>
      <c r="M994" t="s">
        <v>37</v>
      </c>
      <c r="N994" t="s">
        <v>56</v>
      </c>
      <c r="O994" t="s">
        <v>39</v>
      </c>
      <c r="P994" t="s">
        <v>38</v>
      </c>
      <c r="Q994" t="s">
        <v>38</v>
      </c>
      <c r="R994" t="s">
        <v>39</v>
      </c>
      <c r="S994" t="s">
        <v>41</v>
      </c>
      <c r="T994" t="s">
        <v>3045</v>
      </c>
      <c r="U994" t="s">
        <v>3046</v>
      </c>
      <c r="V994" t="s">
        <v>2971</v>
      </c>
      <c r="W994" t="s">
        <v>2972</v>
      </c>
      <c r="X994" t="s">
        <v>46</v>
      </c>
      <c r="AB994" t="s">
        <v>117</v>
      </c>
      <c r="AC994">
        <f>COUNTIF(C:C,QLKV_gui_ket_qua_ra_soat[[#This Row],[Mã điểm bán]])</f>
        <v>1</v>
      </c>
    </row>
    <row r="995" spans="1:29" x14ac:dyDescent="0.45">
      <c r="A995" t="s">
        <v>2965</v>
      </c>
      <c r="B995">
        <v>2998</v>
      </c>
      <c r="C995" t="s">
        <v>4094</v>
      </c>
      <c r="D995" t="s">
        <v>4095</v>
      </c>
      <c r="E995" t="s">
        <v>2379</v>
      </c>
      <c r="F995" t="s">
        <v>581</v>
      </c>
      <c r="G995" t="s">
        <v>34</v>
      </c>
      <c r="H995" t="s">
        <v>2736</v>
      </c>
      <c r="I995" t="s">
        <v>4096</v>
      </c>
      <c r="J995" t="s">
        <v>37</v>
      </c>
      <c r="K995" t="s">
        <v>37</v>
      </c>
      <c r="L995" t="s">
        <v>39</v>
      </c>
      <c r="M995" t="s">
        <v>37</v>
      </c>
      <c r="N995" t="s">
        <v>37</v>
      </c>
      <c r="O995" t="s">
        <v>39</v>
      </c>
      <c r="P995" t="s">
        <v>38</v>
      </c>
      <c r="Q995" t="s">
        <v>37</v>
      </c>
      <c r="R995" t="s">
        <v>39</v>
      </c>
      <c r="S995" t="s">
        <v>4097</v>
      </c>
      <c r="T995" t="s">
        <v>3045</v>
      </c>
      <c r="U995" t="s">
        <v>3046</v>
      </c>
      <c r="V995" t="s">
        <v>2971</v>
      </c>
      <c r="W995" t="s">
        <v>2972</v>
      </c>
      <c r="X995" t="s">
        <v>46</v>
      </c>
      <c r="AC995">
        <f>COUNTIF(C:C,QLKV_gui_ket_qua_ra_soat[[#This Row],[Mã điểm bán]])</f>
        <v>1</v>
      </c>
    </row>
    <row r="996" spans="1:29" x14ac:dyDescent="0.45">
      <c r="A996" t="s">
        <v>2965</v>
      </c>
      <c r="B996">
        <v>3001</v>
      </c>
      <c r="C996" t="s">
        <v>4098</v>
      </c>
      <c r="D996" t="s">
        <v>4099</v>
      </c>
      <c r="E996" t="s">
        <v>128</v>
      </c>
      <c r="F996" t="s">
        <v>4100</v>
      </c>
      <c r="G996" t="s">
        <v>34</v>
      </c>
      <c r="H996" t="s">
        <v>54</v>
      </c>
      <c r="I996" t="s">
        <v>4101</v>
      </c>
      <c r="J996" t="s">
        <v>38</v>
      </c>
      <c r="K996" t="s">
        <v>38</v>
      </c>
      <c r="L996" t="s">
        <v>39</v>
      </c>
      <c r="M996" t="s">
        <v>38</v>
      </c>
      <c r="N996" t="s">
        <v>38</v>
      </c>
      <c r="O996" t="s">
        <v>39</v>
      </c>
      <c r="P996" t="s">
        <v>38</v>
      </c>
      <c r="Q996" t="s">
        <v>38</v>
      </c>
      <c r="R996" t="s">
        <v>39</v>
      </c>
      <c r="S996" t="s">
        <v>41</v>
      </c>
      <c r="T996" t="s">
        <v>3192</v>
      </c>
      <c r="U996" t="s">
        <v>3046</v>
      </c>
      <c r="V996" t="s">
        <v>2971</v>
      </c>
      <c r="W996" t="s">
        <v>2972</v>
      </c>
      <c r="Z996" t="s">
        <v>46</v>
      </c>
      <c r="AA996" t="s">
        <v>2983</v>
      </c>
      <c r="AB996" t="s">
        <v>117</v>
      </c>
      <c r="AC996">
        <f>COUNTIF(C:C,QLKV_gui_ket_qua_ra_soat[[#This Row],[Mã điểm bán]])</f>
        <v>1</v>
      </c>
    </row>
    <row r="997" spans="1:29" x14ac:dyDescent="0.45">
      <c r="A997" t="s">
        <v>2965</v>
      </c>
      <c r="B997">
        <v>3003</v>
      </c>
      <c r="C997" t="s">
        <v>4102</v>
      </c>
      <c r="D997" t="s">
        <v>4103</v>
      </c>
      <c r="E997" t="s">
        <v>109</v>
      </c>
      <c r="F997" t="s">
        <v>53</v>
      </c>
      <c r="G997" t="s">
        <v>34</v>
      </c>
      <c r="H997" t="s">
        <v>214</v>
      </c>
      <c r="I997" t="s">
        <v>4104</v>
      </c>
      <c r="J997" t="s">
        <v>38</v>
      </c>
      <c r="K997" t="s">
        <v>38</v>
      </c>
      <c r="L997" t="s">
        <v>40</v>
      </c>
      <c r="M997" t="s">
        <v>38</v>
      </c>
      <c r="N997" t="s">
        <v>38</v>
      </c>
      <c r="O997" t="s">
        <v>40</v>
      </c>
      <c r="P997" t="s">
        <v>38</v>
      </c>
      <c r="Q997" t="s">
        <v>38</v>
      </c>
      <c r="R997" t="s">
        <v>40</v>
      </c>
      <c r="S997" t="s">
        <v>41</v>
      </c>
      <c r="T997" t="s">
        <v>3035</v>
      </c>
      <c r="U997" t="s">
        <v>2998</v>
      </c>
      <c r="V997" t="s">
        <v>2971</v>
      </c>
      <c r="W997" t="s">
        <v>2972</v>
      </c>
      <c r="X997" t="s">
        <v>46</v>
      </c>
      <c r="AB997" t="s">
        <v>3101</v>
      </c>
      <c r="AC997">
        <f>COUNTIF(C:C,QLKV_gui_ket_qua_ra_soat[[#This Row],[Mã điểm bán]])</f>
        <v>1</v>
      </c>
    </row>
    <row r="998" spans="1:29" x14ac:dyDescent="0.45">
      <c r="A998" t="s">
        <v>2965</v>
      </c>
      <c r="B998">
        <v>3007</v>
      </c>
      <c r="C998" t="s">
        <v>4105</v>
      </c>
      <c r="D998" t="s">
        <v>4106</v>
      </c>
      <c r="E998" t="s">
        <v>4107</v>
      </c>
      <c r="F998" t="s">
        <v>53</v>
      </c>
      <c r="G998" t="s">
        <v>34</v>
      </c>
      <c r="H998" t="s">
        <v>100</v>
      </c>
      <c r="I998" t="s">
        <v>4108</v>
      </c>
      <c r="J998" t="s">
        <v>38</v>
      </c>
      <c r="K998" t="s">
        <v>38</v>
      </c>
      <c r="L998" t="s">
        <v>40</v>
      </c>
      <c r="M998" t="s">
        <v>37</v>
      </c>
      <c r="N998" t="s">
        <v>37</v>
      </c>
      <c r="O998" t="s">
        <v>39</v>
      </c>
      <c r="P998" t="s">
        <v>38</v>
      </c>
      <c r="Q998" t="s">
        <v>38</v>
      </c>
      <c r="R998" t="s">
        <v>39</v>
      </c>
      <c r="S998" t="s">
        <v>41</v>
      </c>
      <c r="T998" t="s">
        <v>2969</v>
      </c>
      <c r="U998" t="s">
        <v>2970</v>
      </c>
      <c r="V998" t="s">
        <v>2971</v>
      </c>
      <c r="W998" t="s">
        <v>2972</v>
      </c>
      <c r="X998" t="s">
        <v>46</v>
      </c>
      <c r="AC998">
        <f>COUNTIF(C:C,QLKV_gui_ket_qua_ra_soat[[#This Row],[Mã điểm bán]])</f>
        <v>1</v>
      </c>
    </row>
    <row r="999" spans="1:29" x14ac:dyDescent="0.45">
      <c r="A999" t="s">
        <v>2965</v>
      </c>
      <c r="B999">
        <v>3011</v>
      </c>
      <c r="C999" t="s">
        <v>4109</v>
      </c>
      <c r="D999" t="s">
        <v>4110</v>
      </c>
      <c r="E999" t="s">
        <v>4111</v>
      </c>
      <c r="F999" t="s">
        <v>286</v>
      </c>
      <c r="G999" t="s">
        <v>177</v>
      </c>
      <c r="H999" t="s">
        <v>54</v>
      </c>
      <c r="I999" t="s">
        <v>4112</v>
      </c>
      <c r="J999" t="s">
        <v>38</v>
      </c>
      <c r="K999" t="s">
        <v>37</v>
      </c>
      <c r="L999" t="s">
        <v>39</v>
      </c>
      <c r="M999" t="s">
        <v>37</v>
      </c>
      <c r="N999" t="s">
        <v>37</v>
      </c>
      <c r="O999" t="s">
        <v>39</v>
      </c>
      <c r="P999" t="s">
        <v>38</v>
      </c>
      <c r="Q999" t="s">
        <v>38</v>
      </c>
      <c r="R999" t="s">
        <v>40</v>
      </c>
      <c r="S999" t="s">
        <v>41</v>
      </c>
      <c r="T999" t="s">
        <v>3057</v>
      </c>
      <c r="U999" t="s">
        <v>2970</v>
      </c>
      <c r="V999" t="s">
        <v>2971</v>
      </c>
      <c r="W999" t="s">
        <v>2972</v>
      </c>
      <c r="Z999" t="s">
        <v>46</v>
      </c>
      <c r="AA999" t="s">
        <v>3058</v>
      </c>
      <c r="AB999" t="s">
        <v>2999</v>
      </c>
      <c r="AC999">
        <f>COUNTIF(C:C,QLKV_gui_ket_qua_ra_soat[[#This Row],[Mã điểm bán]])</f>
        <v>1</v>
      </c>
    </row>
    <row r="1000" spans="1:29" x14ac:dyDescent="0.45">
      <c r="A1000" t="s">
        <v>2965</v>
      </c>
      <c r="B1000">
        <v>3020</v>
      </c>
      <c r="C1000" t="s">
        <v>4113</v>
      </c>
      <c r="D1000" t="s">
        <v>4114</v>
      </c>
      <c r="E1000" t="s">
        <v>87</v>
      </c>
      <c r="F1000" t="s">
        <v>53</v>
      </c>
      <c r="G1000" t="s">
        <v>34</v>
      </c>
      <c r="H1000" t="s">
        <v>4115</v>
      </c>
      <c r="I1000" t="s">
        <v>4116</v>
      </c>
      <c r="J1000" t="s">
        <v>38</v>
      </c>
      <c r="K1000" t="s">
        <v>38</v>
      </c>
      <c r="L1000" t="s">
        <v>39</v>
      </c>
      <c r="M1000" t="s">
        <v>56</v>
      </c>
      <c r="N1000" t="s">
        <v>56</v>
      </c>
      <c r="O1000" t="s">
        <v>39</v>
      </c>
      <c r="P1000" t="s">
        <v>37</v>
      </c>
      <c r="Q1000" t="s">
        <v>37</v>
      </c>
      <c r="R1000" t="s">
        <v>39</v>
      </c>
      <c r="S1000" t="s">
        <v>4117</v>
      </c>
      <c r="T1000" t="s">
        <v>3045</v>
      </c>
      <c r="U1000" t="s">
        <v>3046</v>
      </c>
      <c r="V1000" t="s">
        <v>2971</v>
      </c>
      <c r="W1000" t="s">
        <v>2972</v>
      </c>
      <c r="X1000" t="s">
        <v>46</v>
      </c>
      <c r="AC1000">
        <f>COUNTIF(C:C,QLKV_gui_ket_qua_ra_soat[[#This Row],[Mã điểm bán]])</f>
        <v>1</v>
      </c>
    </row>
    <row r="1001" spans="1:29" x14ac:dyDescent="0.45">
      <c r="A1001" t="s">
        <v>2965</v>
      </c>
      <c r="B1001">
        <v>3026</v>
      </c>
      <c r="C1001" t="s">
        <v>4118</v>
      </c>
      <c r="D1001" t="s">
        <v>4119</v>
      </c>
      <c r="E1001" t="s">
        <v>1610</v>
      </c>
      <c r="F1001" t="s">
        <v>33</v>
      </c>
      <c r="G1001" t="s">
        <v>34</v>
      </c>
      <c r="H1001" t="s">
        <v>54</v>
      </c>
      <c r="I1001" t="s">
        <v>4120</v>
      </c>
      <c r="J1001" t="s">
        <v>38</v>
      </c>
      <c r="K1001" t="s">
        <v>38</v>
      </c>
      <c r="L1001" t="s">
        <v>40</v>
      </c>
      <c r="M1001" t="s">
        <v>38</v>
      </c>
      <c r="N1001" t="s">
        <v>38</v>
      </c>
      <c r="O1001" t="s">
        <v>40</v>
      </c>
      <c r="P1001" t="s">
        <v>38</v>
      </c>
      <c r="Q1001" t="s">
        <v>38</v>
      </c>
      <c r="R1001" t="s">
        <v>40</v>
      </c>
      <c r="S1001" t="s">
        <v>41</v>
      </c>
      <c r="T1001" t="s">
        <v>3035</v>
      </c>
      <c r="U1001" t="s">
        <v>2998</v>
      </c>
      <c r="V1001" t="s">
        <v>2971</v>
      </c>
      <c r="W1001" t="s">
        <v>2972</v>
      </c>
      <c r="X1001" t="s">
        <v>46</v>
      </c>
      <c r="AB1001" t="s">
        <v>2999</v>
      </c>
      <c r="AC1001">
        <f>COUNTIF(C:C,QLKV_gui_ket_qua_ra_soat[[#This Row],[Mã điểm bán]])</f>
        <v>1</v>
      </c>
    </row>
    <row r="1002" spans="1:29" x14ac:dyDescent="0.45">
      <c r="A1002" t="s">
        <v>2965</v>
      </c>
      <c r="B1002">
        <v>3035</v>
      </c>
      <c r="C1002" t="s">
        <v>4121</v>
      </c>
      <c r="D1002" t="s">
        <v>4122</v>
      </c>
      <c r="E1002" t="s">
        <v>304</v>
      </c>
      <c r="F1002" t="s">
        <v>53</v>
      </c>
      <c r="G1002" t="s">
        <v>34</v>
      </c>
      <c r="H1002" t="s">
        <v>2952</v>
      </c>
      <c r="I1002" t="s">
        <v>4123</v>
      </c>
      <c r="J1002" t="s">
        <v>38</v>
      </c>
      <c r="K1002" t="s">
        <v>38</v>
      </c>
      <c r="L1002" t="s">
        <v>39</v>
      </c>
      <c r="M1002" t="s">
        <v>775</v>
      </c>
      <c r="N1002" t="s">
        <v>775</v>
      </c>
      <c r="O1002" t="s">
        <v>39</v>
      </c>
      <c r="P1002" t="s">
        <v>56</v>
      </c>
      <c r="Q1002" t="s">
        <v>56</v>
      </c>
      <c r="R1002" t="s">
        <v>39</v>
      </c>
      <c r="S1002" t="s">
        <v>4124</v>
      </c>
      <c r="T1002" t="s">
        <v>3045</v>
      </c>
      <c r="U1002" t="s">
        <v>3046</v>
      </c>
      <c r="V1002" t="s">
        <v>2971</v>
      </c>
      <c r="W1002" t="s">
        <v>2972</v>
      </c>
      <c r="X1002" t="s">
        <v>46</v>
      </c>
      <c r="AC1002">
        <f>COUNTIF(C:C,QLKV_gui_ket_qua_ra_soat[[#This Row],[Mã điểm bán]])</f>
        <v>1</v>
      </c>
    </row>
    <row r="1003" spans="1:29" x14ac:dyDescent="0.45">
      <c r="A1003" t="s">
        <v>2965</v>
      </c>
      <c r="B1003">
        <v>3040</v>
      </c>
      <c r="C1003" t="s">
        <v>4125</v>
      </c>
      <c r="D1003" t="s">
        <v>4126</v>
      </c>
      <c r="E1003" t="s">
        <v>4127</v>
      </c>
      <c r="F1003" t="s">
        <v>53</v>
      </c>
      <c r="G1003" t="s">
        <v>34</v>
      </c>
      <c r="H1003" t="s">
        <v>54</v>
      </c>
      <c r="I1003" t="s">
        <v>4128</v>
      </c>
      <c r="J1003" t="s">
        <v>38</v>
      </c>
      <c r="K1003" t="s">
        <v>38</v>
      </c>
      <c r="L1003" t="s">
        <v>39</v>
      </c>
      <c r="M1003" t="s">
        <v>37</v>
      </c>
      <c r="N1003" t="s">
        <v>37</v>
      </c>
      <c r="O1003" t="s">
        <v>39</v>
      </c>
      <c r="P1003" t="s">
        <v>38</v>
      </c>
      <c r="Q1003" t="s">
        <v>38</v>
      </c>
      <c r="R1003" t="s">
        <v>40</v>
      </c>
      <c r="S1003" t="s">
        <v>41</v>
      </c>
      <c r="T1003" t="s">
        <v>3057</v>
      </c>
      <c r="U1003" t="s">
        <v>2970</v>
      </c>
      <c r="V1003" t="s">
        <v>2971</v>
      </c>
      <c r="W1003" t="s">
        <v>2972</v>
      </c>
      <c r="Z1003" t="s">
        <v>46</v>
      </c>
      <c r="AA1003" t="s">
        <v>3158</v>
      </c>
      <c r="AB1003" t="s">
        <v>117</v>
      </c>
      <c r="AC1003">
        <f>COUNTIF(C:C,QLKV_gui_ket_qua_ra_soat[[#This Row],[Mã điểm bán]])</f>
        <v>1</v>
      </c>
    </row>
    <row r="1004" spans="1:29" x14ac:dyDescent="0.45">
      <c r="A1004" t="s">
        <v>2965</v>
      </c>
      <c r="B1004">
        <v>3041</v>
      </c>
      <c r="C1004" t="s">
        <v>4129</v>
      </c>
      <c r="D1004" t="s">
        <v>4130</v>
      </c>
      <c r="E1004" t="s">
        <v>4131</v>
      </c>
      <c r="F1004" t="s">
        <v>3115</v>
      </c>
      <c r="G1004" t="s">
        <v>34</v>
      </c>
      <c r="H1004" t="s">
        <v>54</v>
      </c>
      <c r="I1004" t="s">
        <v>4132</v>
      </c>
      <c r="J1004" t="s">
        <v>38</v>
      </c>
      <c r="K1004" t="s">
        <v>38</v>
      </c>
      <c r="L1004" t="s">
        <v>40</v>
      </c>
      <c r="M1004" t="s">
        <v>38</v>
      </c>
      <c r="N1004" t="s">
        <v>38</v>
      </c>
      <c r="O1004" t="s">
        <v>40</v>
      </c>
      <c r="P1004" t="s">
        <v>38</v>
      </c>
      <c r="Q1004" t="s">
        <v>38</v>
      </c>
      <c r="R1004" t="s">
        <v>40</v>
      </c>
      <c r="S1004" t="s">
        <v>41</v>
      </c>
      <c r="T1004" t="s">
        <v>2997</v>
      </c>
      <c r="U1004" t="s">
        <v>2998</v>
      </c>
      <c r="V1004" t="s">
        <v>2971</v>
      </c>
      <c r="W1004" t="s">
        <v>2972</v>
      </c>
      <c r="Z1004" t="s">
        <v>46</v>
      </c>
      <c r="AA1004" t="s">
        <v>3036</v>
      </c>
      <c r="AB1004" t="s">
        <v>2999</v>
      </c>
      <c r="AC1004">
        <f>COUNTIF(C:C,QLKV_gui_ket_qua_ra_soat[[#This Row],[Mã điểm bán]])</f>
        <v>1</v>
      </c>
    </row>
    <row r="1005" spans="1:29" x14ac:dyDescent="0.45">
      <c r="A1005" t="s">
        <v>2965</v>
      </c>
      <c r="B1005">
        <v>3049</v>
      </c>
      <c r="C1005" t="s">
        <v>4133</v>
      </c>
      <c r="D1005" t="s">
        <v>4134</v>
      </c>
      <c r="E1005" t="s">
        <v>157</v>
      </c>
      <c r="F1005" t="s">
        <v>53</v>
      </c>
      <c r="G1005" t="s">
        <v>34</v>
      </c>
      <c r="H1005" t="s">
        <v>54</v>
      </c>
      <c r="I1005" t="s">
        <v>4135</v>
      </c>
      <c r="J1005" t="s">
        <v>38</v>
      </c>
      <c r="K1005" t="s">
        <v>38</v>
      </c>
      <c r="L1005" t="s">
        <v>40</v>
      </c>
      <c r="M1005" t="s">
        <v>38</v>
      </c>
      <c r="N1005" t="s">
        <v>38</v>
      </c>
      <c r="O1005" t="s">
        <v>40</v>
      </c>
      <c r="P1005" t="s">
        <v>38</v>
      </c>
      <c r="Q1005" t="s">
        <v>38</v>
      </c>
      <c r="R1005" t="s">
        <v>40</v>
      </c>
      <c r="S1005" t="s">
        <v>41</v>
      </c>
      <c r="T1005" t="s">
        <v>3035</v>
      </c>
      <c r="U1005" t="s">
        <v>2998</v>
      </c>
      <c r="V1005" t="s">
        <v>2971</v>
      </c>
      <c r="W1005" t="s">
        <v>2972</v>
      </c>
      <c r="X1005" t="s">
        <v>46</v>
      </c>
      <c r="AB1005" t="s">
        <v>117</v>
      </c>
      <c r="AC1005">
        <f>COUNTIF(C:C,QLKV_gui_ket_qua_ra_soat[[#This Row],[Mã điểm bán]])</f>
        <v>1</v>
      </c>
    </row>
    <row r="1006" spans="1:29" x14ac:dyDescent="0.45">
      <c r="A1006" t="s">
        <v>2965</v>
      </c>
      <c r="B1006">
        <v>3050</v>
      </c>
      <c r="C1006" t="s">
        <v>4136</v>
      </c>
      <c r="D1006" t="s">
        <v>4137</v>
      </c>
      <c r="E1006" t="s">
        <v>69</v>
      </c>
      <c r="F1006" t="s">
        <v>53</v>
      </c>
      <c r="G1006" t="s">
        <v>34</v>
      </c>
      <c r="H1006" t="s">
        <v>54</v>
      </c>
      <c r="I1006" t="s">
        <v>4138</v>
      </c>
      <c r="J1006" t="s">
        <v>38</v>
      </c>
      <c r="K1006" t="s">
        <v>38</v>
      </c>
      <c r="L1006" t="s">
        <v>39</v>
      </c>
      <c r="M1006" t="s">
        <v>56</v>
      </c>
      <c r="N1006" t="s">
        <v>56</v>
      </c>
      <c r="O1006" t="s">
        <v>39</v>
      </c>
      <c r="P1006" t="s">
        <v>37</v>
      </c>
      <c r="Q1006" t="s">
        <v>56</v>
      </c>
      <c r="R1006" t="s">
        <v>39</v>
      </c>
      <c r="S1006" t="s">
        <v>41</v>
      </c>
      <c r="T1006" t="s">
        <v>3045</v>
      </c>
      <c r="U1006" t="s">
        <v>3046</v>
      </c>
      <c r="V1006" t="s">
        <v>2971</v>
      </c>
      <c r="W1006" t="s">
        <v>2972</v>
      </c>
      <c r="X1006" t="s">
        <v>46</v>
      </c>
      <c r="AB1006" t="s">
        <v>117</v>
      </c>
      <c r="AC1006">
        <f>COUNTIF(C:C,QLKV_gui_ket_qua_ra_soat[[#This Row],[Mã điểm bán]])</f>
        <v>1</v>
      </c>
    </row>
    <row r="1007" spans="1:29" x14ac:dyDescent="0.45">
      <c r="A1007" t="s">
        <v>2965</v>
      </c>
      <c r="B1007">
        <v>3061</v>
      </c>
      <c r="C1007" t="s">
        <v>4139</v>
      </c>
      <c r="D1007" t="s">
        <v>4140</v>
      </c>
      <c r="E1007" t="s">
        <v>4141</v>
      </c>
      <c r="F1007" t="s">
        <v>53</v>
      </c>
      <c r="G1007" t="s">
        <v>34</v>
      </c>
      <c r="H1007" t="s">
        <v>54</v>
      </c>
      <c r="I1007" t="s">
        <v>4142</v>
      </c>
      <c r="J1007" t="s">
        <v>38</v>
      </c>
      <c r="K1007" t="s">
        <v>38</v>
      </c>
      <c r="L1007" t="s">
        <v>40</v>
      </c>
      <c r="M1007" t="s">
        <v>38</v>
      </c>
      <c r="N1007" t="s">
        <v>38</v>
      </c>
      <c r="O1007" t="s">
        <v>39</v>
      </c>
      <c r="P1007" t="s">
        <v>38</v>
      </c>
      <c r="Q1007" t="s">
        <v>38</v>
      </c>
      <c r="R1007" t="s">
        <v>39</v>
      </c>
      <c r="S1007" t="s">
        <v>41</v>
      </c>
      <c r="T1007" t="s">
        <v>3057</v>
      </c>
      <c r="U1007" t="s">
        <v>2970</v>
      </c>
      <c r="V1007" t="s">
        <v>2971</v>
      </c>
      <c r="W1007" t="s">
        <v>2972</v>
      </c>
      <c r="X1007" t="s">
        <v>46</v>
      </c>
      <c r="AC1007">
        <f>COUNTIF(C:C,QLKV_gui_ket_qua_ra_soat[[#This Row],[Mã điểm bán]])</f>
        <v>1</v>
      </c>
    </row>
    <row r="1008" spans="1:29" x14ac:dyDescent="0.45">
      <c r="A1008" t="s">
        <v>2965</v>
      </c>
      <c r="B1008">
        <v>3062</v>
      </c>
      <c r="C1008" t="s">
        <v>4143</v>
      </c>
      <c r="D1008" t="s">
        <v>4144</v>
      </c>
      <c r="E1008" t="s">
        <v>176</v>
      </c>
      <c r="F1008" t="s">
        <v>53</v>
      </c>
      <c r="G1008" t="s">
        <v>34</v>
      </c>
      <c r="H1008" t="s">
        <v>54</v>
      </c>
      <c r="I1008" t="s">
        <v>4145</v>
      </c>
      <c r="J1008" t="s">
        <v>38</v>
      </c>
      <c r="K1008" t="s">
        <v>56</v>
      </c>
      <c r="L1008" t="s">
        <v>40</v>
      </c>
      <c r="M1008" t="s">
        <v>38</v>
      </c>
      <c r="N1008" t="s">
        <v>56</v>
      </c>
      <c r="O1008" t="s">
        <v>39</v>
      </c>
      <c r="P1008" t="s">
        <v>56</v>
      </c>
      <c r="Q1008" t="s">
        <v>56</v>
      </c>
      <c r="R1008" t="s">
        <v>39</v>
      </c>
      <c r="S1008" t="s">
        <v>41</v>
      </c>
      <c r="T1008" t="s">
        <v>3045</v>
      </c>
      <c r="U1008" t="s">
        <v>3046</v>
      </c>
      <c r="V1008" t="s">
        <v>2971</v>
      </c>
      <c r="W1008" t="s">
        <v>2972</v>
      </c>
      <c r="Z1008" t="s">
        <v>46</v>
      </c>
      <c r="AA1008" t="s">
        <v>2983</v>
      </c>
      <c r="AB1008" t="s">
        <v>117</v>
      </c>
      <c r="AC1008">
        <f>COUNTIF(C:C,QLKV_gui_ket_qua_ra_soat[[#This Row],[Mã điểm bán]])</f>
        <v>1</v>
      </c>
    </row>
    <row r="1009" spans="1:29" x14ac:dyDescent="0.45">
      <c r="A1009" t="s">
        <v>2965</v>
      </c>
      <c r="B1009">
        <v>3070</v>
      </c>
      <c r="C1009" t="s">
        <v>4146</v>
      </c>
      <c r="D1009" t="s">
        <v>4147</v>
      </c>
      <c r="E1009" t="s">
        <v>628</v>
      </c>
      <c r="F1009" t="s">
        <v>53</v>
      </c>
      <c r="G1009" t="s">
        <v>34</v>
      </c>
      <c r="H1009" t="s">
        <v>479</v>
      </c>
      <c r="I1009" t="s">
        <v>4148</v>
      </c>
      <c r="J1009" t="s">
        <v>41</v>
      </c>
      <c r="K1009" t="s">
        <v>41</v>
      </c>
      <c r="L1009" t="s">
        <v>41</v>
      </c>
      <c r="M1009" t="s">
        <v>41</v>
      </c>
      <c r="N1009" t="s">
        <v>41</v>
      </c>
      <c r="O1009" t="s">
        <v>41</v>
      </c>
      <c r="P1009" t="s">
        <v>41</v>
      </c>
      <c r="Q1009" t="s">
        <v>41</v>
      </c>
      <c r="R1009" t="s">
        <v>41</v>
      </c>
      <c r="S1009" t="s">
        <v>41</v>
      </c>
      <c r="T1009" t="s">
        <v>3192</v>
      </c>
      <c r="U1009" t="s">
        <v>3046</v>
      </c>
      <c r="V1009" t="s">
        <v>2971</v>
      </c>
      <c r="W1009" t="s">
        <v>2972</v>
      </c>
      <c r="X1009" t="s">
        <v>46</v>
      </c>
      <c r="AC1009">
        <f>COUNTIF(C:C,QLKV_gui_ket_qua_ra_soat[[#This Row],[Mã điểm bán]])</f>
        <v>1</v>
      </c>
    </row>
    <row r="1010" spans="1:29" x14ac:dyDescent="0.45">
      <c r="A1010" t="s">
        <v>2965</v>
      </c>
      <c r="B1010">
        <v>3072</v>
      </c>
      <c r="C1010" t="s">
        <v>4149</v>
      </c>
      <c r="D1010" t="s">
        <v>4150</v>
      </c>
      <c r="E1010" t="s">
        <v>4151</v>
      </c>
      <c r="F1010" t="s">
        <v>53</v>
      </c>
      <c r="G1010" t="s">
        <v>34</v>
      </c>
      <c r="H1010" t="s">
        <v>100</v>
      </c>
      <c r="I1010" t="s">
        <v>4152</v>
      </c>
      <c r="J1010" t="s">
        <v>38</v>
      </c>
      <c r="K1010" t="s">
        <v>38</v>
      </c>
      <c r="L1010" t="s">
        <v>40</v>
      </c>
      <c r="M1010" t="s">
        <v>38</v>
      </c>
      <c r="N1010" t="s">
        <v>38</v>
      </c>
      <c r="O1010" t="s">
        <v>39</v>
      </c>
      <c r="P1010" t="s">
        <v>38</v>
      </c>
      <c r="Q1010" t="s">
        <v>38</v>
      </c>
      <c r="R1010" t="s">
        <v>39</v>
      </c>
      <c r="S1010" t="s">
        <v>41</v>
      </c>
      <c r="T1010" t="s">
        <v>2969</v>
      </c>
      <c r="U1010" t="s">
        <v>2970</v>
      </c>
      <c r="V1010" t="s">
        <v>2971</v>
      </c>
      <c r="W1010" t="s">
        <v>2972</v>
      </c>
      <c r="X1010" t="s">
        <v>46</v>
      </c>
      <c r="AC1010">
        <f>COUNTIF(C:C,QLKV_gui_ket_qua_ra_soat[[#This Row],[Mã điểm bán]])</f>
        <v>1</v>
      </c>
    </row>
    <row r="1011" spans="1:29" x14ac:dyDescent="0.45">
      <c r="A1011" t="s">
        <v>2965</v>
      </c>
      <c r="B1011">
        <v>3078</v>
      </c>
      <c r="C1011" t="s">
        <v>4153</v>
      </c>
      <c r="D1011" t="s">
        <v>4154</v>
      </c>
      <c r="E1011" t="s">
        <v>176</v>
      </c>
      <c r="F1011" t="s">
        <v>53</v>
      </c>
      <c r="G1011" t="s">
        <v>34</v>
      </c>
      <c r="H1011" t="s">
        <v>54</v>
      </c>
      <c r="I1011" t="s">
        <v>4155</v>
      </c>
      <c r="J1011" t="s">
        <v>38</v>
      </c>
      <c r="K1011" t="s">
        <v>38</v>
      </c>
      <c r="L1011" t="s">
        <v>40</v>
      </c>
      <c r="M1011" t="s">
        <v>37</v>
      </c>
      <c r="N1011" t="s">
        <v>37</v>
      </c>
      <c r="O1011" t="s">
        <v>39</v>
      </c>
      <c r="P1011" t="s">
        <v>38</v>
      </c>
      <c r="Q1011" t="s">
        <v>56</v>
      </c>
      <c r="R1011" t="s">
        <v>39</v>
      </c>
      <c r="S1011" t="s">
        <v>4156</v>
      </c>
      <c r="T1011" t="s">
        <v>3045</v>
      </c>
      <c r="U1011" t="s">
        <v>3046</v>
      </c>
      <c r="V1011" t="s">
        <v>2971</v>
      </c>
      <c r="W1011" t="s">
        <v>2972</v>
      </c>
      <c r="X1011" t="s">
        <v>46</v>
      </c>
      <c r="AB1011" t="s">
        <v>117</v>
      </c>
      <c r="AC1011">
        <f>COUNTIF(C:C,QLKV_gui_ket_qua_ra_soat[[#This Row],[Mã điểm bán]])</f>
        <v>1</v>
      </c>
    </row>
    <row r="1012" spans="1:29" x14ac:dyDescent="0.45">
      <c r="A1012" t="s">
        <v>2965</v>
      </c>
      <c r="B1012">
        <v>3089</v>
      </c>
      <c r="C1012" t="s">
        <v>4157</v>
      </c>
      <c r="D1012" t="s">
        <v>4158</v>
      </c>
      <c r="E1012" t="s">
        <v>4159</v>
      </c>
      <c r="F1012" t="s">
        <v>166</v>
      </c>
      <c r="G1012" t="s">
        <v>34</v>
      </c>
      <c r="H1012" t="s">
        <v>54</v>
      </c>
      <c r="I1012" t="s">
        <v>4160</v>
      </c>
      <c r="J1012" t="s">
        <v>38</v>
      </c>
      <c r="K1012" t="s">
        <v>38</v>
      </c>
      <c r="L1012" t="s">
        <v>40</v>
      </c>
      <c r="M1012" t="s">
        <v>38</v>
      </c>
      <c r="N1012" t="s">
        <v>38</v>
      </c>
      <c r="O1012" t="s">
        <v>40</v>
      </c>
      <c r="P1012" t="s">
        <v>38</v>
      </c>
      <c r="Q1012" t="s">
        <v>38</v>
      </c>
      <c r="R1012" t="s">
        <v>40</v>
      </c>
      <c r="S1012" t="s">
        <v>41</v>
      </c>
      <c r="T1012" t="s">
        <v>2997</v>
      </c>
      <c r="U1012" t="s">
        <v>2998</v>
      </c>
      <c r="V1012" t="s">
        <v>2971</v>
      </c>
      <c r="W1012" t="s">
        <v>2972</v>
      </c>
      <c r="X1012" t="s">
        <v>46</v>
      </c>
      <c r="AB1012" t="s">
        <v>117</v>
      </c>
      <c r="AC1012">
        <f>COUNTIF(C:C,QLKV_gui_ket_qua_ra_soat[[#This Row],[Mã điểm bán]])</f>
        <v>1</v>
      </c>
    </row>
    <row r="1013" spans="1:29" x14ac:dyDescent="0.45">
      <c r="A1013" t="s">
        <v>2965</v>
      </c>
      <c r="B1013">
        <v>3097</v>
      </c>
      <c r="C1013" t="s">
        <v>4161</v>
      </c>
      <c r="D1013" t="s">
        <v>4162</v>
      </c>
      <c r="E1013" t="s">
        <v>4163</v>
      </c>
      <c r="F1013" t="s">
        <v>53</v>
      </c>
      <c r="G1013" t="s">
        <v>34</v>
      </c>
      <c r="H1013" t="s">
        <v>54</v>
      </c>
      <c r="I1013" t="s">
        <v>4164</v>
      </c>
      <c r="J1013" t="s">
        <v>38</v>
      </c>
      <c r="K1013" t="s">
        <v>38</v>
      </c>
      <c r="L1013" t="s">
        <v>40</v>
      </c>
      <c r="M1013" t="s">
        <v>38</v>
      </c>
      <c r="N1013" t="s">
        <v>38</v>
      </c>
      <c r="O1013" t="s">
        <v>40</v>
      </c>
      <c r="P1013" t="s">
        <v>38</v>
      </c>
      <c r="Q1013" t="s">
        <v>38</v>
      </c>
      <c r="R1013" t="s">
        <v>40</v>
      </c>
      <c r="S1013" t="s">
        <v>41</v>
      </c>
      <c r="T1013" t="s">
        <v>2997</v>
      </c>
      <c r="U1013" t="s">
        <v>2998</v>
      </c>
      <c r="V1013" t="s">
        <v>2971</v>
      </c>
      <c r="W1013" t="s">
        <v>2972</v>
      </c>
      <c r="X1013" t="s">
        <v>46</v>
      </c>
      <c r="AC1013">
        <f>COUNTIF(C:C,QLKV_gui_ket_qua_ra_soat[[#This Row],[Mã điểm bán]])</f>
        <v>1</v>
      </c>
    </row>
    <row r="1014" spans="1:29" x14ac:dyDescent="0.45">
      <c r="A1014" t="s">
        <v>2965</v>
      </c>
      <c r="B1014">
        <v>3102</v>
      </c>
      <c r="C1014" t="s">
        <v>4165</v>
      </c>
      <c r="D1014" t="s">
        <v>4166</v>
      </c>
      <c r="E1014" t="s">
        <v>4167</v>
      </c>
      <c r="F1014" t="s">
        <v>559</v>
      </c>
      <c r="G1014" t="s">
        <v>34</v>
      </c>
      <c r="H1014" t="s">
        <v>214</v>
      </c>
      <c r="I1014" t="s">
        <v>4168</v>
      </c>
      <c r="J1014" t="s">
        <v>38</v>
      </c>
      <c r="K1014" t="s">
        <v>38</v>
      </c>
      <c r="L1014" t="s">
        <v>39</v>
      </c>
      <c r="M1014" t="s">
        <v>38</v>
      </c>
      <c r="N1014" t="s">
        <v>38</v>
      </c>
      <c r="O1014" t="s">
        <v>40</v>
      </c>
      <c r="P1014" t="s">
        <v>38</v>
      </c>
      <c r="Q1014" t="s">
        <v>38</v>
      </c>
      <c r="R1014" t="s">
        <v>39</v>
      </c>
      <c r="S1014" t="s">
        <v>41</v>
      </c>
      <c r="T1014" t="s">
        <v>2997</v>
      </c>
      <c r="U1014" t="s">
        <v>2998</v>
      </c>
      <c r="V1014" t="s">
        <v>2971</v>
      </c>
      <c r="W1014" t="s">
        <v>2972</v>
      </c>
      <c r="Z1014" t="s">
        <v>46</v>
      </c>
      <c r="AA1014" t="s">
        <v>3036</v>
      </c>
      <c r="AB1014" t="s">
        <v>117</v>
      </c>
      <c r="AC1014">
        <f>COUNTIF(C:C,QLKV_gui_ket_qua_ra_soat[[#This Row],[Mã điểm bán]])</f>
        <v>1</v>
      </c>
    </row>
    <row r="1015" spans="1:29" x14ac:dyDescent="0.45">
      <c r="A1015" t="s">
        <v>2965</v>
      </c>
      <c r="B1015">
        <v>3105</v>
      </c>
      <c r="C1015" t="s">
        <v>4169</v>
      </c>
      <c r="D1015" t="s">
        <v>4170</v>
      </c>
      <c r="E1015" t="s">
        <v>4171</v>
      </c>
      <c r="F1015" t="s">
        <v>401</v>
      </c>
      <c r="G1015" t="s">
        <v>34</v>
      </c>
      <c r="H1015" t="s">
        <v>54</v>
      </c>
      <c r="I1015" t="s">
        <v>4172</v>
      </c>
      <c r="J1015" t="s">
        <v>38</v>
      </c>
      <c r="K1015" t="s">
        <v>37</v>
      </c>
      <c r="L1015" t="s">
        <v>40</v>
      </c>
      <c r="M1015" t="s">
        <v>37</v>
      </c>
      <c r="N1015" t="s">
        <v>38</v>
      </c>
      <c r="O1015" t="s">
        <v>39</v>
      </c>
      <c r="P1015" t="s">
        <v>38</v>
      </c>
      <c r="Q1015" t="s">
        <v>38</v>
      </c>
      <c r="R1015" t="s">
        <v>39</v>
      </c>
      <c r="S1015" t="s">
        <v>41</v>
      </c>
      <c r="T1015" t="s">
        <v>2997</v>
      </c>
      <c r="U1015" t="s">
        <v>2998</v>
      </c>
      <c r="V1015" t="s">
        <v>2971</v>
      </c>
      <c r="W1015" t="s">
        <v>2972</v>
      </c>
      <c r="X1015" t="s">
        <v>46</v>
      </c>
      <c r="AC1015">
        <f>COUNTIF(C:C,QLKV_gui_ket_qua_ra_soat[[#This Row],[Mã điểm bán]])</f>
        <v>1</v>
      </c>
    </row>
    <row r="1016" spans="1:29" x14ac:dyDescent="0.45">
      <c r="A1016" t="s">
        <v>2965</v>
      </c>
      <c r="B1016">
        <v>3109</v>
      </c>
      <c r="C1016" t="s">
        <v>4173</v>
      </c>
      <c r="D1016" t="s">
        <v>4174</v>
      </c>
      <c r="E1016" t="s">
        <v>4175</v>
      </c>
      <c r="F1016" t="s">
        <v>53</v>
      </c>
      <c r="G1016" t="s">
        <v>34</v>
      </c>
      <c r="H1016" t="s">
        <v>54</v>
      </c>
      <c r="I1016" t="s">
        <v>4176</v>
      </c>
      <c r="J1016" t="s">
        <v>38</v>
      </c>
      <c r="K1016" t="s">
        <v>38</v>
      </c>
      <c r="L1016" t="s">
        <v>39</v>
      </c>
      <c r="M1016" t="s">
        <v>38</v>
      </c>
      <c r="N1016" t="s">
        <v>38</v>
      </c>
      <c r="O1016" t="s">
        <v>40</v>
      </c>
      <c r="P1016" t="s">
        <v>38</v>
      </c>
      <c r="Q1016" t="s">
        <v>38</v>
      </c>
      <c r="R1016" t="s">
        <v>40</v>
      </c>
      <c r="S1016" t="s">
        <v>41</v>
      </c>
      <c r="T1016" t="s">
        <v>2997</v>
      </c>
      <c r="U1016" t="s">
        <v>2998</v>
      </c>
      <c r="V1016" t="s">
        <v>2971</v>
      </c>
      <c r="W1016" t="s">
        <v>2972</v>
      </c>
      <c r="X1016" t="s">
        <v>46</v>
      </c>
      <c r="AB1016" t="s">
        <v>117</v>
      </c>
      <c r="AC1016">
        <f>COUNTIF(C:C,QLKV_gui_ket_qua_ra_soat[[#This Row],[Mã điểm bán]])</f>
        <v>1</v>
      </c>
    </row>
    <row r="1017" spans="1:29" x14ac:dyDescent="0.45">
      <c r="A1017" t="s">
        <v>2965</v>
      </c>
      <c r="B1017">
        <v>3157</v>
      </c>
      <c r="C1017" t="s">
        <v>4177</v>
      </c>
      <c r="D1017" t="s">
        <v>4178</v>
      </c>
      <c r="E1017" t="s">
        <v>68</v>
      </c>
      <c r="F1017" t="s">
        <v>53</v>
      </c>
      <c r="G1017" t="s">
        <v>34</v>
      </c>
      <c r="H1017" t="s">
        <v>54</v>
      </c>
      <c r="I1017" t="s">
        <v>4179</v>
      </c>
      <c r="J1017" t="s">
        <v>38</v>
      </c>
      <c r="K1017" t="s">
        <v>38</v>
      </c>
      <c r="L1017" t="s">
        <v>39</v>
      </c>
      <c r="M1017" t="s">
        <v>38</v>
      </c>
      <c r="N1017" t="s">
        <v>38</v>
      </c>
      <c r="O1017" t="s">
        <v>39</v>
      </c>
      <c r="P1017" t="s">
        <v>38</v>
      </c>
      <c r="Q1017" t="s">
        <v>38</v>
      </c>
      <c r="R1017" t="s">
        <v>39</v>
      </c>
      <c r="S1017" t="s">
        <v>41</v>
      </c>
      <c r="T1017" t="s">
        <v>3192</v>
      </c>
      <c r="U1017" t="s">
        <v>3046</v>
      </c>
      <c r="V1017" t="s">
        <v>2971</v>
      </c>
      <c r="W1017" t="s">
        <v>2972</v>
      </c>
      <c r="Z1017" t="s">
        <v>46</v>
      </c>
      <c r="AA1017" t="s">
        <v>2983</v>
      </c>
      <c r="AC1017">
        <f>COUNTIF(C:C,QLKV_gui_ket_qua_ra_soat[[#This Row],[Mã điểm bán]])</f>
        <v>1</v>
      </c>
    </row>
    <row r="1018" spans="1:29" x14ac:dyDescent="0.45">
      <c r="A1018" t="s">
        <v>2965</v>
      </c>
      <c r="B1018">
        <v>3186</v>
      </c>
      <c r="C1018" t="s">
        <v>4180</v>
      </c>
      <c r="D1018" t="s">
        <v>4181</v>
      </c>
      <c r="E1018" t="s">
        <v>86</v>
      </c>
      <c r="F1018" t="s">
        <v>325</v>
      </c>
      <c r="G1018" t="s">
        <v>34</v>
      </c>
      <c r="H1018" t="s">
        <v>4182</v>
      </c>
      <c r="I1018" t="s">
        <v>4183</v>
      </c>
      <c r="J1018" t="s">
        <v>38</v>
      </c>
      <c r="K1018" t="s">
        <v>38</v>
      </c>
      <c r="L1018" t="s">
        <v>40</v>
      </c>
      <c r="M1018" t="s">
        <v>38</v>
      </c>
      <c r="N1018" t="s">
        <v>37</v>
      </c>
      <c r="O1018" t="s">
        <v>39</v>
      </c>
      <c r="P1018" t="s">
        <v>38</v>
      </c>
      <c r="Q1018" t="s">
        <v>38</v>
      </c>
      <c r="R1018" t="s">
        <v>39</v>
      </c>
      <c r="S1018" t="s">
        <v>41</v>
      </c>
      <c r="T1018" t="s">
        <v>3192</v>
      </c>
      <c r="U1018" t="s">
        <v>3046</v>
      </c>
      <c r="V1018" t="s">
        <v>2971</v>
      </c>
      <c r="W1018" t="s">
        <v>2972</v>
      </c>
      <c r="Z1018" t="s">
        <v>46</v>
      </c>
      <c r="AA1018" t="s">
        <v>2983</v>
      </c>
      <c r="AC1018">
        <f>COUNTIF(C:C,QLKV_gui_ket_qua_ra_soat[[#This Row],[Mã điểm bán]])</f>
        <v>1</v>
      </c>
    </row>
    <row r="1019" spans="1:29" x14ac:dyDescent="0.45">
      <c r="A1019" t="s">
        <v>2965</v>
      </c>
      <c r="B1019">
        <v>3246</v>
      </c>
      <c r="C1019" t="s">
        <v>4184</v>
      </c>
      <c r="D1019" t="s">
        <v>4185</v>
      </c>
      <c r="E1019" t="s">
        <v>4186</v>
      </c>
      <c r="F1019" t="s">
        <v>53</v>
      </c>
      <c r="G1019" t="s">
        <v>34</v>
      </c>
      <c r="H1019" t="s">
        <v>54</v>
      </c>
      <c r="I1019" t="s">
        <v>4187</v>
      </c>
      <c r="J1019" t="s">
        <v>38</v>
      </c>
      <c r="K1019" t="s">
        <v>38</v>
      </c>
      <c r="L1019" t="s">
        <v>40</v>
      </c>
      <c r="M1019" t="s">
        <v>37</v>
      </c>
      <c r="N1019" t="s">
        <v>38</v>
      </c>
      <c r="O1019" t="s">
        <v>39</v>
      </c>
      <c r="P1019" t="s">
        <v>38</v>
      </c>
      <c r="Q1019" t="s">
        <v>38</v>
      </c>
      <c r="R1019" t="s">
        <v>39</v>
      </c>
      <c r="S1019" t="s">
        <v>41</v>
      </c>
      <c r="T1019" t="s">
        <v>2997</v>
      </c>
      <c r="U1019" t="s">
        <v>2998</v>
      </c>
      <c r="V1019" t="s">
        <v>2971</v>
      </c>
      <c r="W1019" t="s">
        <v>2972</v>
      </c>
      <c r="Z1019" t="s">
        <v>46</v>
      </c>
      <c r="AA1019" t="s">
        <v>3036</v>
      </c>
      <c r="AC1019">
        <f>COUNTIF(C:C,QLKV_gui_ket_qua_ra_soat[[#This Row],[Mã điểm bán]])</f>
        <v>1</v>
      </c>
    </row>
    <row r="1020" spans="1:29" x14ac:dyDescent="0.45">
      <c r="A1020" t="s">
        <v>2965</v>
      </c>
      <c r="B1020">
        <v>3247</v>
      </c>
      <c r="C1020" t="s">
        <v>4188</v>
      </c>
      <c r="D1020" t="s">
        <v>4189</v>
      </c>
      <c r="E1020" t="s">
        <v>4190</v>
      </c>
      <c r="F1020" t="s">
        <v>666</v>
      </c>
      <c r="G1020" t="s">
        <v>34</v>
      </c>
      <c r="H1020" t="s">
        <v>356</v>
      </c>
      <c r="I1020" t="s">
        <v>4191</v>
      </c>
      <c r="J1020" t="s">
        <v>38</v>
      </c>
      <c r="K1020" t="s">
        <v>38</v>
      </c>
      <c r="L1020" t="s">
        <v>39</v>
      </c>
      <c r="M1020" t="s">
        <v>38</v>
      </c>
      <c r="N1020" t="s">
        <v>38</v>
      </c>
      <c r="O1020" t="s">
        <v>40</v>
      </c>
      <c r="P1020" t="s">
        <v>38</v>
      </c>
      <c r="Q1020" t="s">
        <v>38</v>
      </c>
      <c r="R1020" t="s">
        <v>40</v>
      </c>
      <c r="S1020" t="s">
        <v>41</v>
      </c>
      <c r="T1020" t="s">
        <v>2997</v>
      </c>
      <c r="U1020" t="s">
        <v>2998</v>
      </c>
      <c r="V1020" t="s">
        <v>2971</v>
      </c>
      <c r="W1020" t="s">
        <v>2972</v>
      </c>
      <c r="Z1020" t="s">
        <v>46</v>
      </c>
      <c r="AA1020" t="s">
        <v>3036</v>
      </c>
      <c r="AC1020">
        <f>COUNTIF(C:C,QLKV_gui_ket_qua_ra_soat[[#This Row],[Mã điểm bán]])</f>
        <v>1</v>
      </c>
    </row>
    <row r="1021" spans="1:29" x14ac:dyDescent="0.45">
      <c r="A1021" t="s">
        <v>2965</v>
      </c>
      <c r="B1021">
        <v>3249</v>
      </c>
      <c r="C1021" t="s">
        <v>4192</v>
      </c>
      <c r="D1021" t="s">
        <v>2671</v>
      </c>
      <c r="E1021" t="s">
        <v>4193</v>
      </c>
      <c r="F1021" t="s">
        <v>53</v>
      </c>
      <c r="G1021" t="s">
        <v>34</v>
      </c>
      <c r="H1021" t="s">
        <v>54</v>
      </c>
      <c r="I1021" t="s">
        <v>4194</v>
      </c>
      <c r="J1021" t="s">
        <v>38</v>
      </c>
      <c r="K1021" t="s">
        <v>38</v>
      </c>
      <c r="L1021" t="s">
        <v>40</v>
      </c>
      <c r="M1021" t="s">
        <v>38</v>
      </c>
      <c r="N1021" t="s">
        <v>38</v>
      </c>
      <c r="O1021" t="s">
        <v>39</v>
      </c>
      <c r="P1021" t="s">
        <v>38</v>
      </c>
      <c r="Q1021" t="s">
        <v>38</v>
      </c>
      <c r="R1021" t="s">
        <v>40</v>
      </c>
      <c r="S1021" t="s">
        <v>41</v>
      </c>
      <c r="T1021" t="s">
        <v>2969</v>
      </c>
      <c r="U1021" t="s">
        <v>2970</v>
      </c>
      <c r="V1021" t="s">
        <v>2971</v>
      </c>
      <c r="W1021" t="s">
        <v>2972</v>
      </c>
      <c r="X1021" t="s">
        <v>46</v>
      </c>
      <c r="AC1021">
        <f>COUNTIF(C:C,QLKV_gui_ket_qua_ra_soat[[#This Row],[Mã điểm bán]])</f>
        <v>1</v>
      </c>
    </row>
    <row r="1022" spans="1:29" x14ac:dyDescent="0.45">
      <c r="A1022" t="s">
        <v>2965</v>
      </c>
      <c r="B1022">
        <v>3257</v>
      </c>
      <c r="C1022" t="s">
        <v>4195</v>
      </c>
      <c r="D1022" t="s">
        <v>4196</v>
      </c>
      <c r="E1022" t="s">
        <v>138</v>
      </c>
      <c r="F1022" t="s">
        <v>166</v>
      </c>
      <c r="G1022" t="s">
        <v>34</v>
      </c>
      <c r="H1022" t="s">
        <v>658</v>
      </c>
      <c r="I1022" t="s">
        <v>4198</v>
      </c>
      <c r="J1022" t="s">
        <v>38</v>
      </c>
      <c r="K1022" t="s">
        <v>38</v>
      </c>
      <c r="L1022" t="s">
        <v>40</v>
      </c>
      <c r="M1022" t="s">
        <v>37</v>
      </c>
      <c r="N1022" t="s">
        <v>37</v>
      </c>
      <c r="O1022" t="s">
        <v>40</v>
      </c>
      <c r="P1022" t="s">
        <v>38</v>
      </c>
      <c r="Q1022" t="s">
        <v>38</v>
      </c>
      <c r="R1022" t="s">
        <v>40</v>
      </c>
      <c r="S1022" t="s">
        <v>41</v>
      </c>
      <c r="T1022" t="s">
        <v>3192</v>
      </c>
      <c r="U1022" t="s">
        <v>3046</v>
      </c>
      <c r="V1022" t="s">
        <v>2971</v>
      </c>
      <c r="W1022" t="s">
        <v>2972</v>
      </c>
      <c r="X1022" t="s">
        <v>46</v>
      </c>
      <c r="AB1022" t="s">
        <v>117</v>
      </c>
      <c r="AC1022">
        <f>COUNTIF(C:C,QLKV_gui_ket_qua_ra_soat[[#This Row],[Mã điểm bán]])</f>
        <v>1</v>
      </c>
    </row>
    <row r="1023" spans="1:29" x14ac:dyDescent="0.45">
      <c r="A1023" t="s">
        <v>2965</v>
      </c>
      <c r="B1023">
        <v>3262</v>
      </c>
      <c r="C1023" t="s">
        <v>4199</v>
      </c>
      <c r="D1023" t="s">
        <v>4200</v>
      </c>
      <c r="E1023" t="s">
        <v>1104</v>
      </c>
      <c r="F1023" t="s">
        <v>819</v>
      </c>
      <c r="G1023" t="s">
        <v>34</v>
      </c>
      <c r="H1023" t="s">
        <v>54</v>
      </c>
      <c r="I1023" t="s">
        <v>4201</v>
      </c>
      <c r="J1023" t="s">
        <v>38</v>
      </c>
      <c r="K1023" t="s">
        <v>38</v>
      </c>
      <c r="L1023" t="s">
        <v>40</v>
      </c>
      <c r="M1023" t="s">
        <v>38</v>
      </c>
      <c r="N1023" t="s">
        <v>38</v>
      </c>
      <c r="O1023" t="s">
        <v>40</v>
      </c>
      <c r="P1023" t="s">
        <v>38</v>
      </c>
      <c r="Q1023" t="s">
        <v>38</v>
      </c>
      <c r="R1023" t="s">
        <v>40</v>
      </c>
      <c r="S1023" t="s">
        <v>41</v>
      </c>
      <c r="T1023" t="s">
        <v>2997</v>
      </c>
      <c r="U1023" t="s">
        <v>2998</v>
      </c>
      <c r="V1023" t="s">
        <v>2971</v>
      </c>
      <c r="W1023" t="s">
        <v>2972</v>
      </c>
      <c r="X1023" t="s">
        <v>46</v>
      </c>
      <c r="AC1023">
        <f>COUNTIF(C:C,QLKV_gui_ket_qua_ra_soat[[#This Row],[Mã điểm bán]])</f>
        <v>1</v>
      </c>
    </row>
    <row r="1024" spans="1:29" x14ac:dyDescent="0.45">
      <c r="A1024" t="s">
        <v>2965</v>
      </c>
      <c r="B1024">
        <v>3265</v>
      </c>
      <c r="C1024" t="s">
        <v>4202</v>
      </c>
      <c r="D1024" t="s">
        <v>4203</v>
      </c>
      <c r="E1024" t="s">
        <v>4204</v>
      </c>
      <c r="F1024" t="s">
        <v>53</v>
      </c>
      <c r="G1024" t="s">
        <v>34</v>
      </c>
      <c r="H1024" t="s">
        <v>54</v>
      </c>
      <c r="J1024" t="s">
        <v>38</v>
      </c>
      <c r="K1024" t="s">
        <v>38</v>
      </c>
      <c r="L1024" t="s">
        <v>40</v>
      </c>
      <c r="M1024" t="s">
        <v>56</v>
      </c>
      <c r="N1024" t="s">
        <v>56</v>
      </c>
      <c r="O1024" t="s">
        <v>39</v>
      </c>
      <c r="P1024" t="s">
        <v>38</v>
      </c>
      <c r="Q1024" t="s">
        <v>38</v>
      </c>
      <c r="R1024" t="s">
        <v>40</v>
      </c>
      <c r="S1024" t="s">
        <v>41</v>
      </c>
      <c r="T1024" t="s">
        <v>3226</v>
      </c>
      <c r="U1024" t="s">
        <v>3227</v>
      </c>
      <c r="V1024" t="s">
        <v>2971</v>
      </c>
      <c r="W1024" t="s">
        <v>2972</v>
      </c>
      <c r="X1024" t="s">
        <v>46</v>
      </c>
      <c r="AC1024">
        <f>COUNTIF(C:C,QLKV_gui_ket_qua_ra_soat[[#This Row],[Mã điểm bán]])</f>
        <v>1</v>
      </c>
    </row>
    <row r="1025" spans="1:29" x14ac:dyDescent="0.45">
      <c r="A1025" t="s">
        <v>2965</v>
      </c>
      <c r="B1025">
        <v>3266</v>
      </c>
      <c r="C1025" t="s">
        <v>4205</v>
      </c>
      <c r="D1025" t="s">
        <v>4206</v>
      </c>
      <c r="E1025" t="s">
        <v>157</v>
      </c>
      <c r="F1025" t="s">
        <v>53</v>
      </c>
      <c r="G1025" t="s">
        <v>34</v>
      </c>
      <c r="H1025" t="s">
        <v>54</v>
      </c>
      <c r="I1025" t="s">
        <v>4207</v>
      </c>
      <c r="J1025" t="s">
        <v>38</v>
      </c>
      <c r="K1025" t="s">
        <v>38</v>
      </c>
      <c r="L1025" t="s">
        <v>39</v>
      </c>
      <c r="M1025" t="s">
        <v>38</v>
      </c>
      <c r="N1025" t="s">
        <v>38</v>
      </c>
      <c r="O1025" t="s">
        <v>39</v>
      </c>
      <c r="P1025" t="s">
        <v>38</v>
      </c>
      <c r="Q1025" t="s">
        <v>38</v>
      </c>
      <c r="R1025" t="s">
        <v>40</v>
      </c>
      <c r="S1025" t="s">
        <v>41</v>
      </c>
      <c r="T1025" t="s">
        <v>2969</v>
      </c>
      <c r="U1025" t="s">
        <v>2970</v>
      </c>
      <c r="V1025" t="s">
        <v>2971</v>
      </c>
      <c r="W1025" t="s">
        <v>2972</v>
      </c>
      <c r="X1025" t="s">
        <v>46</v>
      </c>
      <c r="AC1025">
        <f>COUNTIF(C:C,QLKV_gui_ket_qua_ra_soat[[#This Row],[Mã điểm bán]])</f>
        <v>1</v>
      </c>
    </row>
    <row r="1026" spans="1:29" x14ac:dyDescent="0.45">
      <c r="A1026" t="s">
        <v>2965</v>
      </c>
      <c r="B1026">
        <v>3270</v>
      </c>
      <c r="C1026" t="s">
        <v>4208</v>
      </c>
      <c r="D1026" t="s">
        <v>4209</v>
      </c>
      <c r="E1026" t="s">
        <v>269</v>
      </c>
      <c r="F1026" t="s">
        <v>53</v>
      </c>
      <c r="G1026" t="s">
        <v>34</v>
      </c>
      <c r="H1026" t="s">
        <v>54</v>
      </c>
      <c r="I1026" t="s">
        <v>4210</v>
      </c>
      <c r="J1026" t="s">
        <v>38</v>
      </c>
      <c r="K1026" t="s">
        <v>38</v>
      </c>
      <c r="L1026" t="s">
        <v>40</v>
      </c>
      <c r="M1026" t="s">
        <v>38</v>
      </c>
      <c r="N1026" t="s">
        <v>38</v>
      </c>
      <c r="O1026" t="s">
        <v>40</v>
      </c>
      <c r="P1026" t="s">
        <v>38</v>
      </c>
      <c r="Q1026" t="s">
        <v>38</v>
      </c>
      <c r="R1026" t="s">
        <v>40</v>
      </c>
      <c r="S1026" t="s">
        <v>41</v>
      </c>
      <c r="T1026" t="s">
        <v>2997</v>
      </c>
      <c r="U1026" t="s">
        <v>2998</v>
      </c>
      <c r="V1026" t="s">
        <v>2971</v>
      </c>
      <c r="W1026" t="s">
        <v>2972</v>
      </c>
      <c r="X1026" t="s">
        <v>46</v>
      </c>
      <c r="AC1026">
        <f>COUNTIF(C:C,QLKV_gui_ket_qua_ra_soat[[#This Row],[Mã điểm bán]])</f>
        <v>1</v>
      </c>
    </row>
    <row r="1027" spans="1:29" x14ac:dyDescent="0.45">
      <c r="A1027" t="s">
        <v>2965</v>
      </c>
      <c r="B1027">
        <v>3274</v>
      </c>
      <c r="C1027" t="s">
        <v>4211</v>
      </c>
      <c r="D1027" t="s">
        <v>2562</v>
      </c>
      <c r="E1027" t="s">
        <v>4212</v>
      </c>
      <c r="F1027" t="s">
        <v>115</v>
      </c>
      <c r="G1027" t="s">
        <v>34</v>
      </c>
      <c r="H1027" t="s">
        <v>2459</v>
      </c>
      <c r="I1027" t="s">
        <v>4213</v>
      </c>
      <c r="J1027" t="s">
        <v>38</v>
      </c>
      <c r="K1027" t="s">
        <v>38</v>
      </c>
      <c r="L1027" t="s">
        <v>40</v>
      </c>
      <c r="M1027" t="s">
        <v>37</v>
      </c>
      <c r="N1027" t="s">
        <v>37</v>
      </c>
      <c r="O1027" t="s">
        <v>39</v>
      </c>
      <c r="P1027" t="s">
        <v>38</v>
      </c>
      <c r="Q1027" t="s">
        <v>38</v>
      </c>
      <c r="R1027" t="s">
        <v>40</v>
      </c>
      <c r="S1027" t="s">
        <v>41</v>
      </c>
      <c r="T1027" t="s">
        <v>2997</v>
      </c>
      <c r="U1027" t="s">
        <v>2998</v>
      </c>
      <c r="V1027" t="s">
        <v>2971</v>
      </c>
      <c r="W1027" t="s">
        <v>2972</v>
      </c>
      <c r="X1027" t="s">
        <v>46</v>
      </c>
      <c r="AC1027">
        <f>COUNTIF(C:C,QLKV_gui_ket_qua_ra_soat[[#This Row],[Mã điểm bán]])</f>
        <v>1</v>
      </c>
    </row>
    <row r="1028" spans="1:29" x14ac:dyDescent="0.45">
      <c r="A1028" t="s">
        <v>2965</v>
      </c>
      <c r="B1028">
        <v>3275</v>
      </c>
      <c r="C1028" t="s">
        <v>4214</v>
      </c>
      <c r="D1028" t="s">
        <v>4215</v>
      </c>
      <c r="E1028" t="s">
        <v>4216</v>
      </c>
      <c r="F1028" t="s">
        <v>581</v>
      </c>
      <c r="G1028" t="s">
        <v>177</v>
      </c>
      <c r="H1028" t="s">
        <v>685</v>
      </c>
      <c r="I1028" t="s">
        <v>4217</v>
      </c>
      <c r="J1028" t="s">
        <v>38</v>
      </c>
      <c r="K1028" t="s">
        <v>38</v>
      </c>
      <c r="L1028" t="s">
        <v>40</v>
      </c>
      <c r="M1028" t="s">
        <v>38</v>
      </c>
      <c r="N1028" t="s">
        <v>775</v>
      </c>
      <c r="O1028" t="s">
        <v>121</v>
      </c>
      <c r="P1028" t="s">
        <v>1034</v>
      </c>
      <c r="Q1028" t="s">
        <v>56</v>
      </c>
      <c r="R1028" t="s">
        <v>39</v>
      </c>
      <c r="S1028" t="s">
        <v>4218</v>
      </c>
      <c r="T1028" t="s">
        <v>3020</v>
      </c>
      <c r="U1028" t="s">
        <v>3021</v>
      </c>
      <c r="V1028" t="s">
        <v>2971</v>
      </c>
      <c r="W1028" t="s">
        <v>2972</v>
      </c>
      <c r="Z1028" t="s">
        <v>46</v>
      </c>
      <c r="AA1028" t="s">
        <v>3058</v>
      </c>
      <c r="AB1028" t="s">
        <v>3012</v>
      </c>
      <c r="AC1028">
        <f>COUNTIF(C:C,QLKV_gui_ket_qua_ra_soat[[#This Row],[Mã điểm bán]])</f>
        <v>1</v>
      </c>
    </row>
    <row r="1029" spans="1:29" x14ac:dyDescent="0.45">
      <c r="A1029" t="s">
        <v>2965</v>
      </c>
      <c r="B1029">
        <v>3287</v>
      </c>
      <c r="C1029" t="s">
        <v>4219</v>
      </c>
      <c r="D1029" t="s">
        <v>4220</v>
      </c>
      <c r="E1029" t="s">
        <v>344</v>
      </c>
      <c r="F1029" t="s">
        <v>53</v>
      </c>
      <c r="G1029" t="s">
        <v>34</v>
      </c>
      <c r="H1029" t="s">
        <v>54</v>
      </c>
      <c r="I1029" t="s">
        <v>4221</v>
      </c>
      <c r="J1029" t="s">
        <v>38</v>
      </c>
      <c r="K1029" t="s">
        <v>38</v>
      </c>
      <c r="L1029" t="s">
        <v>40</v>
      </c>
      <c r="M1029" t="s">
        <v>38</v>
      </c>
      <c r="N1029" t="s">
        <v>38</v>
      </c>
      <c r="O1029" t="s">
        <v>39</v>
      </c>
      <c r="P1029" t="s">
        <v>38</v>
      </c>
      <c r="Q1029" t="s">
        <v>38</v>
      </c>
      <c r="R1029" t="s">
        <v>40</v>
      </c>
      <c r="S1029" t="s">
        <v>4222</v>
      </c>
      <c r="T1029" t="s">
        <v>3057</v>
      </c>
      <c r="U1029" t="s">
        <v>2970</v>
      </c>
      <c r="V1029" t="s">
        <v>2971</v>
      </c>
      <c r="W1029" t="s">
        <v>2972</v>
      </c>
      <c r="X1029" t="s">
        <v>46</v>
      </c>
      <c r="AB1029" t="s">
        <v>4223</v>
      </c>
      <c r="AC1029">
        <f>COUNTIF(C:C,QLKV_gui_ket_qua_ra_soat[[#This Row],[Mã điểm bán]])</f>
        <v>1</v>
      </c>
    </row>
    <row r="1030" spans="1:29" x14ac:dyDescent="0.45">
      <c r="A1030" t="s">
        <v>4224</v>
      </c>
      <c r="B1030">
        <v>170</v>
      </c>
      <c r="C1030" t="s">
        <v>4225</v>
      </c>
      <c r="D1030" t="s">
        <v>4226</v>
      </c>
      <c r="E1030" t="s">
        <v>261</v>
      </c>
      <c r="F1030" t="s">
        <v>166</v>
      </c>
      <c r="G1030" t="s">
        <v>34</v>
      </c>
      <c r="H1030" t="s">
        <v>54</v>
      </c>
      <c r="I1030" t="s">
        <v>4227</v>
      </c>
      <c r="J1030" t="s">
        <v>38</v>
      </c>
      <c r="K1030" t="s">
        <v>38</v>
      </c>
      <c r="L1030" t="s">
        <v>39</v>
      </c>
      <c r="M1030" t="s">
        <v>38</v>
      </c>
      <c r="N1030" t="s">
        <v>38</v>
      </c>
      <c r="O1030" t="s">
        <v>39</v>
      </c>
      <c r="P1030" t="s">
        <v>38</v>
      </c>
      <c r="Q1030" t="s">
        <v>37</v>
      </c>
      <c r="R1030" t="s">
        <v>39</v>
      </c>
      <c r="S1030" t="s">
        <v>41</v>
      </c>
      <c r="T1030" t="s">
        <v>4228</v>
      </c>
      <c r="U1030" t="s">
        <v>4229</v>
      </c>
      <c r="V1030" t="s">
        <v>4230</v>
      </c>
      <c r="W1030" t="s">
        <v>2972</v>
      </c>
      <c r="X1030" t="s">
        <v>46</v>
      </c>
      <c r="AC1030">
        <f>COUNTIF(C:C,QLKV_gui_ket_qua_ra_soat[[#This Row],[Mã điểm bán]])</f>
        <v>1</v>
      </c>
    </row>
    <row r="1031" spans="1:29" x14ac:dyDescent="0.45">
      <c r="A1031" t="s">
        <v>4224</v>
      </c>
      <c r="B1031">
        <v>301</v>
      </c>
      <c r="C1031" t="s">
        <v>4231</v>
      </c>
      <c r="D1031" t="s">
        <v>4232</v>
      </c>
      <c r="E1031" t="s">
        <v>323</v>
      </c>
      <c r="F1031" t="s">
        <v>331</v>
      </c>
      <c r="G1031" t="s">
        <v>34</v>
      </c>
      <c r="H1031" t="s">
        <v>54</v>
      </c>
      <c r="I1031" t="s">
        <v>4233</v>
      </c>
      <c r="J1031" t="s">
        <v>38</v>
      </c>
      <c r="K1031" t="s">
        <v>38</v>
      </c>
      <c r="L1031" t="s">
        <v>39</v>
      </c>
      <c r="M1031" t="s">
        <v>38</v>
      </c>
      <c r="N1031" t="s">
        <v>38</v>
      </c>
      <c r="O1031" t="s">
        <v>39</v>
      </c>
      <c r="P1031" t="s">
        <v>37</v>
      </c>
      <c r="Q1031" t="s">
        <v>38</v>
      </c>
      <c r="R1031" t="s">
        <v>39</v>
      </c>
      <c r="S1031" t="s">
        <v>41</v>
      </c>
      <c r="T1031" t="s">
        <v>4228</v>
      </c>
      <c r="U1031" t="s">
        <v>4229</v>
      </c>
      <c r="V1031" t="s">
        <v>4230</v>
      </c>
      <c r="W1031" t="s">
        <v>2972</v>
      </c>
      <c r="X1031" t="s">
        <v>46</v>
      </c>
      <c r="AC1031">
        <f>COUNTIF(C:C,QLKV_gui_ket_qua_ra_soat[[#This Row],[Mã điểm bán]])</f>
        <v>1</v>
      </c>
    </row>
    <row r="1032" spans="1:29" x14ac:dyDescent="0.45">
      <c r="A1032" t="s">
        <v>4224</v>
      </c>
      <c r="B1032">
        <v>316</v>
      </c>
      <c r="C1032" t="s">
        <v>4234</v>
      </c>
      <c r="D1032" t="s">
        <v>4235</v>
      </c>
      <c r="E1032" t="s">
        <v>4236</v>
      </c>
      <c r="F1032" t="s">
        <v>331</v>
      </c>
      <c r="G1032" t="s">
        <v>34</v>
      </c>
      <c r="H1032" t="s">
        <v>54</v>
      </c>
      <c r="I1032" t="s">
        <v>4237</v>
      </c>
      <c r="J1032" t="s">
        <v>38</v>
      </c>
      <c r="K1032" t="s">
        <v>38</v>
      </c>
      <c r="L1032" t="s">
        <v>39</v>
      </c>
      <c r="M1032" t="s">
        <v>38</v>
      </c>
      <c r="N1032" t="s">
        <v>38</v>
      </c>
      <c r="O1032" t="s">
        <v>39</v>
      </c>
      <c r="P1032" t="s">
        <v>38</v>
      </c>
      <c r="Q1032" t="s">
        <v>37</v>
      </c>
      <c r="R1032" t="s">
        <v>39</v>
      </c>
      <c r="S1032" t="s">
        <v>41</v>
      </c>
      <c r="T1032" t="s">
        <v>4228</v>
      </c>
      <c r="U1032" t="s">
        <v>4229</v>
      </c>
      <c r="V1032" t="s">
        <v>4230</v>
      </c>
      <c r="W1032" t="s">
        <v>2972</v>
      </c>
      <c r="X1032" t="s">
        <v>46</v>
      </c>
      <c r="AC1032">
        <f>COUNTIF(C:C,QLKV_gui_ket_qua_ra_soat[[#This Row],[Mã điểm bán]])</f>
        <v>1</v>
      </c>
    </row>
    <row r="1033" spans="1:29" x14ac:dyDescent="0.45">
      <c r="A1033" t="s">
        <v>4224</v>
      </c>
      <c r="B1033">
        <v>374</v>
      </c>
      <c r="C1033" t="s">
        <v>4238</v>
      </c>
      <c r="D1033" t="s">
        <v>4239</v>
      </c>
      <c r="E1033" t="s">
        <v>4240</v>
      </c>
      <c r="F1033" t="s">
        <v>4241</v>
      </c>
      <c r="G1033" t="s">
        <v>34</v>
      </c>
      <c r="H1033" t="s">
        <v>2454</v>
      </c>
      <c r="I1033" t="s">
        <v>4242</v>
      </c>
      <c r="J1033" t="s">
        <v>38</v>
      </c>
      <c r="K1033" t="s">
        <v>38</v>
      </c>
      <c r="L1033" t="s">
        <v>40</v>
      </c>
      <c r="M1033" t="s">
        <v>38</v>
      </c>
      <c r="N1033" t="s">
        <v>38</v>
      </c>
      <c r="O1033" t="s">
        <v>39</v>
      </c>
      <c r="P1033" t="s">
        <v>38</v>
      </c>
      <c r="Q1033" t="s">
        <v>38</v>
      </c>
      <c r="R1033" t="s">
        <v>40</v>
      </c>
      <c r="S1033" t="s">
        <v>41</v>
      </c>
      <c r="T1033" t="s">
        <v>4243</v>
      </c>
      <c r="U1033" t="s">
        <v>4244</v>
      </c>
      <c r="V1033" t="s">
        <v>4230</v>
      </c>
      <c r="W1033" t="s">
        <v>2972</v>
      </c>
      <c r="Z1033" t="s">
        <v>46</v>
      </c>
      <c r="AA1033" t="s">
        <v>4245</v>
      </c>
      <c r="AC1033">
        <f>COUNTIF(C:C,QLKV_gui_ket_qua_ra_soat[[#This Row],[Mã điểm bán]])</f>
        <v>1</v>
      </c>
    </row>
    <row r="1034" spans="1:29" x14ac:dyDescent="0.45">
      <c r="A1034" t="s">
        <v>4224</v>
      </c>
      <c r="B1034">
        <v>376</v>
      </c>
      <c r="C1034" t="s">
        <v>4246</v>
      </c>
      <c r="D1034" t="s">
        <v>4247</v>
      </c>
      <c r="E1034" t="s">
        <v>4248</v>
      </c>
      <c r="F1034" t="s">
        <v>426</v>
      </c>
      <c r="G1034" t="s">
        <v>34</v>
      </c>
      <c r="H1034" t="s">
        <v>1639</v>
      </c>
      <c r="I1034" t="s">
        <v>4249</v>
      </c>
      <c r="J1034" t="s">
        <v>38</v>
      </c>
      <c r="K1034" t="s">
        <v>38</v>
      </c>
      <c r="L1034" t="s">
        <v>40</v>
      </c>
      <c r="M1034" t="s">
        <v>38</v>
      </c>
      <c r="N1034" t="s">
        <v>38</v>
      </c>
      <c r="O1034" t="s">
        <v>39</v>
      </c>
      <c r="P1034" t="s">
        <v>38</v>
      </c>
      <c r="Q1034" t="s">
        <v>38</v>
      </c>
      <c r="R1034" t="s">
        <v>40</v>
      </c>
      <c r="S1034" t="s">
        <v>41</v>
      </c>
      <c r="T1034" t="s">
        <v>4243</v>
      </c>
      <c r="U1034" t="s">
        <v>4244</v>
      </c>
      <c r="V1034" t="s">
        <v>4230</v>
      </c>
      <c r="W1034" t="s">
        <v>2972</v>
      </c>
      <c r="Z1034" t="s">
        <v>46</v>
      </c>
      <c r="AA1034" t="s">
        <v>4250</v>
      </c>
      <c r="AC1034">
        <f>COUNTIF(C:C,QLKV_gui_ket_qua_ra_soat[[#This Row],[Mã điểm bán]])</f>
        <v>1</v>
      </c>
    </row>
    <row r="1035" spans="1:29" x14ac:dyDescent="0.45">
      <c r="A1035" t="s">
        <v>4224</v>
      </c>
      <c r="B1035">
        <v>387</v>
      </c>
      <c r="C1035" t="s">
        <v>4251</v>
      </c>
      <c r="D1035" t="s">
        <v>4252</v>
      </c>
      <c r="E1035" t="s">
        <v>324</v>
      </c>
      <c r="F1035" t="s">
        <v>115</v>
      </c>
      <c r="G1035" t="s">
        <v>34</v>
      </c>
      <c r="H1035" t="s">
        <v>2294</v>
      </c>
      <c r="I1035" t="s">
        <v>4253</v>
      </c>
      <c r="J1035" t="s">
        <v>56</v>
      </c>
      <c r="K1035" t="s">
        <v>56</v>
      </c>
      <c r="L1035" t="s">
        <v>39</v>
      </c>
      <c r="M1035" t="s">
        <v>56</v>
      </c>
      <c r="N1035" t="s">
        <v>56</v>
      </c>
      <c r="O1035" t="s">
        <v>39</v>
      </c>
      <c r="P1035" t="s">
        <v>56</v>
      </c>
      <c r="Q1035" t="s">
        <v>56</v>
      </c>
      <c r="R1035" t="s">
        <v>39</v>
      </c>
      <c r="S1035" t="s">
        <v>41</v>
      </c>
      <c r="T1035" t="s">
        <v>4243</v>
      </c>
      <c r="U1035" t="s">
        <v>4244</v>
      </c>
      <c r="V1035" t="s">
        <v>4230</v>
      </c>
      <c r="W1035" t="s">
        <v>2972</v>
      </c>
      <c r="X1035" t="s">
        <v>46</v>
      </c>
      <c r="AC1035">
        <f>COUNTIF(C:C,QLKV_gui_ket_qua_ra_soat[[#This Row],[Mã điểm bán]])</f>
        <v>1</v>
      </c>
    </row>
    <row r="1036" spans="1:29" x14ac:dyDescent="0.45">
      <c r="A1036" t="s">
        <v>4224</v>
      </c>
      <c r="B1036">
        <v>388</v>
      </c>
      <c r="C1036" t="s">
        <v>4254</v>
      </c>
      <c r="D1036" t="s">
        <v>4255</v>
      </c>
      <c r="E1036" t="s">
        <v>68</v>
      </c>
      <c r="F1036" t="s">
        <v>53</v>
      </c>
      <c r="G1036" t="s">
        <v>34</v>
      </c>
      <c r="H1036" t="s">
        <v>54</v>
      </c>
      <c r="I1036" t="s">
        <v>4256</v>
      </c>
      <c r="J1036" t="s">
        <v>38</v>
      </c>
      <c r="K1036" t="s">
        <v>38</v>
      </c>
      <c r="L1036" t="s">
        <v>40</v>
      </c>
      <c r="M1036" t="s">
        <v>38</v>
      </c>
      <c r="N1036" t="s">
        <v>38</v>
      </c>
      <c r="O1036" t="s">
        <v>39</v>
      </c>
      <c r="P1036" t="s">
        <v>38</v>
      </c>
      <c r="Q1036" t="s">
        <v>38</v>
      </c>
      <c r="R1036" t="s">
        <v>40</v>
      </c>
      <c r="S1036" t="s">
        <v>41</v>
      </c>
      <c r="T1036" t="s">
        <v>4243</v>
      </c>
      <c r="U1036" t="s">
        <v>4244</v>
      </c>
      <c r="V1036" t="s">
        <v>4230</v>
      </c>
      <c r="W1036" t="s">
        <v>2972</v>
      </c>
      <c r="Z1036" t="s">
        <v>46</v>
      </c>
      <c r="AA1036" t="s">
        <v>4245</v>
      </c>
      <c r="AC1036">
        <f>COUNTIF(C:C,QLKV_gui_ket_qua_ra_soat[[#This Row],[Mã điểm bán]])</f>
        <v>1</v>
      </c>
    </row>
    <row r="1037" spans="1:29" x14ac:dyDescent="0.45">
      <c r="A1037" t="s">
        <v>4224</v>
      </c>
      <c r="B1037">
        <v>394</v>
      </c>
      <c r="C1037" t="s">
        <v>4257</v>
      </c>
      <c r="D1037" t="s">
        <v>4258</v>
      </c>
      <c r="E1037" t="s">
        <v>4259</v>
      </c>
      <c r="F1037" t="s">
        <v>53</v>
      </c>
      <c r="G1037" t="s">
        <v>34</v>
      </c>
      <c r="H1037" t="s">
        <v>332</v>
      </c>
      <c r="I1037" t="s">
        <v>4260</v>
      </c>
      <c r="J1037" t="s">
        <v>38</v>
      </c>
      <c r="K1037" t="s">
        <v>38</v>
      </c>
      <c r="L1037" t="s">
        <v>40</v>
      </c>
      <c r="M1037" t="s">
        <v>38</v>
      </c>
      <c r="N1037" t="s">
        <v>38</v>
      </c>
      <c r="O1037" t="s">
        <v>39</v>
      </c>
      <c r="P1037" t="s">
        <v>38</v>
      </c>
      <c r="Q1037" t="s">
        <v>38</v>
      </c>
      <c r="R1037" t="s">
        <v>40</v>
      </c>
      <c r="S1037" t="s">
        <v>41</v>
      </c>
      <c r="T1037" t="s">
        <v>4243</v>
      </c>
      <c r="U1037" t="s">
        <v>4244</v>
      </c>
      <c r="V1037" t="s">
        <v>4230</v>
      </c>
      <c r="W1037" t="s">
        <v>2972</v>
      </c>
      <c r="X1037" t="s">
        <v>46</v>
      </c>
      <c r="AC1037">
        <f>COUNTIF(C:C,QLKV_gui_ket_qua_ra_soat[[#This Row],[Mã điểm bán]])</f>
        <v>1</v>
      </c>
    </row>
    <row r="1038" spans="1:29" x14ac:dyDescent="0.45">
      <c r="A1038" t="s">
        <v>4224</v>
      </c>
      <c r="B1038">
        <v>399</v>
      </c>
      <c r="C1038" t="s">
        <v>4261</v>
      </c>
      <c r="D1038" t="s">
        <v>4262</v>
      </c>
      <c r="E1038" t="s">
        <v>114</v>
      </c>
      <c r="F1038" t="s">
        <v>53</v>
      </c>
      <c r="G1038" t="s">
        <v>34</v>
      </c>
      <c r="H1038" t="s">
        <v>54</v>
      </c>
      <c r="I1038" t="s">
        <v>4263</v>
      </c>
      <c r="J1038" t="s">
        <v>38</v>
      </c>
      <c r="K1038" t="s">
        <v>38</v>
      </c>
      <c r="L1038" t="s">
        <v>40</v>
      </c>
      <c r="M1038" t="s">
        <v>38</v>
      </c>
      <c r="N1038" t="s">
        <v>38</v>
      </c>
      <c r="O1038" t="s">
        <v>39</v>
      </c>
      <c r="P1038" t="s">
        <v>38</v>
      </c>
      <c r="Q1038" t="s">
        <v>38</v>
      </c>
      <c r="R1038" t="s">
        <v>40</v>
      </c>
      <c r="S1038" t="s">
        <v>41</v>
      </c>
      <c r="T1038" t="s">
        <v>4243</v>
      </c>
      <c r="U1038" t="s">
        <v>4244</v>
      </c>
      <c r="V1038" t="s">
        <v>4230</v>
      </c>
      <c r="W1038" t="s">
        <v>2978</v>
      </c>
      <c r="Z1038" t="s">
        <v>46</v>
      </c>
      <c r="AA1038" t="s">
        <v>4245</v>
      </c>
      <c r="AC1038">
        <f>COUNTIF(C:C,QLKV_gui_ket_qua_ra_soat[[#This Row],[Mã điểm bán]])</f>
        <v>1</v>
      </c>
    </row>
    <row r="1039" spans="1:29" x14ac:dyDescent="0.45">
      <c r="A1039" t="s">
        <v>4224</v>
      </c>
      <c r="B1039">
        <v>405</v>
      </c>
      <c r="C1039" t="s">
        <v>4264</v>
      </c>
      <c r="D1039" t="s">
        <v>4265</v>
      </c>
      <c r="E1039" t="s">
        <v>181</v>
      </c>
      <c r="F1039" t="s">
        <v>166</v>
      </c>
      <c r="G1039" t="s">
        <v>34</v>
      </c>
      <c r="H1039" t="s">
        <v>171</v>
      </c>
      <c r="I1039" t="s">
        <v>4253</v>
      </c>
      <c r="J1039" t="s">
        <v>38</v>
      </c>
      <c r="K1039" t="s">
        <v>38</v>
      </c>
      <c r="L1039" t="s">
        <v>40</v>
      </c>
      <c r="M1039" t="s">
        <v>38</v>
      </c>
      <c r="N1039" t="s">
        <v>38</v>
      </c>
      <c r="O1039" t="s">
        <v>39</v>
      </c>
      <c r="P1039" t="s">
        <v>38</v>
      </c>
      <c r="Q1039" t="s">
        <v>38</v>
      </c>
      <c r="R1039" t="s">
        <v>40</v>
      </c>
      <c r="S1039" t="s">
        <v>41</v>
      </c>
      <c r="T1039" t="s">
        <v>4243</v>
      </c>
      <c r="U1039" t="s">
        <v>4244</v>
      </c>
      <c r="V1039" t="s">
        <v>4230</v>
      </c>
      <c r="W1039" t="s">
        <v>2972</v>
      </c>
      <c r="X1039" t="s">
        <v>46</v>
      </c>
      <c r="AC1039">
        <f>COUNTIF(C:C,QLKV_gui_ket_qua_ra_soat[[#This Row],[Mã điểm bán]])</f>
        <v>1</v>
      </c>
    </row>
    <row r="1040" spans="1:29" x14ac:dyDescent="0.45">
      <c r="A1040" t="s">
        <v>4224</v>
      </c>
      <c r="B1040">
        <v>416</v>
      </c>
      <c r="C1040" t="s">
        <v>4266</v>
      </c>
      <c r="D1040" t="s">
        <v>4267</v>
      </c>
      <c r="E1040" t="s">
        <v>92</v>
      </c>
      <c r="F1040" t="s">
        <v>53</v>
      </c>
      <c r="G1040" t="s">
        <v>34</v>
      </c>
      <c r="H1040" t="s">
        <v>54</v>
      </c>
      <c r="I1040" t="s">
        <v>4256</v>
      </c>
      <c r="J1040" t="s">
        <v>38</v>
      </c>
      <c r="K1040" t="s">
        <v>38</v>
      </c>
      <c r="L1040" t="s">
        <v>40</v>
      </c>
      <c r="M1040" t="s">
        <v>38</v>
      </c>
      <c r="N1040" t="s">
        <v>38</v>
      </c>
      <c r="O1040" t="s">
        <v>39</v>
      </c>
      <c r="P1040" t="s">
        <v>38</v>
      </c>
      <c r="Q1040" t="s">
        <v>38</v>
      </c>
      <c r="R1040" t="s">
        <v>40</v>
      </c>
      <c r="S1040" t="s">
        <v>41</v>
      </c>
      <c r="T1040" t="s">
        <v>4243</v>
      </c>
      <c r="U1040" t="s">
        <v>4244</v>
      </c>
      <c r="V1040" t="s">
        <v>4230</v>
      </c>
      <c r="W1040" t="s">
        <v>2978</v>
      </c>
      <c r="X1040" t="s">
        <v>46</v>
      </c>
      <c r="AC1040">
        <f>COUNTIF(C:C,QLKV_gui_ket_qua_ra_soat[[#This Row],[Mã điểm bán]])</f>
        <v>1</v>
      </c>
    </row>
    <row r="1041" spans="1:29" x14ac:dyDescent="0.45">
      <c r="A1041" t="s">
        <v>4224</v>
      </c>
      <c r="B1041">
        <v>436</v>
      </c>
      <c r="C1041" t="s">
        <v>4268</v>
      </c>
      <c r="D1041" t="s">
        <v>4269</v>
      </c>
      <c r="E1041" t="s">
        <v>4270</v>
      </c>
      <c r="F1041" t="s">
        <v>166</v>
      </c>
      <c r="G1041" t="s">
        <v>34</v>
      </c>
      <c r="H1041" t="s">
        <v>2459</v>
      </c>
      <c r="I1041" t="s">
        <v>4271</v>
      </c>
      <c r="J1041" t="s">
        <v>37</v>
      </c>
      <c r="K1041" t="s">
        <v>37</v>
      </c>
      <c r="L1041" t="s">
        <v>39</v>
      </c>
      <c r="M1041" t="s">
        <v>56</v>
      </c>
      <c r="N1041" t="s">
        <v>56</v>
      </c>
      <c r="O1041" t="s">
        <v>39</v>
      </c>
      <c r="P1041" t="s">
        <v>37</v>
      </c>
      <c r="Q1041" t="s">
        <v>37</v>
      </c>
      <c r="R1041" t="s">
        <v>39</v>
      </c>
      <c r="S1041" t="s">
        <v>41</v>
      </c>
      <c r="T1041" t="s">
        <v>4243</v>
      </c>
      <c r="U1041" t="s">
        <v>4244</v>
      </c>
      <c r="V1041" t="s">
        <v>4230</v>
      </c>
      <c r="W1041" t="s">
        <v>2972</v>
      </c>
      <c r="X1041" t="s">
        <v>46</v>
      </c>
      <c r="AC1041">
        <f>COUNTIF(C:C,QLKV_gui_ket_qua_ra_soat[[#This Row],[Mã điểm bán]])</f>
        <v>1</v>
      </c>
    </row>
    <row r="1042" spans="1:29" x14ac:dyDescent="0.45">
      <c r="A1042" t="s">
        <v>4224</v>
      </c>
      <c r="B1042">
        <v>437</v>
      </c>
      <c r="C1042" t="s">
        <v>4272</v>
      </c>
      <c r="D1042" t="s">
        <v>4273</v>
      </c>
      <c r="E1042" t="s">
        <v>2556</v>
      </c>
      <c r="F1042" t="s">
        <v>166</v>
      </c>
      <c r="G1042" t="s">
        <v>34</v>
      </c>
      <c r="H1042" t="s">
        <v>1542</v>
      </c>
      <c r="I1042" t="s">
        <v>4275</v>
      </c>
      <c r="J1042" t="s">
        <v>38</v>
      </c>
      <c r="K1042" t="s">
        <v>38</v>
      </c>
      <c r="L1042" t="s">
        <v>40</v>
      </c>
      <c r="M1042" t="s">
        <v>38</v>
      </c>
      <c r="N1042" t="s">
        <v>38</v>
      </c>
      <c r="O1042" t="s">
        <v>39</v>
      </c>
      <c r="P1042" t="s">
        <v>38</v>
      </c>
      <c r="Q1042" t="s">
        <v>38</v>
      </c>
      <c r="R1042" t="s">
        <v>40</v>
      </c>
      <c r="S1042" t="s">
        <v>41</v>
      </c>
      <c r="T1042" t="s">
        <v>4243</v>
      </c>
      <c r="U1042" t="s">
        <v>4244</v>
      </c>
      <c r="V1042" t="s">
        <v>4230</v>
      </c>
      <c r="W1042" t="s">
        <v>2972</v>
      </c>
      <c r="X1042" t="s">
        <v>46</v>
      </c>
      <c r="AC1042">
        <f>COUNTIF(C:C,QLKV_gui_ket_qua_ra_soat[[#This Row],[Mã điểm bán]])</f>
        <v>1</v>
      </c>
    </row>
    <row r="1043" spans="1:29" x14ac:dyDescent="0.45">
      <c r="A1043" t="s">
        <v>4224</v>
      </c>
      <c r="B1043">
        <v>443</v>
      </c>
      <c r="C1043" t="s">
        <v>4276</v>
      </c>
      <c r="D1043" t="s">
        <v>4277</v>
      </c>
      <c r="E1043" t="s">
        <v>157</v>
      </c>
      <c r="F1043" t="s">
        <v>53</v>
      </c>
      <c r="G1043" t="s">
        <v>34</v>
      </c>
      <c r="H1043" t="s">
        <v>54</v>
      </c>
      <c r="I1043" t="s">
        <v>4278</v>
      </c>
      <c r="J1043" t="s">
        <v>38</v>
      </c>
      <c r="K1043" t="s">
        <v>38</v>
      </c>
      <c r="L1043" t="s">
        <v>40</v>
      </c>
      <c r="M1043" t="s">
        <v>38</v>
      </c>
      <c r="N1043" t="s">
        <v>38</v>
      </c>
      <c r="O1043" t="s">
        <v>40</v>
      </c>
      <c r="P1043" t="s">
        <v>38</v>
      </c>
      <c r="Q1043" t="s">
        <v>38</v>
      </c>
      <c r="R1043" t="s">
        <v>40</v>
      </c>
      <c r="S1043" t="s">
        <v>41</v>
      </c>
      <c r="T1043" t="s">
        <v>4243</v>
      </c>
      <c r="U1043" t="s">
        <v>4244</v>
      </c>
      <c r="V1043" t="s">
        <v>4230</v>
      </c>
      <c r="W1043" t="s">
        <v>2972</v>
      </c>
      <c r="X1043" t="s">
        <v>46</v>
      </c>
      <c r="AC1043">
        <f>COUNTIF(C:C,QLKV_gui_ket_qua_ra_soat[[#This Row],[Mã điểm bán]])</f>
        <v>1</v>
      </c>
    </row>
    <row r="1044" spans="1:29" x14ac:dyDescent="0.45">
      <c r="A1044" t="s">
        <v>4224</v>
      </c>
      <c r="B1044">
        <v>445</v>
      </c>
      <c r="C1044" t="s">
        <v>4279</v>
      </c>
      <c r="D1044" t="s">
        <v>4280</v>
      </c>
      <c r="E1044" t="s">
        <v>109</v>
      </c>
      <c r="F1044" t="s">
        <v>53</v>
      </c>
      <c r="G1044" t="s">
        <v>34</v>
      </c>
      <c r="H1044" t="s">
        <v>1746</v>
      </c>
      <c r="I1044" t="s">
        <v>4281</v>
      </c>
      <c r="J1044" t="s">
        <v>38</v>
      </c>
      <c r="K1044" t="s">
        <v>38</v>
      </c>
      <c r="L1044" t="s">
        <v>40</v>
      </c>
      <c r="M1044" t="s">
        <v>38</v>
      </c>
      <c r="N1044" t="s">
        <v>38</v>
      </c>
      <c r="O1044" t="s">
        <v>40</v>
      </c>
      <c r="P1044" t="s">
        <v>38</v>
      </c>
      <c r="Q1044" t="s">
        <v>38</v>
      </c>
      <c r="R1044" t="s">
        <v>40</v>
      </c>
      <c r="S1044" t="s">
        <v>41</v>
      </c>
      <c r="T1044" t="s">
        <v>4243</v>
      </c>
      <c r="U1044" t="s">
        <v>4244</v>
      </c>
      <c r="V1044" t="s">
        <v>4230</v>
      </c>
      <c r="W1044" t="s">
        <v>2972</v>
      </c>
      <c r="Z1044" t="s">
        <v>46</v>
      </c>
      <c r="AA1044" t="s">
        <v>4245</v>
      </c>
      <c r="AC1044">
        <f>COUNTIF(C:C,QLKV_gui_ket_qua_ra_soat[[#This Row],[Mã điểm bán]])</f>
        <v>1</v>
      </c>
    </row>
    <row r="1045" spans="1:29" x14ac:dyDescent="0.45">
      <c r="A1045" t="s">
        <v>4224</v>
      </c>
      <c r="B1045">
        <v>451</v>
      </c>
      <c r="C1045" t="s">
        <v>4282</v>
      </c>
      <c r="D1045" t="s">
        <v>4283</v>
      </c>
      <c r="E1045" t="s">
        <v>291</v>
      </c>
      <c r="F1045" t="s">
        <v>53</v>
      </c>
      <c r="G1045" t="s">
        <v>34</v>
      </c>
      <c r="H1045" t="s">
        <v>708</v>
      </c>
      <c r="I1045" t="s">
        <v>4285</v>
      </c>
      <c r="J1045" t="s">
        <v>38</v>
      </c>
      <c r="K1045" t="s">
        <v>38</v>
      </c>
      <c r="L1045" t="s">
        <v>40</v>
      </c>
      <c r="M1045" t="s">
        <v>38</v>
      </c>
      <c r="N1045" t="s">
        <v>38</v>
      </c>
      <c r="O1045" t="s">
        <v>39</v>
      </c>
      <c r="P1045" t="s">
        <v>38</v>
      </c>
      <c r="Q1045" t="s">
        <v>38</v>
      </c>
      <c r="R1045" t="s">
        <v>40</v>
      </c>
      <c r="S1045" t="s">
        <v>41</v>
      </c>
      <c r="T1045" t="s">
        <v>4243</v>
      </c>
      <c r="U1045" t="s">
        <v>4244</v>
      </c>
      <c r="V1045" t="s">
        <v>4230</v>
      </c>
      <c r="W1045" t="s">
        <v>2972</v>
      </c>
      <c r="Z1045" t="s">
        <v>46</v>
      </c>
      <c r="AA1045" t="s">
        <v>4245</v>
      </c>
      <c r="AC1045">
        <f>COUNTIF(C:C,QLKV_gui_ket_qua_ra_soat[[#This Row],[Mã điểm bán]])</f>
        <v>1</v>
      </c>
    </row>
    <row r="1046" spans="1:29" x14ac:dyDescent="0.45">
      <c r="A1046" t="s">
        <v>4224</v>
      </c>
      <c r="B1046">
        <v>455</v>
      </c>
      <c r="C1046" t="s">
        <v>4286</v>
      </c>
      <c r="D1046" t="s">
        <v>4287</v>
      </c>
      <c r="E1046" t="s">
        <v>1319</v>
      </c>
      <c r="F1046" t="s">
        <v>166</v>
      </c>
      <c r="G1046" t="s">
        <v>34</v>
      </c>
      <c r="H1046" t="s">
        <v>1280</v>
      </c>
      <c r="I1046" t="s">
        <v>4253</v>
      </c>
      <c r="J1046" t="s">
        <v>56</v>
      </c>
      <c r="K1046" t="s">
        <v>56</v>
      </c>
      <c r="L1046" t="s">
        <v>39</v>
      </c>
      <c r="M1046" t="s">
        <v>56</v>
      </c>
      <c r="N1046" t="s">
        <v>56</v>
      </c>
      <c r="O1046" t="s">
        <v>39</v>
      </c>
      <c r="P1046" t="s">
        <v>37</v>
      </c>
      <c r="Q1046" t="s">
        <v>56</v>
      </c>
      <c r="R1046" t="s">
        <v>39</v>
      </c>
      <c r="S1046" t="s">
        <v>41</v>
      </c>
      <c r="T1046" t="s">
        <v>4243</v>
      </c>
      <c r="U1046" t="s">
        <v>4244</v>
      </c>
      <c r="V1046" t="s">
        <v>4230</v>
      </c>
      <c r="W1046" t="s">
        <v>2972</v>
      </c>
      <c r="X1046" t="s">
        <v>46</v>
      </c>
      <c r="AC1046">
        <f>COUNTIF(C:C,QLKV_gui_ket_qua_ra_soat[[#This Row],[Mã điểm bán]])</f>
        <v>1</v>
      </c>
    </row>
    <row r="1047" spans="1:29" x14ac:dyDescent="0.45">
      <c r="A1047" t="s">
        <v>4224</v>
      </c>
      <c r="B1047">
        <v>457</v>
      </c>
      <c r="C1047" t="s">
        <v>4288</v>
      </c>
      <c r="D1047" t="s">
        <v>4289</v>
      </c>
      <c r="E1047" t="s">
        <v>1837</v>
      </c>
      <c r="F1047" t="s">
        <v>166</v>
      </c>
      <c r="G1047" t="s">
        <v>34</v>
      </c>
      <c r="H1047" t="s">
        <v>1648</v>
      </c>
      <c r="I1047" t="s">
        <v>4253</v>
      </c>
      <c r="J1047" t="s">
        <v>56</v>
      </c>
      <c r="K1047" t="s">
        <v>56</v>
      </c>
      <c r="L1047" t="s">
        <v>39</v>
      </c>
      <c r="M1047" t="s">
        <v>37</v>
      </c>
      <c r="N1047" t="s">
        <v>56</v>
      </c>
      <c r="O1047" t="s">
        <v>121</v>
      </c>
      <c r="P1047" t="s">
        <v>38</v>
      </c>
      <c r="Q1047" t="s">
        <v>38</v>
      </c>
      <c r="R1047" t="s">
        <v>39</v>
      </c>
      <c r="S1047" t="s">
        <v>41</v>
      </c>
      <c r="T1047" t="s">
        <v>4243</v>
      </c>
      <c r="U1047" t="s">
        <v>4244</v>
      </c>
      <c r="V1047" t="s">
        <v>4230</v>
      </c>
      <c r="W1047" t="s">
        <v>2972</v>
      </c>
      <c r="X1047" t="s">
        <v>46</v>
      </c>
      <c r="AC1047">
        <f>COUNTIF(C:C,QLKV_gui_ket_qua_ra_soat[[#This Row],[Mã điểm bán]])</f>
        <v>1</v>
      </c>
    </row>
    <row r="1048" spans="1:29" x14ac:dyDescent="0.45">
      <c r="A1048" t="s">
        <v>4224</v>
      </c>
      <c r="B1048">
        <v>433</v>
      </c>
      <c r="C1048" t="s">
        <v>4290</v>
      </c>
      <c r="D1048" t="s">
        <v>4291</v>
      </c>
      <c r="E1048" t="s">
        <v>1182</v>
      </c>
      <c r="F1048" t="s">
        <v>3619</v>
      </c>
      <c r="G1048" t="s">
        <v>34</v>
      </c>
      <c r="H1048" t="s">
        <v>2170</v>
      </c>
      <c r="J1048" t="s">
        <v>37</v>
      </c>
      <c r="K1048" t="s">
        <v>56</v>
      </c>
      <c r="L1048" t="s">
        <v>39</v>
      </c>
      <c r="M1048" t="s">
        <v>56</v>
      </c>
      <c r="N1048" t="s">
        <v>37</v>
      </c>
      <c r="O1048" t="s">
        <v>39</v>
      </c>
      <c r="P1048" t="s">
        <v>37</v>
      </c>
      <c r="Q1048" t="s">
        <v>37</v>
      </c>
      <c r="R1048" t="s">
        <v>39</v>
      </c>
      <c r="S1048" t="s">
        <v>41</v>
      </c>
      <c r="T1048" t="s">
        <v>4243</v>
      </c>
      <c r="U1048" t="s">
        <v>4244</v>
      </c>
      <c r="V1048" t="s">
        <v>4230</v>
      </c>
      <c r="W1048" t="s">
        <v>2972</v>
      </c>
      <c r="X1048" t="s">
        <v>46</v>
      </c>
      <c r="AC1048">
        <f>COUNTIF(C:C,QLKV_gui_ket_qua_ra_soat[[#This Row],[Mã điểm bán]])</f>
        <v>1</v>
      </c>
    </row>
    <row r="1049" spans="1:29" x14ac:dyDescent="0.45">
      <c r="A1049" t="s">
        <v>4224</v>
      </c>
      <c r="B1049">
        <v>521</v>
      </c>
      <c r="C1049" t="s">
        <v>4292</v>
      </c>
      <c r="D1049" t="s">
        <v>4293</v>
      </c>
      <c r="E1049" t="s">
        <v>682</v>
      </c>
      <c r="F1049" t="s">
        <v>2425</v>
      </c>
      <c r="G1049" t="s">
        <v>34</v>
      </c>
      <c r="H1049" t="s">
        <v>350</v>
      </c>
      <c r="I1049" t="s">
        <v>4294</v>
      </c>
      <c r="J1049" t="s">
        <v>37</v>
      </c>
      <c r="K1049" t="s">
        <v>37</v>
      </c>
      <c r="L1049" t="s">
        <v>39</v>
      </c>
      <c r="M1049" t="s">
        <v>37</v>
      </c>
      <c r="N1049" t="s">
        <v>37</v>
      </c>
      <c r="O1049" t="s">
        <v>39</v>
      </c>
      <c r="P1049" t="s">
        <v>38</v>
      </c>
      <c r="Q1049" t="s">
        <v>38</v>
      </c>
      <c r="R1049" t="s">
        <v>40</v>
      </c>
      <c r="S1049" t="s">
        <v>41</v>
      </c>
      <c r="T1049" t="s">
        <v>4295</v>
      </c>
      <c r="U1049" t="s">
        <v>2977</v>
      </c>
      <c r="V1049" t="s">
        <v>4230</v>
      </c>
      <c r="W1049" t="s">
        <v>2972</v>
      </c>
      <c r="X1049" t="s">
        <v>46</v>
      </c>
      <c r="AC1049">
        <f>COUNTIF(C:C,QLKV_gui_ket_qua_ra_soat[[#This Row],[Mã điểm bán]])</f>
        <v>1</v>
      </c>
    </row>
    <row r="1050" spans="1:29" x14ac:dyDescent="0.45">
      <c r="A1050" t="s">
        <v>4224</v>
      </c>
      <c r="B1050">
        <v>601</v>
      </c>
      <c r="C1050" t="s">
        <v>4296</v>
      </c>
      <c r="D1050" t="s">
        <v>4297</v>
      </c>
      <c r="E1050" t="s">
        <v>1881</v>
      </c>
      <c r="F1050" t="s">
        <v>4298</v>
      </c>
      <c r="G1050" t="s">
        <v>34</v>
      </c>
      <c r="H1050" t="s">
        <v>54</v>
      </c>
      <c r="I1050" t="s">
        <v>4299</v>
      </c>
      <c r="J1050" t="s">
        <v>38</v>
      </c>
      <c r="K1050" t="s">
        <v>38</v>
      </c>
      <c r="L1050" t="s">
        <v>39</v>
      </c>
      <c r="M1050" t="s">
        <v>37</v>
      </c>
      <c r="N1050" t="s">
        <v>38</v>
      </c>
      <c r="O1050" t="s">
        <v>39</v>
      </c>
      <c r="P1050" t="s">
        <v>37</v>
      </c>
      <c r="Q1050" t="s">
        <v>38</v>
      </c>
      <c r="R1050" t="s">
        <v>39</v>
      </c>
      <c r="S1050" t="s">
        <v>41</v>
      </c>
      <c r="T1050" t="s">
        <v>4228</v>
      </c>
      <c r="U1050" t="s">
        <v>4229</v>
      </c>
      <c r="V1050" t="s">
        <v>4230</v>
      </c>
      <c r="W1050" t="s">
        <v>2972</v>
      </c>
      <c r="X1050" t="s">
        <v>46</v>
      </c>
      <c r="AC1050">
        <f>COUNTIF(C:C,QLKV_gui_ket_qua_ra_soat[[#This Row],[Mã điểm bán]])</f>
        <v>1</v>
      </c>
    </row>
    <row r="1051" spans="1:29" x14ac:dyDescent="0.45">
      <c r="A1051" t="s">
        <v>4224</v>
      </c>
      <c r="B1051">
        <v>671</v>
      </c>
      <c r="C1051" t="s">
        <v>4300</v>
      </c>
      <c r="D1051" t="s">
        <v>4301</v>
      </c>
      <c r="E1051" t="s">
        <v>455</v>
      </c>
      <c r="F1051" t="s">
        <v>426</v>
      </c>
      <c r="G1051" t="s">
        <v>34</v>
      </c>
      <c r="H1051" t="s">
        <v>1483</v>
      </c>
      <c r="I1051" t="s">
        <v>4302</v>
      </c>
      <c r="J1051" t="s">
        <v>38</v>
      </c>
      <c r="K1051" t="s">
        <v>38</v>
      </c>
      <c r="L1051" t="s">
        <v>40</v>
      </c>
      <c r="M1051" t="s">
        <v>38</v>
      </c>
      <c r="N1051" t="s">
        <v>38</v>
      </c>
      <c r="O1051" t="s">
        <v>39</v>
      </c>
      <c r="P1051" t="s">
        <v>38</v>
      </c>
      <c r="Q1051" t="s">
        <v>38</v>
      </c>
      <c r="R1051" t="s">
        <v>40</v>
      </c>
      <c r="S1051" t="s">
        <v>41</v>
      </c>
      <c r="T1051" t="s">
        <v>4243</v>
      </c>
      <c r="U1051" t="s">
        <v>4244</v>
      </c>
      <c r="V1051" t="s">
        <v>4230</v>
      </c>
      <c r="W1051" t="s">
        <v>2972</v>
      </c>
      <c r="X1051" t="s">
        <v>46</v>
      </c>
      <c r="AC1051">
        <f>COUNTIF(C:C,QLKV_gui_ket_qua_ra_soat[[#This Row],[Mã điểm bán]])</f>
        <v>1</v>
      </c>
    </row>
    <row r="1052" spans="1:29" x14ac:dyDescent="0.45">
      <c r="A1052" t="s">
        <v>4224</v>
      </c>
      <c r="B1052">
        <v>696</v>
      </c>
      <c r="C1052" t="s">
        <v>4303</v>
      </c>
      <c r="D1052" t="s">
        <v>4304</v>
      </c>
      <c r="E1052" t="s">
        <v>1664</v>
      </c>
      <c r="F1052" t="s">
        <v>53</v>
      </c>
      <c r="G1052" t="s">
        <v>150</v>
      </c>
      <c r="H1052" t="s">
        <v>54</v>
      </c>
      <c r="I1052" t="s">
        <v>4305</v>
      </c>
      <c r="J1052" t="s">
        <v>38</v>
      </c>
      <c r="K1052" t="s">
        <v>38</v>
      </c>
      <c r="L1052" t="s">
        <v>40</v>
      </c>
      <c r="M1052" t="s">
        <v>38</v>
      </c>
      <c r="N1052" t="s">
        <v>38</v>
      </c>
      <c r="O1052" t="s">
        <v>40</v>
      </c>
      <c r="P1052" t="s">
        <v>38</v>
      </c>
      <c r="Q1052" t="s">
        <v>38</v>
      </c>
      <c r="R1052" t="s">
        <v>40</v>
      </c>
      <c r="S1052" t="s">
        <v>41</v>
      </c>
      <c r="T1052" t="s">
        <v>4306</v>
      </c>
      <c r="U1052" t="s">
        <v>3227</v>
      </c>
      <c r="V1052" t="s">
        <v>4230</v>
      </c>
      <c r="W1052" t="s">
        <v>2972</v>
      </c>
      <c r="X1052" t="s">
        <v>46</v>
      </c>
      <c r="AC1052">
        <f>COUNTIF(C:C,QLKV_gui_ket_qua_ra_soat[[#This Row],[Mã điểm bán]])</f>
        <v>1</v>
      </c>
    </row>
    <row r="1053" spans="1:29" x14ac:dyDescent="0.45">
      <c r="A1053" t="s">
        <v>4224</v>
      </c>
      <c r="B1053">
        <v>716</v>
      </c>
      <c r="C1053" t="s">
        <v>4307</v>
      </c>
      <c r="D1053" t="s">
        <v>4308</v>
      </c>
      <c r="E1053" t="s">
        <v>2312</v>
      </c>
      <c r="F1053" t="s">
        <v>4309</v>
      </c>
      <c r="G1053" t="s">
        <v>34</v>
      </c>
      <c r="H1053" t="s">
        <v>565</v>
      </c>
      <c r="I1053" t="s">
        <v>4310</v>
      </c>
      <c r="J1053" t="s">
        <v>37</v>
      </c>
      <c r="K1053" t="s">
        <v>37</v>
      </c>
      <c r="L1053" t="s">
        <v>39</v>
      </c>
      <c r="M1053" t="s">
        <v>38</v>
      </c>
      <c r="N1053" t="s">
        <v>38</v>
      </c>
      <c r="O1053" t="s">
        <v>39</v>
      </c>
      <c r="P1053" t="s">
        <v>38</v>
      </c>
      <c r="Q1053" t="s">
        <v>38</v>
      </c>
      <c r="R1053" t="s">
        <v>40</v>
      </c>
      <c r="S1053" t="s">
        <v>41</v>
      </c>
      <c r="T1053" t="s">
        <v>4228</v>
      </c>
      <c r="U1053" t="s">
        <v>4229</v>
      </c>
      <c r="V1053" t="s">
        <v>4230</v>
      </c>
      <c r="W1053" t="s">
        <v>2972</v>
      </c>
      <c r="X1053" t="s">
        <v>46</v>
      </c>
      <c r="AC1053">
        <f>COUNTIF(C:C,QLKV_gui_ket_qua_ra_soat[[#This Row],[Mã điểm bán]])</f>
        <v>1</v>
      </c>
    </row>
    <row r="1054" spans="1:29" x14ac:dyDescent="0.45">
      <c r="A1054" t="s">
        <v>4224</v>
      </c>
      <c r="B1054">
        <v>1002</v>
      </c>
      <c r="C1054" t="s">
        <v>4311</v>
      </c>
      <c r="D1054" t="s">
        <v>4312</v>
      </c>
      <c r="E1054" t="s">
        <v>828</v>
      </c>
      <c r="F1054" t="s">
        <v>53</v>
      </c>
      <c r="G1054" t="s">
        <v>34</v>
      </c>
      <c r="H1054" t="s">
        <v>54</v>
      </c>
      <c r="I1054" t="s">
        <v>2475</v>
      </c>
      <c r="J1054" t="s">
        <v>38</v>
      </c>
      <c r="K1054" t="s">
        <v>38</v>
      </c>
      <c r="L1054" t="s">
        <v>40</v>
      </c>
      <c r="M1054" t="s">
        <v>38</v>
      </c>
      <c r="N1054" t="s">
        <v>38</v>
      </c>
      <c r="O1054" t="s">
        <v>39</v>
      </c>
      <c r="P1054" t="s">
        <v>38</v>
      </c>
      <c r="Q1054" t="s">
        <v>38</v>
      </c>
      <c r="R1054" t="s">
        <v>40</v>
      </c>
      <c r="S1054" t="s">
        <v>41</v>
      </c>
      <c r="T1054" t="s">
        <v>4243</v>
      </c>
      <c r="U1054" t="s">
        <v>4244</v>
      </c>
      <c r="V1054" t="s">
        <v>4230</v>
      </c>
      <c r="W1054" t="s">
        <v>2972</v>
      </c>
      <c r="X1054" t="s">
        <v>46</v>
      </c>
      <c r="AC1054">
        <f>COUNTIF(C:C,QLKV_gui_ket_qua_ra_soat[[#This Row],[Mã điểm bán]])</f>
        <v>1</v>
      </c>
    </row>
    <row r="1055" spans="1:29" x14ac:dyDescent="0.45">
      <c r="A1055" t="s">
        <v>4224</v>
      </c>
      <c r="B1055">
        <v>1007</v>
      </c>
      <c r="C1055" t="s">
        <v>4313</v>
      </c>
      <c r="D1055" t="s">
        <v>4314</v>
      </c>
      <c r="E1055" t="s">
        <v>4315</v>
      </c>
      <c r="F1055" t="s">
        <v>4316</v>
      </c>
      <c r="G1055" t="s">
        <v>34</v>
      </c>
      <c r="H1055" t="s">
        <v>356</v>
      </c>
      <c r="I1055" t="s">
        <v>4317</v>
      </c>
      <c r="J1055" t="s">
        <v>37</v>
      </c>
      <c r="K1055" t="s">
        <v>37</v>
      </c>
      <c r="L1055" t="s">
        <v>40</v>
      </c>
      <c r="M1055" t="s">
        <v>37</v>
      </c>
      <c r="N1055" t="s">
        <v>37</v>
      </c>
      <c r="O1055" t="s">
        <v>40</v>
      </c>
      <c r="P1055" t="s">
        <v>37</v>
      </c>
      <c r="Q1055" t="s">
        <v>37</v>
      </c>
      <c r="R1055" t="s">
        <v>40</v>
      </c>
      <c r="S1055" t="s">
        <v>41</v>
      </c>
      <c r="T1055" t="s">
        <v>4318</v>
      </c>
      <c r="U1055" t="s">
        <v>3227</v>
      </c>
      <c r="V1055" t="s">
        <v>4230</v>
      </c>
      <c r="W1055" t="s">
        <v>2972</v>
      </c>
      <c r="X1055" t="s">
        <v>46</v>
      </c>
      <c r="AC1055">
        <f>COUNTIF(C:C,QLKV_gui_ket_qua_ra_soat[[#This Row],[Mã điểm bán]])</f>
        <v>1</v>
      </c>
    </row>
    <row r="1056" spans="1:29" x14ac:dyDescent="0.45">
      <c r="A1056" t="s">
        <v>4224</v>
      </c>
      <c r="B1056">
        <v>1010</v>
      </c>
      <c r="C1056" t="s">
        <v>4319</v>
      </c>
      <c r="D1056" t="s">
        <v>3564</v>
      </c>
      <c r="E1056" t="s">
        <v>4320</v>
      </c>
      <c r="F1056" t="s">
        <v>4321</v>
      </c>
      <c r="G1056" t="s">
        <v>34</v>
      </c>
      <c r="H1056" t="s">
        <v>171</v>
      </c>
      <c r="I1056" t="s">
        <v>4322</v>
      </c>
      <c r="J1056" t="s">
        <v>38</v>
      </c>
      <c r="K1056" t="s">
        <v>38</v>
      </c>
      <c r="L1056" t="s">
        <v>40</v>
      </c>
      <c r="M1056" t="s">
        <v>37</v>
      </c>
      <c r="N1056" t="s">
        <v>37</v>
      </c>
      <c r="O1056" t="s">
        <v>39</v>
      </c>
      <c r="P1056" t="s">
        <v>38</v>
      </c>
      <c r="Q1056" t="s">
        <v>38</v>
      </c>
      <c r="R1056" t="s">
        <v>40</v>
      </c>
      <c r="S1056" t="s">
        <v>41</v>
      </c>
      <c r="T1056" t="s">
        <v>4306</v>
      </c>
      <c r="U1056" t="s">
        <v>3227</v>
      </c>
      <c r="V1056" t="s">
        <v>4230</v>
      </c>
      <c r="W1056" t="s">
        <v>2972</v>
      </c>
      <c r="X1056" t="s">
        <v>46</v>
      </c>
      <c r="AC1056">
        <f>COUNTIF(C:C,QLKV_gui_ket_qua_ra_soat[[#This Row],[Mã điểm bán]])</f>
        <v>1</v>
      </c>
    </row>
    <row r="1057" spans="1:29" x14ac:dyDescent="0.45">
      <c r="A1057" t="s">
        <v>4224</v>
      </c>
      <c r="B1057">
        <v>1079</v>
      </c>
      <c r="C1057" t="s">
        <v>4323</v>
      </c>
      <c r="D1057" t="s">
        <v>4324</v>
      </c>
      <c r="E1057" t="s">
        <v>4325</v>
      </c>
      <c r="F1057" t="s">
        <v>4326</v>
      </c>
      <c r="G1057" t="s">
        <v>177</v>
      </c>
      <c r="H1057" t="s">
        <v>1184</v>
      </c>
      <c r="I1057" t="s">
        <v>4327</v>
      </c>
      <c r="J1057" t="s">
        <v>37</v>
      </c>
      <c r="K1057" t="s">
        <v>37</v>
      </c>
      <c r="L1057" t="s">
        <v>40</v>
      </c>
      <c r="M1057" t="s">
        <v>37</v>
      </c>
      <c r="N1057" t="s">
        <v>56</v>
      </c>
      <c r="O1057" t="s">
        <v>40</v>
      </c>
      <c r="P1057" t="s">
        <v>37</v>
      </c>
      <c r="Q1057" t="s">
        <v>37</v>
      </c>
      <c r="R1057" t="s">
        <v>40</v>
      </c>
      <c r="S1057" t="s">
        <v>4328</v>
      </c>
      <c r="T1057" t="s">
        <v>4318</v>
      </c>
      <c r="U1057" t="s">
        <v>3227</v>
      </c>
      <c r="V1057" t="s">
        <v>4230</v>
      </c>
      <c r="W1057" t="s">
        <v>2972</v>
      </c>
      <c r="X1057" t="s">
        <v>46</v>
      </c>
      <c r="AC1057">
        <f>COUNTIF(C:C,QLKV_gui_ket_qua_ra_soat[[#This Row],[Mã điểm bán]])</f>
        <v>1</v>
      </c>
    </row>
    <row r="1058" spans="1:29" x14ac:dyDescent="0.45">
      <c r="A1058" t="s">
        <v>4224</v>
      </c>
      <c r="B1058">
        <v>1142</v>
      </c>
      <c r="C1058" t="s">
        <v>4329</v>
      </c>
      <c r="D1058" t="s">
        <v>640</v>
      </c>
      <c r="E1058" t="s">
        <v>4330</v>
      </c>
      <c r="F1058" t="s">
        <v>4331</v>
      </c>
      <c r="G1058" t="s">
        <v>177</v>
      </c>
      <c r="H1058" t="s">
        <v>697</v>
      </c>
      <c r="I1058" t="s">
        <v>4332</v>
      </c>
      <c r="J1058" t="s">
        <v>41</v>
      </c>
      <c r="K1058" t="s">
        <v>41</v>
      </c>
      <c r="L1058" t="s">
        <v>41</v>
      </c>
      <c r="M1058" t="s">
        <v>41</v>
      </c>
      <c r="N1058" t="s">
        <v>41</v>
      </c>
      <c r="O1058" t="s">
        <v>41</v>
      </c>
      <c r="P1058" t="s">
        <v>41</v>
      </c>
      <c r="Q1058" t="s">
        <v>41</v>
      </c>
      <c r="R1058" t="s">
        <v>41</v>
      </c>
      <c r="S1058" t="s">
        <v>41</v>
      </c>
      <c r="T1058" t="s">
        <v>4306</v>
      </c>
      <c r="U1058" t="s">
        <v>3227</v>
      </c>
      <c r="V1058" t="s">
        <v>4230</v>
      </c>
      <c r="W1058" t="s">
        <v>2972</v>
      </c>
      <c r="Y1058" t="s">
        <v>46</v>
      </c>
      <c r="AC1058">
        <f>COUNTIF(C:C,QLKV_gui_ket_qua_ra_soat[[#This Row],[Mã điểm bán]])</f>
        <v>1</v>
      </c>
    </row>
    <row r="1059" spans="1:29" x14ac:dyDescent="0.45">
      <c r="A1059" t="s">
        <v>4224</v>
      </c>
      <c r="B1059">
        <v>1176</v>
      </c>
      <c r="C1059" t="s">
        <v>4333</v>
      </c>
      <c r="D1059" t="s">
        <v>4334</v>
      </c>
      <c r="E1059" t="s">
        <v>2182</v>
      </c>
      <c r="F1059" t="s">
        <v>401</v>
      </c>
      <c r="G1059" t="s">
        <v>34</v>
      </c>
      <c r="H1059" t="s">
        <v>4335</v>
      </c>
      <c r="I1059" t="s">
        <v>4336</v>
      </c>
      <c r="J1059" t="s">
        <v>38</v>
      </c>
      <c r="K1059" t="s">
        <v>38</v>
      </c>
      <c r="L1059" t="s">
        <v>40</v>
      </c>
      <c r="M1059" t="s">
        <v>38</v>
      </c>
      <c r="N1059" t="s">
        <v>38</v>
      </c>
      <c r="O1059" t="s">
        <v>39</v>
      </c>
      <c r="P1059" t="s">
        <v>38</v>
      </c>
      <c r="Q1059" t="s">
        <v>38</v>
      </c>
      <c r="R1059" t="s">
        <v>40</v>
      </c>
      <c r="S1059" t="s">
        <v>41</v>
      </c>
      <c r="T1059" t="s">
        <v>4243</v>
      </c>
      <c r="U1059" t="s">
        <v>4244</v>
      </c>
      <c r="V1059" t="s">
        <v>4230</v>
      </c>
      <c r="W1059" t="s">
        <v>2972</v>
      </c>
      <c r="X1059" t="s">
        <v>46</v>
      </c>
      <c r="AC1059">
        <f>COUNTIF(C:C,QLKV_gui_ket_qua_ra_soat[[#This Row],[Mã điểm bán]])</f>
        <v>1</v>
      </c>
    </row>
    <row r="1060" spans="1:29" x14ac:dyDescent="0.45">
      <c r="A1060" t="s">
        <v>4224</v>
      </c>
      <c r="B1060">
        <v>1275</v>
      </c>
      <c r="C1060" t="s">
        <v>4337</v>
      </c>
      <c r="D1060" t="s">
        <v>4338</v>
      </c>
      <c r="E1060" t="s">
        <v>4339</v>
      </c>
      <c r="F1060" t="s">
        <v>1623</v>
      </c>
      <c r="G1060" t="s">
        <v>34</v>
      </c>
      <c r="H1060" t="s">
        <v>1188</v>
      </c>
      <c r="I1060" t="s">
        <v>4340</v>
      </c>
      <c r="J1060" t="s">
        <v>38</v>
      </c>
      <c r="K1060" t="s">
        <v>38</v>
      </c>
      <c r="L1060" t="s">
        <v>40</v>
      </c>
      <c r="M1060" t="s">
        <v>38</v>
      </c>
      <c r="N1060" t="s">
        <v>38</v>
      </c>
      <c r="O1060" t="s">
        <v>40</v>
      </c>
      <c r="P1060" t="s">
        <v>38</v>
      </c>
      <c r="Q1060" t="s">
        <v>38</v>
      </c>
      <c r="R1060" t="s">
        <v>40</v>
      </c>
      <c r="S1060" t="s">
        <v>41</v>
      </c>
      <c r="T1060" t="s">
        <v>4243</v>
      </c>
      <c r="U1060" t="s">
        <v>4244</v>
      </c>
      <c r="V1060" t="s">
        <v>4230</v>
      </c>
      <c r="W1060" t="s">
        <v>2978</v>
      </c>
      <c r="X1060" t="s">
        <v>46</v>
      </c>
      <c r="AC1060">
        <f>COUNTIF(C:C,QLKV_gui_ket_qua_ra_soat[[#This Row],[Mã điểm bán]])</f>
        <v>1</v>
      </c>
    </row>
    <row r="1061" spans="1:29" x14ac:dyDescent="0.45">
      <c r="A1061" t="s">
        <v>4224</v>
      </c>
      <c r="B1061">
        <v>1292</v>
      </c>
      <c r="C1061" t="s">
        <v>4341</v>
      </c>
      <c r="D1061" t="s">
        <v>4342</v>
      </c>
      <c r="E1061" t="s">
        <v>563</v>
      </c>
      <c r="F1061" t="s">
        <v>166</v>
      </c>
      <c r="G1061" t="s">
        <v>34</v>
      </c>
      <c r="H1061" t="s">
        <v>54</v>
      </c>
      <c r="I1061" t="s">
        <v>4343</v>
      </c>
      <c r="J1061" t="s">
        <v>37</v>
      </c>
      <c r="K1061" t="s">
        <v>37</v>
      </c>
      <c r="L1061" t="s">
        <v>39</v>
      </c>
      <c r="M1061" t="s">
        <v>37</v>
      </c>
      <c r="N1061" t="s">
        <v>37</v>
      </c>
      <c r="O1061" t="s">
        <v>39</v>
      </c>
      <c r="P1061" t="s">
        <v>38</v>
      </c>
      <c r="Q1061" t="s">
        <v>38</v>
      </c>
      <c r="R1061" t="s">
        <v>40</v>
      </c>
      <c r="S1061" t="s">
        <v>41</v>
      </c>
      <c r="T1061" t="s">
        <v>4295</v>
      </c>
      <c r="U1061" t="s">
        <v>2977</v>
      </c>
      <c r="V1061" t="s">
        <v>4230</v>
      </c>
      <c r="W1061" t="s">
        <v>2972</v>
      </c>
      <c r="X1061" t="s">
        <v>46</v>
      </c>
      <c r="AC1061">
        <f>COUNTIF(C:C,QLKV_gui_ket_qua_ra_soat[[#This Row],[Mã điểm bán]])</f>
        <v>1</v>
      </c>
    </row>
    <row r="1062" spans="1:29" x14ac:dyDescent="0.45">
      <c r="A1062" t="s">
        <v>4224</v>
      </c>
      <c r="B1062">
        <v>1296</v>
      </c>
      <c r="C1062" t="s">
        <v>4344</v>
      </c>
      <c r="D1062" t="s">
        <v>4345</v>
      </c>
      <c r="E1062" t="s">
        <v>148</v>
      </c>
      <c r="F1062" t="s">
        <v>53</v>
      </c>
      <c r="G1062" t="s">
        <v>34</v>
      </c>
      <c r="H1062" t="s">
        <v>54</v>
      </c>
      <c r="I1062" t="s">
        <v>4346</v>
      </c>
      <c r="J1062" t="s">
        <v>38</v>
      </c>
      <c r="K1062" t="s">
        <v>38</v>
      </c>
      <c r="L1062" t="s">
        <v>40</v>
      </c>
      <c r="M1062" t="s">
        <v>38</v>
      </c>
      <c r="N1062" t="s">
        <v>38</v>
      </c>
      <c r="O1062" t="s">
        <v>39</v>
      </c>
      <c r="P1062" t="s">
        <v>38</v>
      </c>
      <c r="Q1062" t="s">
        <v>38</v>
      </c>
      <c r="R1062" t="s">
        <v>40</v>
      </c>
      <c r="S1062" t="s">
        <v>41</v>
      </c>
      <c r="T1062" t="s">
        <v>4243</v>
      </c>
      <c r="U1062" t="s">
        <v>4244</v>
      </c>
      <c r="V1062" t="s">
        <v>4230</v>
      </c>
      <c r="W1062" t="s">
        <v>2978</v>
      </c>
      <c r="X1062" t="s">
        <v>46</v>
      </c>
      <c r="AC1062">
        <f>COUNTIF(C:C,QLKV_gui_ket_qua_ra_soat[[#This Row],[Mã điểm bán]])</f>
        <v>1</v>
      </c>
    </row>
    <row r="1063" spans="1:29" x14ac:dyDescent="0.45">
      <c r="A1063" t="s">
        <v>4224</v>
      </c>
      <c r="B1063">
        <v>1297</v>
      </c>
      <c r="C1063" t="s">
        <v>4347</v>
      </c>
      <c r="D1063" t="s">
        <v>4348</v>
      </c>
      <c r="E1063" t="s">
        <v>2337</v>
      </c>
      <c r="F1063" t="s">
        <v>4349</v>
      </c>
      <c r="G1063" t="s">
        <v>177</v>
      </c>
      <c r="H1063" t="s">
        <v>214</v>
      </c>
      <c r="I1063" t="s">
        <v>4350</v>
      </c>
      <c r="J1063" t="s">
        <v>37</v>
      </c>
      <c r="K1063" t="s">
        <v>37</v>
      </c>
      <c r="L1063" t="s">
        <v>40</v>
      </c>
      <c r="M1063" t="s">
        <v>37</v>
      </c>
      <c r="N1063" t="s">
        <v>56</v>
      </c>
      <c r="O1063" t="s">
        <v>40</v>
      </c>
      <c r="P1063" t="s">
        <v>37</v>
      </c>
      <c r="Q1063" t="s">
        <v>37</v>
      </c>
      <c r="R1063" t="s">
        <v>40</v>
      </c>
      <c r="S1063" t="s">
        <v>4351</v>
      </c>
      <c r="T1063" t="s">
        <v>4318</v>
      </c>
      <c r="U1063" t="s">
        <v>3227</v>
      </c>
      <c r="V1063" t="s">
        <v>4230</v>
      </c>
      <c r="W1063" t="s">
        <v>2972</v>
      </c>
      <c r="Y1063" t="s">
        <v>46</v>
      </c>
      <c r="AC1063">
        <f>COUNTIF(C:C,QLKV_gui_ket_qua_ra_soat[[#This Row],[Mã điểm bán]])</f>
        <v>1</v>
      </c>
    </row>
    <row r="1064" spans="1:29" x14ac:dyDescent="0.45">
      <c r="A1064" t="s">
        <v>4224</v>
      </c>
      <c r="B1064">
        <v>1429</v>
      </c>
      <c r="C1064" t="s">
        <v>4352</v>
      </c>
      <c r="D1064" t="s">
        <v>4353</v>
      </c>
      <c r="E1064" t="s">
        <v>4354</v>
      </c>
      <c r="F1064" t="s">
        <v>4355</v>
      </c>
      <c r="G1064" t="s">
        <v>34</v>
      </c>
      <c r="H1064" t="s">
        <v>54</v>
      </c>
      <c r="I1064" t="s">
        <v>4356</v>
      </c>
      <c r="J1064" t="s">
        <v>38</v>
      </c>
      <c r="K1064" t="s">
        <v>38</v>
      </c>
      <c r="L1064" t="s">
        <v>40</v>
      </c>
      <c r="M1064" t="s">
        <v>38</v>
      </c>
      <c r="N1064" t="s">
        <v>38</v>
      </c>
      <c r="O1064" t="s">
        <v>40</v>
      </c>
      <c r="P1064" t="s">
        <v>38</v>
      </c>
      <c r="Q1064" t="s">
        <v>38</v>
      </c>
      <c r="R1064" t="s">
        <v>40</v>
      </c>
      <c r="S1064" t="s">
        <v>41</v>
      </c>
      <c r="T1064" t="s">
        <v>4228</v>
      </c>
      <c r="U1064" t="s">
        <v>4229</v>
      </c>
      <c r="V1064" t="s">
        <v>4230</v>
      </c>
      <c r="W1064" t="s">
        <v>2972</v>
      </c>
      <c r="X1064" t="s">
        <v>46</v>
      </c>
      <c r="AC1064">
        <f>COUNTIF(C:C,QLKV_gui_ket_qua_ra_soat[[#This Row],[Mã điểm bán]])</f>
        <v>1</v>
      </c>
    </row>
    <row r="1065" spans="1:29" x14ac:dyDescent="0.45">
      <c r="A1065" t="s">
        <v>4224</v>
      </c>
      <c r="B1065">
        <v>1465</v>
      </c>
      <c r="C1065" t="s">
        <v>4357</v>
      </c>
      <c r="D1065" t="s">
        <v>4358</v>
      </c>
      <c r="E1065" t="s">
        <v>157</v>
      </c>
      <c r="F1065" t="s">
        <v>53</v>
      </c>
      <c r="G1065" t="s">
        <v>34</v>
      </c>
      <c r="H1065" t="s">
        <v>54</v>
      </c>
      <c r="I1065" t="s">
        <v>4359</v>
      </c>
      <c r="J1065" t="s">
        <v>37</v>
      </c>
      <c r="K1065" t="s">
        <v>37</v>
      </c>
      <c r="L1065" t="s">
        <v>39</v>
      </c>
      <c r="M1065" t="s">
        <v>37</v>
      </c>
      <c r="N1065" t="s">
        <v>37</v>
      </c>
      <c r="O1065" t="s">
        <v>39</v>
      </c>
      <c r="P1065" t="s">
        <v>38</v>
      </c>
      <c r="Q1065" t="s">
        <v>38</v>
      </c>
      <c r="R1065" t="s">
        <v>40</v>
      </c>
      <c r="S1065" t="s">
        <v>41</v>
      </c>
      <c r="T1065" t="s">
        <v>4295</v>
      </c>
      <c r="U1065" t="s">
        <v>2977</v>
      </c>
      <c r="V1065" t="s">
        <v>4230</v>
      </c>
      <c r="W1065" t="s">
        <v>2972</v>
      </c>
      <c r="X1065" t="s">
        <v>46</v>
      </c>
      <c r="AC1065">
        <f>COUNTIF(C:C,QLKV_gui_ket_qua_ra_soat[[#This Row],[Mã điểm bán]])</f>
        <v>1</v>
      </c>
    </row>
    <row r="1066" spans="1:29" x14ac:dyDescent="0.45">
      <c r="A1066" t="s">
        <v>4224</v>
      </c>
      <c r="B1066">
        <v>1493</v>
      </c>
      <c r="C1066" t="s">
        <v>4360</v>
      </c>
      <c r="D1066" t="s">
        <v>4361</v>
      </c>
      <c r="E1066" t="s">
        <v>297</v>
      </c>
      <c r="F1066" t="s">
        <v>53</v>
      </c>
      <c r="G1066" t="s">
        <v>177</v>
      </c>
      <c r="H1066" t="s">
        <v>54</v>
      </c>
      <c r="I1066" t="s">
        <v>4362</v>
      </c>
      <c r="J1066" t="s">
        <v>37</v>
      </c>
      <c r="K1066" t="s">
        <v>37</v>
      </c>
      <c r="L1066" t="s">
        <v>39</v>
      </c>
      <c r="M1066" t="s">
        <v>37</v>
      </c>
      <c r="N1066" t="s">
        <v>37</v>
      </c>
      <c r="O1066" t="s">
        <v>39</v>
      </c>
      <c r="P1066" t="s">
        <v>38</v>
      </c>
      <c r="Q1066" t="s">
        <v>38</v>
      </c>
      <c r="R1066" t="s">
        <v>40</v>
      </c>
      <c r="S1066" t="s">
        <v>3579</v>
      </c>
      <c r="T1066" t="s">
        <v>4295</v>
      </c>
      <c r="U1066" t="s">
        <v>2977</v>
      </c>
      <c r="V1066" t="s">
        <v>4230</v>
      </c>
      <c r="W1066" t="s">
        <v>2978</v>
      </c>
      <c r="X1066" t="s">
        <v>46</v>
      </c>
      <c r="AC1066">
        <f>COUNTIF(C:C,QLKV_gui_ket_qua_ra_soat[[#This Row],[Mã điểm bán]])</f>
        <v>1</v>
      </c>
    </row>
    <row r="1067" spans="1:29" x14ac:dyDescent="0.45">
      <c r="A1067" t="s">
        <v>4224</v>
      </c>
      <c r="B1067">
        <v>1509</v>
      </c>
      <c r="C1067" t="s">
        <v>4363</v>
      </c>
      <c r="D1067" t="s">
        <v>3399</v>
      </c>
      <c r="E1067" t="s">
        <v>4364</v>
      </c>
      <c r="F1067" t="s">
        <v>4316</v>
      </c>
      <c r="G1067" t="s">
        <v>177</v>
      </c>
      <c r="H1067" t="s">
        <v>214</v>
      </c>
      <c r="I1067" t="s">
        <v>4365</v>
      </c>
      <c r="J1067" t="s">
        <v>37</v>
      </c>
      <c r="K1067" t="s">
        <v>37</v>
      </c>
      <c r="L1067" t="s">
        <v>40</v>
      </c>
      <c r="M1067" t="s">
        <v>56</v>
      </c>
      <c r="N1067" t="s">
        <v>37</v>
      </c>
      <c r="O1067" t="s">
        <v>40</v>
      </c>
      <c r="P1067" t="s">
        <v>37</v>
      </c>
      <c r="Q1067" t="s">
        <v>56</v>
      </c>
      <c r="R1067" t="s">
        <v>40</v>
      </c>
      <c r="S1067" t="s">
        <v>4366</v>
      </c>
      <c r="T1067" t="s">
        <v>4318</v>
      </c>
      <c r="U1067" t="s">
        <v>3227</v>
      </c>
      <c r="V1067" t="s">
        <v>4230</v>
      </c>
      <c r="W1067" t="s">
        <v>2972</v>
      </c>
      <c r="X1067" t="s">
        <v>46</v>
      </c>
      <c r="AC1067">
        <f>COUNTIF(C:C,QLKV_gui_ket_qua_ra_soat[[#This Row],[Mã điểm bán]])</f>
        <v>1</v>
      </c>
    </row>
    <row r="1068" spans="1:29" x14ac:dyDescent="0.45">
      <c r="A1068" t="s">
        <v>4224</v>
      </c>
      <c r="B1068">
        <v>1571</v>
      </c>
      <c r="C1068" t="s">
        <v>4367</v>
      </c>
      <c r="D1068" t="s">
        <v>4368</v>
      </c>
      <c r="E1068" t="s">
        <v>324</v>
      </c>
      <c r="F1068" t="s">
        <v>819</v>
      </c>
      <c r="G1068" t="s">
        <v>177</v>
      </c>
      <c r="H1068" t="s">
        <v>54</v>
      </c>
      <c r="I1068" t="s">
        <v>4369</v>
      </c>
      <c r="J1068" t="s">
        <v>37</v>
      </c>
      <c r="K1068" t="s">
        <v>37</v>
      </c>
      <c r="L1068" t="s">
        <v>39</v>
      </c>
      <c r="M1068" t="s">
        <v>37</v>
      </c>
      <c r="N1068" t="s">
        <v>37</v>
      </c>
      <c r="O1068" t="s">
        <v>39</v>
      </c>
      <c r="P1068" t="s">
        <v>38</v>
      </c>
      <c r="Q1068" t="s">
        <v>38</v>
      </c>
      <c r="R1068" t="s">
        <v>40</v>
      </c>
      <c r="S1068" t="s">
        <v>3003</v>
      </c>
      <c r="T1068" t="s">
        <v>4295</v>
      </c>
      <c r="U1068" t="s">
        <v>2977</v>
      </c>
      <c r="V1068" t="s">
        <v>4230</v>
      </c>
      <c r="W1068" t="s">
        <v>2978</v>
      </c>
      <c r="X1068" t="s">
        <v>46</v>
      </c>
      <c r="AC1068">
        <f>COUNTIF(C:C,QLKV_gui_ket_qua_ra_soat[[#This Row],[Mã điểm bán]])</f>
        <v>1</v>
      </c>
    </row>
    <row r="1069" spans="1:29" x14ac:dyDescent="0.45">
      <c r="A1069" t="s">
        <v>4224</v>
      </c>
      <c r="B1069">
        <v>1608</v>
      </c>
      <c r="C1069" t="s">
        <v>4370</v>
      </c>
      <c r="D1069" t="s">
        <v>4371</v>
      </c>
      <c r="E1069" t="s">
        <v>4372</v>
      </c>
      <c r="F1069" t="s">
        <v>4373</v>
      </c>
      <c r="G1069" t="s">
        <v>177</v>
      </c>
      <c r="H1069" t="s">
        <v>214</v>
      </c>
      <c r="I1069" t="s">
        <v>4374</v>
      </c>
      <c r="J1069" t="s">
        <v>41</v>
      </c>
      <c r="K1069" t="s">
        <v>41</v>
      </c>
      <c r="L1069" t="s">
        <v>41</v>
      </c>
      <c r="M1069" t="s">
        <v>41</v>
      </c>
      <c r="N1069" t="s">
        <v>41</v>
      </c>
      <c r="O1069" t="s">
        <v>41</v>
      </c>
      <c r="Q1069" t="s">
        <v>41</v>
      </c>
      <c r="R1069" t="s">
        <v>41</v>
      </c>
      <c r="S1069" t="s">
        <v>41</v>
      </c>
      <c r="T1069" t="s">
        <v>4318</v>
      </c>
      <c r="U1069" t="s">
        <v>3227</v>
      </c>
      <c r="V1069" t="s">
        <v>4230</v>
      </c>
      <c r="W1069" t="s">
        <v>2972</v>
      </c>
      <c r="X1069" t="s">
        <v>46</v>
      </c>
      <c r="AC1069">
        <f>COUNTIF(C:C,QLKV_gui_ket_qua_ra_soat[[#This Row],[Mã điểm bán]])</f>
        <v>1</v>
      </c>
    </row>
    <row r="1070" spans="1:29" x14ac:dyDescent="0.45">
      <c r="A1070" t="s">
        <v>4224</v>
      </c>
      <c r="B1070">
        <v>1609</v>
      </c>
      <c r="C1070" t="s">
        <v>4375</v>
      </c>
      <c r="D1070" t="s">
        <v>4376</v>
      </c>
      <c r="E1070" t="s">
        <v>4377</v>
      </c>
      <c r="F1070" t="s">
        <v>2425</v>
      </c>
      <c r="G1070" t="s">
        <v>34</v>
      </c>
      <c r="H1070" t="s">
        <v>2952</v>
      </c>
      <c r="I1070" t="s">
        <v>4378</v>
      </c>
      <c r="J1070" t="s">
        <v>38</v>
      </c>
      <c r="K1070" t="s">
        <v>38</v>
      </c>
      <c r="L1070" t="s">
        <v>40</v>
      </c>
      <c r="M1070" t="s">
        <v>38</v>
      </c>
      <c r="N1070" t="s">
        <v>38</v>
      </c>
      <c r="O1070" t="s">
        <v>39</v>
      </c>
      <c r="P1070" t="s">
        <v>38</v>
      </c>
      <c r="Q1070" t="s">
        <v>38</v>
      </c>
      <c r="R1070" t="s">
        <v>40</v>
      </c>
      <c r="S1070" t="s">
        <v>41</v>
      </c>
      <c r="T1070" t="s">
        <v>4306</v>
      </c>
      <c r="U1070" t="s">
        <v>3227</v>
      </c>
      <c r="V1070" t="s">
        <v>4230</v>
      </c>
      <c r="W1070" t="s">
        <v>2972</v>
      </c>
      <c r="X1070" t="s">
        <v>46</v>
      </c>
      <c r="AC1070">
        <f>COUNTIF(C:C,QLKV_gui_ket_qua_ra_soat[[#This Row],[Mã điểm bán]])</f>
        <v>1</v>
      </c>
    </row>
    <row r="1071" spans="1:29" x14ac:dyDescent="0.45">
      <c r="A1071" t="s">
        <v>4224</v>
      </c>
      <c r="B1071">
        <v>1688</v>
      </c>
      <c r="C1071" t="s">
        <v>4379</v>
      </c>
      <c r="D1071" t="s">
        <v>4380</v>
      </c>
      <c r="E1071" t="s">
        <v>4382</v>
      </c>
      <c r="F1071" t="s">
        <v>325</v>
      </c>
      <c r="G1071" t="s">
        <v>34</v>
      </c>
      <c r="H1071" t="s">
        <v>54</v>
      </c>
      <c r="I1071" t="s">
        <v>4383</v>
      </c>
      <c r="J1071" t="s">
        <v>38</v>
      </c>
      <c r="K1071" t="s">
        <v>38</v>
      </c>
      <c r="L1071" t="s">
        <v>40</v>
      </c>
      <c r="M1071" t="s">
        <v>38</v>
      </c>
      <c r="N1071" t="s">
        <v>38</v>
      </c>
      <c r="O1071" t="s">
        <v>39</v>
      </c>
      <c r="P1071" t="s">
        <v>38</v>
      </c>
      <c r="Q1071" t="s">
        <v>38</v>
      </c>
      <c r="R1071" t="s">
        <v>40</v>
      </c>
      <c r="S1071" t="s">
        <v>41</v>
      </c>
      <c r="T1071" t="s">
        <v>4243</v>
      </c>
      <c r="U1071" t="s">
        <v>4244</v>
      </c>
      <c r="V1071" t="s">
        <v>4230</v>
      </c>
      <c r="W1071" t="s">
        <v>2972</v>
      </c>
      <c r="Z1071" t="s">
        <v>46</v>
      </c>
      <c r="AA1071" t="s">
        <v>4250</v>
      </c>
      <c r="AC1071">
        <f>COUNTIF(C:C,QLKV_gui_ket_qua_ra_soat[[#This Row],[Mã điểm bán]])</f>
        <v>1</v>
      </c>
    </row>
    <row r="1072" spans="1:29" x14ac:dyDescent="0.45">
      <c r="A1072" t="s">
        <v>4224</v>
      </c>
      <c r="B1072">
        <v>1696</v>
      </c>
      <c r="C1072" t="s">
        <v>4384</v>
      </c>
      <c r="D1072" t="s">
        <v>4385</v>
      </c>
      <c r="E1072" t="s">
        <v>4386</v>
      </c>
      <c r="F1072" t="s">
        <v>115</v>
      </c>
      <c r="G1072" t="s">
        <v>34</v>
      </c>
      <c r="H1072" t="s">
        <v>1188</v>
      </c>
      <c r="I1072" t="s">
        <v>4387</v>
      </c>
      <c r="J1072" t="s">
        <v>38</v>
      </c>
      <c r="K1072" t="s">
        <v>38</v>
      </c>
      <c r="L1072" t="s">
        <v>40</v>
      </c>
      <c r="M1072" t="s">
        <v>38</v>
      </c>
      <c r="N1072" t="s">
        <v>38</v>
      </c>
      <c r="O1072" t="s">
        <v>39</v>
      </c>
      <c r="P1072" t="s">
        <v>38</v>
      </c>
      <c r="Q1072" t="s">
        <v>38</v>
      </c>
      <c r="R1072" t="s">
        <v>40</v>
      </c>
      <c r="S1072" t="s">
        <v>41</v>
      </c>
      <c r="T1072" t="s">
        <v>4243</v>
      </c>
      <c r="U1072" t="s">
        <v>4244</v>
      </c>
      <c r="V1072" t="s">
        <v>4230</v>
      </c>
      <c r="W1072" t="s">
        <v>2972</v>
      </c>
      <c r="X1072" t="s">
        <v>46</v>
      </c>
      <c r="AC1072">
        <f>COUNTIF(C:C,QLKV_gui_ket_qua_ra_soat[[#This Row],[Mã điểm bán]])</f>
        <v>1</v>
      </c>
    </row>
    <row r="1073" spans="1:29" x14ac:dyDescent="0.45">
      <c r="A1073" t="s">
        <v>4224</v>
      </c>
      <c r="B1073">
        <v>1704</v>
      </c>
      <c r="C1073" t="s">
        <v>4388</v>
      </c>
      <c r="D1073" t="s">
        <v>4389</v>
      </c>
      <c r="E1073" t="s">
        <v>1646</v>
      </c>
      <c r="F1073" t="s">
        <v>4390</v>
      </c>
      <c r="G1073" t="s">
        <v>150</v>
      </c>
      <c r="H1073" t="s">
        <v>54</v>
      </c>
      <c r="I1073" t="s">
        <v>4391</v>
      </c>
      <c r="J1073" t="s">
        <v>38</v>
      </c>
      <c r="K1073" t="s">
        <v>38</v>
      </c>
      <c r="L1073" t="s">
        <v>39</v>
      </c>
      <c r="M1073" t="s">
        <v>38</v>
      </c>
      <c r="N1073" t="s">
        <v>38</v>
      </c>
      <c r="O1073" t="s">
        <v>39</v>
      </c>
      <c r="P1073" t="s">
        <v>38</v>
      </c>
      <c r="Q1073" t="s">
        <v>38</v>
      </c>
      <c r="R1073" t="s">
        <v>39</v>
      </c>
      <c r="S1073" t="s">
        <v>41</v>
      </c>
      <c r="T1073" t="s">
        <v>4228</v>
      </c>
      <c r="U1073" t="s">
        <v>4229</v>
      </c>
      <c r="V1073" t="s">
        <v>4230</v>
      </c>
      <c r="W1073" t="s">
        <v>2972</v>
      </c>
      <c r="X1073" t="s">
        <v>46</v>
      </c>
      <c r="AC1073">
        <f>COUNTIF(C:C,QLKV_gui_ket_qua_ra_soat[[#This Row],[Mã điểm bán]])</f>
        <v>1</v>
      </c>
    </row>
    <row r="1074" spans="1:29" x14ac:dyDescent="0.45">
      <c r="A1074" t="s">
        <v>4224</v>
      </c>
      <c r="B1074">
        <v>1835</v>
      </c>
      <c r="C1074" t="s">
        <v>4392</v>
      </c>
      <c r="D1074" t="s">
        <v>4393</v>
      </c>
      <c r="E1074" t="s">
        <v>4394</v>
      </c>
      <c r="F1074" t="s">
        <v>4395</v>
      </c>
      <c r="G1074" t="s">
        <v>34</v>
      </c>
      <c r="H1074" t="s">
        <v>54</v>
      </c>
      <c r="I1074" t="s">
        <v>4322</v>
      </c>
      <c r="J1074" t="s">
        <v>38</v>
      </c>
      <c r="K1074" t="s">
        <v>38</v>
      </c>
      <c r="L1074" t="s">
        <v>40</v>
      </c>
      <c r="M1074" t="s">
        <v>56</v>
      </c>
      <c r="N1074" t="s">
        <v>56</v>
      </c>
      <c r="O1074" t="s">
        <v>39</v>
      </c>
      <c r="P1074" t="s">
        <v>38</v>
      </c>
      <c r="Q1074" t="s">
        <v>38</v>
      </c>
      <c r="R1074" t="s">
        <v>40</v>
      </c>
      <c r="S1074" t="s">
        <v>41</v>
      </c>
      <c r="T1074" t="s">
        <v>4306</v>
      </c>
      <c r="U1074" t="s">
        <v>3227</v>
      </c>
      <c r="V1074" t="s">
        <v>4230</v>
      </c>
      <c r="W1074" t="s">
        <v>2972</v>
      </c>
      <c r="X1074" t="s">
        <v>46</v>
      </c>
      <c r="AC1074">
        <f>COUNTIF(C:C,QLKV_gui_ket_qua_ra_soat[[#This Row],[Mã điểm bán]])</f>
        <v>1</v>
      </c>
    </row>
    <row r="1075" spans="1:29" x14ac:dyDescent="0.45">
      <c r="A1075" t="s">
        <v>4224</v>
      </c>
      <c r="B1075">
        <v>1848</v>
      </c>
      <c r="C1075" t="s">
        <v>4396</v>
      </c>
      <c r="D1075" t="s">
        <v>4397</v>
      </c>
      <c r="E1075" t="s">
        <v>4398</v>
      </c>
      <c r="F1075" t="s">
        <v>2650</v>
      </c>
      <c r="G1075" t="s">
        <v>34</v>
      </c>
      <c r="H1075" t="s">
        <v>697</v>
      </c>
      <c r="I1075" t="s">
        <v>4399</v>
      </c>
      <c r="J1075" t="s">
        <v>37</v>
      </c>
      <c r="K1075" t="s">
        <v>37</v>
      </c>
      <c r="L1075" t="s">
        <v>39</v>
      </c>
      <c r="M1075" t="s">
        <v>37</v>
      </c>
      <c r="N1075" t="s">
        <v>37</v>
      </c>
      <c r="O1075" t="s">
        <v>39</v>
      </c>
      <c r="P1075" t="s">
        <v>38</v>
      </c>
      <c r="Q1075" t="s">
        <v>38</v>
      </c>
      <c r="R1075" t="s">
        <v>40</v>
      </c>
      <c r="S1075" t="s">
        <v>41</v>
      </c>
      <c r="T1075" t="s">
        <v>4295</v>
      </c>
      <c r="U1075" t="s">
        <v>2977</v>
      </c>
      <c r="V1075" t="s">
        <v>4230</v>
      </c>
      <c r="W1075" t="s">
        <v>2972</v>
      </c>
      <c r="Y1075" t="s">
        <v>46</v>
      </c>
      <c r="AC1075">
        <f>COUNTIF(C:C,QLKV_gui_ket_qua_ra_soat[[#This Row],[Mã điểm bán]])</f>
        <v>1</v>
      </c>
    </row>
    <row r="1076" spans="1:29" x14ac:dyDescent="0.45">
      <c r="A1076" t="s">
        <v>4224</v>
      </c>
      <c r="B1076">
        <v>1939</v>
      </c>
      <c r="C1076" t="s">
        <v>4400</v>
      </c>
      <c r="D1076" t="s">
        <v>4401</v>
      </c>
      <c r="E1076" t="s">
        <v>211</v>
      </c>
      <c r="F1076" t="s">
        <v>166</v>
      </c>
      <c r="G1076" t="s">
        <v>34</v>
      </c>
      <c r="H1076" t="s">
        <v>214</v>
      </c>
      <c r="I1076" t="s">
        <v>4402</v>
      </c>
      <c r="J1076" t="s">
        <v>37</v>
      </c>
      <c r="K1076" t="s">
        <v>37</v>
      </c>
      <c r="L1076" t="s">
        <v>39</v>
      </c>
      <c r="M1076" t="s">
        <v>37</v>
      </c>
      <c r="N1076" t="s">
        <v>37</v>
      </c>
      <c r="O1076" t="s">
        <v>39</v>
      </c>
      <c r="P1076" t="s">
        <v>38</v>
      </c>
      <c r="Q1076" t="s">
        <v>38</v>
      </c>
      <c r="R1076" t="s">
        <v>40</v>
      </c>
      <c r="S1076" t="s">
        <v>41</v>
      </c>
      <c r="T1076" t="s">
        <v>4295</v>
      </c>
      <c r="U1076" t="s">
        <v>2977</v>
      </c>
      <c r="V1076" t="s">
        <v>4230</v>
      </c>
      <c r="W1076" t="s">
        <v>2972</v>
      </c>
      <c r="X1076" t="s">
        <v>46</v>
      </c>
      <c r="AC1076">
        <f>COUNTIF(C:C,QLKV_gui_ket_qua_ra_soat[[#This Row],[Mã điểm bán]])</f>
        <v>1</v>
      </c>
    </row>
    <row r="1077" spans="1:29" x14ac:dyDescent="0.45">
      <c r="A1077" t="s">
        <v>4224</v>
      </c>
      <c r="B1077">
        <v>1950</v>
      </c>
      <c r="C1077" t="s">
        <v>4403</v>
      </c>
      <c r="D1077" t="s">
        <v>4404</v>
      </c>
      <c r="E1077" t="s">
        <v>4405</v>
      </c>
      <c r="F1077" t="s">
        <v>4406</v>
      </c>
      <c r="G1077" t="s">
        <v>34</v>
      </c>
      <c r="H1077" t="s">
        <v>214</v>
      </c>
      <c r="I1077" t="s">
        <v>4407</v>
      </c>
      <c r="J1077" t="s">
        <v>37</v>
      </c>
      <c r="K1077" t="s">
        <v>37</v>
      </c>
      <c r="L1077" t="s">
        <v>40</v>
      </c>
      <c r="M1077" t="s">
        <v>56</v>
      </c>
      <c r="N1077" t="s">
        <v>56</v>
      </c>
      <c r="O1077" t="s">
        <v>40</v>
      </c>
      <c r="P1077" t="s">
        <v>37</v>
      </c>
      <c r="Q1077" t="s">
        <v>37</v>
      </c>
      <c r="R1077" t="s">
        <v>40</v>
      </c>
      <c r="S1077" t="s">
        <v>41</v>
      </c>
      <c r="T1077" t="s">
        <v>4318</v>
      </c>
      <c r="U1077" t="s">
        <v>3227</v>
      </c>
      <c r="V1077" t="s">
        <v>4230</v>
      </c>
      <c r="W1077" t="s">
        <v>2972</v>
      </c>
      <c r="Y1077" t="s">
        <v>46</v>
      </c>
      <c r="AC1077">
        <f>COUNTIF(C:C,QLKV_gui_ket_qua_ra_soat[[#This Row],[Mã điểm bán]])</f>
        <v>1</v>
      </c>
    </row>
    <row r="1078" spans="1:29" x14ac:dyDescent="0.45">
      <c r="A1078" t="s">
        <v>4224</v>
      </c>
      <c r="B1078">
        <v>1973</v>
      </c>
      <c r="C1078" t="s">
        <v>4408</v>
      </c>
      <c r="D1078" t="s">
        <v>4409</v>
      </c>
      <c r="E1078" t="s">
        <v>2556</v>
      </c>
      <c r="F1078" t="s">
        <v>1914</v>
      </c>
      <c r="G1078" t="s">
        <v>34</v>
      </c>
      <c r="H1078" t="s">
        <v>214</v>
      </c>
      <c r="I1078" t="s">
        <v>4411</v>
      </c>
      <c r="J1078" t="s">
        <v>37</v>
      </c>
      <c r="K1078" t="s">
        <v>37</v>
      </c>
      <c r="L1078" t="s">
        <v>39</v>
      </c>
      <c r="M1078" t="s">
        <v>37</v>
      </c>
      <c r="N1078" t="s">
        <v>37</v>
      </c>
      <c r="O1078" t="s">
        <v>39</v>
      </c>
      <c r="P1078" t="s">
        <v>38</v>
      </c>
      <c r="Q1078" t="s">
        <v>38</v>
      </c>
      <c r="R1078" t="s">
        <v>40</v>
      </c>
      <c r="S1078" t="s">
        <v>41</v>
      </c>
      <c r="T1078" t="s">
        <v>4295</v>
      </c>
      <c r="U1078" t="s">
        <v>2977</v>
      </c>
      <c r="V1078" t="s">
        <v>4230</v>
      </c>
      <c r="W1078" t="s">
        <v>2972</v>
      </c>
      <c r="X1078" t="s">
        <v>46</v>
      </c>
      <c r="AC1078">
        <f>COUNTIF(C:C,QLKV_gui_ket_qua_ra_soat[[#This Row],[Mã điểm bán]])</f>
        <v>1</v>
      </c>
    </row>
    <row r="1079" spans="1:29" x14ac:dyDescent="0.45">
      <c r="A1079" t="s">
        <v>4224</v>
      </c>
      <c r="B1079">
        <v>1999</v>
      </c>
      <c r="C1079" t="s">
        <v>4412</v>
      </c>
      <c r="D1079" t="s">
        <v>4413</v>
      </c>
      <c r="E1079" t="s">
        <v>1008</v>
      </c>
      <c r="F1079" t="s">
        <v>4316</v>
      </c>
      <c r="G1079" t="s">
        <v>177</v>
      </c>
      <c r="H1079" t="s">
        <v>214</v>
      </c>
      <c r="I1079" t="s">
        <v>4414</v>
      </c>
      <c r="J1079" t="s">
        <v>37</v>
      </c>
      <c r="K1079" t="s">
        <v>37</v>
      </c>
      <c r="L1079" t="s">
        <v>40</v>
      </c>
      <c r="M1079" t="s">
        <v>56</v>
      </c>
      <c r="N1079" t="s">
        <v>37</v>
      </c>
      <c r="O1079" t="s">
        <v>40</v>
      </c>
      <c r="P1079" t="s">
        <v>37</v>
      </c>
      <c r="Q1079" t="s">
        <v>37</v>
      </c>
      <c r="R1079" t="s">
        <v>40</v>
      </c>
      <c r="S1079" t="s">
        <v>4415</v>
      </c>
      <c r="T1079" t="s">
        <v>4318</v>
      </c>
      <c r="U1079" t="s">
        <v>3227</v>
      </c>
      <c r="V1079" t="s">
        <v>4230</v>
      </c>
      <c r="W1079" t="s">
        <v>2972</v>
      </c>
      <c r="X1079" t="s">
        <v>46</v>
      </c>
      <c r="AC1079">
        <f>COUNTIF(C:C,QLKV_gui_ket_qua_ra_soat[[#This Row],[Mã điểm bán]])</f>
        <v>1</v>
      </c>
    </row>
    <row r="1080" spans="1:29" x14ac:dyDescent="0.45">
      <c r="A1080" t="s">
        <v>4224</v>
      </c>
      <c r="B1080">
        <v>2000</v>
      </c>
      <c r="C1080" t="s">
        <v>4416</v>
      </c>
      <c r="D1080" t="s">
        <v>4417</v>
      </c>
      <c r="E1080" t="s">
        <v>695</v>
      </c>
      <c r="F1080" t="s">
        <v>4418</v>
      </c>
      <c r="G1080" t="s">
        <v>177</v>
      </c>
      <c r="H1080" t="s">
        <v>54</v>
      </c>
      <c r="I1080" t="s">
        <v>4419</v>
      </c>
      <c r="J1080" t="s">
        <v>37</v>
      </c>
      <c r="K1080" t="s">
        <v>37</v>
      </c>
      <c r="L1080" t="s">
        <v>39</v>
      </c>
      <c r="M1080" t="s">
        <v>37</v>
      </c>
      <c r="N1080" t="s">
        <v>37</v>
      </c>
      <c r="O1080" t="s">
        <v>39</v>
      </c>
      <c r="P1080" t="s">
        <v>38</v>
      </c>
      <c r="Q1080" t="s">
        <v>38</v>
      </c>
      <c r="R1080" t="s">
        <v>40</v>
      </c>
      <c r="S1080" t="s">
        <v>4420</v>
      </c>
      <c r="T1080" t="s">
        <v>4295</v>
      </c>
      <c r="U1080" t="s">
        <v>2977</v>
      </c>
      <c r="V1080" t="s">
        <v>4230</v>
      </c>
      <c r="W1080" t="s">
        <v>2972</v>
      </c>
      <c r="X1080" t="s">
        <v>46</v>
      </c>
      <c r="AC1080">
        <f>COUNTIF(C:C,QLKV_gui_ket_qua_ra_soat[[#This Row],[Mã điểm bán]])</f>
        <v>1</v>
      </c>
    </row>
    <row r="1081" spans="1:29" x14ac:dyDescent="0.45">
      <c r="A1081" t="s">
        <v>4224</v>
      </c>
      <c r="B1081">
        <v>2001</v>
      </c>
      <c r="C1081" t="s">
        <v>4421</v>
      </c>
      <c r="D1081" t="s">
        <v>4422</v>
      </c>
      <c r="E1081" t="s">
        <v>1172</v>
      </c>
      <c r="F1081" t="s">
        <v>4321</v>
      </c>
      <c r="G1081" t="s">
        <v>34</v>
      </c>
      <c r="H1081" t="s">
        <v>54</v>
      </c>
      <c r="I1081" t="s">
        <v>4322</v>
      </c>
      <c r="J1081" t="s">
        <v>41</v>
      </c>
      <c r="K1081" t="s">
        <v>41</v>
      </c>
      <c r="L1081" t="s">
        <v>41</v>
      </c>
      <c r="M1081" t="s">
        <v>41</v>
      </c>
      <c r="N1081" t="s">
        <v>41</v>
      </c>
      <c r="O1081" t="s">
        <v>41</v>
      </c>
      <c r="P1081" t="s">
        <v>41</v>
      </c>
      <c r="Q1081" t="s">
        <v>41</v>
      </c>
      <c r="R1081" t="s">
        <v>41</v>
      </c>
      <c r="S1081" t="s">
        <v>41</v>
      </c>
      <c r="T1081" t="s">
        <v>4306</v>
      </c>
      <c r="U1081" t="s">
        <v>3227</v>
      </c>
      <c r="V1081" t="s">
        <v>4230</v>
      </c>
      <c r="W1081" t="s">
        <v>2972</v>
      </c>
      <c r="X1081" t="s">
        <v>46</v>
      </c>
      <c r="AC1081">
        <f>COUNTIF(C:C,QLKV_gui_ket_qua_ra_soat[[#This Row],[Mã điểm bán]])</f>
        <v>1</v>
      </c>
    </row>
    <row r="1082" spans="1:29" x14ac:dyDescent="0.45">
      <c r="A1082" t="s">
        <v>4224</v>
      </c>
      <c r="B1082">
        <v>2017</v>
      </c>
      <c r="C1082" t="s">
        <v>4423</v>
      </c>
      <c r="D1082" t="s">
        <v>4424</v>
      </c>
      <c r="E1082" t="s">
        <v>4425</v>
      </c>
      <c r="F1082" t="s">
        <v>325</v>
      </c>
      <c r="G1082" t="s">
        <v>34</v>
      </c>
      <c r="H1082" t="s">
        <v>54</v>
      </c>
      <c r="I1082" t="s">
        <v>4426</v>
      </c>
      <c r="J1082" t="s">
        <v>37</v>
      </c>
      <c r="K1082" t="s">
        <v>37</v>
      </c>
      <c r="L1082" t="s">
        <v>39</v>
      </c>
      <c r="M1082" t="s">
        <v>37</v>
      </c>
      <c r="N1082" t="s">
        <v>37</v>
      </c>
      <c r="O1082" t="s">
        <v>39</v>
      </c>
      <c r="P1082" t="s">
        <v>38</v>
      </c>
      <c r="Q1082" t="s">
        <v>38</v>
      </c>
      <c r="R1082" t="s">
        <v>40</v>
      </c>
      <c r="S1082" t="s">
        <v>41</v>
      </c>
      <c r="T1082" t="s">
        <v>4295</v>
      </c>
      <c r="U1082" t="s">
        <v>2977</v>
      </c>
      <c r="V1082" t="s">
        <v>4230</v>
      </c>
      <c r="W1082" t="s">
        <v>2972</v>
      </c>
      <c r="Z1082" t="s">
        <v>46</v>
      </c>
      <c r="AA1082" t="s">
        <v>4427</v>
      </c>
      <c r="AC1082">
        <f>COUNTIF(C:C,QLKV_gui_ket_qua_ra_soat[[#This Row],[Mã điểm bán]])</f>
        <v>1</v>
      </c>
    </row>
    <row r="1083" spans="1:29" x14ac:dyDescent="0.45">
      <c r="A1083" t="s">
        <v>4224</v>
      </c>
      <c r="B1083">
        <v>2040</v>
      </c>
      <c r="C1083" t="s">
        <v>4428</v>
      </c>
      <c r="D1083" t="s">
        <v>4429</v>
      </c>
      <c r="E1083" t="s">
        <v>4430</v>
      </c>
      <c r="F1083" t="s">
        <v>4431</v>
      </c>
      <c r="G1083" t="s">
        <v>34</v>
      </c>
      <c r="H1083" t="s">
        <v>54</v>
      </c>
      <c r="I1083" t="s">
        <v>4432</v>
      </c>
      <c r="J1083" t="s">
        <v>37</v>
      </c>
      <c r="K1083" t="s">
        <v>37</v>
      </c>
      <c r="L1083" t="s">
        <v>40</v>
      </c>
      <c r="M1083" t="s">
        <v>56</v>
      </c>
      <c r="N1083" t="s">
        <v>56</v>
      </c>
      <c r="O1083" t="s">
        <v>40</v>
      </c>
      <c r="P1083" t="s">
        <v>37</v>
      </c>
      <c r="Q1083" t="s">
        <v>37</v>
      </c>
      <c r="R1083" t="s">
        <v>40</v>
      </c>
      <c r="S1083" t="s">
        <v>41</v>
      </c>
      <c r="T1083" t="s">
        <v>4318</v>
      </c>
      <c r="U1083" t="s">
        <v>3227</v>
      </c>
      <c r="V1083" t="s">
        <v>4230</v>
      </c>
      <c r="W1083" t="s">
        <v>2972</v>
      </c>
      <c r="X1083" t="s">
        <v>46</v>
      </c>
      <c r="AC1083">
        <f>COUNTIF(C:C,QLKV_gui_ket_qua_ra_soat[[#This Row],[Mã điểm bán]])</f>
        <v>1</v>
      </c>
    </row>
    <row r="1084" spans="1:29" x14ac:dyDescent="0.45">
      <c r="A1084" t="s">
        <v>4224</v>
      </c>
      <c r="B1084">
        <v>2047</v>
      </c>
      <c r="C1084" t="s">
        <v>4433</v>
      </c>
      <c r="D1084" t="s">
        <v>4434</v>
      </c>
      <c r="E1084" t="s">
        <v>529</v>
      </c>
      <c r="F1084" t="s">
        <v>53</v>
      </c>
      <c r="G1084" t="s">
        <v>34</v>
      </c>
      <c r="H1084" t="s">
        <v>54</v>
      </c>
      <c r="I1084" t="s">
        <v>4435</v>
      </c>
      <c r="J1084" t="s">
        <v>38</v>
      </c>
      <c r="K1084" t="s">
        <v>38</v>
      </c>
      <c r="L1084" t="s">
        <v>40</v>
      </c>
      <c r="M1084" t="s">
        <v>38</v>
      </c>
      <c r="N1084" t="s">
        <v>38</v>
      </c>
      <c r="O1084" t="s">
        <v>40</v>
      </c>
      <c r="P1084" t="s">
        <v>38</v>
      </c>
      <c r="Q1084" t="s">
        <v>38</v>
      </c>
      <c r="R1084" t="s">
        <v>40</v>
      </c>
      <c r="S1084" t="s">
        <v>41</v>
      </c>
      <c r="T1084" t="s">
        <v>4243</v>
      </c>
      <c r="U1084" t="s">
        <v>4244</v>
      </c>
      <c r="V1084" t="s">
        <v>4230</v>
      </c>
      <c r="W1084" t="s">
        <v>2978</v>
      </c>
      <c r="Z1084" t="s">
        <v>46</v>
      </c>
      <c r="AA1084" t="s">
        <v>4245</v>
      </c>
      <c r="AC1084">
        <f>COUNTIF(C:C,QLKV_gui_ket_qua_ra_soat[[#This Row],[Mã điểm bán]])</f>
        <v>1</v>
      </c>
    </row>
    <row r="1085" spans="1:29" x14ac:dyDescent="0.45">
      <c r="A1085" t="s">
        <v>4224</v>
      </c>
      <c r="B1085">
        <v>2049</v>
      </c>
      <c r="C1085" t="s">
        <v>4436</v>
      </c>
      <c r="D1085" t="s">
        <v>4437</v>
      </c>
      <c r="E1085" t="s">
        <v>109</v>
      </c>
      <c r="F1085" t="s">
        <v>53</v>
      </c>
      <c r="G1085" t="s">
        <v>34</v>
      </c>
      <c r="H1085" t="s">
        <v>54</v>
      </c>
      <c r="I1085" t="s">
        <v>4438</v>
      </c>
      <c r="J1085" t="s">
        <v>38</v>
      </c>
      <c r="K1085" t="s">
        <v>38</v>
      </c>
      <c r="L1085" t="s">
        <v>40</v>
      </c>
      <c r="M1085" t="s">
        <v>38</v>
      </c>
      <c r="N1085" t="s">
        <v>38</v>
      </c>
      <c r="O1085" t="s">
        <v>39</v>
      </c>
      <c r="P1085" t="s">
        <v>38</v>
      </c>
      <c r="Q1085" t="s">
        <v>38</v>
      </c>
      <c r="R1085" t="s">
        <v>40</v>
      </c>
      <c r="S1085" t="s">
        <v>41</v>
      </c>
      <c r="T1085" t="s">
        <v>4243</v>
      </c>
      <c r="U1085" t="s">
        <v>4244</v>
      </c>
      <c r="V1085" t="s">
        <v>4230</v>
      </c>
      <c r="W1085" t="s">
        <v>2978</v>
      </c>
      <c r="Z1085" t="s">
        <v>46</v>
      </c>
      <c r="AA1085" t="s">
        <v>4245</v>
      </c>
      <c r="AC1085">
        <f>COUNTIF(C:C,QLKV_gui_ket_qua_ra_soat[[#This Row],[Mã điểm bán]])</f>
        <v>1</v>
      </c>
    </row>
    <row r="1086" spans="1:29" x14ac:dyDescent="0.45">
      <c r="A1086" t="s">
        <v>4224</v>
      </c>
      <c r="B1086">
        <v>2218</v>
      </c>
      <c r="C1086" t="s">
        <v>4439</v>
      </c>
      <c r="D1086" t="s">
        <v>4440</v>
      </c>
      <c r="E1086" t="s">
        <v>4441</v>
      </c>
      <c r="F1086" t="s">
        <v>4442</v>
      </c>
      <c r="G1086" t="s">
        <v>34</v>
      </c>
      <c r="H1086" t="s">
        <v>54</v>
      </c>
      <c r="I1086" t="s">
        <v>4443</v>
      </c>
      <c r="J1086" t="s">
        <v>38</v>
      </c>
      <c r="K1086" t="s">
        <v>38</v>
      </c>
      <c r="L1086" t="s">
        <v>40</v>
      </c>
      <c r="M1086" t="s">
        <v>37</v>
      </c>
      <c r="N1086" t="s">
        <v>38</v>
      </c>
      <c r="O1086" t="s">
        <v>39</v>
      </c>
      <c r="P1086" t="s">
        <v>38</v>
      </c>
      <c r="Q1086" t="s">
        <v>38</v>
      </c>
      <c r="R1086" t="s">
        <v>40</v>
      </c>
      <c r="S1086" t="s">
        <v>41</v>
      </c>
      <c r="T1086" t="s">
        <v>4228</v>
      </c>
      <c r="U1086" t="s">
        <v>4229</v>
      </c>
      <c r="V1086" t="s">
        <v>4230</v>
      </c>
      <c r="W1086" t="s">
        <v>2972</v>
      </c>
      <c r="X1086" t="s">
        <v>46</v>
      </c>
      <c r="AC1086">
        <f>COUNTIF(C:C,QLKV_gui_ket_qua_ra_soat[[#This Row],[Mã điểm bán]])</f>
        <v>1</v>
      </c>
    </row>
    <row r="1087" spans="1:29" x14ac:dyDescent="0.45">
      <c r="A1087" t="s">
        <v>4224</v>
      </c>
      <c r="B1087">
        <v>2225</v>
      </c>
      <c r="C1087" t="s">
        <v>4444</v>
      </c>
      <c r="D1087" t="s">
        <v>4445</v>
      </c>
      <c r="E1087" t="s">
        <v>4446</v>
      </c>
      <c r="F1087" t="s">
        <v>4431</v>
      </c>
      <c r="G1087" t="s">
        <v>34</v>
      </c>
      <c r="H1087" t="s">
        <v>214</v>
      </c>
      <c r="I1087" t="s">
        <v>4447</v>
      </c>
      <c r="J1087" t="s">
        <v>37</v>
      </c>
      <c r="K1087" t="s">
        <v>37</v>
      </c>
      <c r="L1087" t="s">
        <v>39</v>
      </c>
      <c r="M1087" t="s">
        <v>37</v>
      </c>
      <c r="N1087" t="s">
        <v>37</v>
      </c>
      <c r="O1087" t="s">
        <v>39</v>
      </c>
      <c r="P1087" t="s">
        <v>38</v>
      </c>
      <c r="Q1087" t="s">
        <v>38</v>
      </c>
      <c r="R1087" t="s">
        <v>40</v>
      </c>
      <c r="S1087" t="s">
        <v>41</v>
      </c>
      <c r="T1087" t="s">
        <v>4295</v>
      </c>
      <c r="U1087" t="s">
        <v>2977</v>
      </c>
      <c r="V1087" t="s">
        <v>4230</v>
      </c>
      <c r="W1087" t="s">
        <v>2972</v>
      </c>
      <c r="X1087" t="s">
        <v>46</v>
      </c>
      <c r="AC1087">
        <f>COUNTIF(C:C,QLKV_gui_ket_qua_ra_soat[[#This Row],[Mã điểm bán]])</f>
        <v>1</v>
      </c>
    </row>
    <row r="1088" spans="1:29" x14ac:dyDescent="0.45">
      <c r="A1088" t="s">
        <v>4224</v>
      </c>
      <c r="B1088">
        <v>2288</v>
      </c>
      <c r="C1088" t="s">
        <v>4448</v>
      </c>
      <c r="D1088" t="s">
        <v>4449</v>
      </c>
      <c r="E1088" t="s">
        <v>4450</v>
      </c>
      <c r="F1088" t="s">
        <v>2902</v>
      </c>
      <c r="G1088" t="s">
        <v>1624</v>
      </c>
      <c r="H1088" t="s">
        <v>685</v>
      </c>
      <c r="I1088" t="s">
        <v>4322</v>
      </c>
      <c r="J1088" t="s">
        <v>38</v>
      </c>
      <c r="K1088" t="s">
        <v>38</v>
      </c>
      <c r="L1088" t="s">
        <v>40</v>
      </c>
      <c r="M1088" t="s">
        <v>56</v>
      </c>
      <c r="N1088" t="s">
        <v>56</v>
      </c>
      <c r="O1088" t="s">
        <v>39</v>
      </c>
      <c r="P1088" t="s">
        <v>38</v>
      </c>
      <c r="Q1088" t="s">
        <v>38</v>
      </c>
      <c r="R1088" t="s">
        <v>40</v>
      </c>
      <c r="S1088" t="s">
        <v>41</v>
      </c>
      <c r="T1088" t="s">
        <v>4306</v>
      </c>
      <c r="U1088" t="s">
        <v>3227</v>
      </c>
      <c r="V1088" t="s">
        <v>4230</v>
      </c>
      <c r="W1088" t="s">
        <v>2972</v>
      </c>
      <c r="X1088" t="s">
        <v>46</v>
      </c>
      <c r="AC1088">
        <f>COUNTIF(C:C,QLKV_gui_ket_qua_ra_soat[[#This Row],[Mã điểm bán]])</f>
        <v>1</v>
      </c>
    </row>
    <row r="1089" spans="1:29" x14ac:dyDescent="0.45">
      <c r="A1089" t="s">
        <v>4224</v>
      </c>
      <c r="B1089">
        <v>2309</v>
      </c>
      <c r="C1089" t="s">
        <v>4451</v>
      </c>
      <c r="D1089" t="s">
        <v>3733</v>
      </c>
      <c r="E1089" t="s">
        <v>330</v>
      </c>
      <c r="F1089" t="s">
        <v>426</v>
      </c>
      <c r="G1089" t="s">
        <v>150</v>
      </c>
      <c r="H1089" t="s">
        <v>54</v>
      </c>
      <c r="I1089" t="s">
        <v>4322</v>
      </c>
      <c r="J1089" t="s">
        <v>38</v>
      </c>
      <c r="K1089" t="s">
        <v>38</v>
      </c>
      <c r="L1089" t="s">
        <v>40</v>
      </c>
      <c r="M1089" t="s">
        <v>56</v>
      </c>
      <c r="N1089" t="s">
        <v>56</v>
      </c>
      <c r="O1089" t="s">
        <v>39</v>
      </c>
      <c r="P1089" t="s">
        <v>38</v>
      </c>
      <c r="Q1089" t="s">
        <v>38</v>
      </c>
      <c r="R1089" t="s">
        <v>40</v>
      </c>
      <c r="S1089" t="s">
        <v>41</v>
      </c>
      <c r="T1089" t="s">
        <v>4306</v>
      </c>
      <c r="U1089" t="s">
        <v>3227</v>
      </c>
      <c r="V1089" t="s">
        <v>4230</v>
      </c>
      <c r="W1089" t="s">
        <v>2972</v>
      </c>
      <c r="X1089" t="s">
        <v>46</v>
      </c>
      <c r="AC1089">
        <f>COUNTIF(C:C,QLKV_gui_ket_qua_ra_soat[[#This Row],[Mã điểm bán]])</f>
        <v>1</v>
      </c>
    </row>
    <row r="1090" spans="1:29" x14ac:dyDescent="0.45">
      <c r="A1090" t="s">
        <v>4224</v>
      </c>
      <c r="B1090">
        <v>2372</v>
      </c>
      <c r="C1090" t="s">
        <v>4452</v>
      </c>
      <c r="D1090" t="s">
        <v>4453</v>
      </c>
      <c r="E1090" t="s">
        <v>212</v>
      </c>
      <c r="F1090" t="s">
        <v>115</v>
      </c>
      <c r="G1090" t="s">
        <v>34</v>
      </c>
      <c r="H1090" t="s">
        <v>214</v>
      </c>
      <c r="I1090" t="s">
        <v>4322</v>
      </c>
      <c r="J1090" t="s">
        <v>38</v>
      </c>
      <c r="K1090" t="s">
        <v>38</v>
      </c>
      <c r="L1090" t="s">
        <v>40</v>
      </c>
      <c r="M1090" t="s">
        <v>56</v>
      </c>
      <c r="N1090" t="s">
        <v>56</v>
      </c>
      <c r="O1090" t="s">
        <v>39</v>
      </c>
      <c r="P1090" t="s">
        <v>38</v>
      </c>
      <c r="Q1090" t="s">
        <v>38</v>
      </c>
      <c r="R1090" t="s">
        <v>40</v>
      </c>
      <c r="S1090" t="s">
        <v>41</v>
      </c>
      <c r="T1090" t="s">
        <v>4306</v>
      </c>
      <c r="U1090" t="s">
        <v>3227</v>
      </c>
      <c r="V1090" t="s">
        <v>4230</v>
      </c>
      <c r="W1090" t="s">
        <v>2972</v>
      </c>
      <c r="X1090" t="s">
        <v>46</v>
      </c>
      <c r="AC1090">
        <f>COUNTIF(C:C,QLKV_gui_ket_qua_ra_soat[[#This Row],[Mã điểm bán]])</f>
        <v>1</v>
      </c>
    </row>
    <row r="1091" spans="1:29" x14ac:dyDescent="0.45">
      <c r="A1091" t="s">
        <v>4224</v>
      </c>
      <c r="B1091">
        <v>2444</v>
      </c>
      <c r="C1091" t="s">
        <v>4454</v>
      </c>
      <c r="D1091" t="s">
        <v>4455</v>
      </c>
      <c r="E1091" t="s">
        <v>4456</v>
      </c>
      <c r="F1091" t="s">
        <v>4457</v>
      </c>
      <c r="G1091" t="s">
        <v>34</v>
      </c>
      <c r="H1091" t="s">
        <v>54</v>
      </c>
      <c r="I1091" t="s">
        <v>4458</v>
      </c>
      <c r="J1091" t="s">
        <v>37</v>
      </c>
      <c r="K1091" t="s">
        <v>38</v>
      </c>
      <c r="L1091" t="s">
        <v>40</v>
      </c>
      <c r="M1091" t="s">
        <v>38</v>
      </c>
      <c r="N1091" t="s">
        <v>37</v>
      </c>
      <c r="O1091" t="s">
        <v>40</v>
      </c>
      <c r="P1091" t="s">
        <v>38</v>
      </c>
      <c r="Q1091" t="s">
        <v>38</v>
      </c>
      <c r="R1091" t="s">
        <v>40</v>
      </c>
      <c r="S1091" t="s">
        <v>41</v>
      </c>
      <c r="T1091" t="s">
        <v>4228</v>
      </c>
      <c r="U1091" t="s">
        <v>4229</v>
      </c>
      <c r="V1091" t="s">
        <v>4230</v>
      </c>
      <c r="W1091" t="s">
        <v>2972</v>
      </c>
      <c r="X1091" t="s">
        <v>46</v>
      </c>
      <c r="AC1091">
        <f>COUNTIF(C:C,QLKV_gui_ket_qua_ra_soat[[#This Row],[Mã điểm bán]])</f>
        <v>1</v>
      </c>
    </row>
    <row r="1092" spans="1:29" x14ac:dyDescent="0.45">
      <c r="A1092" t="s">
        <v>4224</v>
      </c>
      <c r="B1092">
        <v>2449</v>
      </c>
      <c r="C1092" t="s">
        <v>4459</v>
      </c>
      <c r="D1092" t="s">
        <v>4460</v>
      </c>
      <c r="E1092" t="s">
        <v>344</v>
      </c>
      <c r="F1092" t="s">
        <v>53</v>
      </c>
      <c r="G1092" t="s">
        <v>34</v>
      </c>
      <c r="H1092" t="s">
        <v>214</v>
      </c>
      <c r="I1092" t="s">
        <v>4461</v>
      </c>
      <c r="J1092" t="s">
        <v>37</v>
      </c>
      <c r="K1092" t="s">
        <v>37</v>
      </c>
      <c r="L1092" t="s">
        <v>39</v>
      </c>
      <c r="M1092" t="s">
        <v>37</v>
      </c>
      <c r="N1092" t="s">
        <v>37</v>
      </c>
      <c r="O1092" t="s">
        <v>39</v>
      </c>
      <c r="P1092" t="s">
        <v>38</v>
      </c>
      <c r="Q1092" t="s">
        <v>38</v>
      </c>
      <c r="R1092" t="s">
        <v>40</v>
      </c>
      <c r="S1092" t="s">
        <v>41</v>
      </c>
      <c r="T1092" t="s">
        <v>4295</v>
      </c>
      <c r="U1092" t="s">
        <v>2977</v>
      </c>
      <c r="V1092" t="s">
        <v>4230</v>
      </c>
      <c r="W1092" t="s">
        <v>2972</v>
      </c>
      <c r="Z1092" t="s">
        <v>46</v>
      </c>
      <c r="AA1092" t="s">
        <v>4427</v>
      </c>
      <c r="AC1092">
        <f>COUNTIF(C:C,QLKV_gui_ket_qua_ra_soat[[#This Row],[Mã điểm bán]])</f>
        <v>1</v>
      </c>
    </row>
    <row r="1093" spans="1:29" x14ac:dyDescent="0.45">
      <c r="A1093" t="s">
        <v>4224</v>
      </c>
      <c r="B1093">
        <v>2536</v>
      </c>
      <c r="C1093" t="s">
        <v>4462</v>
      </c>
      <c r="D1093" t="s">
        <v>3334</v>
      </c>
      <c r="E1093" t="s">
        <v>523</v>
      </c>
      <c r="F1093" t="s">
        <v>115</v>
      </c>
      <c r="G1093" t="s">
        <v>34</v>
      </c>
      <c r="H1093" t="s">
        <v>54</v>
      </c>
      <c r="I1093" t="s">
        <v>4463</v>
      </c>
      <c r="J1093" t="s">
        <v>41</v>
      </c>
      <c r="K1093" t="s">
        <v>41</v>
      </c>
      <c r="L1093" t="s">
        <v>41</v>
      </c>
      <c r="M1093" t="s">
        <v>41</v>
      </c>
      <c r="N1093" t="s">
        <v>41</v>
      </c>
      <c r="O1093" t="s">
        <v>41</v>
      </c>
      <c r="P1093" t="s">
        <v>41</v>
      </c>
      <c r="Q1093" t="s">
        <v>41</v>
      </c>
      <c r="R1093" t="s">
        <v>41</v>
      </c>
      <c r="S1093" t="s">
        <v>41</v>
      </c>
      <c r="T1093" t="s">
        <v>4318</v>
      </c>
      <c r="U1093" t="s">
        <v>3227</v>
      </c>
      <c r="V1093" t="s">
        <v>4230</v>
      </c>
      <c r="W1093" t="s">
        <v>2972</v>
      </c>
      <c r="X1093" t="s">
        <v>46</v>
      </c>
      <c r="AC1093">
        <f>COUNTIF(C:C,QLKV_gui_ket_qua_ra_soat[[#This Row],[Mã điểm bán]])</f>
        <v>1</v>
      </c>
    </row>
    <row r="1094" spans="1:29" x14ac:dyDescent="0.45">
      <c r="A1094" t="s">
        <v>4224</v>
      </c>
      <c r="B1094">
        <v>2550</v>
      </c>
      <c r="C1094" t="s">
        <v>4464</v>
      </c>
      <c r="D1094" t="s">
        <v>4465</v>
      </c>
      <c r="E1094" t="s">
        <v>330</v>
      </c>
      <c r="F1094" t="s">
        <v>115</v>
      </c>
      <c r="G1094" t="s">
        <v>150</v>
      </c>
      <c r="H1094" t="s">
        <v>1188</v>
      </c>
      <c r="I1094" t="s">
        <v>4466</v>
      </c>
      <c r="J1094" t="s">
        <v>37</v>
      </c>
      <c r="K1094" t="s">
        <v>37</v>
      </c>
      <c r="L1094" t="s">
        <v>39</v>
      </c>
      <c r="M1094" t="s">
        <v>37</v>
      </c>
      <c r="N1094" t="s">
        <v>37</v>
      </c>
      <c r="O1094" t="s">
        <v>39</v>
      </c>
      <c r="P1094" t="s">
        <v>38</v>
      </c>
      <c r="Q1094" t="s">
        <v>38</v>
      </c>
      <c r="R1094" t="s">
        <v>40</v>
      </c>
      <c r="S1094" t="s">
        <v>41</v>
      </c>
      <c r="T1094" t="s">
        <v>4295</v>
      </c>
      <c r="U1094" t="s">
        <v>2977</v>
      </c>
      <c r="V1094" t="s">
        <v>4230</v>
      </c>
      <c r="W1094" t="s">
        <v>2972</v>
      </c>
      <c r="X1094" t="s">
        <v>46</v>
      </c>
      <c r="AC1094">
        <f>COUNTIF(C:C,QLKV_gui_ket_qua_ra_soat[[#This Row],[Mã điểm bán]])</f>
        <v>1</v>
      </c>
    </row>
    <row r="1095" spans="1:29" x14ac:dyDescent="0.45">
      <c r="A1095" t="s">
        <v>4224</v>
      </c>
      <c r="B1095">
        <v>2555</v>
      </c>
      <c r="C1095" t="s">
        <v>4467</v>
      </c>
      <c r="D1095" t="s">
        <v>4468</v>
      </c>
      <c r="E1095" t="s">
        <v>1970</v>
      </c>
      <c r="F1095" t="s">
        <v>4321</v>
      </c>
      <c r="G1095" t="s">
        <v>34</v>
      </c>
      <c r="H1095" t="s">
        <v>54</v>
      </c>
      <c r="I1095" t="s">
        <v>4469</v>
      </c>
      <c r="J1095" t="s">
        <v>38</v>
      </c>
      <c r="K1095" t="s">
        <v>38</v>
      </c>
      <c r="L1095" t="s">
        <v>40</v>
      </c>
      <c r="M1095" t="s">
        <v>56</v>
      </c>
      <c r="N1095" t="s">
        <v>56</v>
      </c>
      <c r="O1095" t="s">
        <v>39</v>
      </c>
      <c r="P1095" t="s">
        <v>38</v>
      </c>
      <c r="Q1095" t="s">
        <v>38</v>
      </c>
      <c r="R1095" t="s">
        <v>40</v>
      </c>
      <c r="S1095" t="s">
        <v>41</v>
      </c>
      <c r="T1095" t="s">
        <v>4306</v>
      </c>
      <c r="U1095" t="s">
        <v>3227</v>
      </c>
      <c r="V1095" t="s">
        <v>4230</v>
      </c>
      <c r="W1095" t="s">
        <v>2972</v>
      </c>
      <c r="X1095" t="s">
        <v>46</v>
      </c>
      <c r="AC1095">
        <f>COUNTIF(C:C,QLKV_gui_ket_qua_ra_soat[[#This Row],[Mã điểm bán]])</f>
        <v>1</v>
      </c>
    </row>
    <row r="1096" spans="1:29" x14ac:dyDescent="0.45">
      <c r="A1096" t="s">
        <v>4224</v>
      </c>
      <c r="B1096">
        <v>2566</v>
      </c>
      <c r="C1096" t="s">
        <v>4470</v>
      </c>
      <c r="D1096" t="s">
        <v>4471</v>
      </c>
      <c r="E1096" t="s">
        <v>211</v>
      </c>
      <c r="F1096" t="s">
        <v>4472</v>
      </c>
      <c r="G1096" t="s">
        <v>34</v>
      </c>
      <c r="H1096" t="s">
        <v>54</v>
      </c>
      <c r="I1096" t="s">
        <v>4473</v>
      </c>
      <c r="J1096" t="s">
        <v>38</v>
      </c>
      <c r="K1096" t="s">
        <v>38</v>
      </c>
      <c r="L1096" t="s">
        <v>40</v>
      </c>
      <c r="M1096" t="s">
        <v>37</v>
      </c>
      <c r="N1096" t="s">
        <v>38</v>
      </c>
      <c r="O1096" t="s">
        <v>40</v>
      </c>
      <c r="P1096" t="s">
        <v>38</v>
      </c>
      <c r="Q1096" t="s">
        <v>37</v>
      </c>
      <c r="R1096" t="s">
        <v>39</v>
      </c>
      <c r="S1096" t="s">
        <v>41</v>
      </c>
      <c r="T1096" t="s">
        <v>4228</v>
      </c>
      <c r="U1096" t="s">
        <v>4229</v>
      </c>
      <c r="V1096" t="s">
        <v>4230</v>
      </c>
      <c r="W1096" t="s">
        <v>2972</v>
      </c>
      <c r="X1096" t="s">
        <v>46</v>
      </c>
      <c r="AC1096">
        <f>COUNTIF(C:C,QLKV_gui_ket_qua_ra_soat[[#This Row],[Mã điểm bán]])</f>
        <v>1</v>
      </c>
    </row>
    <row r="1097" spans="1:29" x14ac:dyDescent="0.45">
      <c r="A1097" t="s">
        <v>4224</v>
      </c>
      <c r="B1097">
        <v>2571</v>
      </c>
      <c r="C1097" t="s">
        <v>4474</v>
      </c>
      <c r="D1097" t="s">
        <v>4475</v>
      </c>
      <c r="E1097" t="s">
        <v>219</v>
      </c>
      <c r="F1097" t="s">
        <v>53</v>
      </c>
      <c r="G1097" t="s">
        <v>34</v>
      </c>
      <c r="H1097" t="s">
        <v>54</v>
      </c>
      <c r="I1097" t="s">
        <v>4476</v>
      </c>
      <c r="J1097" t="s">
        <v>38</v>
      </c>
      <c r="K1097" t="s">
        <v>38</v>
      </c>
      <c r="L1097" t="s">
        <v>40</v>
      </c>
      <c r="M1097" t="s">
        <v>38</v>
      </c>
      <c r="N1097" t="s">
        <v>38</v>
      </c>
      <c r="O1097" t="s">
        <v>39</v>
      </c>
      <c r="P1097" t="s">
        <v>38</v>
      </c>
      <c r="Q1097" t="s">
        <v>38</v>
      </c>
      <c r="R1097" t="s">
        <v>40</v>
      </c>
      <c r="S1097" t="s">
        <v>41</v>
      </c>
      <c r="T1097" t="s">
        <v>4243</v>
      </c>
      <c r="U1097" t="s">
        <v>4244</v>
      </c>
      <c r="V1097" t="s">
        <v>4230</v>
      </c>
      <c r="W1097" t="s">
        <v>2972</v>
      </c>
      <c r="X1097" t="s">
        <v>46</v>
      </c>
      <c r="AC1097">
        <f>COUNTIF(C:C,QLKV_gui_ket_qua_ra_soat[[#This Row],[Mã điểm bán]])</f>
        <v>1</v>
      </c>
    </row>
    <row r="1098" spans="1:29" x14ac:dyDescent="0.45">
      <c r="A1098" t="s">
        <v>4224</v>
      </c>
      <c r="B1098">
        <v>2597</v>
      </c>
      <c r="C1098" t="s">
        <v>4477</v>
      </c>
      <c r="D1098" t="s">
        <v>4478</v>
      </c>
      <c r="E1098" t="s">
        <v>1761</v>
      </c>
      <c r="F1098" t="s">
        <v>2902</v>
      </c>
      <c r="G1098" t="s">
        <v>34</v>
      </c>
      <c r="H1098" t="s">
        <v>171</v>
      </c>
      <c r="I1098" t="s">
        <v>4322</v>
      </c>
      <c r="J1098" t="s">
        <v>38</v>
      </c>
      <c r="K1098" t="s">
        <v>38</v>
      </c>
      <c r="L1098" t="s">
        <v>40</v>
      </c>
      <c r="M1098" t="s">
        <v>56</v>
      </c>
      <c r="N1098" t="s">
        <v>56</v>
      </c>
      <c r="O1098" t="s">
        <v>39</v>
      </c>
      <c r="P1098" t="s">
        <v>38</v>
      </c>
      <c r="Q1098" t="s">
        <v>38</v>
      </c>
      <c r="R1098" t="s">
        <v>40</v>
      </c>
      <c r="S1098" t="s">
        <v>41</v>
      </c>
      <c r="T1098" t="s">
        <v>4306</v>
      </c>
      <c r="U1098" t="s">
        <v>3227</v>
      </c>
      <c r="V1098" t="s">
        <v>4230</v>
      </c>
      <c r="W1098" t="s">
        <v>2972</v>
      </c>
      <c r="X1098" t="s">
        <v>46</v>
      </c>
      <c r="AC1098">
        <f>COUNTIF(C:C,QLKV_gui_ket_qua_ra_soat[[#This Row],[Mã điểm bán]])</f>
        <v>1</v>
      </c>
    </row>
    <row r="1099" spans="1:29" x14ac:dyDescent="0.45">
      <c r="A1099" t="s">
        <v>4224</v>
      </c>
      <c r="B1099">
        <v>2758</v>
      </c>
      <c r="C1099" t="s">
        <v>4479</v>
      </c>
      <c r="D1099" t="s">
        <v>4293</v>
      </c>
      <c r="E1099" t="s">
        <v>455</v>
      </c>
      <c r="F1099" t="s">
        <v>292</v>
      </c>
      <c r="G1099" t="s">
        <v>34</v>
      </c>
      <c r="H1099" t="s">
        <v>1188</v>
      </c>
      <c r="I1099" t="s">
        <v>4480</v>
      </c>
      <c r="J1099" t="s">
        <v>37</v>
      </c>
      <c r="K1099" t="s">
        <v>37</v>
      </c>
      <c r="L1099" t="s">
        <v>39</v>
      </c>
      <c r="M1099" t="s">
        <v>37</v>
      </c>
      <c r="N1099" t="s">
        <v>37</v>
      </c>
      <c r="O1099" t="s">
        <v>39</v>
      </c>
      <c r="P1099" t="s">
        <v>38</v>
      </c>
      <c r="Q1099" t="s">
        <v>38</v>
      </c>
      <c r="R1099" t="s">
        <v>40</v>
      </c>
      <c r="S1099" t="s">
        <v>41</v>
      </c>
      <c r="T1099" t="s">
        <v>4295</v>
      </c>
      <c r="U1099" t="s">
        <v>2977</v>
      </c>
      <c r="V1099" t="s">
        <v>4230</v>
      </c>
      <c r="W1099" t="s">
        <v>2978</v>
      </c>
      <c r="Z1099" t="s">
        <v>46</v>
      </c>
      <c r="AA1099" t="s">
        <v>4427</v>
      </c>
      <c r="AC1099">
        <f>COUNTIF(C:C,QLKV_gui_ket_qua_ra_soat[[#This Row],[Mã điểm bán]])</f>
        <v>1</v>
      </c>
    </row>
    <row r="1100" spans="1:29" x14ac:dyDescent="0.45">
      <c r="A1100" t="s">
        <v>4224</v>
      </c>
      <c r="B1100">
        <v>2769</v>
      </c>
      <c r="C1100" t="s">
        <v>4481</v>
      </c>
      <c r="D1100" t="s">
        <v>4482</v>
      </c>
      <c r="E1100" t="s">
        <v>4483</v>
      </c>
      <c r="F1100" t="s">
        <v>4316</v>
      </c>
      <c r="G1100" t="s">
        <v>34</v>
      </c>
      <c r="H1100" t="s">
        <v>54</v>
      </c>
      <c r="I1100" t="s">
        <v>4484</v>
      </c>
      <c r="J1100" t="s">
        <v>41</v>
      </c>
      <c r="K1100" t="s">
        <v>41</v>
      </c>
      <c r="L1100" t="s">
        <v>41</v>
      </c>
      <c r="M1100" t="s">
        <v>41</v>
      </c>
      <c r="N1100" t="s">
        <v>41</v>
      </c>
      <c r="O1100" t="s">
        <v>41</v>
      </c>
      <c r="P1100" t="s">
        <v>41</v>
      </c>
      <c r="Q1100" t="s">
        <v>41</v>
      </c>
      <c r="R1100" t="s">
        <v>41</v>
      </c>
      <c r="S1100" t="s">
        <v>41</v>
      </c>
      <c r="T1100" t="s">
        <v>4318</v>
      </c>
      <c r="U1100" t="s">
        <v>3227</v>
      </c>
      <c r="V1100" t="s">
        <v>4230</v>
      </c>
      <c r="W1100" t="s">
        <v>2972</v>
      </c>
      <c r="X1100" t="s">
        <v>46</v>
      </c>
      <c r="AC1100">
        <f>COUNTIF(C:C,QLKV_gui_ket_qua_ra_soat[[#This Row],[Mã điểm bán]])</f>
        <v>1</v>
      </c>
    </row>
    <row r="1101" spans="1:29" x14ac:dyDescent="0.45">
      <c r="A1101" t="s">
        <v>4224</v>
      </c>
      <c r="B1101">
        <v>2823</v>
      </c>
      <c r="C1101" t="s">
        <v>4485</v>
      </c>
      <c r="D1101" t="s">
        <v>4486</v>
      </c>
      <c r="E1101" t="s">
        <v>261</v>
      </c>
      <c r="F1101" t="s">
        <v>2425</v>
      </c>
      <c r="G1101" t="s">
        <v>34</v>
      </c>
      <c r="H1101" t="s">
        <v>54</v>
      </c>
      <c r="I1101" t="s">
        <v>4487</v>
      </c>
      <c r="J1101" t="s">
        <v>37</v>
      </c>
      <c r="K1101" t="s">
        <v>37</v>
      </c>
      <c r="L1101" t="s">
        <v>40</v>
      </c>
      <c r="M1101" t="s">
        <v>56</v>
      </c>
      <c r="N1101" t="s">
        <v>56</v>
      </c>
      <c r="O1101" t="s">
        <v>40</v>
      </c>
      <c r="P1101" t="s">
        <v>37</v>
      </c>
      <c r="Q1101" t="s">
        <v>37</v>
      </c>
      <c r="R1101" t="s">
        <v>40</v>
      </c>
      <c r="S1101" t="s">
        <v>41</v>
      </c>
      <c r="T1101" t="s">
        <v>4318</v>
      </c>
      <c r="U1101" t="s">
        <v>3227</v>
      </c>
      <c r="V1101" t="s">
        <v>4230</v>
      </c>
      <c r="W1101" t="s">
        <v>2972</v>
      </c>
      <c r="X1101" t="s">
        <v>46</v>
      </c>
      <c r="AC1101">
        <f>COUNTIF(C:C,QLKV_gui_ket_qua_ra_soat[[#This Row],[Mã điểm bán]])</f>
        <v>1</v>
      </c>
    </row>
    <row r="1102" spans="1:29" x14ac:dyDescent="0.45">
      <c r="A1102" t="s">
        <v>4224</v>
      </c>
      <c r="B1102">
        <v>2834</v>
      </c>
      <c r="C1102" t="s">
        <v>4488</v>
      </c>
      <c r="D1102" t="s">
        <v>4489</v>
      </c>
      <c r="E1102" t="s">
        <v>2678</v>
      </c>
      <c r="F1102" t="s">
        <v>4490</v>
      </c>
      <c r="G1102" t="s">
        <v>34</v>
      </c>
      <c r="H1102" t="s">
        <v>54</v>
      </c>
      <c r="I1102" t="s">
        <v>4491</v>
      </c>
      <c r="J1102" t="s">
        <v>38</v>
      </c>
      <c r="K1102" t="s">
        <v>38</v>
      </c>
      <c r="L1102" t="s">
        <v>40</v>
      </c>
      <c r="M1102" t="s">
        <v>38</v>
      </c>
      <c r="N1102" t="s">
        <v>38</v>
      </c>
      <c r="O1102" t="s">
        <v>40</v>
      </c>
      <c r="P1102" t="s">
        <v>38</v>
      </c>
      <c r="Q1102" t="s">
        <v>38</v>
      </c>
      <c r="R1102" t="s">
        <v>40</v>
      </c>
      <c r="S1102" t="s">
        <v>41</v>
      </c>
      <c r="T1102" t="s">
        <v>4228</v>
      </c>
      <c r="U1102" t="s">
        <v>4229</v>
      </c>
      <c r="V1102" t="s">
        <v>4230</v>
      </c>
      <c r="W1102" t="s">
        <v>2972</v>
      </c>
      <c r="X1102" t="s">
        <v>46</v>
      </c>
      <c r="AC1102">
        <f>COUNTIF(C:C,QLKV_gui_ket_qua_ra_soat[[#This Row],[Mã điểm bán]])</f>
        <v>1</v>
      </c>
    </row>
    <row r="1103" spans="1:29" x14ac:dyDescent="0.45">
      <c r="A1103" t="s">
        <v>4224</v>
      </c>
      <c r="B1103">
        <v>2838</v>
      </c>
      <c r="C1103" t="s">
        <v>4492</v>
      </c>
      <c r="D1103" t="s">
        <v>4493</v>
      </c>
      <c r="E1103" t="s">
        <v>181</v>
      </c>
      <c r="F1103" t="s">
        <v>292</v>
      </c>
      <c r="G1103" t="s">
        <v>34</v>
      </c>
      <c r="H1103" t="s">
        <v>555</v>
      </c>
      <c r="I1103" t="s">
        <v>4494</v>
      </c>
      <c r="J1103" t="s">
        <v>37</v>
      </c>
      <c r="K1103" t="s">
        <v>37</v>
      </c>
      <c r="L1103" t="s">
        <v>40</v>
      </c>
      <c r="M1103" t="s">
        <v>37</v>
      </c>
      <c r="N1103" t="s">
        <v>37</v>
      </c>
      <c r="O1103" t="s">
        <v>39</v>
      </c>
      <c r="P1103" t="s">
        <v>37</v>
      </c>
      <c r="Q1103" t="s">
        <v>37</v>
      </c>
      <c r="R1103" t="s">
        <v>40</v>
      </c>
      <c r="S1103" t="s">
        <v>41</v>
      </c>
      <c r="T1103" t="s">
        <v>4295</v>
      </c>
      <c r="U1103" t="s">
        <v>2977</v>
      </c>
      <c r="V1103" t="s">
        <v>4230</v>
      </c>
      <c r="W1103" t="s">
        <v>2978</v>
      </c>
      <c r="X1103" t="s">
        <v>46</v>
      </c>
      <c r="AC1103">
        <f>COUNTIF(C:C,QLKV_gui_ket_qua_ra_soat[[#This Row],[Mã điểm bán]])</f>
        <v>1</v>
      </c>
    </row>
    <row r="1104" spans="1:29" x14ac:dyDescent="0.45">
      <c r="A1104" t="s">
        <v>4224</v>
      </c>
      <c r="B1104">
        <v>2841</v>
      </c>
      <c r="C1104" t="s">
        <v>4495</v>
      </c>
      <c r="D1104" t="s">
        <v>4496</v>
      </c>
      <c r="E1104" t="s">
        <v>2299</v>
      </c>
      <c r="F1104" t="s">
        <v>166</v>
      </c>
      <c r="G1104" t="s">
        <v>34</v>
      </c>
      <c r="H1104" t="s">
        <v>1706</v>
      </c>
      <c r="I1104" t="s">
        <v>4497</v>
      </c>
      <c r="J1104" t="s">
        <v>38</v>
      </c>
      <c r="K1104" t="s">
        <v>38</v>
      </c>
      <c r="L1104" t="s">
        <v>40</v>
      </c>
      <c r="M1104" t="s">
        <v>38</v>
      </c>
      <c r="N1104" t="s">
        <v>38</v>
      </c>
      <c r="O1104" t="s">
        <v>39</v>
      </c>
      <c r="P1104" t="s">
        <v>38</v>
      </c>
      <c r="Q1104" t="s">
        <v>38</v>
      </c>
      <c r="R1104" t="s">
        <v>40</v>
      </c>
      <c r="S1104" t="s">
        <v>41</v>
      </c>
      <c r="T1104" t="s">
        <v>4243</v>
      </c>
      <c r="U1104" t="s">
        <v>4244</v>
      </c>
      <c r="V1104" t="s">
        <v>4230</v>
      </c>
      <c r="W1104" t="s">
        <v>2978</v>
      </c>
      <c r="X1104" t="s">
        <v>46</v>
      </c>
      <c r="AC1104">
        <f>COUNTIF(C:C,QLKV_gui_ket_qua_ra_soat[[#This Row],[Mã điểm bán]])</f>
        <v>1</v>
      </c>
    </row>
    <row r="1105" spans="1:29" x14ac:dyDescent="0.45">
      <c r="A1105" t="s">
        <v>4224</v>
      </c>
      <c r="B1105">
        <v>2868</v>
      </c>
      <c r="C1105" t="s">
        <v>4498</v>
      </c>
      <c r="D1105" t="s">
        <v>4499</v>
      </c>
      <c r="E1105" t="s">
        <v>4500</v>
      </c>
      <c r="F1105" t="s">
        <v>1882</v>
      </c>
      <c r="G1105" t="s">
        <v>34</v>
      </c>
      <c r="H1105" t="s">
        <v>54</v>
      </c>
      <c r="I1105" t="s">
        <v>4501</v>
      </c>
      <c r="J1105" t="s">
        <v>38</v>
      </c>
      <c r="K1105" t="s">
        <v>38</v>
      </c>
      <c r="L1105" t="s">
        <v>40</v>
      </c>
      <c r="M1105" t="s">
        <v>38</v>
      </c>
      <c r="N1105" t="s">
        <v>38</v>
      </c>
      <c r="O1105" t="s">
        <v>40</v>
      </c>
      <c r="P1105" t="s">
        <v>38</v>
      </c>
      <c r="Q1105" t="s">
        <v>38</v>
      </c>
      <c r="R1105" t="s">
        <v>39</v>
      </c>
      <c r="S1105" t="s">
        <v>41</v>
      </c>
      <c r="T1105" t="s">
        <v>4228</v>
      </c>
      <c r="U1105" t="s">
        <v>4229</v>
      </c>
      <c r="V1105" t="s">
        <v>4230</v>
      </c>
      <c r="W1105" t="s">
        <v>2972</v>
      </c>
      <c r="X1105" t="s">
        <v>46</v>
      </c>
      <c r="AC1105">
        <f>COUNTIF(C:C,QLKV_gui_ket_qua_ra_soat[[#This Row],[Mã điểm bán]])</f>
        <v>1</v>
      </c>
    </row>
    <row r="1106" spans="1:29" x14ac:dyDescent="0.45">
      <c r="A1106" t="s">
        <v>4224</v>
      </c>
      <c r="B1106">
        <v>2885</v>
      </c>
      <c r="C1106" t="s">
        <v>4502</v>
      </c>
      <c r="D1106" t="s">
        <v>4503</v>
      </c>
      <c r="E1106" t="s">
        <v>1182</v>
      </c>
      <c r="F1106" t="s">
        <v>115</v>
      </c>
      <c r="G1106" t="s">
        <v>34</v>
      </c>
      <c r="H1106" t="s">
        <v>171</v>
      </c>
      <c r="I1106" t="s">
        <v>4469</v>
      </c>
      <c r="J1106" t="s">
        <v>38</v>
      </c>
      <c r="K1106" t="s">
        <v>38</v>
      </c>
      <c r="L1106" t="s">
        <v>40</v>
      </c>
      <c r="M1106" t="s">
        <v>56</v>
      </c>
      <c r="N1106" t="s">
        <v>56</v>
      </c>
      <c r="O1106" t="s">
        <v>39</v>
      </c>
      <c r="P1106" t="s">
        <v>38</v>
      </c>
      <c r="Q1106" t="s">
        <v>38</v>
      </c>
      <c r="R1106" t="s">
        <v>40</v>
      </c>
      <c r="S1106" t="s">
        <v>41</v>
      </c>
      <c r="T1106" t="s">
        <v>4306</v>
      </c>
      <c r="U1106" t="s">
        <v>3227</v>
      </c>
      <c r="V1106" t="s">
        <v>4230</v>
      </c>
      <c r="W1106" t="s">
        <v>2972</v>
      </c>
      <c r="X1106" t="s">
        <v>46</v>
      </c>
      <c r="AC1106">
        <f>COUNTIF(C:C,QLKV_gui_ket_qua_ra_soat[[#This Row],[Mã điểm bán]])</f>
        <v>1</v>
      </c>
    </row>
    <row r="1107" spans="1:29" x14ac:dyDescent="0.45">
      <c r="A1107" t="s">
        <v>4224</v>
      </c>
      <c r="B1107">
        <v>2947</v>
      </c>
      <c r="C1107" t="s">
        <v>4504</v>
      </c>
      <c r="D1107" t="s">
        <v>4203</v>
      </c>
      <c r="E1107" t="s">
        <v>4505</v>
      </c>
      <c r="F1107" t="s">
        <v>461</v>
      </c>
      <c r="G1107" t="s">
        <v>150</v>
      </c>
      <c r="H1107" t="s">
        <v>685</v>
      </c>
      <c r="I1107" t="s">
        <v>4506</v>
      </c>
      <c r="J1107" t="s">
        <v>38</v>
      </c>
      <c r="K1107" t="s">
        <v>38</v>
      </c>
      <c r="L1107" t="s">
        <v>40</v>
      </c>
      <c r="M1107" t="s">
        <v>56</v>
      </c>
      <c r="N1107" t="s">
        <v>56</v>
      </c>
      <c r="O1107" t="s">
        <v>39</v>
      </c>
      <c r="P1107" t="s">
        <v>38</v>
      </c>
      <c r="Q1107" t="s">
        <v>38</v>
      </c>
      <c r="R1107" t="s">
        <v>40</v>
      </c>
      <c r="S1107" t="s">
        <v>41</v>
      </c>
      <c r="T1107" t="s">
        <v>4306</v>
      </c>
      <c r="U1107" t="s">
        <v>3227</v>
      </c>
      <c r="V1107" t="s">
        <v>4230</v>
      </c>
      <c r="W1107" t="s">
        <v>2972</v>
      </c>
      <c r="X1107" t="s">
        <v>46</v>
      </c>
      <c r="AC1107">
        <f>COUNTIF(C:C,QLKV_gui_ket_qua_ra_soat[[#This Row],[Mã điểm bán]])</f>
        <v>1</v>
      </c>
    </row>
    <row r="1108" spans="1:29" x14ac:dyDescent="0.45">
      <c r="A1108" t="s">
        <v>4224</v>
      </c>
      <c r="B1108">
        <v>2966</v>
      </c>
      <c r="C1108" t="s">
        <v>4507</v>
      </c>
      <c r="D1108" t="s">
        <v>3262</v>
      </c>
      <c r="E1108" t="s">
        <v>338</v>
      </c>
      <c r="F1108" t="s">
        <v>115</v>
      </c>
      <c r="G1108" t="s">
        <v>34</v>
      </c>
      <c r="H1108" t="s">
        <v>54</v>
      </c>
      <c r="I1108" t="s">
        <v>4508</v>
      </c>
      <c r="J1108" t="s">
        <v>38</v>
      </c>
      <c r="K1108" t="s">
        <v>38</v>
      </c>
      <c r="L1108" t="s">
        <v>40</v>
      </c>
      <c r="M1108" t="s">
        <v>56</v>
      </c>
      <c r="N1108" t="s">
        <v>56</v>
      </c>
      <c r="O1108" t="s">
        <v>39</v>
      </c>
      <c r="P1108" t="s">
        <v>38</v>
      </c>
      <c r="Q1108" t="s">
        <v>38</v>
      </c>
      <c r="R1108" t="s">
        <v>40</v>
      </c>
      <c r="S1108" t="s">
        <v>41</v>
      </c>
      <c r="T1108" t="s">
        <v>4306</v>
      </c>
      <c r="U1108" t="s">
        <v>3227</v>
      </c>
      <c r="V1108" t="s">
        <v>4230</v>
      </c>
      <c r="W1108" t="s">
        <v>2972</v>
      </c>
      <c r="X1108" t="s">
        <v>46</v>
      </c>
      <c r="AC1108">
        <f>COUNTIF(C:C,QLKV_gui_ket_qua_ra_soat[[#This Row],[Mã điểm bán]])</f>
        <v>1</v>
      </c>
    </row>
    <row r="1109" spans="1:29" x14ac:dyDescent="0.45">
      <c r="A1109" t="s">
        <v>4224</v>
      </c>
      <c r="B1109">
        <v>2992</v>
      </c>
      <c r="C1109" t="s">
        <v>4509</v>
      </c>
      <c r="D1109" t="s">
        <v>4510</v>
      </c>
      <c r="E1109" t="s">
        <v>4511</v>
      </c>
      <c r="F1109" t="s">
        <v>4512</v>
      </c>
      <c r="G1109" t="s">
        <v>177</v>
      </c>
      <c r="H1109" t="s">
        <v>332</v>
      </c>
      <c r="I1109" t="s">
        <v>4513</v>
      </c>
      <c r="J1109" t="s">
        <v>37</v>
      </c>
      <c r="K1109" t="s">
        <v>37</v>
      </c>
      <c r="L1109" t="s">
        <v>40</v>
      </c>
      <c r="M1109" t="s">
        <v>37</v>
      </c>
      <c r="N1109" t="s">
        <v>37</v>
      </c>
      <c r="O1109" t="s">
        <v>40</v>
      </c>
      <c r="P1109" t="s">
        <v>56</v>
      </c>
      <c r="Q1109" t="s">
        <v>37</v>
      </c>
      <c r="R1109" t="s">
        <v>40</v>
      </c>
      <c r="S1109" t="s">
        <v>4514</v>
      </c>
      <c r="T1109" t="s">
        <v>4318</v>
      </c>
      <c r="U1109" t="s">
        <v>3227</v>
      </c>
      <c r="V1109" t="s">
        <v>4230</v>
      </c>
      <c r="W1109" t="s">
        <v>2972</v>
      </c>
      <c r="X1109" t="s">
        <v>46</v>
      </c>
      <c r="AC1109">
        <f>COUNTIF(C:C,QLKV_gui_ket_qua_ra_soat[[#This Row],[Mã điểm bán]])</f>
        <v>1</v>
      </c>
    </row>
    <row r="1110" spans="1:29" x14ac:dyDescent="0.45">
      <c r="A1110" t="s">
        <v>4224</v>
      </c>
      <c r="B1110">
        <v>2999</v>
      </c>
      <c r="C1110" t="s">
        <v>4515</v>
      </c>
      <c r="D1110" t="s">
        <v>4516</v>
      </c>
      <c r="E1110" t="s">
        <v>4517</v>
      </c>
      <c r="F1110" t="s">
        <v>4518</v>
      </c>
      <c r="G1110" t="s">
        <v>34</v>
      </c>
      <c r="H1110" t="s">
        <v>546</v>
      </c>
      <c r="I1110" t="s">
        <v>4519</v>
      </c>
      <c r="J1110" t="s">
        <v>37</v>
      </c>
      <c r="K1110" t="s">
        <v>37</v>
      </c>
      <c r="L1110" t="s">
        <v>39</v>
      </c>
      <c r="M1110" t="s">
        <v>37</v>
      </c>
      <c r="N1110" t="s">
        <v>37</v>
      </c>
      <c r="O1110" t="s">
        <v>39</v>
      </c>
      <c r="P1110" t="s">
        <v>37</v>
      </c>
      <c r="Q1110" t="s">
        <v>37</v>
      </c>
      <c r="R1110" t="s">
        <v>39</v>
      </c>
      <c r="S1110" t="s">
        <v>41</v>
      </c>
      <c r="T1110" t="s">
        <v>4295</v>
      </c>
      <c r="U1110" t="s">
        <v>2977</v>
      </c>
      <c r="V1110" t="s">
        <v>4230</v>
      </c>
      <c r="W1110" t="s">
        <v>2978</v>
      </c>
      <c r="X1110" t="s">
        <v>46</v>
      </c>
      <c r="AC1110">
        <f>COUNTIF(C:C,QLKV_gui_ket_qua_ra_soat[[#This Row],[Mã điểm bán]])</f>
        <v>1</v>
      </c>
    </row>
    <row r="1111" spans="1:29" x14ac:dyDescent="0.45">
      <c r="A1111" t="s">
        <v>4224</v>
      </c>
      <c r="B1111">
        <v>3028</v>
      </c>
      <c r="C1111" t="s">
        <v>4520</v>
      </c>
      <c r="D1111" t="s">
        <v>4521</v>
      </c>
      <c r="E1111" t="s">
        <v>771</v>
      </c>
      <c r="F1111" t="s">
        <v>166</v>
      </c>
      <c r="G1111" t="s">
        <v>34</v>
      </c>
      <c r="H1111" t="s">
        <v>171</v>
      </c>
      <c r="I1111" t="s">
        <v>4522</v>
      </c>
      <c r="J1111" t="s">
        <v>37</v>
      </c>
      <c r="K1111" t="s">
        <v>37</v>
      </c>
      <c r="L1111" t="s">
        <v>40</v>
      </c>
      <c r="M1111" t="s">
        <v>37</v>
      </c>
      <c r="N1111" t="s">
        <v>37</v>
      </c>
      <c r="O1111" t="s">
        <v>39</v>
      </c>
      <c r="P1111" t="s">
        <v>38</v>
      </c>
      <c r="Q1111" t="s">
        <v>38</v>
      </c>
      <c r="R1111" t="s">
        <v>40</v>
      </c>
      <c r="S1111" t="s">
        <v>41</v>
      </c>
      <c r="T1111" t="s">
        <v>4295</v>
      </c>
      <c r="U1111" t="s">
        <v>2977</v>
      </c>
      <c r="V1111" t="s">
        <v>4230</v>
      </c>
      <c r="W1111" t="s">
        <v>2978</v>
      </c>
      <c r="Z1111" t="s">
        <v>46</v>
      </c>
      <c r="AA1111" t="s">
        <v>4427</v>
      </c>
      <c r="AC1111">
        <f>COUNTIF(C:C,QLKV_gui_ket_qua_ra_soat[[#This Row],[Mã điểm bán]])</f>
        <v>1</v>
      </c>
    </row>
    <row r="1112" spans="1:29" x14ac:dyDescent="0.45">
      <c r="A1112" t="s">
        <v>4224</v>
      </c>
      <c r="B1112">
        <v>3076</v>
      </c>
      <c r="C1112" t="s">
        <v>4523</v>
      </c>
      <c r="D1112" t="s">
        <v>4524</v>
      </c>
      <c r="E1112" t="s">
        <v>4526</v>
      </c>
      <c r="F1112" t="s">
        <v>1573</v>
      </c>
      <c r="G1112" t="s">
        <v>150</v>
      </c>
      <c r="H1112" t="s">
        <v>54</v>
      </c>
      <c r="I1112" t="s">
        <v>4527</v>
      </c>
      <c r="J1112" t="s">
        <v>37</v>
      </c>
      <c r="K1112" t="s">
        <v>37</v>
      </c>
      <c r="L1112" t="s">
        <v>39</v>
      </c>
      <c r="M1112" t="s">
        <v>37</v>
      </c>
      <c r="N1112" t="s">
        <v>37</v>
      </c>
      <c r="O1112" t="s">
        <v>40</v>
      </c>
      <c r="P1112" t="s">
        <v>37</v>
      </c>
      <c r="Q1112" t="s">
        <v>37</v>
      </c>
      <c r="R1112" t="s">
        <v>39</v>
      </c>
      <c r="S1112" t="s">
        <v>41</v>
      </c>
      <c r="T1112" t="s">
        <v>4295</v>
      </c>
      <c r="U1112" t="s">
        <v>2977</v>
      </c>
      <c r="V1112" t="s">
        <v>4230</v>
      </c>
      <c r="W1112" t="s">
        <v>2978</v>
      </c>
      <c r="X1112" t="s">
        <v>46</v>
      </c>
      <c r="AC1112">
        <f>COUNTIF(C:C,QLKV_gui_ket_qua_ra_soat[[#This Row],[Mã điểm bán]])</f>
        <v>1</v>
      </c>
    </row>
    <row r="1113" spans="1:29" x14ac:dyDescent="0.45">
      <c r="A1113" t="s">
        <v>4224</v>
      </c>
      <c r="B1113">
        <v>3080</v>
      </c>
      <c r="C1113" t="s">
        <v>4528</v>
      </c>
      <c r="D1113" t="s">
        <v>4529</v>
      </c>
      <c r="E1113" t="s">
        <v>206</v>
      </c>
      <c r="F1113" t="s">
        <v>53</v>
      </c>
      <c r="G1113" t="s">
        <v>177</v>
      </c>
      <c r="H1113" t="s">
        <v>54</v>
      </c>
      <c r="I1113" t="s">
        <v>4530</v>
      </c>
      <c r="J1113" t="s">
        <v>37</v>
      </c>
      <c r="K1113" t="s">
        <v>37</v>
      </c>
      <c r="L1113" t="s">
        <v>40</v>
      </c>
      <c r="M1113" t="s">
        <v>37</v>
      </c>
      <c r="N1113" t="s">
        <v>56</v>
      </c>
      <c r="O1113" t="s">
        <v>40</v>
      </c>
      <c r="P1113" t="s">
        <v>38</v>
      </c>
      <c r="Q1113" t="s">
        <v>37</v>
      </c>
      <c r="R1113" t="s">
        <v>40</v>
      </c>
      <c r="S1113" t="s">
        <v>4531</v>
      </c>
      <c r="T1113" t="s">
        <v>4318</v>
      </c>
      <c r="U1113" t="s">
        <v>3227</v>
      </c>
      <c r="V1113" t="s">
        <v>4230</v>
      </c>
      <c r="W1113" t="s">
        <v>2972</v>
      </c>
      <c r="X1113" t="s">
        <v>46</v>
      </c>
      <c r="AC1113">
        <f>COUNTIF(C:C,QLKV_gui_ket_qua_ra_soat[[#This Row],[Mã điểm bán]])</f>
        <v>1</v>
      </c>
    </row>
    <row r="1114" spans="1:29" x14ac:dyDescent="0.45">
      <c r="A1114" t="s">
        <v>4224</v>
      </c>
      <c r="B1114">
        <v>3081</v>
      </c>
      <c r="C1114" t="s">
        <v>4532</v>
      </c>
      <c r="D1114" t="s">
        <v>4533</v>
      </c>
      <c r="E1114" t="s">
        <v>4534</v>
      </c>
      <c r="F1114" t="s">
        <v>4535</v>
      </c>
      <c r="G1114" t="s">
        <v>1624</v>
      </c>
      <c r="H1114" t="s">
        <v>54</v>
      </c>
      <c r="I1114" t="s">
        <v>4536</v>
      </c>
      <c r="J1114" t="s">
        <v>41</v>
      </c>
      <c r="K1114" t="s">
        <v>41</v>
      </c>
      <c r="L1114" t="s">
        <v>41</v>
      </c>
      <c r="M1114" t="s">
        <v>41</v>
      </c>
      <c r="N1114" t="s">
        <v>41</v>
      </c>
      <c r="O1114" t="s">
        <v>41</v>
      </c>
      <c r="P1114" t="s">
        <v>41</v>
      </c>
      <c r="Q1114" t="s">
        <v>41</v>
      </c>
      <c r="R1114" t="s">
        <v>41</v>
      </c>
      <c r="S1114" t="s">
        <v>41</v>
      </c>
      <c r="T1114" t="s">
        <v>4306</v>
      </c>
      <c r="U1114" t="s">
        <v>3227</v>
      </c>
      <c r="V1114" t="s">
        <v>4230</v>
      </c>
      <c r="W1114" t="s">
        <v>2972</v>
      </c>
      <c r="X1114" t="s">
        <v>46</v>
      </c>
      <c r="AC1114">
        <f>COUNTIF(C:C,QLKV_gui_ket_qua_ra_soat[[#This Row],[Mã điểm bán]])</f>
        <v>1</v>
      </c>
    </row>
    <row r="1115" spans="1:29" x14ac:dyDescent="0.45">
      <c r="A1115" t="s">
        <v>4224</v>
      </c>
      <c r="B1115">
        <v>3093</v>
      </c>
      <c r="C1115" t="s">
        <v>4537</v>
      </c>
      <c r="D1115" t="s">
        <v>4538</v>
      </c>
      <c r="E1115" t="s">
        <v>4539</v>
      </c>
      <c r="F1115" t="s">
        <v>53</v>
      </c>
      <c r="G1115" t="s">
        <v>1624</v>
      </c>
      <c r="H1115" t="s">
        <v>546</v>
      </c>
      <c r="I1115" t="s">
        <v>2925</v>
      </c>
      <c r="J1115" t="s">
        <v>38</v>
      </c>
      <c r="K1115" t="s">
        <v>38</v>
      </c>
      <c r="L1115" t="s">
        <v>40</v>
      </c>
      <c r="M1115" t="s">
        <v>56</v>
      </c>
      <c r="N1115" t="s">
        <v>775</v>
      </c>
      <c r="O1115" t="s">
        <v>39</v>
      </c>
      <c r="P1115" t="s">
        <v>38</v>
      </c>
      <c r="Q1115" t="s">
        <v>38</v>
      </c>
      <c r="R1115" t="s">
        <v>39</v>
      </c>
      <c r="S1115" t="s">
        <v>4540</v>
      </c>
      <c r="T1115" t="s">
        <v>4306</v>
      </c>
      <c r="U1115" t="s">
        <v>3227</v>
      </c>
      <c r="V1115" t="s">
        <v>4230</v>
      </c>
      <c r="W1115" t="s">
        <v>2972</v>
      </c>
      <c r="X1115" t="s">
        <v>46</v>
      </c>
      <c r="AC1115">
        <f>COUNTIF(C:C,QLKV_gui_ket_qua_ra_soat[[#This Row],[Mã điểm bán]])</f>
        <v>1</v>
      </c>
    </row>
    <row r="1116" spans="1:29" x14ac:dyDescent="0.45">
      <c r="A1116" t="s">
        <v>4224</v>
      </c>
      <c r="B1116">
        <v>3100</v>
      </c>
      <c r="C1116" t="s">
        <v>4541</v>
      </c>
      <c r="D1116" t="s">
        <v>4542</v>
      </c>
      <c r="E1116" t="s">
        <v>2563</v>
      </c>
      <c r="F1116" t="s">
        <v>292</v>
      </c>
      <c r="G1116" t="s">
        <v>1624</v>
      </c>
      <c r="H1116" t="s">
        <v>697</v>
      </c>
      <c r="I1116" t="s">
        <v>4543</v>
      </c>
      <c r="J1116" t="s">
        <v>56</v>
      </c>
      <c r="K1116" t="s">
        <v>56</v>
      </c>
      <c r="L1116" t="s">
        <v>39</v>
      </c>
      <c r="M1116" t="s">
        <v>775</v>
      </c>
      <c r="N1116" t="s">
        <v>775</v>
      </c>
      <c r="O1116" t="s">
        <v>121</v>
      </c>
      <c r="P1116" t="s">
        <v>38</v>
      </c>
      <c r="Q1116" t="s">
        <v>38</v>
      </c>
      <c r="R1116" t="s">
        <v>39</v>
      </c>
      <c r="S1116" t="s">
        <v>4544</v>
      </c>
      <c r="T1116" t="s">
        <v>4306</v>
      </c>
      <c r="U1116" t="s">
        <v>3227</v>
      </c>
      <c r="V1116" t="s">
        <v>4230</v>
      </c>
      <c r="W1116" t="s">
        <v>2972</v>
      </c>
      <c r="X1116" t="s">
        <v>46</v>
      </c>
      <c r="AC1116">
        <f>COUNTIF(C:C,QLKV_gui_ket_qua_ra_soat[[#This Row],[Mã điểm bán]])</f>
        <v>1</v>
      </c>
    </row>
    <row r="1117" spans="1:29" x14ac:dyDescent="0.45">
      <c r="A1117" t="s">
        <v>4224</v>
      </c>
      <c r="B1117">
        <v>3278</v>
      </c>
      <c r="C1117" t="s">
        <v>4545</v>
      </c>
      <c r="D1117" t="s">
        <v>4546</v>
      </c>
      <c r="E1117" t="s">
        <v>297</v>
      </c>
      <c r="F1117" t="s">
        <v>3061</v>
      </c>
      <c r="G1117" t="s">
        <v>34</v>
      </c>
      <c r="H1117" t="s">
        <v>54</v>
      </c>
      <c r="I1117" t="s">
        <v>4547</v>
      </c>
      <c r="J1117" t="s">
        <v>38</v>
      </c>
      <c r="K1117" t="s">
        <v>38</v>
      </c>
      <c r="L1117" t="s">
        <v>40</v>
      </c>
      <c r="M1117" t="s">
        <v>38</v>
      </c>
      <c r="N1117" t="s">
        <v>38</v>
      </c>
      <c r="O1117" t="s">
        <v>40</v>
      </c>
      <c r="P1117" t="s">
        <v>38</v>
      </c>
      <c r="Q1117" t="s">
        <v>38</v>
      </c>
      <c r="R1117" t="s">
        <v>40</v>
      </c>
      <c r="S1117" t="s">
        <v>41</v>
      </c>
      <c r="T1117" t="s">
        <v>4243</v>
      </c>
      <c r="U1117" t="s">
        <v>4244</v>
      </c>
      <c r="V1117" t="s">
        <v>4230</v>
      </c>
      <c r="W1117" t="s">
        <v>2978</v>
      </c>
      <c r="Z1117" t="s">
        <v>46</v>
      </c>
      <c r="AA1117" t="s">
        <v>4245</v>
      </c>
      <c r="AC1117">
        <f>COUNTIF(C:C,QLKV_gui_ket_qua_ra_soat[[#This Row],[Mã điểm bán]])</f>
        <v>1</v>
      </c>
    </row>
    <row r="1118" spans="1:29" x14ac:dyDescent="0.45">
      <c r="A1118" t="s">
        <v>4224</v>
      </c>
      <c r="B1118">
        <v>3282</v>
      </c>
      <c r="C1118" t="s">
        <v>4548</v>
      </c>
      <c r="D1118" t="s">
        <v>4549</v>
      </c>
      <c r="E1118" t="s">
        <v>219</v>
      </c>
      <c r="F1118" t="s">
        <v>53</v>
      </c>
      <c r="G1118" t="s">
        <v>34</v>
      </c>
      <c r="H1118" t="s">
        <v>54</v>
      </c>
      <c r="J1118" t="s">
        <v>38</v>
      </c>
      <c r="K1118" t="s">
        <v>38</v>
      </c>
      <c r="L1118" t="s">
        <v>40</v>
      </c>
      <c r="M1118" t="s">
        <v>38</v>
      </c>
      <c r="N1118" t="s">
        <v>38</v>
      </c>
      <c r="O1118" t="s">
        <v>40</v>
      </c>
      <c r="P1118" t="s">
        <v>37</v>
      </c>
      <c r="Q1118" t="s">
        <v>38</v>
      </c>
      <c r="R1118" t="s">
        <v>40</v>
      </c>
      <c r="S1118" t="s">
        <v>41</v>
      </c>
      <c r="T1118" t="s">
        <v>4243</v>
      </c>
      <c r="U1118" t="s">
        <v>4244</v>
      </c>
      <c r="V1118" t="s">
        <v>4230</v>
      </c>
      <c r="W1118" t="s">
        <v>2978</v>
      </c>
      <c r="Z1118" t="s">
        <v>46</v>
      </c>
      <c r="AA1118" t="s">
        <v>4245</v>
      </c>
      <c r="AC1118">
        <f>COUNTIF(C:C,QLKV_gui_ket_qua_ra_soat[[#This Row],[Mã điểm bán]])</f>
        <v>1</v>
      </c>
    </row>
    <row r="1119" spans="1:29" x14ac:dyDescent="0.45">
      <c r="A1119" t="s">
        <v>4550</v>
      </c>
      <c r="B1119">
        <v>1</v>
      </c>
      <c r="C1119" t="s">
        <v>4551</v>
      </c>
      <c r="D1119" t="s">
        <v>4552</v>
      </c>
      <c r="F1119" t="s">
        <v>166</v>
      </c>
      <c r="G1119" t="s">
        <v>34</v>
      </c>
      <c r="H1119" t="s">
        <v>2197</v>
      </c>
      <c r="I1119" t="s">
        <v>4553</v>
      </c>
      <c r="J1119" t="s">
        <v>38</v>
      </c>
      <c r="K1119" t="s">
        <v>38</v>
      </c>
      <c r="L1119" t="s">
        <v>40</v>
      </c>
      <c r="M1119" t="s">
        <v>38</v>
      </c>
      <c r="N1119" t="s">
        <v>38</v>
      </c>
      <c r="O1119" t="s">
        <v>40</v>
      </c>
      <c r="P1119" t="s">
        <v>38</v>
      </c>
      <c r="Q1119" t="s">
        <v>38</v>
      </c>
      <c r="R1119" t="s">
        <v>40</v>
      </c>
      <c r="S1119" t="s">
        <v>41</v>
      </c>
      <c r="T1119" t="s">
        <v>4554</v>
      </c>
      <c r="U1119" t="s">
        <v>4555</v>
      </c>
      <c r="V1119" t="s">
        <v>4556</v>
      </c>
      <c r="W1119" t="s">
        <v>4557</v>
      </c>
      <c r="X1119" t="s">
        <v>46</v>
      </c>
      <c r="AC1119">
        <f>COUNTIF(C:C,QLKV_gui_ket_qua_ra_soat[[#This Row],[Mã điểm bán]])</f>
        <v>1</v>
      </c>
    </row>
    <row r="1120" spans="1:29" x14ac:dyDescent="0.45">
      <c r="A1120" t="s">
        <v>4550</v>
      </c>
      <c r="B1120">
        <v>2</v>
      </c>
      <c r="C1120" t="s">
        <v>4558</v>
      </c>
      <c r="D1120" t="s">
        <v>4559</v>
      </c>
      <c r="F1120" t="s">
        <v>53</v>
      </c>
      <c r="G1120" t="s">
        <v>34</v>
      </c>
      <c r="H1120" t="s">
        <v>1971</v>
      </c>
      <c r="I1120" t="s">
        <v>4560</v>
      </c>
      <c r="J1120" t="s">
        <v>38</v>
      </c>
      <c r="K1120" t="s">
        <v>38</v>
      </c>
      <c r="L1120" t="s">
        <v>40</v>
      </c>
      <c r="M1120" t="s">
        <v>38</v>
      </c>
      <c r="N1120" t="s">
        <v>38</v>
      </c>
      <c r="O1120" t="s">
        <v>40</v>
      </c>
      <c r="P1120" t="s">
        <v>38</v>
      </c>
      <c r="Q1120" t="s">
        <v>38</v>
      </c>
      <c r="R1120" t="s">
        <v>40</v>
      </c>
      <c r="S1120" t="s">
        <v>41</v>
      </c>
      <c r="T1120" t="s">
        <v>4554</v>
      </c>
      <c r="U1120" t="s">
        <v>4555</v>
      </c>
      <c r="V1120" t="s">
        <v>4556</v>
      </c>
      <c r="W1120" t="s">
        <v>4557</v>
      </c>
      <c r="X1120" t="s">
        <v>46</v>
      </c>
      <c r="AC1120">
        <f>COUNTIF(C:C,QLKV_gui_ket_qua_ra_soat[[#This Row],[Mã điểm bán]])</f>
        <v>1</v>
      </c>
    </row>
    <row r="1121" spans="1:29" x14ac:dyDescent="0.45">
      <c r="A1121" t="s">
        <v>4550</v>
      </c>
      <c r="B1121">
        <v>3</v>
      </c>
      <c r="C1121" t="s">
        <v>4561</v>
      </c>
      <c r="D1121" t="s">
        <v>4562</v>
      </c>
      <c r="F1121" t="s">
        <v>426</v>
      </c>
      <c r="G1121" t="s">
        <v>34</v>
      </c>
      <c r="H1121" t="s">
        <v>54</v>
      </c>
      <c r="I1121" t="s">
        <v>4563</v>
      </c>
      <c r="J1121" t="s">
        <v>38</v>
      </c>
      <c r="K1121" t="s">
        <v>38</v>
      </c>
      <c r="L1121" t="s">
        <v>40</v>
      </c>
      <c r="M1121" t="s">
        <v>38</v>
      </c>
      <c r="N1121" t="s">
        <v>38</v>
      </c>
      <c r="O1121" t="s">
        <v>40</v>
      </c>
      <c r="P1121" t="s">
        <v>38</v>
      </c>
      <c r="Q1121" t="s">
        <v>38</v>
      </c>
      <c r="R1121" t="s">
        <v>40</v>
      </c>
      <c r="S1121" t="s">
        <v>4564</v>
      </c>
      <c r="T1121" t="s">
        <v>4565</v>
      </c>
      <c r="U1121" t="s">
        <v>4566</v>
      </c>
      <c r="V1121" t="s">
        <v>4556</v>
      </c>
      <c r="W1121" t="s">
        <v>4567</v>
      </c>
      <c r="X1121" t="s">
        <v>46</v>
      </c>
      <c r="AC1121">
        <f>COUNTIF(C:C,QLKV_gui_ket_qua_ra_soat[[#This Row],[Mã điểm bán]])</f>
        <v>1</v>
      </c>
    </row>
    <row r="1122" spans="1:29" x14ac:dyDescent="0.45">
      <c r="A1122" t="s">
        <v>4550</v>
      </c>
      <c r="B1122">
        <v>4</v>
      </c>
      <c r="C1122" t="s">
        <v>4568</v>
      </c>
      <c r="D1122" t="s">
        <v>4569</v>
      </c>
      <c r="F1122" t="s">
        <v>426</v>
      </c>
      <c r="G1122" t="s">
        <v>34</v>
      </c>
      <c r="H1122" t="s">
        <v>1188</v>
      </c>
      <c r="I1122" t="s">
        <v>4570</v>
      </c>
      <c r="J1122" t="s">
        <v>38</v>
      </c>
      <c r="K1122" t="s">
        <v>38</v>
      </c>
      <c r="L1122" t="s">
        <v>40</v>
      </c>
      <c r="M1122" t="s">
        <v>38</v>
      </c>
      <c r="N1122" t="s">
        <v>38</v>
      </c>
      <c r="O1122" t="s">
        <v>40</v>
      </c>
      <c r="P1122" t="s">
        <v>38</v>
      </c>
      <c r="Q1122" t="s">
        <v>38</v>
      </c>
      <c r="R1122" t="s">
        <v>40</v>
      </c>
      <c r="S1122" t="s">
        <v>41</v>
      </c>
      <c r="T1122" t="s">
        <v>4554</v>
      </c>
      <c r="U1122" t="s">
        <v>4555</v>
      </c>
      <c r="V1122" t="s">
        <v>4556</v>
      </c>
      <c r="W1122" t="s">
        <v>4557</v>
      </c>
      <c r="X1122" t="s">
        <v>46</v>
      </c>
      <c r="AC1122">
        <f>COUNTIF(C:C,QLKV_gui_ket_qua_ra_soat[[#This Row],[Mã điểm bán]])</f>
        <v>1</v>
      </c>
    </row>
    <row r="1123" spans="1:29" x14ac:dyDescent="0.45">
      <c r="A1123" t="s">
        <v>4550</v>
      </c>
      <c r="B1123">
        <v>5</v>
      </c>
      <c r="C1123" t="s">
        <v>4571</v>
      </c>
      <c r="D1123" t="s">
        <v>1620</v>
      </c>
      <c r="F1123" t="s">
        <v>53</v>
      </c>
      <c r="G1123" t="s">
        <v>34</v>
      </c>
      <c r="H1123" t="s">
        <v>54</v>
      </c>
      <c r="I1123" t="s">
        <v>4572</v>
      </c>
      <c r="J1123" t="s">
        <v>38</v>
      </c>
      <c r="K1123" t="s">
        <v>38</v>
      </c>
      <c r="L1123" t="s">
        <v>40</v>
      </c>
      <c r="M1123" t="s">
        <v>38</v>
      </c>
      <c r="N1123" t="s">
        <v>38</v>
      </c>
      <c r="O1123" t="s">
        <v>40</v>
      </c>
      <c r="P1123" t="s">
        <v>38</v>
      </c>
      <c r="Q1123" t="s">
        <v>38</v>
      </c>
      <c r="R1123" t="s">
        <v>40</v>
      </c>
      <c r="S1123" t="s">
        <v>4573</v>
      </c>
      <c r="T1123" t="s">
        <v>4574</v>
      </c>
      <c r="U1123" t="s">
        <v>4555</v>
      </c>
      <c r="V1123" t="s">
        <v>4556</v>
      </c>
      <c r="W1123" t="s">
        <v>4557</v>
      </c>
      <c r="Z1123" t="s">
        <v>46</v>
      </c>
      <c r="AA1123" t="s">
        <v>4575</v>
      </c>
      <c r="AC1123">
        <f>COUNTIF(C:C,QLKV_gui_ket_qua_ra_soat[[#This Row],[Mã điểm bán]])</f>
        <v>1</v>
      </c>
    </row>
    <row r="1124" spans="1:29" x14ac:dyDescent="0.45">
      <c r="A1124" t="s">
        <v>4550</v>
      </c>
      <c r="B1124">
        <v>6</v>
      </c>
      <c r="C1124" t="s">
        <v>4576</v>
      </c>
      <c r="D1124" t="s">
        <v>4577</v>
      </c>
      <c r="F1124" t="s">
        <v>53</v>
      </c>
      <c r="G1124" t="s">
        <v>34</v>
      </c>
      <c r="H1124" t="s">
        <v>54</v>
      </c>
      <c r="I1124" t="s">
        <v>4578</v>
      </c>
      <c r="J1124" t="s">
        <v>38</v>
      </c>
      <c r="K1124" t="s">
        <v>38</v>
      </c>
      <c r="L1124" t="s">
        <v>40</v>
      </c>
      <c r="M1124" t="s">
        <v>38</v>
      </c>
      <c r="N1124" t="s">
        <v>38</v>
      </c>
      <c r="O1124" t="s">
        <v>40</v>
      </c>
      <c r="P1124" t="s">
        <v>38</v>
      </c>
      <c r="Q1124" t="s">
        <v>38</v>
      </c>
      <c r="R1124" t="s">
        <v>40</v>
      </c>
      <c r="S1124" t="s">
        <v>41</v>
      </c>
      <c r="T1124" t="s">
        <v>4554</v>
      </c>
      <c r="U1124" t="s">
        <v>4555</v>
      </c>
      <c r="V1124" t="s">
        <v>4556</v>
      </c>
      <c r="W1124" t="s">
        <v>4557</v>
      </c>
      <c r="X1124" t="s">
        <v>46</v>
      </c>
      <c r="AC1124">
        <f>COUNTIF(C:C,QLKV_gui_ket_qua_ra_soat[[#This Row],[Mã điểm bán]])</f>
        <v>1</v>
      </c>
    </row>
    <row r="1125" spans="1:29" x14ac:dyDescent="0.45">
      <c r="A1125" t="s">
        <v>4550</v>
      </c>
      <c r="B1125">
        <v>7</v>
      </c>
      <c r="C1125" t="s">
        <v>4579</v>
      </c>
      <c r="D1125" t="s">
        <v>4580</v>
      </c>
      <c r="F1125" t="s">
        <v>4581</v>
      </c>
      <c r="G1125" t="s">
        <v>34</v>
      </c>
      <c r="H1125" t="s">
        <v>1750</v>
      </c>
      <c r="I1125" t="s">
        <v>4582</v>
      </c>
      <c r="J1125" t="s">
        <v>38</v>
      </c>
      <c r="K1125" t="s">
        <v>38</v>
      </c>
      <c r="L1125" t="s">
        <v>39</v>
      </c>
      <c r="M1125" t="s">
        <v>56</v>
      </c>
      <c r="N1125" t="s">
        <v>56</v>
      </c>
      <c r="O1125" t="s">
        <v>121</v>
      </c>
      <c r="P1125" t="s">
        <v>38</v>
      </c>
      <c r="Q1125" t="s">
        <v>38</v>
      </c>
      <c r="R1125" t="s">
        <v>40</v>
      </c>
      <c r="S1125" t="s">
        <v>3003</v>
      </c>
      <c r="T1125" t="s">
        <v>4574</v>
      </c>
      <c r="U1125" t="s">
        <v>4555</v>
      </c>
      <c r="V1125" t="s">
        <v>4556</v>
      </c>
      <c r="W1125" t="s">
        <v>4557</v>
      </c>
      <c r="X1125" t="s">
        <v>46</v>
      </c>
      <c r="AC1125">
        <f>COUNTIF(C:C,QLKV_gui_ket_qua_ra_soat[[#This Row],[Mã điểm bán]])</f>
        <v>1</v>
      </c>
    </row>
    <row r="1126" spans="1:29" x14ac:dyDescent="0.45">
      <c r="A1126" t="s">
        <v>4550</v>
      </c>
      <c r="B1126">
        <v>8</v>
      </c>
      <c r="C1126" t="s">
        <v>4583</v>
      </c>
      <c r="D1126" t="s">
        <v>4584</v>
      </c>
      <c r="F1126" t="s">
        <v>325</v>
      </c>
      <c r="G1126" t="s">
        <v>34</v>
      </c>
      <c r="H1126" t="s">
        <v>214</v>
      </c>
      <c r="I1126" t="s">
        <v>4585</v>
      </c>
      <c r="J1126" t="s">
        <v>38</v>
      </c>
      <c r="K1126" t="s">
        <v>38</v>
      </c>
      <c r="L1126" t="s">
        <v>40</v>
      </c>
      <c r="M1126" t="s">
        <v>38</v>
      </c>
      <c r="N1126" t="s">
        <v>38</v>
      </c>
      <c r="O1126" t="s">
        <v>40</v>
      </c>
      <c r="P1126" t="s">
        <v>38</v>
      </c>
      <c r="Q1126" t="s">
        <v>38</v>
      </c>
      <c r="R1126" t="s">
        <v>40</v>
      </c>
      <c r="S1126" t="s">
        <v>41</v>
      </c>
      <c r="T1126" t="s">
        <v>4554</v>
      </c>
      <c r="U1126" t="s">
        <v>4555</v>
      </c>
      <c r="V1126" t="s">
        <v>4556</v>
      </c>
      <c r="W1126" t="s">
        <v>4557</v>
      </c>
      <c r="X1126" t="s">
        <v>46</v>
      </c>
      <c r="AC1126">
        <f>COUNTIF(C:C,QLKV_gui_ket_qua_ra_soat[[#This Row],[Mã điểm bán]])</f>
        <v>1</v>
      </c>
    </row>
    <row r="1127" spans="1:29" x14ac:dyDescent="0.45">
      <c r="A1127" t="s">
        <v>4550</v>
      </c>
      <c r="B1127">
        <v>9</v>
      </c>
      <c r="C1127" t="s">
        <v>4586</v>
      </c>
      <c r="D1127" t="s">
        <v>4587</v>
      </c>
      <c r="F1127" t="s">
        <v>53</v>
      </c>
      <c r="G1127" t="s">
        <v>34</v>
      </c>
      <c r="H1127" t="s">
        <v>54</v>
      </c>
      <c r="I1127" t="s">
        <v>4588</v>
      </c>
      <c r="J1127" t="s">
        <v>38</v>
      </c>
      <c r="K1127" t="s">
        <v>38</v>
      </c>
      <c r="L1127" t="s">
        <v>40</v>
      </c>
      <c r="M1127" t="s">
        <v>56</v>
      </c>
      <c r="N1127" t="s">
        <v>56</v>
      </c>
      <c r="O1127" t="s">
        <v>39</v>
      </c>
      <c r="P1127" t="s">
        <v>38</v>
      </c>
      <c r="Q1127" t="s">
        <v>38</v>
      </c>
      <c r="R1127" t="s">
        <v>40</v>
      </c>
      <c r="S1127" t="s">
        <v>41</v>
      </c>
      <c r="T1127" t="s">
        <v>4554</v>
      </c>
      <c r="U1127" t="s">
        <v>4555</v>
      </c>
      <c r="V1127" t="s">
        <v>4556</v>
      </c>
      <c r="W1127" t="s">
        <v>4557</v>
      </c>
      <c r="Z1127" t="s">
        <v>46</v>
      </c>
      <c r="AA1127" t="s">
        <v>4589</v>
      </c>
      <c r="AC1127">
        <f>COUNTIF(C:C,QLKV_gui_ket_qua_ra_soat[[#This Row],[Mã điểm bán]])</f>
        <v>1</v>
      </c>
    </row>
    <row r="1128" spans="1:29" x14ac:dyDescent="0.45">
      <c r="A1128" t="s">
        <v>4550</v>
      </c>
      <c r="B1128">
        <v>10</v>
      </c>
      <c r="C1128" t="s">
        <v>4590</v>
      </c>
      <c r="D1128" t="s">
        <v>4591</v>
      </c>
      <c r="F1128" t="s">
        <v>53</v>
      </c>
      <c r="G1128" t="s">
        <v>34</v>
      </c>
      <c r="H1128" t="s">
        <v>685</v>
      </c>
      <c r="I1128" t="s">
        <v>4592</v>
      </c>
      <c r="J1128" t="s">
        <v>38</v>
      </c>
      <c r="K1128" t="s">
        <v>38</v>
      </c>
      <c r="L1128" t="s">
        <v>40</v>
      </c>
      <c r="M1128" t="s">
        <v>56</v>
      </c>
      <c r="N1128" t="s">
        <v>56</v>
      </c>
      <c r="O1128" t="s">
        <v>39</v>
      </c>
      <c r="P1128" t="s">
        <v>38</v>
      </c>
      <c r="Q1128" t="s">
        <v>38</v>
      </c>
      <c r="R1128" t="s">
        <v>40</v>
      </c>
      <c r="S1128" t="s">
        <v>41</v>
      </c>
      <c r="T1128" t="s">
        <v>4554</v>
      </c>
      <c r="U1128" t="s">
        <v>4555</v>
      </c>
      <c r="V1128" t="s">
        <v>4556</v>
      </c>
      <c r="W1128" t="s">
        <v>4557</v>
      </c>
      <c r="Z1128" t="s">
        <v>46</v>
      </c>
      <c r="AA1128" t="s">
        <v>4589</v>
      </c>
      <c r="AC1128">
        <f>COUNTIF(C:C,QLKV_gui_ket_qua_ra_soat[[#This Row],[Mã điểm bán]])</f>
        <v>1</v>
      </c>
    </row>
    <row r="1129" spans="1:29" x14ac:dyDescent="0.45">
      <c r="A1129" t="s">
        <v>4550</v>
      </c>
      <c r="B1129">
        <v>11</v>
      </c>
      <c r="C1129" t="s">
        <v>4593</v>
      </c>
      <c r="D1129" t="s">
        <v>4594</v>
      </c>
      <c r="F1129" t="s">
        <v>53</v>
      </c>
      <c r="G1129" t="s">
        <v>34</v>
      </c>
      <c r="H1129" t="s">
        <v>685</v>
      </c>
      <c r="I1129" t="s">
        <v>2660</v>
      </c>
      <c r="J1129" t="s">
        <v>38</v>
      </c>
      <c r="K1129" t="s">
        <v>38</v>
      </c>
      <c r="L1129" t="s">
        <v>40</v>
      </c>
      <c r="M1129" t="s">
        <v>38</v>
      </c>
      <c r="N1129" t="s">
        <v>38</v>
      </c>
      <c r="O1129" t="s">
        <v>40</v>
      </c>
      <c r="P1129" t="s">
        <v>38</v>
      </c>
      <c r="Q1129" t="s">
        <v>38</v>
      </c>
      <c r="R1129" t="s">
        <v>40</v>
      </c>
      <c r="S1129" t="s">
        <v>41</v>
      </c>
      <c r="T1129" t="s">
        <v>4554</v>
      </c>
      <c r="U1129" t="s">
        <v>4555</v>
      </c>
      <c r="V1129" t="s">
        <v>4556</v>
      </c>
      <c r="W1129" t="s">
        <v>4557</v>
      </c>
      <c r="X1129" t="s">
        <v>46</v>
      </c>
      <c r="AC1129">
        <f>COUNTIF(C:C,QLKV_gui_ket_qua_ra_soat[[#This Row],[Mã điểm bán]])</f>
        <v>1</v>
      </c>
    </row>
    <row r="1130" spans="1:29" x14ac:dyDescent="0.45">
      <c r="A1130" t="s">
        <v>4550</v>
      </c>
      <c r="B1130">
        <v>12</v>
      </c>
      <c r="C1130" t="s">
        <v>4595</v>
      </c>
      <c r="D1130" t="s">
        <v>4596</v>
      </c>
      <c r="F1130" t="s">
        <v>53</v>
      </c>
      <c r="G1130" t="s">
        <v>150</v>
      </c>
      <c r="H1130" t="s">
        <v>1280</v>
      </c>
      <c r="I1130" t="s">
        <v>4597</v>
      </c>
      <c r="J1130" t="s">
        <v>38</v>
      </c>
      <c r="K1130" t="s">
        <v>38</v>
      </c>
      <c r="L1130" t="s">
        <v>40</v>
      </c>
      <c r="M1130" t="s">
        <v>38</v>
      </c>
      <c r="N1130" t="s">
        <v>38</v>
      </c>
      <c r="O1130" t="s">
        <v>40</v>
      </c>
      <c r="P1130" t="s">
        <v>38</v>
      </c>
      <c r="Q1130" t="s">
        <v>38</v>
      </c>
      <c r="R1130" t="s">
        <v>40</v>
      </c>
      <c r="S1130" t="s">
        <v>41</v>
      </c>
      <c r="T1130" t="s">
        <v>4554</v>
      </c>
      <c r="U1130" t="s">
        <v>4555</v>
      </c>
      <c r="V1130" t="s">
        <v>4556</v>
      </c>
      <c r="W1130" t="s">
        <v>4557</v>
      </c>
      <c r="X1130" t="s">
        <v>46</v>
      </c>
      <c r="AC1130">
        <f>COUNTIF(C:C,QLKV_gui_ket_qua_ra_soat[[#This Row],[Mã điểm bán]])</f>
        <v>1</v>
      </c>
    </row>
    <row r="1131" spans="1:29" x14ac:dyDescent="0.45">
      <c r="A1131" t="s">
        <v>4550</v>
      </c>
      <c r="B1131">
        <v>13</v>
      </c>
      <c r="C1131" t="s">
        <v>4598</v>
      </c>
      <c r="D1131" t="s">
        <v>4599</v>
      </c>
      <c r="F1131" t="s">
        <v>53</v>
      </c>
      <c r="G1131" t="s">
        <v>34</v>
      </c>
      <c r="H1131" t="s">
        <v>54</v>
      </c>
      <c r="I1131" t="s">
        <v>4600</v>
      </c>
      <c r="J1131" t="s">
        <v>38</v>
      </c>
      <c r="K1131" t="s">
        <v>37</v>
      </c>
      <c r="L1131" t="s">
        <v>40</v>
      </c>
      <c r="M1131" t="s">
        <v>37</v>
      </c>
      <c r="N1131" t="s">
        <v>37</v>
      </c>
      <c r="O1131" t="s">
        <v>39</v>
      </c>
      <c r="P1131" t="s">
        <v>37</v>
      </c>
      <c r="Q1131" t="s">
        <v>37</v>
      </c>
      <c r="R1131" t="s">
        <v>39</v>
      </c>
      <c r="S1131" t="s">
        <v>41</v>
      </c>
      <c r="T1131" t="s">
        <v>4601</v>
      </c>
      <c r="U1131" t="s">
        <v>4602</v>
      </c>
      <c r="V1131" t="s">
        <v>4556</v>
      </c>
      <c r="W1131" t="s">
        <v>4603</v>
      </c>
      <c r="X1131" t="s">
        <v>46</v>
      </c>
      <c r="AC1131">
        <f>COUNTIF(C:C,QLKV_gui_ket_qua_ra_soat[[#This Row],[Mã điểm bán]])</f>
        <v>1</v>
      </c>
    </row>
    <row r="1132" spans="1:29" x14ac:dyDescent="0.45">
      <c r="A1132" t="s">
        <v>4550</v>
      </c>
      <c r="B1132">
        <v>14</v>
      </c>
      <c r="C1132" t="s">
        <v>4604</v>
      </c>
      <c r="D1132" t="s">
        <v>4605</v>
      </c>
      <c r="F1132" t="s">
        <v>417</v>
      </c>
      <c r="G1132" t="s">
        <v>34</v>
      </c>
      <c r="H1132" t="s">
        <v>35</v>
      </c>
      <c r="I1132" t="s">
        <v>4606</v>
      </c>
      <c r="J1132" t="s">
        <v>37</v>
      </c>
      <c r="K1132" t="s">
        <v>38</v>
      </c>
      <c r="L1132" t="s">
        <v>40</v>
      </c>
      <c r="M1132" t="s">
        <v>37</v>
      </c>
      <c r="N1132" t="s">
        <v>37</v>
      </c>
      <c r="O1132" t="s">
        <v>39</v>
      </c>
      <c r="P1132" t="s">
        <v>38</v>
      </c>
      <c r="Q1132" t="s">
        <v>38</v>
      </c>
      <c r="R1132" t="s">
        <v>39</v>
      </c>
      <c r="S1132" t="s">
        <v>41</v>
      </c>
      <c r="T1132" t="s">
        <v>4601</v>
      </c>
      <c r="U1132" t="s">
        <v>4602</v>
      </c>
      <c r="V1132" t="s">
        <v>4556</v>
      </c>
      <c r="W1132" t="s">
        <v>4603</v>
      </c>
      <c r="X1132" t="s">
        <v>46</v>
      </c>
      <c r="AC1132">
        <f>COUNTIF(C:C,QLKV_gui_ket_qua_ra_soat[[#This Row],[Mã điểm bán]])</f>
        <v>1</v>
      </c>
    </row>
    <row r="1133" spans="1:29" x14ac:dyDescent="0.45">
      <c r="A1133" t="s">
        <v>4550</v>
      </c>
      <c r="B1133">
        <v>15</v>
      </c>
      <c r="C1133" t="s">
        <v>4607</v>
      </c>
      <c r="D1133" t="s">
        <v>4608</v>
      </c>
      <c r="F1133" t="s">
        <v>401</v>
      </c>
      <c r="G1133" t="s">
        <v>34</v>
      </c>
      <c r="H1133" t="s">
        <v>1877</v>
      </c>
      <c r="I1133" t="s">
        <v>4609</v>
      </c>
      <c r="J1133" t="s">
        <v>38</v>
      </c>
      <c r="K1133" t="s">
        <v>38</v>
      </c>
      <c r="L1133" t="s">
        <v>39</v>
      </c>
      <c r="M1133" t="s">
        <v>37</v>
      </c>
      <c r="N1133" t="s">
        <v>37</v>
      </c>
      <c r="O1133" t="s">
        <v>39</v>
      </c>
      <c r="P1133" t="s">
        <v>38</v>
      </c>
      <c r="Q1133" t="s">
        <v>38</v>
      </c>
      <c r="R1133" t="s">
        <v>39</v>
      </c>
      <c r="S1133" t="s">
        <v>41</v>
      </c>
      <c r="T1133" t="s">
        <v>4601</v>
      </c>
      <c r="U1133" t="s">
        <v>4602</v>
      </c>
      <c r="V1133" t="s">
        <v>4556</v>
      </c>
      <c r="W1133" t="s">
        <v>4603</v>
      </c>
      <c r="X1133" t="s">
        <v>46</v>
      </c>
      <c r="AC1133">
        <f>COUNTIF(C:C,QLKV_gui_ket_qua_ra_soat[[#This Row],[Mã điểm bán]])</f>
        <v>1</v>
      </c>
    </row>
    <row r="1134" spans="1:29" x14ac:dyDescent="0.45">
      <c r="A1134" t="s">
        <v>4550</v>
      </c>
      <c r="B1134">
        <v>16</v>
      </c>
      <c r="C1134" t="s">
        <v>4610</v>
      </c>
      <c r="D1134" t="s">
        <v>4611</v>
      </c>
      <c r="F1134" t="s">
        <v>325</v>
      </c>
      <c r="G1134" t="s">
        <v>34</v>
      </c>
      <c r="H1134" t="s">
        <v>1177</v>
      </c>
      <c r="I1134" t="s">
        <v>4612</v>
      </c>
      <c r="J1134" t="s">
        <v>38</v>
      </c>
      <c r="K1134" t="s">
        <v>38</v>
      </c>
      <c r="L1134" t="s">
        <v>40</v>
      </c>
      <c r="M1134" t="s">
        <v>38</v>
      </c>
      <c r="N1134" t="s">
        <v>38</v>
      </c>
      <c r="O1134" t="s">
        <v>40</v>
      </c>
      <c r="P1134" t="s">
        <v>38</v>
      </c>
      <c r="Q1134" t="s">
        <v>38</v>
      </c>
      <c r="R1134" t="s">
        <v>40</v>
      </c>
      <c r="S1134" t="s">
        <v>41</v>
      </c>
      <c r="T1134" t="s">
        <v>4554</v>
      </c>
      <c r="U1134" t="s">
        <v>4555</v>
      </c>
      <c r="V1134" t="s">
        <v>4556</v>
      </c>
      <c r="W1134" t="s">
        <v>4557</v>
      </c>
      <c r="X1134" t="s">
        <v>46</v>
      </c>
      <c r="AC1134">
        <f>COUNTIF(C:C,QLKV_gui_ket_qua_ra_soat[[#This Row],[Mã điểm bán]])</f>
        <v>1</v>
      </c>
    </row>
    <row r="1135" spans="1:29" x14ac:dyDescent="0.45">
      <c r="A1135" t="s">
        <v>4550</v>
      </c>
      <c r="B1135">
        <v>17</v>
      </c>
      <c r="C1135" t="s">
        <v>4613</v>
      </c>
      <c r="D1135" t="s">
        <v>4614</v>
      </c>
      <c r="F1135" t="s">
        <v>53</v>
      </c>
      <c r="G1135" t="s">
        <v>34</v>
      </c>
      <c r="H1135" t="s">
        <v>54</v>
      </c>
      <c r="I1135" t="s">
        <v>4615</v>
      </c>
      <c r="J1135" t="s">
        <v>38</v>
      </c>
      <c r="K1135" t="s">
        <v>38</v>
      </c>
      <c r="L1135" t="s">
        <v>40</v>
      </c>
      <c r="M1135" t="s">
        <v>38</v>
      </c>
      <c r="N1135" t="s">
        <v>38</v>
      </c>
      <c r="O1135" t="s">
        <v>40</v>
      </c>
      <c r="P1135" t="s">
        <v>38</v>
      </c>
      <c r="Q1135" t="s">
        <v>38</v>
      </c>
      <c r="R1135" t="s">
        <v>40</v>
      </c>
      <c r="S1135" t="s">
        <v>41</v>
      </c>
      <c r="T1135" t="s">
        <v>4554</v>
      </c>
      <c r="U1135" t="s">
        <v>4555</v>
      </c>
      <c r="V1135" t="s">
        <v>4556</v>
      </c>
      <c r="W1135" t="s">
        <v>4557</v>
      </c>
      <c r="X1135" t="s">
        <v>46</v>
      </c>
      <c r="AC1135">
        <f>COUNTIF(C:C,QLKV_gui_ket_qua_ra_soat[[#This Row],[Mã điểm bán]])</f>
        <v>1</v>
      </c>
    </row>
    <row r="1136" spans="1:29" x14ac:dyDescent="0.45">
      <c r="A1136" t="s">
        <v>4550</v>
      </c>
      <c r="B1136">
        <v>18</v>
      </c>
      <c r="C1136" t="s">
        <v>4616</v>
      </c>
      <c r="D1136" t="s">
        <v>4617</v>
      </c>
      <c r="F1136" t="s">
        <v>666</v>
      </c>
      <c r="G1136" t="s">
        <v>34</v>
      </c>
      <c r="H1136" t="s">
        <v>1494</v>
      </c>
      <c r="I1136" t="s">
        <v>4618</v>
      </c>
      <c r="J1136" t="s">
        <v>38</v>
      </c>
      <c r="K1136" t="s">
        <v>38</v>
      </c>
      <c r="L1136" t="s">
        <v>40</v>
      </c>
      <c r="M1136" t="s">
        <v>38</v>
      </c>
      <c r="N1136" t="s">
        <v>38</v>
      </c>
      <c r="O1136" t="s">
        <v>40</v>
      </c>
      <c r="P1136" t="s">
        <v>38</v>
      </c>
      <c r="Q1136" t="s">
        <v>38</v>
      </c>
      <c r="R1136" t="s">
        <v>40</v>
      </c>
      <c r="S1136" t="s">
        <v>41</v>
      </c>
      <c r="T1136" t="s">
        <v>4554</v>
      </c>
      <c r="U1136" t="s">
        <v>4555</v>
      </c>
      <c r="V1136" t="s">
        <v>4556</v>
      </c>
      <c r="W1136" t="s">
        <v>4557</v>
      </c>
      <c r="X1136" t="s">
        <v>46</v>
      </c>
      <c r="AC1136">
        <f>COUNTIF(C:C,QLKV_gui_ket_qua_ra_soat[[#This Row],[Mã điểm bán]])</f>
        <v>1</v>
      </c>
    </row>
    <row r="1137" spans="1:29" x14ac:dyDescent="0.45">
      <c r="A1137" t="s">
        <v>4550</v>
      </c>
      <c r="B1137">
        <v>19</v>
      </c>
      <c r="C1137" t="s">
        <v>4619</v>
      </c>
      <c r="D1137" t="s">
        <v>4620</v>
      </c>
      <c r="F1137" t="s">
        <v>3049</v>
      </c>
      <c r="G1137" t="s">
        <v>34</v>
      </c>
      <c r="H1137" t="s">
        <v>4621</v>
      </c>
      <c r="I1137" t="s">
        <v>4622</v>
      </c>
      <c r="J1137" t="s">
        <v>38</v>
      </c>
      <c r="K1137" t="s">
        <v>38</v>
      </c>
      <c r="L1137" t="s">
        <v>40</v>
      </c>
      <c r="M1137" t="s">
        <v>38</v>
      </c>
      <c r="N1137" t="s">
        <v>38</v>
      </c>
      <c r="O1137" t="s">
        <v>40</v>
      </c>
      <c r="P1137" t="s">
        <v>38</v>
      </c>
      <c r="Q1137" t="s">
        <v>38</v>
      </c>
      <c r="R1137" t="s">
        <v>40</v>
      </c>
      <c r="S1137" t="s">
        <v>41</v>
      </c>
      <c r="T1137" t="s">
        <v>4554</v>
      </c>
      <c r="U1137" t="s">
        <v>4555</v>
      </c>
      <c r="V1137" t="s">
        <v>4556</v>
      </c>
      <c r="W1137" t="s">
        <v>4557</v>
      </c>
      <c r="Z1137" t="s">
        <v>46</v>
      </c>
      <c r="AA1137" t="s">
        <v>4589</v>
      </c>
      <c r="AC1137">
        <f>COUNTIF(C:C,QLKV_gui_ket_qua_ra_soat[[#This Row],[Mã điểm bán]])</f>
        <v>1</v>
      </c>
    </row>
    <row r="1138" spans="1:29" x14ac:dyDescent="0.45">
      <c r="A1138" t="s">
        <v>4550</v>
      </c>
      <c r="B1138">
        <v>20</v>
      </c>
      <c r="C1138" t="s">
        <v>4623</v>
      </c>
      <c r="D1138" t="s">
        <v>4624</v>
      </c>
      <c r="F1138" t="s">
        <v>166</v>
      </c>
      <c r="G1138" t="s">
        <v>34</v>
      </c>
      <c r="H1138" t="s">
        <v>378</v>
      </c>
      <c r="I1138" t="s">
        <v>4625</v>
      </c>
      <c r="J1138" t="s">
        <v>38</v>
      </c>
      <c r="K1138" t="s">
        <v>38</v>
      </c>
      <c r="L1138" t="s">
        <v>40</v>
      </c>
      <c r="M1138" t="s">
        <v>38</v>
      </c>
      <c r="N1138" t="s">
        <v>38</v>
      </c>
      <c r="O1138" t="s">
        <v>40</v>
      </c>
      <c r="P1138" t="s">
        <v>38</v>
      </c>
      <c r="Q1138" t="s">
        <v>38</v>
      </c>
      <c r="R1138" t="s">
        <v>40</v>
      </c>
      <c r="S1138" t="s">
        <v>627</v>
      </c>
      <c r="T1138" t="s">
        <v>4554</v>
      </c>
      <c r="U1138" t="s">
        <v>4555</v>
      </c>
      <c r="V1138" t="s">
        <v>4556</v>
      </c>
      <c r="W1138" t="s">
        <v>4557</v>
      </c>
      <c r="Z1138" t="s">
        <v>46</v>
      </c>
      <c r="AA1138" t="s">
        <v>4589</v>
      </c>
      <c r="AC1138">
        <f>COUNTIF(C:C,QLKV_gui_ket_qua_ra_soat[[#This Row],[Mã điểm bán]])</f>
        <v>1</v>
      </c>
    </row>
    <row r="1139" spans="1:29" x14ac:dyDescent="0.45">
      <c r="A1139" t="s">
        <v>4550</v>
      </c>
      <c r="B1139">
        <v>21</v>
      </c>
      <c r="C1139" t="s">
        <v>4626</v>
      </c>
      <c r="D1139" t="s">
        <v>4627</v>
      </c>
      <c r="F1139" t="s">
        <v>166</v>
      </c>
      <c r="G1139" t="s">
        <v>34</v>
      </c>
      <c r="H1139" t="s">
        <v>1184</v>
      </c>
      <c r="I1139" t="s">
        <v>4628</v>
      </c>
      <c r="J1139" t="s">
        <v>38</v>
      </c>
      <c r="K1139" t="s">
        <v>38</v>
      </c>
      <c r="L1139" t="s">
        <v>40</v>
      </c>
      <c r="M1139" t="s">
        <v>38</v>
      </c>
      <c r="N1139" t="s">
        <v>38</v>
      </c>
      <c r="O1139" t="s">
        <v>40</v>
      </c>
      <c r="P1139" t="s">
        <v>38</v>
      </c>
      <c r="Q1139" t="s">
        <v>38</v>
      </c>
      <c r="R1139" t="s">
        <v>40</v>
      </c>
      <c r="S1139" t="s">
        <v>41</v>
      </c>
      <c r="T1139" t="s">
        <v>4554</v>
      </c>
      <c r="U1139" t="s">
        <v>4555</v>
      </c>
      <c r="V1139" t="s">
        <v>4556</v>
      </c>
      <c r="W1139" t="s">
        <v>4557</v>
      </c>
      <c r="X1139" t="s">
        <v>46</v>
      </c>
      <c r="AC1139">
        <f>COUNTIF(C:C,QLKV_gui_ket_qua_ra_soat[[#This Row],[Mã điểm bán]])</f>
        <v>1</v>
      </c>
    </row>
    <row r="1140" spans="1:29" x14ac:dyDescent="0.45">
      <c r="A1140" t="s">
        <v>4550</v>
      </c>
      <c r="B1140">
        <v>22</v>
      </c>
      <c r="C1140" t="s">
        <v>4629</v>
      </c>
      <c r="D1140" t="s">
        <v>4630</v>
      </c>
      <c r="F1140" t="s">
        <v>1476</v>
      </c>
      <c r="G1140" t="s">
        <v>34</v>
      </c>
      <c r="H1140" t="s">
        <v>54</v>
      </c>
      <c r="I1140" t="s">
        <v>4631</v>
      </c>
      <c r="J1140" t="s">
        <v>38</v>
      </c>
      <c r="K1140" t="s">
        <v>38</v>
      </c>
      <c r="L1140" t="s">
        <v>40</v>
      </c>
      <c r="M1140" t="s">
        <v>38</v>
      </c>
      <c r="N1140" t="s">
        <v>37</v>
      </c>
      <c r="O1140" t="s">
        <v>40</v>
      </c>
      <c r="P1140" t="s">
        <v>38</v>
      </c>
      <c r="Q1140" t="s">
        <v>38</v>
      </c>
      <c r="R1140" t="s">
        <v>40</v>
      </c>
      <c r="S1140" t="s">
        <v>41</v>
      </c>
      <c r="T1140" t="s">
        <v>4554</v>
      </c>
      <c r="U1140" t="s">
        <v>4555</v>
      </c>
      <c r="V1140" t="s">
        <v>4556</v>
      </c>
      <c r="W1140" t="s">
        <v>4557</v>
      </c>
      <c r="X1140" t="s">
        <v>46</v>
      </c>
      <c r="AC1140">
        <f>COUNTIF(C:C,QLKV_gui_ket_qua_ra_soat[[#This Row],[Mã điểm bán]])</f>
        <v>1</v>
      </c>
    </row>
    <row r="1141" spans="1:29" x14ac:dyDescent="0.45">
      <c r="A1141" t="s">
        <v>4550</v>
      </c>
      <c r="B1141">
        <v>23</v>
      </c>
      <c r="C1141" t="s">
        <v>4632</v>
      </c>
      <c r="D1141" t="s">
        <v>4633</v>
      </c>
      <c r="F1141" t="s">
        <v>829</v>
      </c>
      <c r="G1141" t="s">
        <v>34</v>
      </c>
      <c r="H1141" t="s">
        <v>54</v>
      </c>
      <c r="I1141" t="s">
        <v>4634</v>
      </c>
      <c r="J1141" t="s">
        <v>38</v>
      </c>
      <c r="K1141" t="s">
        <v>38</v>
      </c>
      <c r="L1141" t="s">
        <v>40</v>
      </c>
      <c r="M1141" t="s">
        <v>38</v>
      </c>
      <c r="N1141" t="s">
        <v>37</v>
      </c>
      <c r="O1141" t="s">
        <v>40</v>
      </c>
      <c r="P1141" t="s">
        <v>38</v>
      </c>
      <c r="Q1141" t="s">
        <v>38</v>
      </c>
      <c r="R1141" t="s">
        <v>40</v>
      </c>
      <c r="S1141" t="s">
        <v>41</v>
      </c>
      <c r="T1141" t="s">
        <v>4554</v>
      </c>
      <c r="U1141" t="s">
        <v>4555</v>
      </c>
      <c r="V1141" t="s">
        <v>4556</v>
      </c>
      <c r="W1141" t="s">
        <v>4557</v>
      </c>
      <c r="X1141" t="s">
        <v>46</v>
      </c>
      <c r="AC1141">
        <f>COUNTIF(C:C,QLKV_gui_ket_qua_ra_soat[[#This Row],[Mã điểm bán]])</f>
        <v>1</v>
      </c>
    </row>
    <row r="1142" spans="1:29" x14ac:dyDescent="0.45">
      <c r="A1142" t="s">
        <v>4550</v>
      </c>
      <c r="B1142">
        <v>24</v>
      </c>
      <c r="C1142" t="s">
        <v>4635</v>
      </c>
      <c r="D1142" t="s">
        <v>4636</v>
      </c>
      <c r="F1142" t="s">
        <v>3156</v>
      </c>
      <c r="G1142" t="s">
        <v>34</v>
      </c>
      <c r="H1142" t="s">
        <v>54</v>
      </c>
      <c r="I1142" t="s">
        <v>4631</v>
      </c>
      <c r="J1142" t="s">
        <v>38</v>
      </c>
      <c r="K1142" t="s">
        <v>38</v>
      </c>
      <c r="L1142" t="s">
        <v>40</v>
      </c>
      <c r="M1142" t="s">
        <v>38</v>
      </c>
      <c r="N1142" t="s">
        <v>37</v>
      </c>
      <c r="O1142" t="s">
        <v>39</v>
      </c>
      <c r="P1142" t="s">
        <v>38</v>
      </c>
      <c r="Q1142" t="s">
        <v>38</v>
      </c>
      <c r="R1142" t="s">
        <v>40</v>
      </c>
      <c r="S1142" t="s">
        <v>41</v>
      </c>
      <c r="T1142" t="s">
        <v>4554</v>
      </c>
      <c r="U1142" t="s">
        <v>4555</v>
      </c>
      <c r="V1142" t="s">
        <v>4556</v>
      </c>
      <c r="W1142" t="s">
        <v>4557</v>
      </c>
      <c r="X1142" t="s">
        <v>46</v>
      </c>
      <c r="AC1142">
        <f>COUNTIF(C:C,QLKV_gui_ket_qua_ra_soat[[#This Row],[Mã điểm bán]])</f>
        <v>1</v>
      </c>
    </row>
    <row r="1143" spans="1:29" x14ac:dyDescent="0.45">
      <c r="A1143" t="s">
        <v>4550</v>
      </c>
      <c r="B1143">
        <v>25</v>
      </c>
      <c r="C1143" t="s">
        <v>4637</v>
      </c>
      <c r="D1143" t="s">
        <v>4638</v>
      </c>
      <c r="F1143" t="s">
        <v>53</v>
      </c>
      <c r="G1143" t="s">
        <v>34</v>
      </c>
      <c r="H1143" t="s">
        <v>171</v>
      </c>
      <c r="I1143" t="s">
        <v>4639</v>
      </c>
      <c r="J1143" t="s">
        <v>38</v>
      </c>
      <c r="K1143" t="s">
        <v>38</v>
      </c>
      <c r="L1143" t="s">
        <v>40</v>
      </c>
      <c r="M1143" t="s">
        <v>38</v>
      </c>
      <c r="N1143" t="s">
        <v>38</v>
      </c>
      <c r="O1143" t="s">
        <v>40</v>
      </c>
      <c r="P1143" t="s">
        <v>38</v>
      </c>
      <c r="Q1143" t="s">
        <v>38</v>
      </c>
      <c r="R1143" t="s">
        <v>40</v>
      </c>
      <c r="S1143" t="s">
        <v>41</v>
      </c>
      <c r="T1143" t="s">
        <v>4554</v>
      </c>
      <c r="U1143" t="s">
        <v>4555</v>
      </c>
      <c r="V1143" t="s">
        <v>4556</v>
      </c>
      <c r="W1143" t="s">
        <v>4557</v>
      </c>
      <c r="X1143" t="s">
        <v>46</v>
      </c>
      <c r="AC1143">
        <f>COUNTIF(C:C,QLKV_gui_ket_qua_ra_soat[[#This Row],[Mã điểm bán]])</f>
        <v>1</v>
      </c>
    </row>
    <row r="1144" spans="1:29" x14ac:dyDescent="0.45">
      <c r="A1144" t="s">
        <v>4550</v>
      </c>
      <c r="B1144">
        <v>26</v>
      </c>
      <c r="C1144" t="s">
        <v>4640</v>
      </c>
      <c r="D1144" t="s">
        <v>4641</v>
      </c>
      <c r="F1144" t="s">
        <v>889</v>
      </c>
      <c r="G1144" t="s">
        <v>34</v>
      </c>
      <c r="H1144" t="s">
        <v>54</v>
      </c>
      <c r="I1144" t="s">
        <v>4642</v>
      </c>
      <c r="J1144" t="s">
        <v>38</v>
      </c>
      <c r="K1144" t="s">
        <v>38</v>
      </c>
      <c r="L1144" t="s">
        <v>40</v>
      </c>
      <c r="M1144" t="s">
        <v>38</v>
      </c>
      <c r="N1144" t="s">
        <v>38</v>
      </c>
      <c r="O1144" t="s">
        <v>40</v>
      </c>
      <c r="P1144" t="s">
        <v>38</v>
      </c>
      <c r="Q1144" t="s">
        <v>38</v>
      </c>
      <c r="R1144" t="s">
        <v>40</v>
      </c>
      <c r="S1144" t="s">
        <v>41</v>
      </c>
      <c r="T1144" t="s">
        <v>4574</v>
      </c>
      <c r="U1144" t="s">
        <v>4555</v>
      </c>
      <c r="V1144" t="s">
        <v>4556</v>
      </c>
      <c r="W1144" t="s">
        <v>4557</v>
      </c>
      <c r="Z1144" t="s">
        <v>46</v>
      </c>
      <c r="AA1144" t="s">
        <v>4589</v>
      </c>
      <c r="AC1144">
        <f>COUNTIF(C:C,QLKV_gui_ket_qua_ra_soat[[#This Row],[Mã điểm bán]])</f>
        <v>1</v>
      </c>
    </row>
    <row r="1145" spans="1:29" x14ac:dyDescent="0.45">
      <c r="A1145" t="s">
        <v>4550</v>
      </c>
      <c r="B1145">
        <v>27</v>
      </c>
      <c r="C1145" t="s">
        <v>4643</v>
      </c>
      <c r="D1145" t="s">
        <v>4644</v>
      </c>
      <c r="F1145" t="s">
        <v>53</v>
      </c>
      <c r="G1145" t="s">
        <v>34</v>
      </c>
      <c r="H1145" t="s">
        <v>214</v>
      </c>
      <c r="I1145" t="s">
        <v>4645</v>
      </c>
      <c r="J1145" t="s">
        <v>38</v>
      </c>
      <c r="K1145" t="s">
        <v>38</v>
      </c>
      <c r="L1145" t="s">
        <v>40</v>
      </c>
      <c r="M1145" t="s">
        <v>38</v>
      </c>
      <c r="N1145" t="s">
        <v>38</v>
      </c>
      <c r="O1145" t="s">
        <v>40</v>
      </c>
      <c r="P1145" t="s">
        <v>38</v>
      </c>
      <c r="Q1145" t="s">
        <v>38</v>
      </c>
      <c r="R1145" t="s">
        <v>40</v>
      </c>
      <c r="S1145" t="s">
        <v>41</v>
      </c>
      <c r="T1145" t="s">
        <v>4554</v>
      </c>
      <c r="U1145" t="s">
        <v>4555</v>
      </c>
      <c r="V1145" t="s">
        <v>4556</v>
      </c>
      <c r="W1145" t="s">
        <v>4557</v>
      </c>
      <c r="X1145" t="s">
        <v>46</v>
      </c>
      <c r="AC1145">
        <f>COUNTIF(C:C,QLKV_gui_ket_qua_ra_soat[[#This Row],[Mã điểm bán]])</f>
        <v>1</v>
      </c>
    </row>
    <row r="1146" spans="1:29" x14ac:dyDescent="0.45">
      <c r="A1146" t="s">
        <v>4550</v>
      </c>
      <c r="B1146">
        <v>28</v>
      </c>
      <c r="C1146" t="s">
        <v>4646</v>
      </c>
      <c r="D1146" t="s">
        <v>4647</v>
      </c>
      <c r="F1146" t="s">
        <v>53</v>
      </c>
      <c r="G1146" t="s">
        <v>34</v>
      </c>
      <c r="H1146" t="s">
        <v>171</v>
      </c>
      <c r="I1146" t="s">
        <v>4648</v>
      </c>
      <c r="J1146" t="s">
        <v>38</v>
      </c>
      <c r="K1146" t="s">
        <v>38</v>
      </c>
      <c r="L1146" t="s">
        <v>40</v>
      </c>
      <c r="M1146" t="s">
        <v>38</v>
      </c>
      <c r="N1146" t="s">
        <v>38</v>
      </c>
      <c r="O1146" t="s">
        <v>40</v>
      </c>
      <c r="P1146" t="s">
        <v>38</v>
      </c>
      <c r="Q1146" t="s">
        <v>38</v>
      </c>
      <c r="R1146" t="s">
        <v>40</v>
      </c>
      <c r="S1146" t="s">
        <v>41</v>
      </c>
      <c r="T1146" t="s">
        <v>4554</v>
      </c>
      <c r="U1146" t="s">
        <v>4555</v>
      </c>
      <c r="V1146" t="s">
        <v>4556</v>
      </c>
      <c r="W1146" t="s">
        <v>4557</v>
      </c>
      <c r="X1146" t="s">
        <v>46</v>
      </c>
      <c r="AC1146">
        <f>COUNTIF(C:C,QLKV_gui_ket_qua_ra_soat[[#This Row],[Mã điểm bán]])</f>
        <v>1</v>
      </c>
    </row>
    <row r="1147" spans="1:29" x14ac:dyDescent="0.45">
      <c r="A1147" t="s">
        <v>4550</v>
      </c>
      <c r="B1147">
        <v>29</v>
      </c>
      <c r="C1147" t="s">
        <v>4649</v>
      </c>
      <c r="D1147" t="s">
        <v>4650</v>
      </c>
      <c r="F1147" t="s">
        <v>115</v>
      </c>
      <c r="G1147" t="s">
        <v>34</v>
      </c>
      <c r="H1147" t="s">
        <v>214</v>
      </c>
      <c r="I1147" t="s">
        <v>4628</v>
      </c>
      <c r="J1147" t="s">
        <v>38</v>
      </c>
      <c r="K1147" t="s">
        <v>38</v>
      </c>
      <c r="L1147" t="s">
        <v>40</v>
      </c>
      <c r="M1147" t="s">
        <v>38</v>
      </c>
      <c r="N1147" t="s">
        <v>38</v>
      </c>
      <c r="O1147" t="s">
        <v>40</v>
      </c>
      <c r="P1147" t="s">
        <v>38</v>
      </c>
      <c r="Q1147" t="s">
        <v>38</v>
      </c>
      <c r="R1147" t="s">
        <v>40</v>
      </c>
      <c r="S1147" t="s">
        <v>41</v>
      </c>
      <c r="T1147" t="s">
        <v>4554</v>
      </c>
      <c r="U1147" t="s">
        <v>4555</v>
      </c>
      <c r="V1147" t="s">
        <v>4556</v>
      </c>
      <c r="W1147" t="s">
        <v>4557</v>
      </c>
      <c r="X1147" t="s">
        <v>46</v>
      </c>
      <c r="AC1147">
        <f>COUNTIF(C:C,QLKV_gui_ket_qua_ra_soat[[#This Row],[Mã điểm bán]])</f>
        <v>1</v>
      </c>
    </row>
    <row r="1148" spans="1:29" x14ac:dyDescent="0.45">
      <c r="A1148" t="s">
        <v>4550</v>
      </c>
      <c r="B1148">
        <v>30</v>
      </c>
      <c r="C1148" t="s">
        <v>4651</v>
      </c>
      <c r="D1148" t="s">
        <v>4652</v>
      </c>
      <c r="F1148" t="s">
        <v>166</v>
      </c>
      <c r="G1148" t="s">
        <v>34</v>
      </c>
      <c r="H1148" t="s">
        <v>54</v>
      </c>
      <c r="I1148" t="s">
        <v>4628</v>
      </c>
      <c r="J1148" t="s">
        <v>38</v>
      </c>
      <c r="K1148" t="s">
        <v>38</v>
      </c>
      <c r="L1148" t="s">
        <v>40</v>
      </c>
      <c r="M1148" t="s">
        <v>38</v>
      </c>
      <c r="N1148" t="s">
        <v>38</v>
      </c>
      <c r="O1148" t="s">
        <v>40</v>
      </c>
      <c r="P1148" t="s">
        <v>38</v>
      </c>
      <c r="Q1148" t="s">
        <v>38</v>
      </c>
      <c r="R1148" t="s">
        <v>40</v>
      </c>
      <c r="S1148" t="s">
        <v>41</v>
      </c>
      <c r="T1148" t="s">
        <v>4554</v>
      </c>
      <c r="U1148" t="s">
        <v>4555</v>
      </c>
      <c r="V1148" t="s">
        <v>4556</v>
      </c>
      <c r="W1148" t="s">
        <v>4557</v>
      </c>
      <c r="X1148" t="s">
        <v>46</v>
      </c>
      <c r="AC1148">
        <f>COUNTIF(C:C,QLKV_gui_ket_qua_ra_soat[[#This Row],[Mã điểm bán]])</f>
        <v>1</v>
      </c>
    </row>
    <row r="1149" spans="1:29" x14ac:dyDescent="0.45">
      <c r="A1149" t="s">
        <v>4550</v>
      </c>
      <c r="B1149">
        <v>31</v>
      </c>
      <c r="C1149" t="s">
        <v>4653</v>
      </c>
      <c r="D1149" t="s">
        <v>4654</v>
      </c>
      <c r="F1149" t="s">
        <v>4655</v>
      </c>
      <c r="G1149" t="s">
        <v>34</v>
      </c>
      <c r="H1149" t="s">
        <v>931</v>
      </c>
      <c r="I1149" t="s">
        <v>4656</v>
      </c>
      <c r="J1149" t="s">
        <v>38</v>
      </c>
      <c r="K1149" t="s">
        <v>38</v>
      </c>
      <c r="L1149" t="s">
        <v>40</v>
      </c>
      <c r="M1149" t="s">
        <v>37</v>
      </c>
      <c r="N1149" t="s">
        <v>38</v>
      </c>
      <c r="O1149" t="s">
        <v>39</v>
      </c>
      <c r="P1149" t="s">
        <v>38</v>
      </c>
      <c r="Q1149" t="s">
        <v>38</v>
      </c>
      <c r="R1149" t="s">
        <v>40</v>
      </c>
      <c r="S1149" t="s">
        <v>41</v>
      </c>
      <c r="T1149" t="s">
        <v>4574</v>
      </c>
      <c r="U1149" t="s">
        <v>4555</v>
      </c>
      <c r="V1149" t="s">
        <v>4556</v>
      </c>
      <c r="W1149" t="s">
        <v>4557</v>
      </c>
      <c r="X1149" t="s">
        <v>46</v>
      </c>
      <c r="AC1149">
        <f>COUNTIF(C:C,QLKV_gui_ket_qua_ra_soat[[#This Row],[Mã điểm bán]])</f>
        <v>1</v>
      </c>
    </row>
    <row r="1150" spans="1:29" x14ac:dyDescent="0.45">
      <c r="A1150" t="s">
        <v>4550</v>
      </c>
      <c r="B1150">
        <v>32</v>
      </c>
      <c r="C1150" t="s">
        <v>4657</v>
      </c>
      <c r="D1150" t="s">
        <v>4658</v>
      </c>
      <c r="F1150" t="s">
        <v>53</v>
      </c>
      <c r="G1150" t="s">
        <v>34</v>
      </c>
      <c r="H1150" t="s">
        <v>171</v>
      </c>
      <c r="I1150" t="s">
        <v>4659</v>
      </c>
      <c r="J1150" t="s">
        <v>38</v>
      </c>
      <c r="K1150" t="s">
        <v>38</v>
      </c>
      <c r="L1150" t="s">
        <v>40</v>
      </c>
      <c r="M1150" t="s">
        <v>38</v>
      </c>
      <c r="N1150" t="s">
        <v>38</v>
      </c>
      <c r="O1150" t="s">
        <v>40</v>
      </c>
      <c r="P1150" t="s">
        <v>38</v>
      </c>
      <c r="Q1150" t="s">
        <v>38</v>
      </c>
      <c r="R1150" t="s">
        <v>40</v>
      </c>
      <c r="S1150" t="s">
        <v>41</v>
      </c>
      <c r="T1150" t="s">
        <v>4554</v>
      </c>
      <c r="U1150" t="s">
        <v>4555</v>
      </c>
      <c r="V1150" t="s">
        <v>4556</v>
      </c>
      <c r="W1150" t="s">
        <v>4557</v>
      </c>
      <c r="X1150" t="s">
        <v>46</v>
      </c>
      <c r="AC1150">
        <f>COUNTIF(C:C,QLKV_gui_ket_qua_ra_soat[[#This Row],[Mã điểm bán]])</f>
        <v>1</v>
      </c>
    </row>
    <row r="1151" spans="1:29" x14ac:dyDescent="0.45">
      <c r="A1151" t="s">
        <v>4550</v>
      </c>
      <c r="B1151">
        <v>33</v>
      </c>
      <c r="C1151" t="s">
        <v>4660</v>
      </c>
      <c r="D1151" t="s">
        <v>4661</v>
      </c>
      <c r="F1151" t="s">
        <v>4316</v>
      </c>
      <c r="G1151" t="s">
        <v>34</v>
      </c>
      <c r="H1151" t="s">
        <v>1188</v>
      </c>
      <c r="I1151" t="s">
        <v>4656</v>
      </c>
      <c r="J1151" t="s">
        <v>38</v>
      </c>
      <c r="K1151" t="s">
        <v>38</v>
      </c>
      <c r="L1151" t="s">
        <v>40</v>
      </c>
      <c r="M1151" t="s">
        <v>38</v>
      </c>
      <c r="N1151" t="s">
        <v>38</v>
      </c>
      <c r="O1151" t="s">
        <v>39</v>
      </c>
      <c r="P1151" t="s">
        <v>38</v>
      </c>
      <c r="Q1151" t="s">
        <v>38</v>
      </c>
      <c r="R1151" t="s">
        <v>40</v>
      </c>
      <c r="S1151" t="s">
        <v>4662</v>
      </c>
      <c r="T1151" t="s">
        <v>4574</v>
      </c>
      <c r="U1151" t="s">
        <v>4555</v>
      </c>
      <c r="V1151" t="s">
        <v>4556</v>
      </c>
      <c r="W1151" t="s">
        <v>4557</v>
      </c>
      <c r="X1151" t="s">
        <v>46</v>
      </c>
      <c r="AC1151">
        <f>COUNTIF(C:C,QLKV_gui_ket_qua_ra_soat[[#This Row],[Mã điểm bán]])</f>
        <v>1</v>
      </c>
    </row>
    <row r="1152" spans="1:29" x14ac:dyDescent="0.45">
      <c r="A1152" t="s">
        <v>4550</v>
      </c>
      <c r="B1152">
        <v>34</v>
      </c>
      <c r="C1152" t="s">
        <v>4663</v>
      </c>
      <c r="D1152" t="s">
        <v>4664</v>
      </c>
      <c r="F1152" t="s">
        <v>53</v>
      </c>
      <c r="G1152" t="s">
        <v>177</v>
      </c>
      <c r="H1152" t="s">
        <v>54</v>
      </c>
      <c r="I1152" t="s">
        <v>4665</v>
      </c>
      <c r="J1152" t="s">
        <v>38</v>
      </c>
      <c r="K1152" t="s">
        <v>38</v>
      </c>
      <c r="L1152" t="s">
        <v>40</v>
      </c>
      <c r="M1152" t="s">
        <v>38</v>
      </c>
      <c r="N1152" t="s">
        <v>56</v>
      </c>
      <c r="O1152" t="s">
        <v>39</v>
      </c>
      <c r="P1152" t="s">
        <v>38</v>
      </c>
      <c r="Q1152" t="s">
        <v>38</v>
      </c>
      <c r="R1152" t="s">
        <v>40</v>
      </c>
      <c r="S1152" t="s">
        <v>4666</v>
      </c>
      <c r="T1152" t="s">
        <v>4667</v>
      </c>
      <c r="U1152" t="s">
        <v>4668</v>
      </c>
      <c r="V1152" t="s">
        <v>4556</v>
      </c>
      <c r="W1152" t="s">
        <v>4567</v>
      </c>
      <c r="X1152" t="s">
        <v>46</v>
      </c>
      <c r="AC1152">
        <f>COUNTIF(C:C,QLKV_gui_ket_qua_ra_soat[[#This Row],[Mã điểm bán]])</f>
        <v>1</v>
      </c>
    </row>
    <row r="1153" spans="1:29" x14ac:dyDescent="0.45">
      <c r="A1153" t="s">
        <v>4550</v>
      </c>
      <c r="B1153">
        <v>35</v>
      </c>
      <c r="C1153" t="s">
        <v>4669</v>
      </c>
      <c r="D1153" t="s">
        <v>4670</v>
      </c>
      <c r="F1153" t="s">
        <v>53</v>
      </c>
      <c r="G1153" t="s">
        <v>34</v>
      </c>
      <c r="H1153" t="s">
        <v>54</v>
      </c>
      <c r="I1153" t="s">
        <v>4671</v>
      </c>
      <c r="J1153" t="s">
        <v>38</v>
      </c>
      <c r="K1153" t="s">
        <v>38</v>
      </c>
      <c r="L1153" t="s">
        <v>40</v>
      </c>
      <c r="M1153" t="s">
        <v>38</v>
      </c>
      <c r="N1153" t="s">
        <v>38</v>
      </c>
      <c r="O1153" t="s">
        <v>39</v>
      </c>
      <c r="P1153" t="s">
        <v>38</v>
      </c>
      <c r="Q1153" t="s">
        <v>38</v>
      </c>
      <c r="R1153" t="s">
        <v>40</v>
      </c>
      <c r="S1153" t="s">
        <v>41</v>
      </c>
      <c r="T1153" t="s">
        <v>4574</v>
      </c>
      <c r="U1153" t="s">
        <v>4555</v>
      </c>
      <c r="V1153" t="s">
        <v>4556</v>
      </c>
      <c r="W1153" t="s">
        <v>4557</v>
      </c>
      <c r="X1153" t="s">
        <v>46</v>
      </c>
      <c r="AC1153">
        <f>COUNTIF(C:C,QLKV_gui_ket_qua_ra_soat[[#This Row],[Mã điểm bán]])</f>
        <v>1</v>
      </c>
    </row>
    <row r="1154" spans="1:29" x14ac:dyDescent="0.45">
      <c r="A1154" t="s">
        <v>4550</v>
      </c>
      <c r="B1154">
        <v>36</v>
      </c>
      <c r="C1154" t="s">
        <v>4672</v>
      </c>
      <c r="D1154" t="s">
        <v>4673</v>
      </c>
      <c r="F1154" t="s">
        <v>53</v>
      </c>
      <c r="G1154" t="s">
        <v>34</v>
      </c>
      <c r="H1154" t="s">
        <v>54</v>
      </c>
      <c r="I1154" t="s">
        <v>4671</v>
      </c>
      <c r="J1154" t="s">
        <v>38</v>
      </c>
      <c r="K1154" t="s">
        <v>38</v>
      </c>
      <c r="L1154" t="s">
        <v>40</v>
      </c>
      <c r="M1154" t="s">
        <v>38</v>
      </c>
      <c r="N1154" t="s">
        <v>38</v>
      </c>
      <c r="O1154" t="s">
        <v>39</v>
      </c>
      <c r="P1154" t="s">
        <v>38</v>
      </c>
      <c r="Q1154" t="s">
        <v>38</v>
      </c>
      <c r="R1154" t="s">
        <v>40</v>
      </c>
      <c r="S1154" t="s">
        <v>41</v>
      </c>
      <c r="T1154" t="s">
        <v>4574</v>
      </c>
      <c r="U1154" t="s">
        <v>4555</v>
      </c>
      <c r="V1154" t="s">
        <v>4556</v>
      </c>
      <c r="W1154" t="s">
        <v>4557</v>
      </c>
      <c r="Z1154" t="s">
        <v>46</v>
      </c>
      <c r="AA1154" t="s">
        <v>4589</v>
      </c>
      <c r="AC1154">
        <f>COUNTIF(C:C,QLKV_gui_ket_qua_ra_soat[[#This Row],[Mã điểm bán]])</f>
        <v>1</v>
      </c>
    </row>
    <row r="1155" spans="1:29" x14ac:dyDescent="0.45">
      <c r="A1155" t="s">
        <v>4550</v>
      </c>
      <c r="B1155">
        <v>37</v>
      </c>
      <c r="C1155" t="s">
        <v>4674</v>
      </c>
      <c r="D1155" t="s">
        <v>4675</v>
      </c>
      <c r="F1155" t="s">
        <v>53</v>
      </c>
      <c r="G1155" t="s">
        <v>34</v>
      </c>
      <c r="H1155" t="s">
        <v>54</v>
      </c>
      <c r="I1155" t="s">
        <v>4676</v>
      </c>
      <c r="J1155" t="s">
        <v>38</v>
      </c>
      <c r="K1155" t="s">
        <v>38</v>
      </c>
      <c r="L1155" t="s">
        <v>40</v>
      </c>
      <c r="M1155" t="s">
        <v>56</v>
      </c>
      <c r="N1155" t="s">
        <v>56</v>
      </c>
      <c r="O1155" t="s">
        <v>39</v>
      </c>
      <c r="P1155" t="s">
        <v>38</v>
      </c>
      <c r="Q1155" t="s">
        <v>38</v>
      </c>
      <c r="R1155" t="s">
        <v>40</v>
      </c>
      <c r="S1155" t="s">
        <v>41</v>
      </c>
      <c r="T1155" t="s">
        <v>4554</v>
      </c>
      <c r="U1155" t="s">
        <v>4555</v>
      </c>
      <c r="V1155" t="s">
        <v>4556</v>
      </c>
      <c r="W1155" t="s">
        <v>4557</v>
      </c>
      <c r="Z1155" t="s">
        <v>46</v>
      </c>
      <c r="AA1155" t="s">
        <v>4589</v>
      </c>
      <c r="AC1155">
        <f>COUNTIF(C:C,QLKV_gui_ket_qua_ra_soat[[#This Row],[Mã điểm bán]])</f>
        <v>1</v>
      </c>
    </row>
    <row r="1156" spans="1:29" x14ac:dyDescent="0.45">
      <c r="A1156" t="s">
        <v>4550</v>
      </c>
      <c r="B1156">
        <v>38</v>
      </c>
      <c r="C1156" t="s">
        <v>4677</v>
      </c>
      <c r="D1156" t="s">
        <v>4678</v>
      </c>
      <c r="F1156" t="s">
        <v>115</v>
      </c>
      <c r="G1156" t="s">
        <v>34</v>
      </c>
      <c r="H1156" t="s">
        <v>214</v>
      </c>
      <c r="I1156" t="s">
        <v>4612</v>
      </c>
      <c r="J1156" t="s">
        <v>38</v>
      </c>
      <c r="K1156" t="s">
        <v>38</v>
      </c>
      <c r="L1156" t="s">
        <v>40</v>
      </c>
      <c r="M1156" t="s">
        <v>38</v>
      </c>
      <c r="N1156" t="s">
        <v>38</v>
      </c>
      <c r="O1156" t="s">
        <v>40</v>
      </c>
      <c r="P1156" t="s">
        <v>38</v>
      </c>
      <c r="Q1156" t="s">
        <v>38</v>
      </c>
      <c r="R1156" t="s">
        <v>40</v>
      </c>
      <c r="S1156" t="s">
        <v>41</v>
      </c>
      <c r="T1156" t="s">
        <v>4554</v>
      </c>
      <c r="U1156" t="s">
        <v>4555</v>
      </c>
      <c r="V1156" t="s">
        <v>4556</v>
      </c>
      <c r="W1156" t="s">
        <v>4557</v>
      </c>
      <c r="X1156" t="s">
        <v>46</v>
      </c>
      <c r="AC1156">
        <f>COUNTIF(C:C,QLKV_gui_ket_qua_ra_soat[[#This Row],[Mã điểm bán]])</f>
        <v>1</v>
      </c>
    </row>
    <row r="1157" spans="1:29" x14ac:dyDescent="0.45">
      <c r="A1157" t="s">
        <v>4550</v>
      </c>
      <c r="B1157">
        <v>39</v>
      </c>
      <c r="C1157" t="s">
        <v>4679</v>
      </c>
      <c r="D1157" t="s">
        <v>4680</v>
      </c>
      <c r="F1157" t="s">
        <v>53</v>
      </c>
      <c r="G1157" t="s">
        <v>34</v>
      </c>
      <c r="H1157" t="s">
        <v>54</v>
      </c>
      <c r="I1157" t="s">
        <v>4681</v>
      </c>
      <c r="J1157" t="s">
        <v>38</v>
      </c>
      <c r="K1157" t="s">
        <v>38</v>
      </c>
      <c r="L1157" t="s">
        <v>40</v>
      </c>
      <c r="M1157" t="s">
        <v>56</v>
      </c>
      <c r="N1157" t="s">
        <v>56</v>
      </c>
      <c r="O1157" t="s">
        <v>39</v>
      </c>
      <c r="P1157" t="s">
        <v>38</v>
      </c>
      <c r="Q1157" t="s">
        <v>38</v>
      </c>
      <c r="R1157" t="s">
        <v>40</v>
      </c>
      <c r="S1157" t="s">
        <v>41</v>
      </c>
      <c r="T1157" t="s">
        <v>4554</v>
      </c>
      <c r="U1157" t="s">
        <v>4555</v>
      </c>
      <c r="V1157" t="s">
        <v>4556</v>
      </c>
      <c r="W1157" t="s">
        <v>4557</v>
      </c>
      <c r="Z1157" t="s">
        <v>46</v>
      </c>
      <c r="AA1157" t="s">
        <v>4589</v>
      </c>
      <c r="AC1157">
        <f>COUNTIF(C:C,QLKV_gui_ket_qua_ra_soat[[#This Row],[Mã điểm bán]])</f>
        <v>1</v>
      </c>
    </row>
    <row r="1158" spans="1:29" x14ac:dyDescent="0.45">
      <c r="A1158" t="s">
        <v>4550</v>
      </c>
      <c r="B1158">
        <v>40</v>
      </c>
      <c r="C1158" t="s">
        <v>4682</v>
      </c>
      <c r="D1158" t="s">
        <v>4683</v>
      </c>
      <c r="F1158" t="s">
        <v>2365</v>
      </c>
      <c r="G1158" t="s">
        <v>34</v>
      </c>
      <c r="H1158" t="s">
        <v>685</v>
      </c>
      <c r="I1158" t="s">
        <v>4684</v>
      </c>
      <c r="J1158" t="s">
        <v>38</v>
      </c>
      <c r="K1158" t="s">
        <v>38</v>
      </c>
      <c r="L1158" t="s">
        <v>40</v>
      </c>
      <c r="M1158" t="s">
        <v>38</v>
      </c>
      <c r="N1158" t="s">
        <v>37</v>
      </c>
      <c r="O1158" t="s">
        <v>39</v>
      </c>
      <c r="P1158" t="s">
        <v>38</v>
      </c>
      <c r="Q1158" t="s">
        <v>38</v>
      </c>
      <c r="R1158" t="s">
        <v>40</v>
      </c>
      <c r="S1158" t="s">
        <v>4685</v>
      </c>
      <c r="T1158" t="s">
        <v>4574</v>
      </c>
      <c r="U1158" t="s">
        <v>4555</v>
      </c>
      <c r="V1158" t="s">
        <v>4556</v>
      </c>
      <c r="W1158" t="s">
        <v>4557</v>
      </c>
      <c r="X1158" t="s">
        <v>46</v>
      </c>
      <c r="AC1158">
        <f>COUNTIF(C:C,QLKV_gui_ket_qua_ra_soat[[#This Row],[Mã điểm bán]])</f>
        <v>1</v>
      </c>
    </row>
    <row r="1159" spans="1:29" x14ac:dyDescent="0.45">
      <c r="A1159" t="s">
        <v>4550</v>
      </c>
      <c r="B1159">
        <v>41</v>
      </c>
      <c r="C1159" t="s">
        <v>4686</v>
      </c>
      <c r="D1159" t="s">
        <v>4687</v>
      </c>
      <c r="F1159" t="s">
        <v>4688</v>
      </c>
      <c r="G1159" t="s">
        <v>34</v>
      </c>
      <c r="H1159" t="s">
        <v>4689</v>
      </c>
      <c r="I1159" t="s">
        <v>4690</v>
      </c>
      <c r="J1159" t="s">
        <v>38</v>
      </c>
      <c r="K1159" t="s">
        <v>38</v>
      </c>
      <c r="L1159" t="s">
        <v>40</v>
      </c>
      <c r="M1159" t="s">
        <v>38</v>
      </c>
      <c r="N1159" t="s">
        <v>38</v>
      </c>
      <c r="O1159" t="s">
        <v>39</v>
      </c>
      <c r="P1159" t="s">
        <v>38</v>
      </c>
      <c r="Q1159" t="s">
        <v>38</v>
      </c>
      <c r="R1159" t="s">
        <v>40</v>
      </c>
      <c r="S1159" t="s">
        <v>2992</v>
      </c>
      <c r="T1159" t="s">
        <v>4574</v>
      </c>
      <c r="U1159" t="s">
        <v>4555</v>
      </c>
      <c r="V1159" t="s">
        <v>4556</v>
      </c>
      <c r="W1159" t="s">
        <v>4557</v>
      </c>
      <c r="X1159" t="s">
        <v>46</v>
      </c>
      <c r="AC1159">
        <f>COUNTIF(C:C,QLKV_gui_ket_qua_ra_soat[[#This Row],[Mã điểm bán]])</f>
        <v>1</v>
      </c>
    </row>
    <row r="1160" spans="1:29" x14ac:dyDescent="0.45">
      <c r="A1160" t="s">
        <v>4550</v>
      </c>
      <c r="B1160">
        <v>42</v>
      </c>
      <c r="C1160" t="s">
        <v>4691</v>
      </c>
      <c r="D1160" t="s">
        <v>4692</v>
      </c>
      <c r="F1160" t="s">
        <v>2365</v>
      </c>
      <c r="G1160" t="s">
        <v>34</v>
      </c>
      <c r="H1160" t="s">
        <v>4689</v>
      </c>
      <c r="I1160" t="s">
        <v>4693</v>
      </c>
      <c r="J1160" t="s">
        <v>38</v>
      </c>
      <c r="K1160" t="s">
        <v>38</v>
      </c>
      <c r="L1160" t="s">
        <v>40</v>
      </c>
      <c r="M1160" t="s">
        <v>38</v>
      </c>
      <c r="N1160" t="s">
        <v>38</v>
      </c>
      <c r="O1160" t="s">
        <v>39</v>
      </c>
      <c r="P1160" t="s">
        <v>38</v>
      </c>
      <c r="Q1160" t="s">
        <v>38</v>
      </c>
      <c r="R1160" t="s">
        <v>40</v>
      </c>
      <c r="S1160" t="s">
        <v>4694</v>
      </c>
      <c r="T1160" t="s">
        <v>4574</v>
      </c>
      <c r="U1160" t="s">
        <v>4555</v>
      </c>
      <c r="V1160" t="s">
        <v>4556</v>
      </c>
      <c r="W1160" t="s">
        <v>4557</v>
      </c>
      <c r="X1160" t="s">
        <v>46</v>
      </c>
      <c r="AC1160">
        <f>COUNTIF(C:C,QLKV_gui_ket_qua_ra_soat[[#This Row],[Mã điểm bán]])</f>
        <v>1</v>
      </c>
    </row>
    <row r="1161" spans="1:29" x14ac:dyDescent="0.45">
      <c r="A1161" t="s">
        <v>4550</v>
      </c>
      <c r="B1161">
        <v>43</v>
      </c>
      <c r="C1161" t="s">
        <v>4695</v>
      </c>
      <c r="D1161" t="s">
        <v>4696</v>
      </c>
      <c r="F1161" t="s">
        <v>53</v>
      </c>
      <c r="G1161" t="s">
        <v>34</v>
      </c>
      <c r="H1161" t="s">
        <v>54</v>
      </c>
      <c r="I1161" t="s">
        <v>4697</v>
      </c>
      <c r="J1161" t="s">
        <v>38</v>
      </c>
      <c r="K1161" t="s">
        <v>38</v>
      </c>
      <c r="L1161" t="s">
        <v>40</v>
      </c>
      <c r="M1161" t="s">
        <v>38</v>
      </c>
      <c r="N1161" t="s">
        <v>38</v>
      </c>
      <c r="O1161" t="s">
        <v>39</v>
      </c>
      <c r="P1161" t="s">
        <v>38</v>
      </c>
      <c r="Q1161" t="s">
        <v>38</v>
      </c>
      <c r="R1161" t="s">
        <v>40</v>
      </c>
      <c r="S1161" t="s">
        <v>4698</v>
      </c>
      <c r="T1161" t="s">
        <v>4574</v>
      </c>
      <c r="U1161" t="s">
        <v>4555</v>
      </c>
      <c r="V1161" t="s">
        <v>4556</v>
      </c>
      <c r="W1161" t="s">
        <v>4557</v>
      </c>
      <c r="X1161" t="s">
        <v>46</v>
      </c>
      <c r="AC1161">
        <f>COUNTIF(C:C,QLKV_gui_ket_qua_ra_soat[[#This Row],[Mã điểm bán]])</f>
        <v>1</v>
      </c>
    </row>
    <row r="1162" spans="1:29" x14ac:dyDescent="0.45">
      <c r="A1162" t="s">
        <v>4550</v>
      </c>
      <c r="B1162">
        <v>44</v>
      </c>
      <c r="C1162" t="s">
        <v>4699</v>
      </c>
      <c r="D1162" t="s">
        <v>4700</v>
      </c>
      <c r="F1162" t="s">
        <v>3216</v>
      </c>
      <c r="G1162" t="s">
        <v>34</v>
      </c>
      <c r="H1162" t="s">
        <v>54</v>
      </c>
      <c r="I1162" t="s">
        <v>4701</v>
      </c>
      <c r="J1162" t="s">
        <v>38</v>
      </c>
      <c r="K1162" t="s">
        <v>38</v>
      </c>
      <c r="L1162" t="s">
        <v>39</v>
      </c>
      <c r="M1162" t="s">
        <v>56</v>
      </c>
      <c r="N1162" t="s">
        <v>38</v>
      </c>
      <c r="O1162" t="s">
        <v>39</v>
      </c>
      <c r="P1162" t="s">
        <v>38</v>
      </c>
      <c r="Q1162" t="s">
        <v>38</v>
      </c>
      <c r="R1162" t="s">
        <v>40</v>
      </c>
      <c r="S1162" t="s">
        <v>4702</v>
      </c>
      <c r="T1162" t="s">
        <v>4574</v>
      </c>
      <c r="U1162" t="s">
        <v>4555</v>
      </c>
      <c r="V1162" t="s">
        <v>4556</v>
      </c>
      <c r="W1162" t="s">
        <v>4557</v>
      </c>
      <c r="Z1162" t="s">
        <v>46</v>
      </c>
      <c r="AA1162" t="s">
        <v>4589</v>
      </c>
      <c r="AC1162">
        <f>COUNTIF(C:C,QLKV_gui_ket_qua_ra_soat[[#This Row],[Mã điểm bán]])</f>
        <v>1</v>
      </c>
    </row>
    <row r="1163" spans="1:29" x14ac:dyDescent="0.45">
      <c r="A1163" t="s">
        <v>4550</v>
      </c>
      <c r="B1163">
        <v>45</v>
      </c>
      <c r="C1163" t="s">
        <v>4703</v>
      </c>
      <c r="D1163" t="s">
        <v>4704</v>
      </c>
      <c r="F1163" t="s">
        <v>4705</v>
      </c>
      <c r="G1163" t="s">
        <v>34</v>
      </c>
      <c r="H1163" t="s">
        <v>54</v>
      </c>
      <c r="I1163" t="s">
        <v>4706</v>
      </c>
      <c r="J1163" t="s">
        <v>38</v>
      </c>
      <c r="K1163" t="s">
        <v>38</v>
      </c>
      <c r="L1163" t="s">
        <v>40</v>
      </c>
      <c r="M1163" t="s">
        <v>38</v>
      </c>
      <c r="N1163" t="s">
        <v>38</v>
      </c>
      <c r="O1163" t="s">
        <v>39</v>
      </c>
      <c r="P1163" t="s">
        <v>38</v>
      </c>
      <c r="Q1163" t="s">
        <v>38</v>
      </c>
      <c r="R1163" t="s">
        <v>40</v>
      </c>
      <c r="S1163" t="s">
        <v>41</v>
      </c>
      <c r="T1163" t="s">
        <v>4574</v>
      </c>
      <c r="U1163" t="s">
        <v>4555</v>
      </c>
      <c r="V1163" t="s">
        <v>4556</v>
      </c>
      <c r="W1163" t="s">
        <v>4557</v>
      </c>
      <c r="X1163" t="s">
        <v>46</v>
      </c>
      <c r="AC1163">
        <f>COUNTIF(C:C,QLKV_gui_ket_qua_ra_soat[[#This Row],[Mã điểm bán]])</f>
        <v>1</v>
      </c>
    </row>
    <row r="1164" spans="1:29" x14ac:dyDescent="0.45">
      <c r="A1164" t="s">
        <v>4550</v>
      </c>
      <c r="B1164">
        <v>46</v>
      </c>
      <c r="C1164" t="s">
        <v>4707</v>
      </c>
      <c r="D1164" t="s">
        <v>4708</v>
      </c>
      <c r="F1164" t="s">
        <v>115</v>
      </c>
      <c r="G1164" t="s">
        <v>34</v>
      </c>
      <c r="H1164" t="s">
        <v>1715</v>
      </c>
      <c r="I1164" t="s">
        <v>4709</v>
      </c>
      <c r="J1164" t="s">
        <v>38</v>
      </c>
      <c r="K1164" t="s">
        <v>38</v>
      </c>
      <c r="L1164" t="s">
        <v>40</v>
      </c>
      <c r="M1164" t="s">
        <v>38</v>
      </c>
      <c r="N1164" t="s">
        <v>38</v>
      </c>
      <c r="O1164" t="s">
        <v>39</v>
      </c>
      <c r="P1164" t="s">
        <v>38</v>
      </c>
      <c r="Q1164" t="s">
        <v>38</v>
      </c>
      <c r="R1164" t="s">
        <v>40</v>
      </c>
      <c r="S1164" t="s">
        <v>4710</v>
      </c>
      <c r="T1164" t="s">
        <v>4574</v>
      </c>
      <c r="U1164" t="s">
        <v>4555</v>
      </c>
      <c r="V1164" t="s">
        <v>4556</v>
      </c>
      <c r="W1164" t="s">
        <v>4557</v>
      </c>
      <c r="X1164" t="s">
        <v>46</v>
      </c>
      <c r="AC1164">
        <f>COUNTIF(C:C,QLKV_gui_ket_qua_ra_soat[[#This Row],[Mã điểm bán]])</f>
        <v>1</v>
      </c>
    </row>
    <row r="1165" spans="1:29" x14ac:dyDescent="0.45">
      <c r="A1165" t="s">
        <v>4550</v>
      </c>
      <c r="B1165">
        <v>47</v>
      </c>
      <c r="C1165" t="s">
        <v>4711</v>
      </c>
      <c r="D1165" t="s">
        <v>4712</v>
      </c>
      <c r="F1165" t="s">
        <v>426</v>
      </c>
      <c r="G1165" t="s">
        <v>34</v>
      </c>
      <c r="H1165" t="s">
        <v>54</v>
      </c>
      <c r="I1165" t="s">
        <v>4713</v>
      </c>
      <c r="J1165" t="s">
        <v>37</v>
      </c>
      <c r="K1165" t="s">
        <v>37</v>
      </c>
      <c r="L1165" t="s">
        <v>40</v>
      </c>
      <c r="M1165" t="s">
        <v>56</v>
      </c>
      <c r="N1165" t="s">
        <v>56</v>
      </c>
      <c r="O1165" t="s">
        <v>39</v>
      </c>
      <c r="P1165" t="s">
        <v>38</v>
      </c>
      <c r="Q1165" t="s">
        <v>38</v>
      </c>
      <c r="R1165" t="s">
        <v>40</v>
      </c>
      <c r="S1165" t="s">
        <v>41</v>
      </c>
      <c r="T1165" t="s">
        <v>4554</v>
      </c>
      <c r="U1165" t="s">
        <v>4555</v>
      </c>
      <c r="V1165" t="s">
        <v>4556</v>
      </c>
      <c r="W1165" t="s">
        <v>4557</v>
      </c>
      <c r="Z1165" t="s">
        <v>46</v>
      </c>
      <c r="AA1165" t="s">
        <v>4589</v>
      </c>
      <c r="AC1165">
        <f>COUNTIF(C:C,QLKV_gui_ket_qua_ra_soat[[#This Row],[Mã điểm bán]])</f>
        <v>1</v>
      </c>
    </row>
    <row r="1166" spans="1:29" x14ac:dyDescent="0.45">
      <c r="A1166" t="s">
        <v>4550</v>
      </c>
      <c r="B1166">
        <v>48</v>
      </c>
      <c r="C1166" t="s">
        <v>4714</v>
      </c>
      <c r="D1166" t="s">
        <v>4715</v>
      </c>
      <c r="F1166" t="s">
        <v>53</v>
      </c>
      <c r="G1166" t="s">
        <v>34</v>
      </c>
      <c r="H1166" t="s">
        <v>685</v>
      </c>
      <c r="I1166" t="s">
        <v>4716</v>
      </c>
      <c r="J1166" t="s">
        <v>37</v>
      </c>
      <c r="K1166" t="s">
        <v>37</v>
      </c>
      <c r="L1166" t="s">
        <v>40</v>
      </c>
      <c r="M1166" t="s">
        <v>56</v>
      </c>
      <c r="N1166" t="s">
        <v>56</v>
      </c>
      <c r="O1166" t="s">
        <v>39</v>
      </c>
      <c r="P1166" t="s">
        <v>38</v>
      </c>
      <c r="Q1166" t="s">
        <v>38</v>
      </c>
      <c r="R1166" t="s">
        <v>40</v>
      </c>
      <c r="S1166" t="s">
        <v>41</v>
      </c>
      <c r="T1166" t="s">
        <v>4554</v>
      </c>
      <c r="U1166" t="s">
        <v>4555</v>
      </c>
      <c r="V1166" t="s">
        <v>4556</v>
      </c>
      <c r="W1166" t="s">
        <v>4557</v>
      </c>
      <c r="Z1166" t="s">
        <v>46</v>
      </c>
      <c r="AA1166" t="s">
        <v>4589</v>
      </c>
      <c r="AC1166">
        <f>COUNTIF(C:C,QLKV_gui_ket_qua_ra_soat[[#This Row],[Mã điểm bán]])</f>
        <v>1</v>
      </c>
    </row>
    <row r="1167" spans="1:29" x14ac:dyDescent="0.45">
      <c r="A1167" t="s">
        <v>4550</v>
      </c>
      <c r="B1167">
        <v>49</v>
      </c>
      <c r="C1167" t="s">
        <v>4717</v>
      </c>
      <c r="D1167" t="s">
        <v>4718</v>
      </c>
      <c r="F1167" t="s">
        <v>53</v>
      </c>
      <c r="G1167" t="s">
        <v>34</v>
      </c>
      <c r="H1167" t="s">
        <v>332</v>
      </c>
      <c r="I1167" t="s">
        <v>4719</v>
      </c>
      <c r="J1167" t="s">
        <v>37</v>
      </c>
      <c r="K1167" t="s">
        <v>37</v>
      </c>
      <c r="L1167" t="s">
        <v>40</v>
      </c>
      <c r="M1167" t="s">
        <v>56</v>
      </c>
      <c r="N1167" t="s">
        <v>56</v>
      </c>
      <c r="O1167" t="s">
        <v>39</v>
      </c>
      <c r="P1167" t="s">
        <v>38</v>
      </c>
      <c r="Q1167" t="s">
        <v>38</v>
      </c>
      <c r="R1167" t="s">
        <v>40</v>
      </c>
      <c r="S1167" t="s">
        <v>41</v>
      </c>
      <c r="T1167" t="s">
        <v>4554</v>
      </c>
      <c r="U1167" t="s">
        <v>4555</v>
      </c>
      <c r="V1167" t="s">
        <v>4556</v>
      </c>
      <c r="W1167" t="s">
        <v>4557</v>
      </c>
      <c r="Z1167" t="s">
        <v>46</v>
      </c>
      <c r="AA1167" t="s">
        <v>4575</v>
      </c>
      <c r="AC1167">
        <f>COUNTIF(C:C,QLKV_gui_ket_qua_ra_soat[[#This Row],[Mã điểm bán]])</f>
        <v>1</v>
      </c>
    </row>
    <row r="1168" spans="1:29" x14ac:dyDescent="0.45">
      <c r="A1168" t="s">
        <v>4550</v>
      </c>
      <c r="B1168">
        <v>50</v>
      </c>
      <c r="C1168" t="s">
        <v>4720</v>
      </c>
      <c r="D1168" t="s">
        <v>4721</v>
      </c>
      <c r="F1168" t="s">
        <v>426</v>
      </c>
      <c r="G1168" t="s">
        <v>34</v>
      </c>
      <c r="H1168" t="s">
        <v>1188</v>
      </c>
      <c r="I1168" t="s">
        <v>4722</v>
      </c>
      <c r="J1168" t="s">
        <v>56</v>
      </c>
      <c r="K1168" t="s">
        <v>56</v>
      </c>
      <c r="L1168" t="s">
        <v>39</v>
      </c>
      <c r="M1168" t="s">
        <v>56</v>
      </c>
      <c r="N1168" t="s">
        <v>56</v>
      </c>
      <c r="O1168" t="s">
        <v>39</v>
      </c>
      <c r="P1168" t="s">
        <v>38</v>
      </c>
      <c r="Q1168" t="s">
        <v>38</v>
      </c>
      <c r="R1168" t="s">
        <v>40</v>
      </c>
      <c r="S1168" t="s">
        <v>41</v>
      </c>
      <c r="T1168" t="s">
        <v>4554</v>
      </c>
      <c r="U1168" t="s">
        <v>4555</v>
      </c>
      <c r="V1168" t="s">
        <v>4556</v>
      </c>
      <c r="W1168" t="s">
        <v>4557</v>
      </c>
      <c r="X1168" t="s">
        <v>46</v>
      </c>
      <c r="AC1168">
        <f>COUNTIF(C:C,QLKV_gui_ket_qua_ra_soat[[#This Row],[Mã điểm bán]])</f>
        <v>1</v>
      </c>
    </row>
    <row r="1169" spans="1:29" x14ac:dyDescent="0.45">
      <c r="A1169" t="s">
        <v>4550</v>
      </c>
      <c r="B1169">
        <v>51</v>
      </c>
      <c r="C1169" t="s">
        <v>4723</v>
      </c>
      <c r="D1169" t="s">
        <v>4724</v>
      </c>
      <c r="F1169" t="s">
        <v>53</v>
      </c>
      <c r="G1169" t="s">
        <v>177</v>
      </c>
      <c r="H1169" t="s">
        <v>54</v>
      </c>
      <c r="I1169" t="s">
        <v>4725</v>
      </c>
      <c r="J1169" t="s">
        <v>38</v>
      </c>
      <c r="K1169" t="s">
        <v>38</v>
      </c>
      <c r="L1169" t="s">
        <v>40</v>
      </c>
      <c r="M1169" t="s">
        <v>37</v>
      </c>
      <c r="N1169" t="s">
        <v>37</v>
      </c>
      <c r="O1169" t="s">
        <v>39</v>
      </c>
      <c r="P1169" t="s">
        <v>38</v>
      </c>
      <c r="Q1169" t="s">
        <v>38</v>
      </c>
      <c r="R1169" t="s">
        <v>39</v>
      </c>
      <c r="S1169" t="s">
        <v>41</v>
      </c>
      <c r="T1169" t="s">
        <v>4601</v>
      </c>
      <c r="U1169" t="s">
        <v>4602</v>
      </c>
      <c r="V1169" t="s">
        <v>4556</v>
      </c>
      <c r="W1169" t="s">
        <v>4603</v>
      </c>
      <c r="X1169" t="s">
        <v>46</v>
      </c>
      <c r="AC1169">
        <f>COUNTIF(C:C,QLKV_gui_ket_qua_ra_soat[[#This Row],[Mã điểm bán]])</f>
        <v>1</v>
      </c>
    </row>
    <row r="1170" spans="1:29" x14ac:dyDescent="0.45">
      <c r="A1170" t="s">
        <v>4550</v>
      </c>
      <c r="B1170">
        <v>52</v>
      </c>
      <c r="C1170" t="s">
        <v>4726</v>
      </c>
      <c r="D1170" t="s">
        <v>4727</v>
      </c>
      <c r="F1170" t="s">
        <v>53</v>
      </c>
      <c r="G1170" t="s">
        <v>177</v>
      </c>
      <c r="H1170" t="s">
        <v>54</v>
      </c>
      <c r="I1170" t="s">
        <v>4665</v>
      </c>
      <c r="J1170" t="s">
        <v>38</v>
      </c>
      <c r="K1170" t="s">
        <v>38</v>
      </c>
      <c r="L1170" t="s">
        <v>40</v>
      </c>
      <c r="M1170" t="s">
        <v>38</v>
      </c>
      <c r="N1170" t="s">
        <v>775</v>
      </c>
      <c r="O1170" t="s">
        <v>39</v>
      </c>
      <c r="P1170" t="s">
        <v>38</v>
      </c>
      <c r="Q1170" t="s">
        <v>38</v>
      </c>
      <c r="R1170" t="s">
        <v>40</v>
      </c>
      <c r="S1170" t="s">
        <v>4728</v>
      </c>
      <c r="T1170" t="s">
        <v>4667</v>
      </c>
      <c r="U1170" t="s">
        <v>4668</v>
      </c>
      <c r="V1170" t="s">
        <v>4556</v>
      </c>
      <c r="W1170" t="s">
        <v>4567</v>
      </c>
      <c r="X1170" t="s">
        <v>46</v>
      </c>
      <c r="AC1170">
        <f>COUNTIF(C:C,QLKV_gui_ket_qua_ra_soat[[#This Row],[Mã điểm bán]])</f>
        <v>1</v>
      </c>
    </row>
    <row r="1171" spans="1:29" x14ac:dyDescent="0.45">
      <c r="A1171" t="s">
        <v>4550</v>
      </c>
      <c r="B1171">
        <v>53</v>
      </c>
      <c r="C1171" t="s">
        <v>4729</v>
      </c>
      <c r="D1171" t="s">
        <v>4730</v>
      </c>
      <c r="F1171" t="s">
        <v>53</v>
      </c>
      <c r="G1171" t="s">
        <v>34</v>
      </c>
      <c r="H1171" t="s">
        <v>54</v>
      </c>
      <c r="I1171" t="s">
        <v>4731</v>
      </c>
      <c r="J1171" t="s">
        <v>38</v>
      </c>
      <c r="K1171" t="s">
        <v>38</v>
      </c>
      <c r="L1171" t="s">
        <v>40</v>
      </c>
      <c r="M1171" t="s">
        <v>38</v>
      </c>
      <c r="N1171" t="s">
        <v>56</v>
      </c>
      <c r="O1171" t="s">
        <v>39</v>
      </c>
      <c r="P1171" t="s">
        <v>38</v>
      </c>
      <c r="Q1171" t="s">
        <v>38</v>
      </c>
      <c r="R1171" t="s">
        <v>40</v>
      </c>
      <c r="S1171" t="s">
        <v>41</v>
      </c>
      <c r="T1171" t="s">
        <v>4667</v>
      </c>
      <c r="U1171" t="s">
        <v>4668</v>
      </c>
      <c r="V1171" t="s">
        <v>4556</v>
      </c>
      <c r="W1171" t="s">
        <v>4567</v>
      </c>
      <c r="X1171" t="s">
        <v>46</v>
      </c>
      <c r="AC1171">
        <f>COUNTIF(C:C,QLKV_gui_ket_qua_ra_soat[[#This Row],[Mã điểm bán]])</f>
        <v>1</v>
      </c>
    </row>
    <row r="1172" spans="1:29" x14ac:dyDescent="0.45">
      <c r="A1172" t="s">
        <v>4550</v>
      </c>
      <c r="B1172">
        <v>54</v>
      </c>
      <c r="C1172" t="s">
        <v>4732</v>
      </c>
      <c r="D1172" t="s">
        <v>4733</v>
      </c>
      <c r="F1172" t="s">
        <v>53</v>
      </c>
      <c r="G1172" t="s">
        <v>34</v>
      </c>
      <c r="H1172" t="s">
        <v>171</v>
      </c>
      <c r="I1172" t="s">
        <v>4665</v>
      </c>
      <c r="J1172" t="s">
        <v>38</v>
      </c>
      <c r="K1172" t="s">
        <v>38</v>
      </c>
      <c r="L1172" t="s">
        <v>40</v>
      </c>
      <c r="M1172" t="s">
        <v>38</v>
      </c>
      <c r="N1172" t="s">
        <v>775</v>
      </c>
      <c r="O1172" t="s">
        <v>39</v>
      </c>
      <c r="P1172" t="s">
        <v>38</v>
      </c>
      <c r="Q1172" t="s">
        <v>38</v>
      </c>
      <c r="R1172" t="s">
        <v>40</v>
      </c>
      <c r="S1172" t="s">
        <v>41</v>
      </c>
      <c r="T1172" t="s">
        <v>4667</v>
      </c>
      <c r="U1172" t="s">
        <v>4668</v>
      </c>
      <c r="V1172" t="s">
        <v>4556</v>
      </c>
      <c r="W1172" t="s">
        <v>4567</v>
      </c>
      <c r="X1172" t="s">
        <v>46</v>
      </c>
      <c r="AC1172">
        <f>COUNTIF(C:C,QLKV_gui_ket_qua_ra_soat[[#This Row],[Mã điểm bán]])</f>
        <v>1</v>
      </c>
    </row>
    <row r="1173" spans="1:29" x14ac:dyDescent="0.45">
      <c r="A1173" t="s">
        <v>4550</v>
      </c>
      <c r="B1173">
        <v>55</v>
      </c>
      <c r="C1173" t="s">
        <v>4734</v>
      </c>
      <c r="D1173" t="s">
        <v>4735</v>
      </c>
      <c r="F1173" t="s">
        <v>581</v>
      </c>
      <c r="G1173" t="s">
        <v>34</v>
      </c>
      <c r="H1173" t="s">
        <v>54</v>
      </c>
      <c r="I1173" t="s">
        <v>4736</v>
      </c>
      <c r="J1173" t="s">
        <v>37</v>
      </c>
      <c r="K1173" t="s">
        <v>37</v>
      </c>
      <c r="L1173" t="s">
        <v>39</v>
      </c>
      <c r="M1173" t="s">
        <v>56</v>
      </c>
      <c r="N1173" t="s">
        <v>56</v>
      </c>
      <c r="O1173" t="s">
        <v>39</v>
      </c>
      <c r="P1173" t="s">
        <v>37</v>
      </c>
      <c r="Q1173" t="s">
        <v>37</v>
      </c>
      <c r="R1173" t="s">
        <v>39</v>
      </c>
      <c r="S1173" t="s">
        <v>41</v>
      </c>
      <c r="T1173" t="s">
        <v>4737</v>
      </c>
      <c r="U1173" t="s">
        <v>4738</v>
      </c>
      <c r="V1173" t="s">
        <v>4556</v>
      </c>
      <c r="W1173" t="s">
        <v>1457</v>
      </c>
      <c r="Z1173" t="s">
        <v>46</v>
      </c>
      <c r="AA1173" t="s">
        <v>4589</v>
      </c>
      <c r="AC1173">
        <f>COUNTIF(C:C,QLKV_gui_ket_qua_ra_soat[[#This Row],[Mã điểm bán]])</f>
        <v>1</v>
      </c>
    </row>
    <row r="1174" spans="1:29" x14ac:dyDescent="0.45">
      <c r="A1174" t="s">
        <v>4550</v>
      </c>
      <c r="B1174">
        <v>56</v>
      </c>
      <c r="C1174" t="s">
        <v>4739</v>
      </c>
      <c r="D1174" t="s">
        <v>4740</v>
      </c>
      <c r="F1174" t="s">
        <v>4688</v>
      </c>
      <c r="G1174" t="s">
        <v>34</v>
      </c>
      <c r="H1174" t="s">
        <v>685</v>
      </c>
      <c r="I1174" t="s">
        <v>4741</v>
      </c>
      <c r="J1174" t="s">
        <v>38</v>
      </c>
      <c r="K1174" t="s">
        <v>38</v>
      </c>
      <c r="L1174" t="s">
        <v>40</v>
      </c>
      <c r="M1174" t="s">
        <v>38</v>
      </c>
      <c r="N1174" t="s">
        <v>38</v>
      </c>
      <c r="O1174" t="s">
        <v>121</v>
      </c>
      <c r="P1174" t="s">
        <v>38</v>
      </c>
      <c r="Q1174" t="s">
        <v>38</v>
      </c>
      <c r="R1174" t="s">
        <v>40</v>
      </c>
      <c r="S1174" t="s">
        <v>41</v>
      </c>
      <c r="T1174" t="s">
        <v>4574</v>
      </c>
      <c r="U1174" t="s">
        <v>4555</v>
      </c>
      <c r="V1174" t="s">
        <v>4556</v>
      </c>
      <c r="W1174" t="s">
        <v>4557</v>
      </c>
      <c r="Z1174" t="s">
        <v>46</v>
      </c>
      <c r="AA1174" t="s">
        <v>4575</v>
      </c>
      <c r="AC1174">
        <f>COUNTIF(C:C,QLKV_gui_ket_qua_ra_soat[[#This Row],[Mã điểm bán]])</f>
        <v>1</v>
      </c>
    </row>
    <row r="1175" spans="1:29" x14ac:dyDescent="0.45">
      <c r="A1175" t="s">
        <v>4550</v>
      </c>
      <c r="B1175">
        <v>57</v>
      </c>
      <c r="C1175" t="s">
        <v>4742</v>
      </c>
      <c r="D1175" t="s">
        <v>4743</v>
      </c>
      <c r="F1175" t="s">
        <v>417</v>
      </c>
      <c r="G1175" t="s">
        <v>34</v>
      </c>
      <c r="H1175" t="s">
        <v>54</v>
      </c>
      <c r="I1175" t="s">
        <v>4744</v>
      </c>
      <c r="J1175" t="s">
        <v>56</v>
      </c>
      <c r="K1175" t="s">
        <v>37</v>
      </c>
      <c r="L1175" t="s">
        <v>121</v>
      </c>
      <c r="M1175" t="s">
        <v>56</v>
      </c>
      <c r="N1175" t="s">
        <v>56</v>
      </c>
      <c r="O1175" t="s">
        <v>121</v>
      </c>
      <c r="P1175" t="s">
        <v>38</v>
      </c>
      <c r="Q1175" t="s">
        <v>38</v>
      </c>
      <c r="R1175" t="s">
        <v>39</v>
      </c>
      <c r="S1175" t="s">
        <v>4745</v>
      </c>
      <c r="T1175" t="s">
        <v>4746</v>
      </c>
      <c r="U1175" t="s">
        <v>4747</v>
      </c>
      <c r="V1175" t="s">
        <v>4556</v>
      </c>
      <c r="W1175" t="s">
        <v>4603</v>
      </c>
      <c r="X1175" t="s">
        <v>46</v>
      </c>
      <c r="AC1175">
        <f>COUNTIF(C:C,QLKV_gui_ket_qua_ra_soat[[#This Row],[Mã điểm bán]])</f>
        <v>1</v>
      </c>
    </row>
    <row r="1176" spans="1:29" x14ac:dyDescent="0.45">
      <c r="A1176" t="s">
        <v>4550</v>
      </c>
      <c r="B1176">
        <v>58</v>
      </c>
      <c r="C1176" t="s">
        <v>4748</v>
      </c>
      <c r="D1176" t="s">
        <v>4749</v>
      </c>
      <c r="F1176" t="s">
        <v>53</v>
      </c>
      <c r="G1176" t="s">
        <v>177</v>
      </c>
      <c r="H1176" t="s">
        <v>1736</v>
      </c>
      <c r="I1176" t="s">
        <v>4750</v>
      </c>
      <c r="J1176" t="s">
        <v>38</v>
      </c>
      <c r="K1176" t="s">
        <v>38</v>
      </c>
      <c r="L1176" t="s">
        <v>40</v>
      </c>
      <c r="M1176" t="s">
        <v>38</v>
      </c>
      <c r="N1176" t="s">
        <v>38</v>
      </c>
      <c r="O1176" t="s">
        <v>39</v>
      </c>
      <c r="P1176" t="s">
        <v>38</v>
      </c>
      <c r="Q1176" t="s">
        <v>38</v>
      </c>
      <c r="R1176" t="s">
        <v>40</v>
      </c>
      <c r="S1176" t="s">
        <v>4751</v>
      </c>
      <c r="T1176" t="s">
        <v>4752</v>
      </c>
      <c r="U1176" t="s">
        <v>4753</v>
      </c>
      <c r="V1176" t="s">
        <v>4556</v>
      </c>
      <c r="W1176" t="s">
        <v>4557</v>
      </c>
      <c r="X1176" t="s">
        <v>46</v>
      </c>
      <c r="AC1176">
        <f>COUNTIF(C:C,QLKV_gui_ket_qua_ra_soat[[#This Row],[Mã điểm bán]])</f>
        <v>1</v>
      </c>
    </row>
    <row r="1177" spans="1:29" x14ac:dyDescent="0.45">
      <c r="A1177" t="s">
        <v>4550</v>
      </c>
      <c r="B1177">
        <v>59</v>
      </c>
      <c r="C1177" t="s">
        <v>4754</v>
      </c>
      <c r="D1177" t="s">
        <v>4755</v>
      </c>
      <c r="F1177" t="s">
        <v>53</v>
      </c>
      <c r="G1177" t="s">
        <v>177</v>
      </c>
      <c r="H1177" t="s">
        <v>685</v>
      </c>
      <c r="I1177" t="s">
        <v>4756</v>
      </c>
      <c r="J1177" t="s">
        <v>38</v>
      </c>
      <c r="K1177" t="s">
        <v>38</v>
      </c>
      <c r="L1177" t="s">
        <v>40</v>
      </c>
      <c r="M1177" t="s">
        <v>38</v>
      </c>
      <c r="N1177" t="s">
        <v>38</v>
      </c>
      <c r="O1177" t="s">
        <v>39</v>
      </c>
      <c r="P1177" t="s">
        <v>38</v>
      </c>
      <c r="Q1177" t="s">
        <v>38</v>
      </c>
      <c r="R1177" t="s">
        <v>40</v>
      </c>
      <c r="S1177" t="s">
        <v>41</v>
      </c>
      <c r="T1177" t="s">
        <v>4752</v>
      </c>
      <c r="U1177" t="s">
        <v>4753</v>
      </c>
      <c r="V1177" t="s">
        <v>4556</v>
      </c>
      <c r="W1177" t="s">
        <v>4557</v>
      </c>
      <c r="X1177" t="s">
        <v>46</v>
      </c>
      <c r="AC1177">
        <f>COUNTIF(C:C,QLKV_gui_ket_qua_ra_soat[[#This Row],[Mã điểm bán]])</f>
        <v>1</v>
      </c>
    </row>
    <row r="1178" spans="1:29" x14ac:dyDescent="0.45">
      <c r="A1178" t="s">
        <v>4550</v>
      </c>
      <c r="B1178">
        <v>60</v>
      </c>
      <c r="C1178" t="s">
        <v>4757</v>
      </c>
      <c r="D1178" t="s">
        <v>4758</v>
      </c>
      <c r="F1178" t="s">
        <v>4759</v>
      </c>
      <c r="G1178" t="s">
        <v>34</v>
      </c>
      <c r="H1178" t="s">
        <v>54</v>
      </c>
      <c r="I1178" t="s">
        <v>4760</v>
      </c>
      <c r="J1178" t="s">
        <v>56</v>
      </c>
      <c r="K1178" t="s">
        <v>37</v>
      </c>
      <c r="L1178" t="s">
        <v>121</v>
      </c>
      <c r="M1178" t="s">
        <v>56</v>
      </c>
      <c r="N1178" t="s">
        <v>56</v>
      </c>
      <c r="O1178" t="s">
        <v>121</v>
      </c>
      <c r="P1178" t="s">
        <v>38</v>
      </c>
      <c r="Q1178" t="s">
        <v>38</v>
      </c>
      <c r="R1178" t="s">
        <v>39</v>
      </c>
      <c r="S1178" t="s">
        <v>4761</v>
      </c>
      <c r="T1178" t="s">
        <v>4746</v>
      </c>
      <c r="U1178" t="s">
        <v>4747</v>
      </c>
      <c r="V1178" t="s">
        <v>4556</v>
      </c>
      <c r="W1178" t="s">
        <v>4603</v>
      </c>
      <c r="Z1178" t="s">
        <v>46</v>
      </c>
      <c r="AA1178" t="s">
        <v>4589</v>
      </c>
      <c r="AC1178">
        <f>COUNTIF(C:C,QLKV_gui_ket_qua_ra_soat[[#This Row],[Mã điểm bán]])</f>
        <v>1</v>
      </c>
    </row>
    <row r="1179" spans="1:29" x14ac:dyDescent="0.45">
      <c r="A1179" t="s">
        <v>4550</v>
      </c>
      <c r="B1179">
        <v>61</v>
      </c>
      <c r="C1179" t="s">
        <v>4762</v>
      </c>
      <c r="D1179" t="s">
        <v>4763</v>
      </c>
      <c r="F1179" t="s">
        <v>3049</v>
      </c>
      <c r="G1179" t="s">
        <v>34</v>
      </c>
      <c r="H1179" t="s">
        <v>54</v>
      </c>
      <c r="I1179" t="s">
        <v>4764</v>
      </c>
      <c r="J1179" t="s">
        <v>56</v>
      </c>
      <c r="K1179" t="s">
        <v>56</v>
      </c>
      <c r="L1179" t="s">
        <v>121</v>
      </c>
      <c r="M1179" t="s">
        <v>56</v>
      </c>
      <c r="N1179" t="s">
        <v>56</v>
      </c>
      <c r="O1179" t="s">
        <v>121</v>
      </c>
      <c r="P1179" t="s">
        <v>38</v>
      </c>
      <c r="Q1179" t="s">
        <v>38</v>
      </c>
      <c r="R1179" t="s">
        <v>39</v>
      </c>
      <c r="S1179" t="s">
        <v>4765</v>
      </c>
      <c r="T1179" t="s">
        <v>4746</v>
      </c>
      <c r="U1179" t="s">
        <v>4747</v>
      </c>
      <c r="V1179" t="s">
        <v>4556</v>
      </c>
      <c r="W1179" t="s">
        <v>4603</v>
      </c>
      <c r="Z1179" t="s">
        <v>46</v>
      </c>
      <c r="AA1179" t="s">
        <v>4589</v>
      </c>
      <c r="AC1179">
        <f>COUNTIF(C:C,QLKV_gui_ket_qua_ra_soat[[#This Row],[Mã điểm bán]])</f>
        <v>1</v>
      </c>
    </row>
    <row r="1180" spans="1:29" x14ac:dyDescent="0.45">
      <c r="A1180" t="s">
        <v>4550</v>
      </c>
      <c r="B1180">
        <v>62</v>
      </c>
      <c r="C1180" t="s">
        <v>4766</v>
      </c>
      <c r="D1180" t="s">
        <v>4767</v>
      </c>
      <c r="F1180" t="s">
        <v>417</v>
      </c>
      <c r="G1180" t="s">
        <v>34</v>
      </c>
      <c r="H1180" t="s">
        <v>54</v>
      </c>
      <c r="I1180" t="s">
        <v>4768</v>
      </c>
      <c r="J1180" t="s">
        <v>38</v>
      </c>
      <c r="K1180" t="s">
        <v>38</v>
      </c>
      <c r="L1180" t="s">
        <v>39</v>
      </c>
      <c r="M1180" t="s">
        <v>37</v>
      </c>
      <c r="N1180" t="s">
        <v>37</v>
      </c>
      <c r="O1180" t="s">
        <v>39</v>
      </c>
      <c r="P1180" t="s">
        <v>38</v>
      </c>
      <c r="Q1180" t="s">
        <v>38</v>
      </c>
      <c r="R1180" t="s">
        <v>39</v>
      </c>
      <c r="S1180" t="s">
        <v>4769</v>
      </c>
      <c r="T1180" t="s">
        <v>4746</v>
      </c>
      <c r="U1180" t="s">
        <v>4747</v>
      </c>
      <c r="V1180" t="s">
        <v>4556</v>
      </c>
      <c r="W1180" t="s">
        <v>4603</v>
      </c>
      <c r="X1180" t="s">
        <v>46</v>
      </c>
      <c r="AC1180">
        <f>COUNTIF(C:C,QLKV_gui_ket_qua_ra_soat[[#This Row],[Mã điểm bán]])</f>
        <v>1</v>
      </c>
    </row>
    <row r="1181" spans="1:29" x14ac:dyDescent="0.45">
      <c r="A1181" t="s">
        <v>4550</v>
      </c>
      <c r="B1181">
        <v>63</v>
      </c>
      <c r="C1181" t="s">
        <v>4770</v>
      </c>
      <c r="D1181" t="s">
        <v>4771</v>
      </c>
      <c r="F1181" t="s">
        <v>53</v>
      </c>
      <c r="G1181" t="s">
        <v>177</v>
      </c>
      <c r="H1181" t="s">
        <v>54</v>
      </c>
      <c r="I1181" t="s">
        <v>4772</v>
      </c>
      <c r="J1181" t="s">
        <v>38</v>
      </c>
      <c r="K1181" t="s">
        <v>38</v>
      </c>
      <c r="L1181" t="s">
        <v>40</v>
      </c>
      <c r="M1181" t="s">
        <v>38</v>
      </c>
      <c r="N1181" t="s">
        <v>775</v>
      </c>
      <c r="O1181" t="s">
        <v>39</v>
      </c>
      <c r="P1181" t="s">
        <v>38</v>
      </c>
      <c r="Q1181" t="s">
        <v>38</v>
      </c>
      <c r="R1181" t="s">
        <v>40</v>
      </c>
      <c r="S1181" t="s">
        <v>4773</v>
      </c>
      <c r="T1181" t="s">
        <v>4667</v>
      </c>
      <c r="U1181" t="s">
        <v>4668</v>
      </c>
      <c r="V1181" t="s">
        <v>4556</v>
      </c>
      <c r="W1181" t="s">
        <v>4567</v>
      </c>
      <c r="X1181" t="s">
        <v>46</v>
      </c>
      <c r="AC1181">
        <f>COUNTIF(C:C,QLKV_gui_ket_qua_ra_soat[[#This Row],[Mã điểm bán]])</f>
        <v>1</v>
      </c>
    </row>
    <row r="1182" spans="1:29" x14ac:dyDescent="0.45">
      <c r="A1182" t="s">
        <v>4550</v>
      </c>
      <c r="B1182">
        <v>64</v>
      </c>
      <c r="C1182" t="s">
        <v>4774</v>
      </c>
      <c r="D1182" t="s">
        <v>4775</v>
      </c>
      <c r="F1182" t="s">
        <v>53</v>
      </c>
      <c r="G1182" t="s">
        <v>177</v>
      </c>
      <c r="H1182" t="s">
        <v>685</v>
      </c>
      <c r="I1182" t="s">
        <v>4776</v>
      </c>
      <c r="J1182" t="s">
        <v>38</v>
      </c>
      <c r="K1182" t="s">
        <v>38</v>
      </c>
      <c r="L1182" t="s">
        <v>40</v>
      </c>
      <c r="M1182" t="s">
        <v>38</v>
      </c>
      <c r="N1182" t="s">
        <v>38</v>
      </c>
      <c r="O1182" t="s">
        <v>39</v>
      </c>
      <c r="P1182" t="s">
        <v>38</v>
      </c>
      <c r="Q1182" t="s">
        <v>38</v>
      </c>
      <c r="R1182" t="s">
        <v>40</v>
      </c>
      <c r="S1182" t="s">
        <v>4751</v>
      </c>
      <c r="T1182" t="s">
        <v>4752</v>
      </c>
      <c r="U1182" t="s">
        <v>4753</v>
      </c>
      <c r="V1182" t="s">
        <v>4556</v>
      </c>
      <c r="W1182" t="s">
        <v>4557</v>
      </c>
      <c r="X1182" t="s">
        <v>46</v>
      </c>
      <c r="AC1182">
        <f>COUNTIF(C:C,QLKV_gui_ket_qua_ra_soat[[#This Row],[Mã điểm bán]])</f>
        <v>1</v>
      </c>
    </row>
    <row r="1183" spans="1:29" x14ac:dyDescent="0.45">
      <c r="A1183" t="s">
        <v>4550</v>
      </c>
      <c r="B1183">
        <v>65</v>
      </c>
      <c r="C1183" t="s">
        <v>4777</v>
      </c>
      <c r="D1183" t="s">
        <v>4778</v>
      </c>
      <c r="F1183" t="s">
        <v>53</v>
      </c>
      <c r="G1183" t="s">
        <v>34</v>
      </c>
      <c r="H1183" t="s">
        <v>54</v>
      </c>
      <c r="I1183" t="s">
        <v>4665</v>
      </c>
      <c r="J1183" t="s">
        <v>38</v>
      </c>
      <c r="K1183" t="s">
        <v>38</v>
      </c>
      <c r="L1183" t="s">
        <v>40</v>
      </c>
      <c r="M1183" t="s">
        <v>38</v>
      </c>
      <c r="N1183" t="s">
        <v>56</v>
      </c>
      <c r="O1183" t="s">
        <v>39</v>
      </c>
      <c r="P1183" t="s">
        <v>38</v>
      </c>
      <c r="Q1183" t="s">
        <v>38</v>
      </c>
      <c r="R1183" t="s">
        <v>40</v>
      </c>
      <c r="S1183" t="s">
        <v>41</v>
      </c>
      <c r="T1183" t="s">
        <v>4667</v>
      </c>
      <c r="U1183" t="s">
        <v>4668</v>
      </c>
      <c r="V1183" t="s">
        <v>4556</v>
      </c>
      <c r="W1183" t="s">
        <v>4567</v>
      </c>
      <c r="X1183" t="s">
        <v>46</v>
      </c>
      <c r="AC1183">
        <f>COUNTIF(C:C,QLKV_gui_ket_qua_ra_soat[[#This Row],[Mã điểm bán]])</f>
        <v>1</v>
      </c>
    </row>
    <row r="1184" spans="1:29" x14ac:dyDescent="0.45">
      <c r="A1184" t="s">
        <v>4550</v>
      </c>
      <c r="B1184">
        <v>66</v>
      </c>
      <c r="C1184" t="s">
        <v>4779</v>
      </c>
      <c r="D1184" t="s">
        <v>4594</v>
      </c>
      <c r="F1184" t="s">
        <v>53</v>
      </c>
      <c r="G1184" t="s">
        <v>177</v>
      </c>
      <c r="H1184" t="s">
        <v>2256</v>
      </c>
      <c r="I1184" t="s">
        <v>4750</v>
      </c>
      <c r="J1184" t="s">
        <v>38</v>
      </c>
      <c r="K1184" t="s">
        <v>38</v>
      </c>
      <c r="L1184" t="s">
        <v>40</v>
      </c>
      <c r="M1184" t="s">
        <v>38</v>
      </c>
      <c r="N1184" t="s">
        <v>38</v>
      </c>
      <c r="O1184" t="s">
        <v>39</v>
      </c>
      <c r="P1184" t="s">
        <v>38</v>
      </c>
      <c r="Q1184" t="s">
        <v>38</v>
      </c>
      <c r="R1184" t="s">
        <v>40</v>
      </c>
      <c r="S1184" t="s">
        <v>4751</v>
      </c>
      <c r="T1184" t="s">
        <v>4752</v>
      </c>
      <c r="U1184" t="s">
        <v>4753</v>
      </c>
      <c r="V1184" t="s">
        <v>4556</v>
      </c>
      <c r="W1184" t="s">
        <v>4557</v>
      </c>
      <c r="Z1184" t="s">
        <v>46</v>
      </c>
      <c r="AA1184" t="s">
        <v>4589</v>
      </c>
      <c r="AC1184">
        <f>COUNTIF(C:C,QLKV_gui_ket_qua_ra_soat[[#This Row],[Mã điểm bán]])</f>
        <v>1</v>
      </c>
    </row>
    <row r="1185" spans="1:29" x14ac:dyDescent="0.45">
      <c r="A1185" t="s">
        <v>4550</v>
      </c>
      <c r="B1185">
        <v>67</v>
      </c>
      <c r="C1185" t="s">
        <v>4780</v>
      </c>
      <c r="D1185" t="s">
        <v>4781</v>
      </c>
      <c r="F1185" t="s">
        <v>426</v>
      </c>
      <c r="G1185" t="s">
        <v>34</v>
      </c>
      <c r="H1185" t="s">
        <v>54</v>
      </c>
      <c r="I1185" t="s">
        <v>4782</v>
      </c>
      <c r="J1185" t="s">
        <v>38</v>
      </c>
      <c r="K1185" t="s">
        <v>38</v>
      </c>
      <c r="L1185" t="s">
        <v>40</v>
      </c>
      <c r="M1185" t="s">
        <v>38</v>
      </c>
      <c r="N1185" t="s">
        <v>38</v>
      </c>
      <c r="O1185" t="s">
        <v>40</v>
      </c>
      <c r="P1185" t="s">
        <v>38</v>
      </c>
      <c r="Q1185" t="s">
        <v>38</v>
      </c>
      <c r="R1185" t="s">
        <v>40</v>
      </c>
      <c r="S1185" t="s">
        <v>4783</v>
      </c>
      <c r="T1185" t="s">
        <v>4565</v>
      </c>
      <c r="U1185" t="s">
        <v>4566</v>
      </c>
      <c r="V1185" t="s">
        <v>4556</v>
      </c>
      <c r="W1185" t="s">
        <v>4567</v>
      </c>
      <c r="X1185" t="s">
        <v>46</v>
      </c>
      <c r="AC1185">
        <f>COUNTIF(C:C,QLKV_gui_ket_qua_ra_soat[[#This Row],[Mã điểm bán]])</f>
        <v>1</v>
      </c>
    </row>
    <row r="1186" spans="1:29" x14ac:dyDescent="0.45">
      <c r="A1186" t="s">
        <v>4550</v>
      </c>
      <c r="B1186">
        <v>68</v>
      </c>
      <c r="C1186" t="s">
        <v>4784</v>
      </c>
      <c r="D1186" t="s">
        <v>2400</v>
      </c>
      <c r="F1186" t="s">
        <v>4785</v>
      </c>
      <c r="G1186" t="s">
        <v>177</v>
      </c>
      <c r="H1186" t="s">
        <v>4689</v>
      </c>
      <c r="I1186" t="s">
        <v>4786</v>
      </c>
      <c r="J1186" t="s">
        <v>41</v>
      </c>
      <c r="K1186" t="s">
        <v>41</v>
      </c>
      <c r="L1186" t="s">
        <v>41</v>
      </c>
      <c r="M1186" t="s">
        <v>41</v>
      </c>
      <c r="N1186" t="s">
        <v>41</v>
      </c>
      <c r="O1186" t="s">
        <v>41</v>
      </c>
      <c r="P1186" t="s">
        <v>41</v>
      </c>
      <c r="Q1186" t="s">
        <v>41</v>
      </c>
      <c r="R1186" t="s">
        <v>41</v>
      </c>
      <c r="S1186" t="s">
        <v>41</v>
      </c>
      <c r="T1186" t="s">
        <v>4752</v>
      </c>
      <c r="U1186" t="s">
        <v>4753</v>
      </c>
      <c r="V1186" t="s">
        <v>4556</v>
      </c>
      <c r="W1186" t="s">
        <v>4557</v>
      </c>
      <c r="X1186" t="s">
        <v>46</v>
      </c>
      <c r="AC1186">
        <f>COUNTIF(C:C,QLKV_gui_ket_qua_ra_soat[[#This Row],[Mã điểm bán]])</f>
        <v>1</v>
      </c>
    </row>
    <row r="1187" spans="1:29" x14ac:dyDescent="0.45">
      <c r="A1187" t="s">
        <v>4550</v>
      </c>
      <c r="B1187">
        <v>69</v>
      </c>
      <c r="C1187" t="s">
        <v>4787</v>
      </c>
      <c r="D1187" t="s">
        <v>4788</v>
      </c>
      <c r="F1187" t="s">
        <v>53</v>
      </c>
      <c r="G1187" t="s">
        <v>34</v>
      </c>
      <c r="H1187" t="s">
        <v>54</v>
      </c>
      <c r="I1187" t="s">
        <v>4789</v>
      </c>
      <c r="J1187" t="s">
        <v>38</v>
      </c>
      <c r="K1187" t="s">
        <v>38</v>
      </c>
      <c r="L1187" t="s">
        <v>40</v>
      </c>
      <c r="M1187" t="s">
        <v>38</v>
      </c>
      <c r="N1187" t="s">
        <v>38</v>
      </c>
      <c r="O1187" t="s">
        <v>40</v>
      </c>
      <c r="P1187" t="s">
        <v>38</v>
      </c>
      <c r="Q1187" t="s">
        <v>38</v>
      </c>
      <c r="R1187" t="s">
        <v>40</v>
      </c>
      <c r="S1187" t="s">
        <v>41</v>
      </c>
      <c r="T1187" t="s">
        <v>4790</v>
      </c>
      <c r="U1187" t="s">
        <v>4566</v>
      </c>
      <c r="V1187" t="s">
        <v>4556</v>
      </c>
      <c r="W1187" t="s">
        <v>4567</v>
      </c>
      <c r="Z1187" t="s">
        <v>46</v>
      </c>
      <c r="AA1187" t="s">
        <v>4575</v>
      </c>
      <c r="AC1187">
        <f>COUNTIF(C:C,QLKV_gui_ket_qua_ra_soat[[#This Row],[Mã điểm bán]])</f>
        <v>1</v>
      </c>
    </row>
    <row r="1188" spans="1:29" x14ac:dyDescent="0.45">
      <c r="A1188" t="s">
        <v>4550</v>
      </c>
      <c r="B1188">
        <v>70</v>
      </c>
      <c r="C1188" t="s">
        <v>4791</v>
      </c>
      <c r="D1188" t="s">
        <v>4465</v>
      </c>
      <c r="F1188" t="s">
        <v>426</v>
      </c>
      <c r="G1188" t="s">
        <v>34</v>
      </c>
      <c r="H1188" t="s">
        <v>54</v>
      </c>
      <c r="I1188" t="s">
        <v>4322</v>
      </c>
      <c r="J1188" t="s">
        <v>38</v>
      </c>
      <c r="K1188" t="s">
        <v>38</v>
      </c>
      <c r="L1188" t="s">
        <v>40</v>
      </c>
      <c r="M1188" t="s">
        <v>38</v>
      </c>
      <c r="N1188" t="s">
        <v>38</v>
      </c>
      <c r="O1188" t="s">
        <v>40</v>
      </c>
      <c r="P1188" t="s">
        <v>38</v>
      </c>
      <c r="Q1188" t="s">
        <v>38</v>
      </c>
      <c r="R1188" t="s">
        <v>40</v>
      </c>
      <c r="S1188" t="s">
        <v>627</v>
      </c>
      <c r="T1188" t="s">
        <v>4565</v>
      </c>
      <c r="U1188" t="s">
        <v>4566</v>
      </c>
      <c r="V1188" t="s">
        <v>4556</v>
      </c>
      <c r="W1188" t="s">
        <v>4567</v>
      </c>
      <c r="X1188" t="s">
        <v>46</v>
      </c>
      <c r="AC1188">
        <f>COUNTIF(C:C,QLKV_gui_ket_qua_ra_soat[[#This Row],[Mã điểm bán]])</f>
        <v>1</v>
      </c>
    </row>
    <row r="1189" spans="1:29" x14ac:dyDescent="0.45">
      <c r="A1189" t="s">
        <v>4550</v>
      </c>
      <c r="B1189">
        <v>71</v>
      </c>
      <c r="C1189" t="s">
        <v>4792</v>
      </c>
      <c r="D1189" t="s">
        <v>1632</v>
      </c>
      <c r="F1189" t="s">
        <v>478</v>
      </c>
      <c r="G1189" t="s">
        <v>34</v>
      </c>
      <c r="H1189" t="s">
        <v>54</v>
      </c>
      <c r="I1189" t="s">
        <v>4793</v>
      </c>
      <c r="J1189" t="s">
        <v>38</v>
      </c>
      <c r="K1189" t="s">
        <v>38</v>
      </c>
      <c r="L1189" t="s">
        <v>40</v>
      </c>
      <c r="M1189" t="s">
        <v>38</v>
      </c>
      <c r="N1189" t="s">
        <v>38</v>
      </c>
      <c r="O1189" t="s">
        <v>40</v>
      </c>
      <c r="P1189" t="s">
        <v>38</v>
      </c>
      <c r="Q1189" t="s">
        <v>38</v>
      </c>
      <c r="R1189" t="s">
        <v>40</v>
      </c>
      <c r="S1189" t="s">
        <v>4794</v>
      </c>
      <c r="T1189" t="s">
        <v>4565</v>
      </c>
      <c r="U1189" t="s">
        <v>4566</v>
      </c>
      <c r="V1189" t="s">
        <v>4556</v>
      </c>
      <c r="W1189" t="s">
        <v>4567</v>
      </c>
      <c r="X1189" t="s">
        <v>46</v>
      </c>
      <c r="AC1189">
        <f>COUNTIF(C:C,QLKV_gui_ket_qua_ra_soat[[#This Row],[Mã điểm bán]])</f>
        <v>1</v>
      </c>
    </row>
    <row r="1190" spans="1:29" x14ac:dyDescent="0.45">
      <c r="A1190" t="s">
        <v>4550</v>
      </c>
      <c r="B1190">
        <v>72</v>
      </c>
      <c r="C1190" t="s">
        <v>4795</v>
      </c>
      <c r="D1190" t="s">
        <v>4796</v>
      </c>
      <c r="F1190" t="s">
        <v>325</v>
      </c>
      <c r="G1190" t="s">
        <v>177</v>
      </c>
      <c r="H1190" t="s">
        <v>4797</v>
      </c>
      <c r="I1190" t="s">
        <v>4798</v>
      </c>
      <c r="J1190" t="s">
        <v>38</v>
      </c>
      <c r="K1190" t="s">
        <v>38</v>
      </c>
      <c r="L1190" t="s">
        <v>40</v>
      </c>
      <c r="M1190" t="s">
        <v>38</v>
      </c>
      <c r="N1190" t="s">
        <v>38</v>
      </c>
      <c r="O1190" t="s">
        <v>39</v>
      </c>
      <c r="P1190" t="s">
        <v>38</v>
      </c>
      <c r="Q1190" t="s">
        <v>38</v>
      </c>
      <c r="R1190" t="s">
        <v>40</v>
      </c>
      <c r="S1190" t="s">
        <v>4751</v>
      </c>
      <c r="T1190" t="s">
        <v>4752</v>
      </c>
      <c r="U1190" t="s">
        <v>4753</v>
      </c>
      <c r="V1190" t="s">
        <v>4556</v>
      </c>
      <c r="W1190" t="s">
        <v>4557</v>
      </c>
      <c r="X1190" t="s">
        <v>46</v>
      </c>
      <c r="AC1190">
        <f>COUNTIF(C:C,QLKV_gui_ket_qua_ra_soat[[#This Row],[Mã điểm bán]])</f>
        <v>1</v>
      </c>
    </row>
    <row r="1191" spans="1:29" x14ac:dyDescent="0.45">
      <c r="A1191" t="s">
        <v>4550</v>
      </c>
      <c r="B1191">
        <v>73</v>
      </c>
      <c r="C1191" t="s">
        <v>4799</v>
      </c>
      <c r="D1191" t="s">
        <v>3395</v>
      </c>
      <c r="F1191" t="s">
        <v>53</v>
      </c>
      <c r="G1191" t="s">
        <v>34</v>
      </c>
      <c r="H1191" t="s">
        <v>2459</v>
      </c>
      <c r="I1191" t="s">
        <v>4800</v>
      </c>
      <c r="J1191" t="s">
        <v>38</v>
      </c>
      <c r="K1191" t="s">
        <v>38</v>
      </c>
      <c r="L1191" t="s">
        <v>40</v>
      </c>
      <c r="M1191" t="s">
        <v>38</v>
      </c>
      <c r="N1191" t="s">
        <v>38</v>
      </c>
      <c r="O1191" t="s">
        <v>39</v>
      </c>
      <c r="P1191" t="s">
        <v>38</v>
      </c>
      <c r="Q1191" t="s">
        <v>38</v>
      </c>
      <c r="R1191" t="s">
        <v>40</v>
      </c>
      <c r="S1191" t="s">
        <v>41</v>
      </c>
      <c r="T1191" t="s">
        <v>4801</v>
      </c>
      <c r="U1191" t="s">
        <v>4802</v>
      </c>
      <c r="V1191" t="s">
        <v>4556</v>
      </c>
      <c r="W1191" t="s">
        <v>1457</v>
      </c>
      <c r="X1191" t="s">
        <v>46</v>
      </c>
      <c r="AC1191">
        <f>COUNTIF(C:C,QLKV_gui_ket_qua_ra_soat[[#This Row],[Mã điểm bán]])</f>
        <v>1</v>
      </c>
    </row>
    <row r="1192" spans="1:29" x14ac:dyDescent="0.45">
      <c r="A1192" t="s">
        <v>4550</v>
      </c>
      <c r="B1192">
        <v>74</v>
      </c>
      <c r="C1192" t="s">
        <v>4803</v>
      </c>
      <c r="D1192" t="s">
        <v>4804</v>
      </c>
      <c r="F1192" t="s">
        <v>4805</v>
      </c>
      <c r="G1192" t="s">
        <v>34</v>
      </c>
      <c r="H1192" t="s">
        <v>54</v>
      </c>
      <c r="I1192" t="s">
        <v>4806</v>
      </c>
      <c r="J1192" t="s">
        <v>38</v>
      </c>
      <c r="K1192" t="s">
        <v>38</v>
      </c>
      <c r="L1192" t="s">
        <v>40</v>
      </c>
      <c r="M1192" t="s">
        <v>38</v>
      </c>
      <c r="N1192" t="s">
        <v>38</v>
      </c>
      <c r="O1192" t="s">
        <v>40</v>
      </c>
      <c r="P1192" t="s">
        <v>38</v>
      </c>
      <c r="Q1192" t="s">
        <v>38</v>
      </c>
      <c r="R1192" t="s">
        <v>40</v>
      </c>
      <c r="S1192" t="s">
        <v>4783</v>
      </c>
      <c r="T1192" t="s">
        <v>4565</v>
      </c>
      <c r="U1192" t="s">
        <v>4566</v>
      </c>
      <c r="V1192" t="s">
        <v>4556</v>
      </c>
      <c r="W1192" t="s">
        <v>4567</v>
      </c>
      <c r="Z1192" t="s">
        <v>46</v>
      </c>
      <c r="AA1192" t="s">
        <v>4589</v>
      </c>
      <c r="AC1192">
        <f>COUNTIF(C:C,QLKV_gui_ket_qua_ra_soat[[#This Row],[Mã điểm bán]])</f>
        <v>1</v>
      </c>
    </row>
    <row r="1193" spans="1:29" x14ac:dyDescent="0.45">
      <c r="A1193" t="s">
        <v>4550</v>
      </c>
      <c r="B1193">
        <v>75</v>
      </c>
      <c r="C1193" t="s">
        <v>4807</v>
      </c>
      <c r="D1193" t="s">
        <v>4808</v>
      </c>
      <c r="F1193" t="s">
        <v>3764</v>
      </c>
      <c r="G1193" t="s">
        <v>34</v>
      </c>
      <c r="H1193" t="s">
        <v>546</v>
      </c>
      <c r="I1193" t="s">
        <v>4809</v>
      </c>
      <c r="J1193" t="s">
        <v>38</v>
      </c>
      <c r="K1193" t="s">
        <v>38</v>
      </c>
      <c r="L1193" t="s">
        <v>40</v>
      </c>
      <c r="M1193" t="s">
        <v>38</v>
      </c>
      <c r="N1193" t="s">
        <v>38</v>
      </c>
      <c r="O1193" t="s">
        <v>39</v>
      </c>
      <c r="P1193" t="s">
        <v>38</v>
      </c>
      <c r="Q1193" t="s">
        <v>38</v>
      </c>
      <c r="R1193" t="s">
        <v>39</v>
      </c>
      <c r="S1193" t="s">
        <v>41</v>
      </c>
      <c r="T1193" t="s">
        <v>4801</v>
      </c>
      <c r="U1193" t="s">
        <v>4802</v>
      </c>
      <c r="V1193" t="s">
        <v>4556</v>
      </c>
      <c r="W1193" t="s">
        <v>1457</v>
      </c>
      <c r="X1193" t="s">
        <v>46</v>
      </c>
      <c r="AC1193">
        <f>COUNTIF(C:C,QLKV_gui_ket_qua_ra_soat[[#This Row],[Mã điểm bán]])</f>
        <v>1</v>
      </c>
    </row>
    <row r="1194" spans="1:29" x14ac:dyDescent="0.45">
      <c r="A1194" t="s">
        <v>4550</v>
      </c>
      <c r="B1194">
        <v>76</v>
      </c>
      <c r="C1194" t="s">
        <v>4810</v>
      </c>
      <c r="D1194" t="s">
        <v>4811</v>
      </c>
      <c r="F1194" t="s">
        <v>581</v>
      </c>
      <c r="G1194" t="s">
        <v>34</v>
      </c>
      <c r="H1194" t="s">
        <v>214</v>
      </c>
      <c r="I1194" t="s">
        <v>4812</v>
      </c>
      <c r="J1194" t="s">
        <v>37</v>
      </c>
      <c r="K1194" t="s">
        <v>37</v>
      </c>
      <c r="L1194" t="s">
        <v>39</v>
      </c>
      <c r="M1194" t="s">
        <v>37</v>
      </c>
      <c r="N1194" t="s">
        <v>37</v>
      </c>
      <c r="O1194" t="s">
        <v>39</v>
      </c>
      <c r="P1194" t="s">
        <v>37</v>
      </c>
      <c r="Q1194" t="s">
        <v>37</v>
      </c>
      <c r="R1194" t="s">
        <v>39</v>
      </c>
      <c r="S1194" t="s">
        <v>41</v>
      </c>
      <c r="T1194" t="s">
        <v>4737</v>
      </c>
      <c r="U1194" t="s">
        <v>4738</v>
      </c>
      <c r="V1194" t="s">
        <v>4556</v>
      </c>
      <c r="W1194" t="s">
        <v>1457</v>
      </c>
      <c r="Z1194" t="s">
        <v>46</v>
      </c>
      <c r="AA1194" t="s">
        <v>4589</v>
      </c>
      <c r="AC1194">
        <f>COUNTIF(C:C,QLKV_gui_ket_qua_ra_soat[[#This Row],[Mã điểm bán]])</f>
        <v>1</v>
      </c>
    </row>
    <row r="1195" spans="1:29" x14ac:dyDescent="0.45">
      <c r="A1195" t="s">
        <v>4550</v>
      </c>
      <c r="B1195">
        <v>77</v>
      </c>
      <c r="C1195" t="s">
        <v>4813</v>
      </c>
      <c r="D1195" t="s">
        <v>4814</v>
      </c>
      <c r="F1195" t="s">
        <v>4815</v>
      </c>
      <c r="G1195" t="s">
        <v>34</v>
      </c>
      <c r="H1195" t="s">
        <v>1483</v>
      </c>
      <c r="I1195" t="s">
        <v>4816</v>
      </c>
      <c r="J1195" t="s">
        <v>38</v>
      </c>
      <c r="K1195" t="s">
        <v>38</v>
      </c>
      <c r="L1195" t="s">
        <v>39</v>
      </c>
      <c r="M1195" t="s">
        <v>38</v>
      </c>
      <c r="N1195" t="s">
        <v>38</v>
      </c>
      <c r="O1195" t="s">
        <v>39</v>
      </c>
      <c r="P1195" t="s">
        <v>38</v>
      </c>
      <c r="Q1195" t="s">
        <v>38</v>
      </c>
      <c r="R1195" t="s">
        <v>39</v>
      </c>
      <c r="S1195" t="s">
        <v>41</v>
      </c>
      <c r="T1195" t="s">
        <v>4801</v>
      </c>
      <c r="U1195" t="s">
        <v>4802</v>
      </c>
      <c r="V1195" t="s">
        <v>4556</v>
      </c>
      <c r="W1195" t="s">
        <v>1457</v>
      </c>
      <c r="X1195" t="s">
        <v>46</v>
      </c>
      <c r="AC1195">
        <f>COUNTIF(C:C,QLKV_gui_ket_qua_ra_soat[[#This Row],[Mã điểm bán]])</f>
        <v>1</v>
      </c>
    </row>
    <row r="1196" spans="1:29" x14ac:dyDescent="0.45">
      <c r="A1196" t="s">
        <v>4550</v>
      </c>
      <c r="B1196">
        <v>78</v>
      </c>
      <c r="C1196" t="s">
        <v>4817</v>
      </c>
      <c r="D1196" t="s">
        <v>4818</v>
      </c>
      <c r="F1196" t="s">
        <v>4819</v>
      </c>
      <c r="G1196" t="s">
        <v>34</v>
      </c>
      <c r="H1196" t="s">
        <v>54</v>
      </c>
      <c r="I1196" t="s">
        <v>4820</v>
      </c>
      <c r="J1196" t="s">
        <v>37</v>
      </c>
      <c r="K1196" t="s">
        <v>37</v>
      </c>
      <c r="L1196" t="s">
        <v>39</v>
      </c>
      <c r="M1196" t="s">
        <v>37</v>
      </c>
      <c r="N1196" t="s">
        <v>56</v>
      </c>
      <c r="O1196" t="s">
        <v>39</v>
      </c>
      <c r="P1196" t="s">
        <v>37</v>
      </c>
      <c r="Q1196" t="s">
        <v>37</v>
      </c>
      <c r="R1196" t="s">
        <v>39</v>
      </c>
      <c r="S1196" t="s">
        <v>41</v>
      </c>
      <c r="T1196" t="s">
        <v>4737</v>
      </c>
      <c r="U1196" t="s">
        <v>4738</v>
      </c>
      <c r="V1196" t="s">
        <v>4556</v>
      </c>
      <c r="W1196" t="s">
        <v>1457</v>
      </c>
      <c r="Z1196" t="s">
        <v>46</v>
      </c>
      <c r="AA1196" t="s">
        <v>4589</v>
      </c>
      <c r="AC1196">
        <f>COUNTIF(C:C,QLKV_gui_ket_qua_ra_soat[[#This Row],[Mã điểm bán]])</f>
        <v>1</v>
      </c>
    </row>
    <row r="1197" spans="1:29" x14ac:dyDescent="0.45">
      <c r="A1197" t="s">
        <v>4550</v>
      </c>
      <c r="B1197">
        <v>79</v>
      </c>
      <c r="C1197" t="s">
        <v>4821</v>
      </c>
      <c r="D1197" t="s">
        <v>4822</v>
      </c>
      <c r="F1197" t="s">
        <v>331</v>
      </c>
      <c r="G1197" t="s">
        <v>34</v>
      </c>
      <c r="H1197" t="s">
        <v>565</v>
      </c>
      <c r="I1197" t="s">
        <v>4823</v>
      </c>
      <c r="J1197" t="s">
        <v>38</v>
      </c>
      <c r="K1197" t="s">
        <v>38</v>
      </c>
      <c r="L1197" t="s">
        <v>40</v>
      </c>
      <c r="M1197" t="s">
        <v>37</v>
      </c>
      <c r="N1197" t="s">
        <v>37</v>
      </c>
      <c r="O1197" t="s">
        <v>39</v>
      </c>
      <c r="P1197" t="s">
        <v>37</v>
      </c>
      <c r="Q1197" t="s">
        <v>37</v>
      </c>
      <c r="R1197" t="s">
        <v>39</v>
      </c>
      <c r="S1197" t="s">
        <v>41</v>
      </c>
      <c r="T1197" t="s">
        <v>4737</v>
      </c>
      <c r="U1197" t="s">
        <v>4738</v>
      </c>
      <c r="V1197" t="s">
        <v>4556</v>
      </c>
      <c r="W1197" t="s">
        <v>1457</v>
      </c>
      <c r="X1197" t="s">
        <v>46</v>
      </c>
      <c r="AC1197">
        <f>COUNTIF(C:C,QLKV_gui_ket_qua_ra_soat[[#This Row],[Mã điểm bán]])</f>
        <v>1</v>
      </c>
    </row>
    <row r="1198" spans="1:29" x14ac:dyDescent="0.45">
      <c r="A1198" t="s">
        <v>4550</v>
      </c>
      <c r="B1198">
        <v>80</v>
      </c>
      <c r="C1198" t="s">
        <v>4824</v>
      </c>
      <c r="D1198" t="s">
        <v>4825</v>
      </c>
      <c r="F1198" t="s">
        <v>417</v>
      </c>
      <c r="G1198" t="s">
        <v>34</v>
      </c>
      <c r="H1198" t="s">
        <v>54</v>
      </c>
      <c r="I1198" t="s">
        <v>4826</v>
      </c>
      <c r="J1198" t="s">
        <v>41</v>
      </c>
      <c r="K1198" t="s">
        <v>41</v>
      </c>
      <c r="L1198" t="s">
        <v>41</v>
      </c>
      <c r="M1198" t="s">
        <v>41</v>
      </c>
      <c r="N1198" t="s">
        <v>41</v>
      </c>
      <c r="O1198" t="s">
        <v>41</v>
      </c>
      <c r="P1198" t="s">
        <v>41</v>
      </c>
      <c r="Q1198" t="s">
        <v>41</v>
      </c>
      <c r="R1198" t="s">
        <v>41</v>
      </c>
      <c r="S1198" t="s">
        <v>41</v>
      </c>
      <c r="T1198" t="s">
        <v>4737</v>
      </c>
      <c r="U1198" t="s">
        <v>4738</v>
      </c>
      <c r="V1198" t="s">
        <v>4556</v>
      </c>
      <c r="W1198" t="s">
        <v>1457</v>
      </c>
      <c r="X1198" t="s">
        <v>46</v>
      </c>
      <c r="AC1198">
        <f>COUNTIF(C:C,QLKV_gui_ket_qua_ra_soat[[#This Row],[Mã điểm bán]])</f>
        <v>1</v>
      </c>
    </row>
    <row r="1199" spans="1:29" x14ac:dyDescent="0.45">
      <c r="A1199" t="s">
        <v>4550</v>
      </c>
      <c r="B1199">
        <v>81</v>
      </c>
      <c r="C1199" t="s">
        <v>4827</v>
      </c>
      <c r="D1199" t="s">
        <v>4828</v>
      </c>
      <c r="F1199" t="s">
        <v>559</v>
      </c>
      <c r="G1199" t="s">
        <v>34</v>
      </c>
      <c r="H1199" t="s">
        <v>1010</v>
      </c>
      <c r="I1199" t="s">
        <v>4829</v>
      </c>
      <c r="J1199" t="s">
        <v>38</v>
      </c>
      <c r="K1199" t="s">
        <v>38</v>
      </c>
      <c r="L1199" t="s">
        <v>40</v>
      </c>
      <c r="M1199" t="s">
        <v>38</v>
      </c>
      <c r="N1199" t="s">
        <v>38</v>
      </c>
      <c r="O1199" t="s">
        <v>39</v>
      </c>
      <c r="P1199" t="s">
        <v>38</v>
      </c>
      <c r="Q1199" t="s">
        <v>38</v>
      </c>
      <c r="R1199" t="s">
        <v>39</v>
      </c>
      <c r="S1199" t="s">
        <v>4830</v>
      </c>
      <c r="T1199" t="s">
        <v>4801</v>
      </c>
      <c r="U1199" t="s">
        <v>4802</v>
      </c>
      <c r="V1199" t="s">
        <v>4556</v>
      </c>
      <c r="W1199" t="s">
        <v>1457</v>
      </c>
      <c r="X1199" t="s">
        <v>46</v>
      </c>
      <c r="AC1199">
        <f>COUNTIF(C:C,QLKV_gui_ket_qua_ra_soat[[#This Row],[Mã điểm bán]])</f>
        <v>1</v>
      </c>
    </row>
    <row r="1200" spans="1:29" x14ac:dyDescent="0.45">
      <c r="A1200" t="s">
        <v>4550</v>
      </c>
      <c r="B1200">
        <v>82</v>
      </c>
      <c r="C1200" t="s">
        <v>4831</v>
      </c>
      <c r="D1200" t="s">
        <v>4832</v>
      </c>
      <c r="F1200" t="s">
        <v>3237</v>
      </c>
      <c r="G1200" t="s">
        <v>177</v>
      </c>
      <c r="H1200" t="s">
        <v>697</v>
      </c>
      <c r="I1200" t="s">
        <v>4833</v>
      </c>
      <c r="J1200" t="s">
        <v>56</v>
      </c>
      <c r="K1200" t="s">
        <v>56</v>
      </c>
      <c r="L1200" t="s">
        <v>39</v>
      </c>
      <c r="M1200" t="s">
        <v>56</v>
      </c>
      <c r="N1200" t="s">
        <v>56</v>
      </c>
      <c r="O1200" t="s">
        <v>39</v>
      </c>
      <c r="P1200" t="s">
        <v>56</v>
      </c>
      <c r="Q1200" t="s">
        <v>56</v>
      </c>
      <c r="R1200" t="s">
        <v>39</v>
      </c>
      <c r="S1200" t="s">
        <v>4834</v>
      </c>
      <c r="T1200" t="s">
        <v>4835</v>
      </c>
      <c r="U1200" t="s">
        <v>4802</v>
      </c>
      <c r="V1200" t="s">
        <v>4556</v>
      </c>
      <c r="W1200" t="s">
        <v>1457</v>
      </c>
      <c r="Z1200" t="s">
        <v>46</v>
      </c>
      <c r="AA1200" t="s">
        <v>4589</v>
      </c>
      <c r="AC1200">
        <f>COUNTIF(C:C,QLKV_gui_ket_qua_ra_soat[[#This Row],[Mã điểm bán]])</f>
        <v>1</v>
      </c>
    </row>
    <row r="1201" spans="1:29" x14ac:dyDescent="0.45">
      <c r="A1201" t="s">
        <v>4550</v>
      </c>
      <c r="B1201">
        <v>83</v>
      </c>
      <c r="C1201" t="s">
        <v>4836</v>
      </c>
      <c r="D1201" t="s">
        <v>4837</v>
      </c>
      <c r="F1201" t="s">
        <v>1597</v>
      </c>
      <c r="G1201" t="s">
        <v>34</v>
      </c>
      <c r="H1201" t="s">
        <v>54</v>
      </c>
      <c r="I1201" t="s">
        <v>4838</v>
      </c>
      <c r="J1201" t="s">
        <v>37</v>
      </c>
      <c r="K1201" t="s">
        <v>37</v>
      </c>
      <c r="L1201" t="s">
        <v>39</v>
      </c>
      <c r="M1201" t="s">
        <v>37</v>
      </c>
      <c r="N1201" t="s">
        <v>37</v>
      </c>
      <c r="O1201" t="s">
        <v>39</v>
      </c>
      <c r="P1201" t="s">
        <v>37</v>
      </c>
      <c r="Q1201" t="s">
        <v>37</v>
      </c>
      <c r="R1201" t="s">
        <v>39</v>
      </c>
      <c r="S1201" t="s">
        <v>41</v>
      </c>
      <c r="T1201" t="s">
        <v>4737</v>
      </c>
      <c r="U1201" t="s">
        <v>4738</v>
      </c>
      <c r="V1201" t="s">
        <v>4556</v>
      </c>
      <c r="W1201" t="s">
        <v>1457</v>
      </c>
      <c r="Z1201" t="s">
        <v>46</v>
      </c>
      <c r="AA1201" t="s">
        <v>4589</v>
      </c>
      <c r="AC1201">
        <f>COUNTIF(C:C,QLKV_gui_ket_qua_ra_soat[[#This Row],[Mã điểm bán]])</f>
        <v>1</v>
      </c>
    </row>
    <row r="1202" spans="1:29" x14ac:dyDescent="0.45">
      <c r="A1202" t="s">
        <v>4550</v>
      </c>
      <c r="B1202">
        <v>84</v>
      </c>
      <c r="C1202" t="s">
        <v>4839</v>
      </c>
      <c r="D1202" t="s">
        <v>4840</v>
      </c>
      <c r="F1202" t="s">
        <v>4759</v>
      </c>
      <c r="G1202" t="s">
        <v>34</v>
      </c>
      <c r="H1202" t="s">
        <v>54</v>
      </c>
      <c r="I1202" t="s">
        <v>4841</v>
      </c>
      <c r="J1202" t="s">
        <v>37</v>
      </c>
      <c r="K1202" t="s">
        <v>37</v>
      </c>
      <c r="L1202" t="s">
        <v>39</v>
      </c>
      <c r="M1202" t="s">
        <v>56</v>
      </c>
      <c r="N1202" t="s">
        <v>56</v>
      </c>
      <c r="O1202" t="s">
        <v>121</v>
      </c>
      <c r="P1202" t="s">
        <v>38</v>
      </c>
      <c r="Q1202" t="s">
        <v>38</v>
      </c>
      <c r="R1202" t="s">
        <v>39</v>
      </c>
      <c r="S1202" t="s">
        <v>4765</v>
      </c>
      <c r="T1202" t="s">
        <v>4746</v>
      </c>
      <c r="U1202" t="s">
        <v>4747</v>
      </c>
      <c r="V1202" t="s">
        <v>4556</v>
      </c>
      <c r="W1202" t="s">
        <v>4603</v>
      </c>
      <c r="Z1202" t="s">
        <v>46</v>
      </c>
      <c r="AA1202" t="s">
        <v>4589</v>
      </c>
      <c r="AC1202">
        <f>COUNTIF(C:C,QLKV_gui_ket_qua_ra_soat[[#This Row],[Mã điểm bán]])</f>
        <v>1</v>
      </c>
    </row>
    <row r="1203" spans="1:29" x14ac:dyDescent="0.45">
      <c r="A1203" t="s">
        <v>4550</v>
      </c>
      <c r="B1203">
        <v>85</v>
      </c>
      <c r="C1203" t="s">
        <v>4842</v>
      </c>
      <c r="D1203" t="s">
        <v>781</v>
      </c>
      <c r="F1203" t="s">
        <v>4843</v>
      </c>
      <c r="G1203" t="s">
        <v>34</v>
      </c>
      <c r="H1203" t="s">
        <v>54</v>
      </c>
      <c r="I1203" t="s">
        <v>4844</v>
      </c>
      <c r="J1203" t="s">
        <v>37</v>
      </c>
      <c r="K1203" t="s">
        <v>37</v>
      </c>
      <c r="L1203" t="s">
        <v>39</v>
      </c>
      <c r="M1203" t="s">
        <v>37</v>
      </c>
      <c r="N1203" t="s">
        <v>37</v>
      </c>
      <c r="O1203" t="s">
        <v>39</v>
      </c>
      <c r="P1203" t="s">
        <v>37</v>
      </c>
      <c r="Q1203" t="s">
        <v>37</v>
      </c>
      <c r="R1203" t="s">
        <v>39</v>
      </c>
      <c r="S1203" t="s">
        <v>41</v>
      </c>
      <c r="T1203" t="s">
        <v>4737</v>
      </c>
      <c r="U1203" t="s">
        <v>4738</v>
      </c>
      <c r="V1203" t="s">
        <v>4556</v>
      </c>
      <c r="W1203" t="s">
        <v>1457</v>
      </c>
      <c r="Z1203" t="s">
        <v>46</v>
      </c>
      <c r="AA1203" t="s">
        <v>4589</v>
      </c>
      <c r="AC1203">
        <f>COUNTIF(C:C,QLKV_gui_ket_qua_ra_soat[[#This Row],[Mã điểm bán]])</f>
        <v>1</v>
      </c>
    </row>
    <row r="1204" spans="1:29" x14ac:dyDescent="0.45">
      <c r="A1204" t="s">
        <v>4550</v>
      </c>
      <c r="B1204">
        <v>86</v>
      </c>
      <c r="C1204" t="s">
        <v>4845</v>
      </c>
      <c r="D1204" t="s">
        <v>4846</v>
      </c>
      <c r="F1204" t="s">
        <v>417</v>
      </c>
      <c r="G1204" t="s">
        <v>34</v>
      </c>
      <c r="H1204" t="s">
        <v>54</v>
      </c>
      <c r="I1204" t="s">
        <v>4847</v>
      </c>
      <c r="J1204" t="s">
        <v>37</v>
      </c>
      <c r="K1204" t="s">
        <v>37</v>
      </c>
      <c r="L1204" t="s">
        <v>39</v>
      </c>
      <c r="M1204" t="s">
        <v>37</v>
      </c>
      <c r="N1204" t="s">
        <v>37</v>
      </c>
      <c r="O1204" t="s">
        <v>39</v>
      </c>
      <c r="P1204" t="s">
        <v>37</v>
      </c>
      <c r="Q1204" t="s">
        <v>37</v>
      </c>
      <c r="R1204" t="s">
        <v>39</v>
      </c>
      <c r="S1204" t="s">
        <v>41</v>
      </c>
      <c r="T1204" t="s">
        <v>4737</v>
      </c>
      <c r="U1204" t="s">
        <v>4738</v>
      </c>
      <c r="V1204" t="s">
        <v>4556</v>
      </c>
      <c r="W1204" t="s">
        <v>1457</v>
      </c>
      <c r="Z1204" t="s">
        <v>46</v>
      </c>
      <c r="AA1204" t="s">
        <v>4589</v>
      </c>
      <c r="AC1204">
        <f>COUNTIF(C:C,QLKV_gui_ket_qua_ra_soat[[#This Row],[Mã điểm bán]])</f>
        <v>1</v>
      </c>
    </row>
    <row r="1205" spans="1:29" x14ac:dyDescent="0.45">
      <c r="A1205" t="s">
        <v>4550</v>
      </c>
      <c r="B1205">
        <v>87</v>
      </c>
      <c r="C1205" t="s">
        <v>4848</v>
      </c>
      <c r="D1205" t="s">
        <v>4849</v>
      </c>
      <c r="F1205" t="s">
        <v>4850</v>
      </c>
      <c r="G1205" t="s">
        <v>34</v>
      </c>
      <c r="H1205" t="s">
        <v>550</v>
      </c>
      <c r="I1205" t="s">
        <v>4851</v>
      </c>
      <c r="J1205" t="s">
        <v>38</v>
      </c>
      <c r="K1205" t="s">
        <v>38</v>
      </c>
      <c r="L1205" t="s">
        <v>39</v>
      </c>
      <c r="M1205" t="s">
        <v>38</v>
      </c>
      <c r="N1205" t="s">
        <v>38</v>
      </c>
      <c r="O1205" t="s">
        <v>39</v>
      </c>
      <c r="P1205" t="s">
        <v>38</v>
      </c>
      <c r="Q1205" t="s">
        <v>38</v>
      </c>
      <c r="R1205" t="s">
        <v>39</v>
      </c>
      <c r="S1205" t="s">
        <v>4852</v>
      </c>
      <c r="T1205" t="s">
        <v>4801</v>
      </c>
      <c r="U1205" t="s">
        <v>4802</v>
      </c>
      <c r="V1205" t="s">
        <v>4556</v>
      </c>
      <c r="W1205" t="s">
        <v>1457</v>
      </c>
      <c r="X1205" t="s">
        <v>46</v>
      </c>
      <c r="AC1205">
        <f>COUNTIF(C:C,QLKV_gui_ket_qua_ra_soat[[#This Row],[Mã điểm bán]])</f>
        <v>1</v>
      </c>
    </row>
    <row r="1206" spans="1:29" x14ac:dyDescent="0.45">
      <c r="A1206" t="s">
        <v>4550</v>
      </c>
      <c r="B1206">
        <v>88</v>
      </c>
      <c r="C1206" t="s">
        <v>4853</v>
      </c>
      <c r="D1206" t="s">
        <v>4854</v>
      </c>
      <c r="F1206" t="s">
        <v>53</v>
      </c>
      <c r="G1206" t="s">
        <v>177</v>
      </c>
      <c r="H1206" t="s">
        <v>4689</v>
      </c>
      <c r="I1206" t="s">
        <v>4750</v>
      </c>
      <c r="J1206" t="s">
        <v>38</v>
      </c>
      <c r="K1206" t="s">
        <v>38</v>
      </c>
      <c r="L1206" t="s">
        <v>39</v>
      </c>
      <c r="M1206" t="s">
        <v>38</v>
      </c>
      <c r="N1206" t="s">
        <v>38</v>
      </c>
      <c r="O1206" t="s">
        <v>39</v>
      </c>
      <c r="P1206" t="s">
        <v>38</v>
      </c>
      <c r="Q1206" t="s">
        <v>38</v>
      </c>
      <c r="R1206" t="s">
        <v>40</v>
      </c>
      <c r="S1206" t="s">
        <v>4751</v>
      </c>
      <c r="T1206" t="s">
        <v>4752</v>
      </c>
      <c r="U1206" t="s">
        <v>4753</v>
      </c>
      <c r="V1206" t="s">
        <v>4556</v>
      </c>
      <c r="W1206" t="s">
        <v>4557</v>
      </c>
      <c r="X1206" t="s">
        <v>46</v>
      </c>
      <c r="AC1206">
        <f>COUNTIF(C:C,QLKV_gui_ket_qua_ra_soat[[#This Row],[Mã điểm bán]])</f>
        <v>1</v>
      </c>
    </row>
    <row r="1207" spans="1:29" x14ac:dyDescent="0.45">
      <c r="A1207" t="s">
        <v>4550</v>
      </c>
      <c r="B1207">
        <v>89</v>
      </c>
      <c r="C1207" t="s">
        <v>4855</v>
      </c>
      <c r="D1207" t="s">
        <v>4664</v>
      </c>
      <c r="F1207" t="s">
        <v>3049</v>
      </c>
      <c r="G1207" t="s">
        <v>34</v>
      </c>
      <c r="H1207" t="s">
        <v>54</v>
      </c>
      <c r="I1207" t="s">
        <v>4856</v>
      </c>
      <c r="J1207" t="s">
        <v>56</v>
      </c>
      <c r="K1207" t="s">
        <v>56</v>
      </c>
      <c r="L1207" t="s">
        <v>39</v>
      </c>
      <c r="M1207" t="s">
        <v>56</v>
      </c>
      <c r="N1207" t="s">
        <v>56</v>
      </c>
      <c r="O1207" t="s">
        <v>39</v>
      </c>
      <c r="P1207" t="s">
        <v>38</v>
      </c>
      <c r="Q1207" t="s">
        <v>38</v>
      </c>
      <c r="R1207" t="s">
        <v>39</v>
      </c>
      <c r="S1207" t="s">
        <v>4761</v>
      </c>
      <c r="T1207" t="s">
        <v>4746</v>
      </c>
      <c r="U1207" t="s">
        <v>4747</v>
      </c>
      <c r="V1207" t="s">
        <v>4556</v>
      </c>
      <c r="W1207" t="s">
        <v>4603</v>
      </c>
      <c r="X1207" t="s">
        <v>46</v>
      </c>
      <c r="AC1207">
        <f>COUNTIF(C:C,QLKV_gui_ket_qua_ra_soat[[#This Row],[Mã điểm bán]])</f>
        <v>1</v>
      </c>
    </row>
    <row r="1208" spans="1:29" x14ac:dyDescent="0.45">
      <c r="A1208" t="s">
        <v>4550</v>
      </c>
      <c r="B1208">
        <v>90</v>
      </c>
      <c r="C1208" t="s">
        <v>4857</v>
      </c>
      <c r="D1208" t="s">
        <v>4858</v>
      </c>
      <c r="F1208" t="s">
        <v>401</v>
      </c>
      <c r="G1208" t="s">
        <v>34</v>
      </c>
      <c r="H1208" t="s">
        <v>54</v>
      </c>
      <c r="I1208" t="s">
        <v>4859</v>
      </c>
      <c r="J1208" t="s">
        <v>37</v>
      </c>
      <c r="K1208" t="s">
        <v>37</v>
      </c>
      <c r="L1208" t="s">
        <v>39</v>
      </c>
      <c r="M1208" t="s">
        <v>37</v>
      </c>
      <c r="N1208" t="s">
        <v>37</v>
      </c>
      <c r="O1208" t="s">
        <v>39</v>
      </c>
      <c r="P1208" t="s">
        <v>37</v>
      </c>
      <c r="Q1208" t="s">
        <v>37</v>
      </c>
      <c r="R1208" t="s">
        <v>39</v>
      </c>
      <c r="S1208" t="s">
        <v>41</v>
      </c>
      <c r="T1208" t="s">
        <v>4737</v>
      </c>
      <c r="U1208" t="s">
        <v>4738</v>
      </c>
      <c r="V1208" t="s">
        <v>4556</v>
      </c>
      <c r="W1208" t="s">
        <v>1457</v>
      </c>
      <c r="X1208" t="s">
        <v>46</v>
      </c>
      <c r="AC1208">
        <f>COUNTIF(C:C,QLKV_gui_ket_qua_ra_soat[[#This Row],[Mã điểm bán]])</f>
        <v>1</v>
      </c>
    </row>
    <row r="1209" spans="1:29" x14ac:dyDescent="0.45">
      <c r="A1209" t="s">
        <v>4550</v>
      </c>
      <c r="B1209">
        <v>91</v>
      </c>
      <c r="C1209" t="s">
        <v>4860</v>
      </c>
      <c r="D1209" t="s">
        <v>4861</v>
      </c>
      <c r="F1209" t="s">
        <v>401</v>
      </c>
      <c r="G1209" t="s">
        <v>34</v>
      </c>
      <c r="H1209" t="s">
        <v>54</v>
      </c>
      <c r="I1209" t="s">
        <v>4862</v>
      </c>
      <c r="J1209" t="s">
        <v>37</v>
      </c>
      <c r="K1209" t="s">
        <v>38</v>
      </c>
      <c r="L1209" t="s">
        <v>39</v>
      </c>
      <c r="M1209" t="s">
        <v>37</v>
      </c>
      <c r="N1209" t="s">
        <v>37</v>
      </c>
      <c r="O1209" t="s">
        <v>39</v>
      </c>
      <c r="P1209" t="s">
        <v>37</v>
      </c>
      <c r="Q1209" t="s">
        <v>37</v>
      </c>
      <c r="R1209" t="s">
        <v>39</v>
      </c>
      <c r="S1209" t="s">
        <v>41</v>
      </c>
      <c r="T1209" t="s">
        <v>4737</v>
      </c>
      <c r="U1209" t="s">
        <v>4738</v>
      </c>
      <c r="V1209" t="s">
        <v>4556</v>
      </c>
      <c r="W1209" t="s">
        <v>1457</v>
      </c>
      <c r="X1209" t="s">
        <v>46</v>
      </c>
      <c r="AC1209">
        <f>COUNTIF(C:C,QLKV_gui_ket_qua_ra_soat[[#This Row],[Mã điểm bán]])</f>
        <v>1</v>
      </c>
    </row>
    <row r="1210" spans="1:29" x14ac:dyDescent="0.45">
      <c r="A1210" t="s">
        <v>4550</v>
      </c>
      <c r="B1210">
        <v>92</v>
      </c>
      <c r="C1210" t="s">
        <v>4863</v>
      </c>
      <c r="D1210" t="s">
        <v>4864</v>
      </c>
      <c r="F1210" t="s">
        <v>53</v>
      </c>
      <c r="G1210" t="s">
        <v>34</v>
      </c>
      <c r="H1210" t="s">
        <v>332</v>
      </c>
      <c r="I1210" t="s">
        <v>4665</v>
      </c>
      <c r="J1210" t="s">
        <v>38</v>
      </c>
      <c r="K1210" t="s">
        <v>38</v>
      </c>
      <c r="L1210" t="s">
        <v>40</v>
      </c>
      <c r="M1210" t="s">
        <v>38</v>
      </c>
      <c r="N1210" t="s">
        <v>56</v>
      </c>
      <c r="O1210" t="s">
        <v>39</v>
      </c>
      <c r="P1210" t="s">
        <v>38</v>
      </c>
      <c r="Q1210" t="s">
        <v>38</v>
      </c>
      <c r="R1210" t="s">
        <v>40</v>
      </c>
      <c r="S1210" t="s">
        <v>41</v>
      </c>
      <c r="T1210" t="s">
        <v>4667</v>
      </c>
      <c r="U1210" t="s">
        <v>4668</v>
      </c>
      <c r="V1210" t="s">
        <v>4556</v>
      </c>
      <c r="W1210" t="s">
        <v>4567</v>
      </c>
      <c r="X1210" t="s">
        <v>46</v>
      </c>
      <c r="AC1210">
        <f>COUNTIF(C:C,QLKV_gui_ket_qua_ra_soat[[#This Row],[Mã điểm bán]])</f>
        <v>1</v>
      </c>
    </row>
    <row r="1211" spans="1:29" x14ac:dyDescent="0.45">
      <c r="A1211" t="s">
        <v>4550</v>
      </c>
      <c r="B1211">
        <v>93</v>
      </c>
      <c r="C1211" t="s">
        <v>4865</v>
      </c>
      <c r="D1211" t="s">
        <v>4866</v>
      </c>
      <c r="F1211" t="s">
        <v>2022</v>
      </c>
      <c r="G1211" t="s">
        <v>34</v>
      </c>
      <c r="H1211" t="s">
        <v>54</v>
      </c>
      <c r="I1211" t="s">
        <v>4867</v>
      </c>
      <c r="J1211" t="s">
        <v>38</v>
      </c>
      <c r="K1211" t="s">
        <v>38</v>
      </c>
      <c r="L1211" t="s">
        <v>40</v>
      </c>
      <c r="M1211" t="s">
        <v>38</v>
      </c>
      <c r="N1211" t="s">
        <v>38</v>
      </c>
      <c r="O1211" t="s">
        <v>40</v>
      </c>
      <c r="P1211" t="s">
        <v>38</v>
      </c>
      <c r="Q1211" t="s">
        <v>38</v>
      </c>
      <c r="R1211" t="s">
        <v>40</v>
      </c>
      <c r="S1211" t="s">
        <v>4783</v>
      </c>
      <c r="T1211" t="s">
        <v>4565</v>
      </c>
      <c r="U1211" t="s">
        <v>4566</v>
      </c>
      <c r="V1211" t="s">
        <v>4556</v>
      </c>
      <c r="W1211" t="s">
        <v>4567</v>
      </c>
      <c r="X1211" t="s">
        <v>46</v>
      </c>
      <c r="AC1211">
        <f>COUNTIF(C:C,QLKV_gui_ket_qua_ra_soat[[#This Row],[Mã điểm bán]])</f>
        <v>1</v>
      </c>
    </row>
    <row r="1212" spans="1:29" x14ac:dyDescent="0.45">
      <c r="A1212" t="s">
        <v>4550</v>
      </c>
      <c r="B1212">
        <v>94</v>
      </c>
      <c r="C1212" t="s">
        <v>4868</v>
      </c>
      <c r="D1212" t="s">
        <v>4869</v>
      </c>
      <c r="F1212" t="s">
        <v>426</v>
      </c>
      <c r="G1212" t="s">
        <v>34</v>
      </c>
      <c r="H1212" t="s">
        <v>54</v>
      </c>
      <c r="I1212" t="s">
        <v>4870</v>
      </c>
      <c r="J1212" t="s">
        <v>37</v>
      </c>
      <c r="K1212" t="s">
        <v>37</v>
      </c>
      <c r="L1212" t="s">
        <v>39</v>
      </c>
      <c r="M1212" t="s">
        <v>37</v>
      </c>
      <c r="N1212" t="s">
        <v>37</v>
      </c>
      <c r="O1212" t="s">
        <v>39</v>
      </c>
      <c r="P1212" t="s">
        <v>38</v>
      </c>
      <c r="Q1212" t="s">
        <v>37</v>
      </c>
      <c r="R1212" t="s">
        <v>39</v>
      </c>
      <c r="S1212" t="s">
        <v>41</v>
      </c>
      <c r="T1212" t="s">
        <v>4737</v>
      </c>
      <c r="U1212" t="s">
        <v>4738</v>
      </c>
      <c r="V1212" t="s">
        <v>4556</v>
      </c>
      <c r="W1212" t="s">
        <v>1457</v>
      </c>
      <c r="X1212" t="s">
        <v>46</v>
      </c>
      <c r="AC1212">
        <f>COUNTIF(C:C,QLKV_gui_ket_qua_ra_soat[[#This Row],[Mã điểm bán]])</f>
        <v>1</v>
      </c>
    </row>
    <row r="1213" spans="1:29" x14ac:dyDescent="0.45">
      <c r="A1213" t="s">
        <v>4550</v>
      </c>
      <c r="B1213">
        <v>95</v>
      </c>
      <c r="C1213" t="s">
        <v>4871</v>
      </c>
      <c r="D1213" t="s">
        <v>4872</v>
      </c>
      <c r="F1213" t="s">
        <v>581</v>
      </c>
      <c r="G1213" t="s">
        <v>34</v>
      </c>
      <c r="H1213" t="s">
        <v>54</v>
      </c>
      <c r="I1213" t="s">
        <v>4873</v>
      </c>
      <c r="J1213" t="s">
        <v>56</v>
      </c>
      <c r="K1213" t="s">
        <v>37</v>
      </c>
      <c r="L1213" t="s">
        <v>39</v>
      </c>
      <c r="M1213" t="s">
        <v>56</v>
      </c>
      <c r="N1213" t="s">
        <v>56</v>
      </c>
      <c r="O1213" t="s">
        <v>39</v>
      </c>
      <c r="P1213" t="s">
        <v>38</v>
      </c>
      <c r="Q1213" t="s">
        <v>38</v>
      </c>
      <c r="R1213" t="s">
        <v>39</v>
      </c>
      <c r="S1213" t="s">
        <v>4874</v>
      </c>
      <c r="T1213" t="s">
        <v>4746</v>
      </c>
      <c r="U1213" t="s">
        <v>4747</v>
      </c>
      <c r="V1213" t="s">
        <v>4556</v>
      </c>
      <c r="W1213" t="s">
        <v>4603</v>
      </c>
      <c r="X1213" t="s">
        <v>46</v>
      </c>
      <c r="AC1213">
        <f>COUNTIF(C:C,QLKV_gui_ket_qua_ra_soat[[#This Row],[Mã điểm bán]])</f>
        <v>1</v>
      </c>
    </row>
    <row r="1214" spans="1:29" x14ac:dyDescent="0.45">
      <c r="A1214" t="s">
        <v>4550</v>
      </c>
      <c r="B1214">
        <v>96</v>
      </c>
      <c r="C1214" t="s">
        <v>4875</v>
      </c>
      <c r="D1214" t="s">
        <v>4876</v>
      </c>
      <c r="F1214" t="s">
        <v>53</v>
      </c>
      <c r="G1214" t="s">
        <v>177</v>
      </c>
      <c r="H1214" t="s">
        <v>54</v>
      </c>
      <c r="I1214" t="s">
        <v>4772</v>
      </c>
      <c r="J1214" t="s">
        <v>38</v>
      </c>
      <c r="K1214" t="s">
        <v>38</v>
      </c>
      <c r="L1214" t="s">
        <v>40</v>
      </c>
      <c r="M1214" t="s">
        <v>38</v>
      </c>
      <c r="N1214" t="s">
        <v>56</v>
      </c>
      <c r="O1214" t="s">
        <v>39</v>
      </c>
      <c r="P1214" t="s">
        <v>38</v>
      </c>
      <c r="Q1214" t="s">
        <v>38</v>
      </c>
      <c r="R1214" t="s">
        <v>40</v>
      </c>
      <c r="S1214" t="s">
        <v>4877</v>
      </c>
      <c r="T1214" t="s">
        <v>4667</v>
      </c>
      <c r="U1214" t="s">
        <v>4668</v>
      </c>
      <c r="V1214" t="s">
        <v>4556</v>
      </c>
      <c r="W1214" t="s">
        <v>4567</v>
      </c>
      <c r="Z1214" t="s">
        <v>46</v>
      </c>
      <c r="AA1214" t="s">
        <v>4589</v>
      </c>
      <c r="AC1214">
        <f>COUNTIF(C:C,QLKV_gui_ket_qua_ra_soat[[#This Row],[Mã điểm bán]])</f>
        <v>1</v>
      </c>
    </row>
    <row r="1215" spans="1:29" x14ac:dyDescent="0.45">
      <c r="A1215" t="s">
        <v>4550</v>
      </c>
      <c r="B1215">
        <v>97</v>
      </c>
      <c r="C1215" t="s">
        <v>4878</v>
      </c>
      <c r="D1215" t="s">
        <v>4879</v>
      </c>
      <c r="F1215" t="s">
        <v>4880</v>
      </c>
      <c r="G1215" t="s">
        <v>34</v>
      </c>
      <c r="H1215" t="s">
        <v>54</v>
      </c>
      <c r="I1215" t="s">
        <v>4881</v>
      </c>
      <c r="J1215" t="s">
        <v>38</v>
      </c>
      <c r="K1215" t="s">
        <v>38</v>
      </c>
      <c r="L1215" t="s">
        <v>40</v>
      </c>
      <c r="M1215" t="s">
        <v>38</v>
      </c>
      <c r="N1215" t="s">
        <v>38</v>
      </c>
      <c r="O1215" t="s">
        <v>40</v>
      </c>
      <c r="P1215" t="s">
        <v>38</v>
      </c>
      <c r="Q1215" t="s">
        <v>38</v>
      </c>
      <c r="R1215" t="s">
        <v>40</v>
      </c>
      <c r="S1215" t="s">
        <v>4783</v>
      </c>
      <c r="T1215" t="s">
        <v>4565</v>
      </c>
      <c r="U1215" t="s">
        <v>4566</v>
      </c>
      <c r="V1215" t="s">
        <v>4556</v>
      </c>
      <c r="W1215" t="s">
        <v>4567</v>
      </c>
      <c r="Z1215" t="s">
        <v>46</v>
      </c>
      <c r="AA1215" t="s">
        <v>4589</v>
      </c>
      <c r="AC1215">
        <f>COUNTIF(C:C,QLKV_gui_ket_qua_ra_soat[[#This Row],[Mã điểm bán]])</f>
        <v>1</v>
      </c>
    </row>
    <row r="1216" spans="1:29" x14ac:dyDescent="0.45">
      <c r="A1216" t="s">
        <v>4550</v>
      </c>
      <c r="B1216">
        <v>98</v>
      </c>
      <c r="C1216" t="s">
        <v>4882</v>
      </c>
      <c r="D1216" t="s">
        <v>4883</v>
      </c>
      <c r="F1216" t="s">
        <v>401</v>
      </c>
      <c r="G1216" t="s">
        <v>34</v>
      </c>
      <c r="H1216" t="s">
        <v>54</v>
      </c>
      <c r="I1216" t="s">
        <v>4884</v>
      </c>
      <c r="J1216" t="s">
        <v>56</v>
      </c>
      <c r="K1216" t="s">
        <v>37</v>
      </c>
      <c r="L1216" t="s">
        <v>39</v>
      </c>
      <c r="M1216" t="s">
        <v>37</v>
      </c>
      <c r="N1216" t="s">
        <v>56</v>
      </c>
      <c r="O1216" t="s">
        <v>39</v>
      </c>
      <c r="P1216" t="s">
        <v>37</v>
      </c>
      <c r="Q1216" t="s">
        <v>37</v>
      </c>
      <c r="R1216" t="s">
        <v>39</v>
      </c>
      <c r="S1216" t="s">
        <v>4885</v>
      </c>
      <c r="T1216" t="s">
        <v>4746</v>
      </c>
      <c r="U1216" t="s">
        <v>4747</v>
      </c>
      <c r="V1216" t="s">
        <v>4556</v>
      </c>
      <c r="W1216" t="s">
        <v>4603</v>
      </c>
      <c r="X1216" t="s">
        <v>46</v>
      </c>
      <c r="AC1216">
        <f>COUNTIF(C:C,QLKV_gui_ket_qua_ra_soat[[#This Row],[Mã điểm bán]])</f>
        <v>1</v>
      </c>
    </row>
    <row r="1217" spans="1:29" x14ac:dyDescent="0.45">
      <c r="A1217" t="s">
        <v>4550</v>
      </c>
      <c r="B1217">
        <v>99</v>
      </c>
      <c r="C1217" t="s">
        <v>4886</v>
      </c>
      <c r="D1217" t="s">
        <v>4887</v>
      </c>
      <c r="F1217" t="s">
        <v>417</v>
      </c>
      <c r="G1217" t="s">
        <v>34</v>
      </c>
      <c r="H1217" t="s">
        <v>77</v>
      </c>
      <c r="I1217" t="s">
        <v>4888</v>
      </c>
      <c r="J1217" t="s">
        <v>38</v>
      </c>
      <c r="K1217" t="s">
        <v>38</v>
      </c>
      <c r="L1217" t="s">
        <v>39</v>
      </c>
      <c r="M1217" t="s">
        <v>38</v>
      </c>
      <c r="N1217" t="s">
        <v>38</v>
      </c>
      <c r="O1217" t="s">
        <v>39</v>
      </c>
      <c r="P1217" t="s">
        <v>38</v>
      </c>
      <c r="Q1217" t="s">
        <v>38</v>
      </c>
      <c r="R1217" t="s">
        <v>39</v>
      </c>
      <c r="S1217" t="s">
        <v>41</v>
      </c>
      <c r="T1217" t="s">
        <v>4801</v>
      </c>
      <c r="U1217" t="s">
        <v>4802</v>
      </c>
      <c r="V1217" t="s">
        <v>4556</v>
      </c>
      <c r="W1217" t="s">
        <v>1457</v>
      </c>
      <c r="X1217" t="s">
        <v>46</v>
      </c>
      <c r="AC1217">
        <f>COUNTIF(C:C,QLKV_gui_ket_qua_ra_soat[[#This Row],[Mã điểm bán]])</f>
        <v>1</v>
      </c>
    </row>
    <row r="1218" spans="1:29" x14ac:dyDescent="0.45">
      <c r="A1218" t="s">
        <v>4550</v>
      </c>
      <c r="B1218">
        <v>100</v>
      </c>
      <c r="C1218" t="s">
        <v>4889</v>
      </c>
      <c r="D1218" t="s">
        <v>4890</v>
      </c>
      <c r="F1218" t="s">
        <v>1754</v>
      </c>
      <c r="G1218" t="s">
        <v>34</v>
      </c>
      <c r="H1218" t="s">
        <v>54</v>
      </c>
      <c r="I1218" t="s">
        <v>4891</v>
      </c>
      <c r="J1218" t="s">
        <v>38</v>
      </c>
      <c r="K1218" t="s">
        <v>38</v>
      </c>
      <c r="L1218" t="s">
        <v>40</v>
      </c>
      <c r="M1218" t="s">
        <v>56</v>
      </c>
      <c r="N1218" t="s">
        <v>56</v>
      </c>
      <c r="O1218" t="s">
        <v>39</v>
      </c>
      <c r="P1218" t="s">
        <v>38</v>
      </c>
      <c r="Q1218" t="s">
        <v>38</v>
      </c>
      <c r="R1218" t="s">
        <v>40</v>
      </c>
      <c r="S1218" t="s">
        <v>4892</v>
      </c>
      <c r="T1218" t="s">
        <v>4835</v>
      </c>
      <c r="U1218" t="s">
        <v>4802</v>
      </c>
      <c r="V1218" t="s">
        <v>4556</v>
      </c>
      <c r="W1218" t="s">
        <v>1457</v>
      </c>
      <c r="X1218" t="s">
        <v>46</v>
      </c>
      <c r="AC1218">
        <f>COUNTIF(C:C,QLKV_gui_ket_qua_ra_soat[[#This Row],[Mã điểm bán]])</f>
        <v>1</v>
      </c>
    </row>
    <row r="1219" spans="1:29" x14ac:dyDescent="0.45">
      <c r="A1219" t="s">
        <v>4550</v>
      </c>
      <c r="B1219">
        <v>101</v>
      </c>
      <c r="C1219" t="s">
        <v>4893</v>
      </c>
      <c r="D1219" t="s">
        <v>4894</v>
      </c>
      <c r="F1219" t="s">
        <v>417</v>
      </c>
      <c r="G1219" t="s">
        <v>34</v>
      </c>
      <c r="H1219" t="s">
        <v>171</v>
      </c>
      <c r="I1219" t="s">
        <v>4895</v>
      </c>
      <c r="J1219" t="s">
        <v>38</v>
      </c>
      <c r="K1219" t="s">
        <v>38</v>
      </c>
      <c r="L1219" t="s">
        <v>40</v>
      </c>
      <c r="M1219" t="s">
        <v>56</v>
      </c>
      <c r="N1219" t="s">
        <v>56</v>
      </c>
      <c r="O1219" t="s">
        <v>39</v>
      </c>
      <c r="P1219" t="s">
        <v>38</v>
      </c>
      <c r="Q1219" t="s">
        <v>38</v>
      </c>
      <c r="R1219" t="s">
        <v>40</v>
      </c>
      <c r="S1219" t="s">
        <v>4892</v>
      </c>
      <c r="T1219" t="s">
        <v>4835</v>
      </c>
      <c r="U1219" t="s">
        <v>4802</v>
      </c>
      <c r="V1219" t="s">
        <v>4556</v>
      </c>
      <c r="W1219" t="s">
        <v>1457</v>
      </c>
      <c r="Z1219" t="s">
        <v>46</v>
      </c>
      <c r="AA1219" t="s">
        <v>4589</v>
      </c>
      <c r="AC1219">
        <f>COUNTIF(C:C,QLKV_gui_ket_qua_ra_soat[[#This Row],[Mã điểm bán]])</f>
        <v>1</v>
      </c>
    </row>
    <row r="1220" spans="1:29" x14ac:dyDescent="0.45">
      <c r="A1220" t="s">
        <v>4550</v>
      </c>
      <c r="B1220">
        <v>102</v>
      </c>
      <c r="C1220" t="s">
        <v>4896</v>
      </c>
      <c r="D1220" t="s">
        <v>4897</v>
      </c>
      <c r="F1220" t="s">
        <v>4898</v>
      </c>
      <c r="G1220" t="s">
        <v>34</v>
      </c>
      <c r="H1220" t="s">
        <v>457</v>
      </c>
      <c r="I1220" t="s">
        <v>4899</v>
      </c>
      <c r="J1220" t="s">
        <v>38</v>
      </c>
      <c r="K1220" t="s">
        <v>38</v>
      </c>
      <c r="L1220" t="s">
        <v>39</v>
      </c>
      <c r="M1220" t="s">
        <v>38</v>
      </c>
      <c r="N1220" t="s">
        <v>38</v>
      </c>
      <c r="O1220" t="s">
        <v>39</v>
      </c>
      <c r="P1220" t="s">
        <v>38</v>
      </c>
      <c r="Q1220" t="s">
        <v>38</v>
      </c>
      <c r="R1220" t="s">
        <v>39</v>
      </c>
      <c r="S1220" t="s">
        <v>4900</v>
      </c>
      <c r="T1220" t="s">
        <v>4801</v>
      </c>
      <c r="U1220" t="s">
        <v>4802</v>
      </c>
      <c r="V1220" t="s">
        <v>4556</v>
      </c>
      <c r="W1220" t="s">
        <v>1457</v>
      </c>
      <c r="X1220" t="s">
        <v>46</v>
      </c>
      <c r="AC1220">
        <f>COUNTIF(C:C,QLKV_gui_ket_qua_ra_soat[[#This Row],[Mã điểm bán]])</f>
        <v>1</v>
      </c>
    </row>
    <row r="1221" spans="1:29" x14ac:dyDescent="0.45">
      <c r="A1221" t="s">
        <v>4550</v>
      </c>
      <c r="B1221">
        <v>103</v>
      </c>
      <c r="C1221" t="s">
        <v>4901</v>
      </c>
      <c r="D1221" t="s">
        <v>4902</v>
      </c>
      <c r="F1221" t="s">
        <v>417</v>
      </c>
      <c r="G1221" t="s">
        <v>34</v>
      </c>
      <c r="H1221" t="s">
        <v>842</v>
      </c>
      <c r="I1221" t="s">
        <v>4826</v>
      </c>
      <c r="J1221" t="s">
        <v>38</v>
      </c>
      <c r="K1221" t="s">
        <v>38</v>
      </c>
      <c r="L1221" t="s">
        <v>40</v>
      </c>
      <c r="M1221" t="s">
        <v>37</v>
      </c>
      <c r="N1221" t="s">
        <v>37</v>
      </c>
      <c r="O1221" t="s">
        <v>39</v>
      </c>
      <c r="P1221" t="s">
        <v>37</v>
      </c>
      <c r="Q1221" t="s">
        <v>37</v>
      </c>
      <c r="R1221" t="s">
        <v>39</v>
      </c>
      <c r="S1221" t="s">
        <v>41</v>
      </c>
      <c r="T1221" t="s">
        <v>4737</v>
      </c>
      <c r="U1221" t="s">
        <v>4738</v>
      </c>
      <c r="V1221" t="s">
        <v>4556</v>
      </c>
      <c r="W1221" t="s">
        <v>1457</v>
      </c>
      <c r="X1221" t="s">
        <v>46</v>
      </c>
      <c r="AC1221">
        <f>COUNTIF(C:C,QLKV_gui_ket_qua_ra_soat[[#This Row],[Mã điểm bán]])</f>
        <v>1</v>
      </c>
    </row>
    <row r="1222" spans="1:29" x14ac:dyDescent="0.45">
      <c r="A1222" t="s">
        <v>4550</v>
      </c>
      <c r="B1222">
        <v>104</v>
      </c>
      <c r="C1222" t="s">
        <v>4903</v>
      </c>
      <c r="D1222" t="s">
        <v>4904</v>
      </c>
      <c r="F1222" t="s">
        <v>53</v>
      </c>
      <c r="G1222" t="s">
        <v>34</v>
      </c>
      <c r="H1222" t="s">
        <v>54</v>
      </c>
      <c r="I1222" t="s">
        <v>4905</v>
      </c>
      <c r="J1222" t="s">
        <v>38</v>
      </c>
      <c r="K1222" t="s">
        <v>38</v>
      </c>
      <c r="L1222" t="s">
        <v>40</v>
      </c>
      <c r="M1222" t="s">
        <v>38</v>
      </c>
      <c r="N1222" t="s">
        <v>775</v>
      </c>
      <c r="O1222" t="s">
        <v>39</v>
      </c>
      <c r="P1222" t="s">
        <v>38</v>
      </c>
      <c r="Q1222" t="s">
        <v>38</v>
      </c>
      <c r="R1222" t="s">
        <v>40</v>
      </c>
      <c r="S1222" t="s">
        <v>41</v>
      </c>
      <c r="T1222" t="s">
        <v>4667</v>
      </c>
      <c r="U1222" t="s">
        <v>4668</v>
      </c>
      <c r="V1222" t="s">
        <v>4556</v>
      </c>
      <c r="W1222" t="s">
        <v>4567</v>
      </c>
      <c r="X1222" t="s">
        <v>46</v>
      </c>
      <c r="AC1222">
        <f>COUNTIF(C:C,QLKV_gui_ket_qua_ra_soat[[#This Row],[Mã điểm bán]])</f>
        <v>1</v>
      </c>
    </row>
    <row r="1223" spans="1:29" x14ac:dyDescent="0.45">
      <c r="A1223" t="s">
        <v>4550</v>
      </c>
      <c r="B1223">
        <v>105</v>
      </c>
      <c r="C1223" t="s">
        <v>4906</v>
      </c>
      <c r="D1223" t="s">
        <v>4907</v>
      </c>
      <c r="F1223" t="s">
        <v>53</v>
      </c>
      <c r="G1223" t="s">
        <v>177</v>
      </c>
      <c r="H1223" t="s">
        <v>214</v>
      </c>
      <c r="I1223" t="s">
        <v>4908</v>
      </c>
      <c r="J1223" t="s">
        <v>38</v>
      </c>
      <c r="K1223" t="s">
        <v>38</v>
      </c>
      <c r="L1223" t="s">
        <v>40</v>
      </c>
      <c r="M1223" t="s">
        <v>38</v>
      </c>
      <c r="N1223" t="s">
        <v>56</v>
      </c>
      <c r="O1223" t="s">
        <v>39</v>
      </c>
      <c r="P1223" t="s">
        <v>38</v>
      </c>
      <c r="Q1223" t="s">
        <v>38</v>
      </c>
      <c r="R1223" t="s">
        <v>40</v>
      </c>
      <c r="S1223" t="s">
        <v>4909</v>
      </c>
      <c r="T1223" t="s">
        <v>4667</v>
      </c>
      <c r="U1223" t="s">
        <v>4668</v>
      </c>
      <c r="V1223" t="s">
        <v>4556</v>
      </c>
      <c r="W1223" t="s">
        <v>4567</v>
      </c>
      <c r="X1223" t="s">
        <v>46</v>
      </c>
      <c r="AC1223">
        <f>COUNTIF(C:C,QLKV_gui_ket_qua_ra_soat[[#This Row],[Mã điểm bán]])</f>
        <v>1</v>
      </c>
    </row>
    <row r="1224" spans="1:29" x14ac:dyDescent="0.45">
      <c r="A1224" t="s">
        <v>4550</v>
      </c>
      <c r="B1224">
        <v>106</v>
      </c>
      <c r="C1224" t="s">
        <v>4910</v>
      </c>
      <c r="D1224" t="s">
        <v>4911</v>
      </c>
      <c r="F1224" t="s">
        <v>53</v>
      </c>
      <c r="G1224" t="s">
        <v>177</v>
      </c>
      <c r="H1224" t="s">
        <v>1731</v>
      </c>
      <c r="I1224" t="s">
        <v>4912</v>
      </c>
      <c r="J1224" t="s">
        <v>38</v>
      </c>
      <c r="K1224" t="s">
        <v>38</v>
      </c>
      <c r="L1224" t="s">
        <v>40</v>
      </c>
      <c r="M1224" t="s">
        <v>38</v>
      </c>
      <c r="N1224" t="s">
        <v>56</v>
      </c>
      <c r="O1224" t="s">
        <v>39</v>
      </c>
      <c r="P1224" t="s">
        <v>38</v>
      </c>
      <c r="Q1224" t="s">
        <v>38</v>
      </c>
      <c r="R1224" t="s">
        <v>40</v>
      </c>
      <c r="S1224" t="s">
        <v>3640</v>
      </c>
      <c r="T1224" t="s">
        <v>4667</v>
      </c>
      <c r="U1224" t="s">
        <v>4668</v>
      </c>
      <c r="V1224" t="s">
        <v>4556</v>
      </c>
      <c r="W1224" t="s">
        <v>4567</v>
      </c>
      <c r="X1224" t="s">
        <v>46</v>
      </c>
      <c r="AC1224">
        <f>COUNTIF(C:C,QLKV_gui_ket_qua_ra_soat[[#This Row],[Mã điểm bán]])</f>
        <v>1</v>
      </c>
    </row>
    <row r="1225" spans="1:29" x14ac:dyDescent="0.45">
      <c r="A1225" t="s">
        <v>4550</v>
      </c>
      <c r="B1225">
        <v>107</v>
      </c>
      <c r="C1225" t="s">
        <v>4913</v>
      </c>
      <c r="D1225" t="s">
        <v>2307</v>
      </c>
      <c r="F1225" t="s">
        <v>426</v>
      </c>
      <c r="G1225" t="s">
        <v>34</v>
      </c>
      <c r="H1225" t="s">
        <v>54</v>
      </c>
      <c r="I1225" t="s">
        <v>4322</v>
      </c>
      <c r="J1225" t="s">
        <v>38</v>
      </c>
      <c r="K1225" t="s">
        <v>38</v>
      </c>
      <c r="L1225" t="s">
        <v>40</v>
      </c>
      <c r="M1225" t="s">
        <v>38</v>
      </c>
      <c r="N1225" t="s">
        <v>38</v>
      </c>
      <c r="O1225" t="s">
        <v>40</v>
      </c>
      <c r="P1225" t="s">
        <v>38</v>
      </c>
      <c r="Q1225" t="s">
        <v>38</v>
      </c>
      <c r="R1225" t="s">
        <v>40</v>
      </c>
      <c r="S1225" t="s">
        <v>4783</v>
      </c>
      <c r="T1225" t="s">
        <v>4565</v>
      </c>
      <c r="U1225" t="s">
        <v>4566</v>
      </c>
      <c r="V1225" t="s">
        <v>4556</v>
      </c>
      <c r="W1225" t="s">
        <v>4567</v>
      </c>
      <c r="X1225" t="s">
        <v>46</v>
      </c>
      <c r="AC1225">
        <f>COUNTIF(C:C,QLKV_gui_ket_qua_ra_soat[[#This Row],[Mã điểm bán]])</f>
        <v>1</v>
      </c>
    </row>
    <row r="1226" spans="1:29" x14ac:dyDescent="0.45">
      <c r="A1226" t="s">
        <v>4550</v>
      </c>
      <c r="B1226">
        <v>108</v>
      </c>
      <c r="C1226" t="s">
        <v>4914</v>
      </c>
      <c r="D1226" t="s">
        <v>4915</v>
      </c>
      <c r="F1226" t="s">
        <v>401</v>
      </c>
      <c r="G1226" t="s">
        <v>34</v>
      </c>
      <c r="H1226" t="s">
        <v>214</v>
      </c>
      <c r="I1226" t="s">
        <v>4916</v>
      </c>
      <c r="J1226" t="s">
        <v>38</v>
      </c>
      <c r="K1226" t="s">
        <v>38</v>
      </c>
      <c r="L1226" t="s">
        <v>40</v>
      </c>
      <c r="M1226" t="s">
        <v>38</v>
      </c>
      <c r="N1226" t="s">
        <v>775</v>
      </c>
      <c r="O1226" t="s">
        <v>39</v>
      </c>
      <c r="P1226" t="s">
        <v>38</v>
      </c>
      <c r="Q1226" t="s">
        <v>38</v>
      </c>
      <c r="R1226" t="s">
        <v>40</v>
      </c>
      <c r="S1226" t="s">
        <v>41</v>
      </c>
      <c r="T1226" t="s">
        <v>4667</v>
      </c>
      <c r="U1226" t="s">
        <v>4668</v>
      </c>
      <c r="V1226" t="s">
        <v>4556</v>
      </c>
      <c r="W1226" t="s">
        <v>4567</v>
      </c>
      <c r="Z1226" t="s">
        <v>46</v>
      </c>
      <c r="AA1226" t="s">
        <v>4589</v>
      </c>
      <c r="AC1226">
        <f>COUNTIF(C:C,QLKV_gui_ket_qua_ra_soat[[#This Row],[Mã điểm bán]])</f>
        <v>1</v>
      </c>
    </row>
    <row r="1227" spans="1:29" x14ac:dyDescent="0.45">
      <c r="A1227" t="s">
        <v>4550</v>
      </c>
      <c r="B1227">
        <v>109</v>
      </c>
      <c r="C1227" t="s">
        <v>4917</v>
      </c>
      <c r="D1227" t="s">
        <v>852</v>
      </c>
      <c r="F1227" t="s">
        <v>426</v>
      </c>
      <c r="G1227" t="s">
        <v>150</v>
      </c>
      <c r="H1227" t="s">
        <v>54</v>
      </c>
      <c r="I1227" t="s">
        <v>4918</v>
      </c>
      <c r="J1227" t="s">
        <v>38</v>
      </c>
      <c r="K1227" t="s">
        <v>38</v>
      </c>
      <c r="L1227" t="s">
        <v>40</v>
      </c>
      <c r="M1227" t="s">
        <v>38</v>
      </c>
      <c r="N1227" t="s">
        <v>38</v>
      </c>
      <c r="O1227" t="s">
        <v>40</v>
      </c>
      <c r="P1227" t="s">
        <v>38</v>
      </c>
      <c r="Q1227" t="s">
        <v>38</v>
      </c>
      <c r="R1227" t="s">
        <v>40</v>
      </c>
      <c r="S1227" t="s">
        <v>4783</v>
      </c>
      <c r="T1227" t="s">
        <v>4565</v>
      </c>
      <c r="U1227" t="s">
        <v>4566</v>
      </c>
      <c r="V1227" t="s">
        <v>4556</v>
      </c>
      <c r="W1227" t="s">
        <v>4567</v>
      </c>
      <c r="X1227" t="s">
        <v>46</v>
      </c>
      <c r="AC1227">
        <f>COUNTIF(C:C,QLKV_gui_ket_qua_ra_soat[[#This Row],[Mã điểm bán]])</f>
        <v>1</v>
      </c>
    </row>
    <row r="1228" spans="1:29" x14ac:dyDescent="0.45">
      <c r="A1228" t="s">
        <v>4550</v>
      </c>
      <c r="B1228">
        <v>110</v>
      </c>
      <c r="C1228" t="s">
        <v>4919</v>
      </c>
      <c r="D1228" t="s">
        <v>4185</v>
      </c>
      <c r="F1228" t="s">
        <v>53</v>
      </c>
      <c r="G1228" t="s">
        <v>150</v>
      </c>
      <c r="H1228" t="s">
        <v>54</v>
      </c>
      <c r="I1228" t="s">
        <v>4920</v>
      </c>
      <c r="J1228" t="s">
        <v>38</v>
      </c>
      <c r="K1228" t="s">
        <v>38</v>
      </c>
      <c r="L1228" t="s">
        <v>40</v>
      </c>
      <c r="M1228" t="s">
        <v>38</v>
      </c>
      <c r="N1228" t="s">
        <v>38</v>
      </c>
      <c r="O1228" t="s">
        <v>40</v>
      </c>
      <c r="P1228" t="s">
        <v>38</v>
      </c>
      <c r="Q1228" t="s">
        <v>38</v>
      </c>
      <c r="R1228" t="s">
        <v>40</v>
      </c>
      <c r="S1228" t="s">
        <v>41</v>
      </c>
      <c r="T1228" t="s">
        <v>4601</v>
      </c>
      <c r="U1228" t="s">
        <v>4602</v>
      </c>
      <c r="V1228" t="s">
        <v>4556</v>
      </c>
      <c r="W1228" t="s">
        <v>4603</v>
      </c>
      <c r="X1228" t="s">
        <v>46</v>
      </c>
      <c r="AC1228">
        <f>COUNTIF(C:C,QLKV_gui_ket_qua_ra_soat[[#This Row],[Mã điểm bán]])</f>
        <v>1</v>
      </c>
    </row>
    <row r="1229" spans="1:29" x14ac:dyDescent="0.45">
      <c r="A1229" t="s">
        <v>4550</v>
      </c>
      <c r="B1229">
        <v>111</v>
      </c>
      <c r="C1229" t="s">
        <v>4921</v>
      </c>
      <c r="D1229" t="s">
        <v>4922</v>
      </c>
      <c r="F1229" t="s">
        <v>53</v>
      </c>
      <c r="G1229" t="s">
        <v>34</v>
      </c>
      <c r="H1229" t="s">
        <v>54</v>
      </c>
      <c r="I1229" t="s">
        <v>4923</v>
      </c>
      <c r="J1229" t="s">
        <v>38</v>
      </c>
      <c r="K1229" t="s">
        <v>38</v>
      </c>
      <c r="L1229" t="s">
        <v>40</v>
      </c>
      <c r="M1229" t="s">
        <v>38</v>
      </c>
      <c r="N1229" t="s">
        <v>38</v>
      </c>
      <c r="O1229" t="s">
        <v>40</v>
      </c>
      <c r="P1229" t="s">
        <v>38</v>
      </c>
      <c r="Q1229" t="s">
        <v>38</v>
      </c>
      <c r="R1229" t="s">
        <v>40</v>
      </c>
      <c r="S1229" t="s">
        <v>41</v>
      </c>
      <c r="T1229" t="s">
        <v>4601</v>
      </c>
      <c r="U1229" t="s">
        <v>4602</v>
      </c>
      <c r="V1229" t="s">
        <v>4556</v>
      </c>
      <c r="W1229" t="s">
        <v>4603</v>
      </c>
      <c r="X1229" t="s">
        <v>46</v>
      </c>
      <c r="AC1229">
        <f>COUNTIF(C:C,QLKV_gui_ket_qua_ra_soat[[#This Row],[Mã điểm bán]])</f>
        <v>1</v>
      </c>
    </row>
    <row r="1230" spans="1:29" x14ac:dyDescent="0.45">
      <c r="A1230" t="s">
        <v>4550</v>
      </c>
      <c r="B1230">
        <v>112</v>
      </c>
      <c r="C1230" t="s">
        <v>4924</v>
      </c>
      <c r="D1230" t="s">
        <v>4925</v>
      </c>
      <c r="F1230" t="s">
        <v>1597</v>
      </c>
      <c r="G1230" t="s">
        <v>34</v>
      </c>
      <c r="H1230" t="s">
        <v>54</v>
      </c>
      <c r="I1230" t="s">
        <v>4926</v>
      </c>
      <c r="J1230" t="s">
        <v>41</v>
      </c>
      <c r="K1230" t="s">
        <v>41</v>
      </c>
      <c r="L1230" t="s">
        <v>41</v>
      </c>
      <c r="M1230" t="s">
        <v>41</v>
      </c>
      <c r="N1230" t="s">
        <v>41</v>
      </c>
      <c r="O1230" t="s">
        <v>41</v>
      </c>
      <c r="P1230" t="s">
        <v>41</v>
      </c>
      <c r="Q1230" t="s">
        <v>41</v>
      </c>
      <c r="R1230" t="s">
        <v>41</v>
      </c>
      <c r="S1230" t="s">
        <v>41</v>
      </c>
      <c r="T1230" t="s">
        <v>4737</v>
      </c>
      <c r="U1230" t="s">
        <v>4738</v>
      </c>
      <c r="V1230" t="s">
        <v>4556</v>
      </c>
      <c r="W1230" t="s">
        <v>1457</v>
      </c>
      <c r="X1230" t="s">
        <v>46</v>
      </c>
      <c r="AC1230">
        <f>COUNTIF(C:C,QLKV_gui_ket_qua_ra_soat[[#This Row],[Mã điểm bán]])</f>
        <v>1</v>
      </c>
    </row>
    <row r="1231" spans="1:29" x14ac:dyDescent="0.45">
      <c r="A1231" t="s">
        <v>4550</v>
      </c>
      <c r="B1231">
        <v>113</v>
      </c>
      <c r="C1231" t="s">
        <v>4927</v>
      </c>
      <c r="D1231" t="s">
        <v>4928</v>
      </c>
      <c r="F1231" t="s">
        <v>4929</v>
      </c>
      <c r="G1231" t="s">
        <v>34</v>
      </c>
      <c r="H1231" t="s">
        <v>54</v>
      </c>
      <c r="I1231" t="s">
        <v>4930</v>
      </c>
      <c r="J1231" t="s">
        <v>38</v>
      </c>
      <c r="K1231" t="s">
        <v>37</v>
      </c>
      <c r="L1231" t="s">
        <v>39</v>
      </c>
      <c r="M1231" t="s">
        <v>56</v>
      </c>
      <c r="N1231" t="s">
        <v>56</v>
      </c>
      <c r="O1231" t="s">
        <v>39</v>
      </c>
      <c r="P1231" t="s">
        <v>37</v>
      </c>
      <c r="Q1231" t="s">
        <v>37</v>
      </c>
      <c r="R1231" t="s">
        <v>39</v>
      </c>
      <c r="S1231" t="s">
        <v>41</v>
      </c>
      <c r="T1231" t="s">
        <v>4737</v>
      </c>
      <c r="U1231" t="s">
        <v>4738</v>
      </c>
      <c r="V1231" t="s">
        <v>4556</v>
      </c>
      <c r="W1231" t="s">
        <v>1457</v>
      </c>
      <c r="Z1231" t="s">
        <v>46</v>
      </c>
      <c r="AA1231" t="s">
        <v>4589</v>
      </c>
      <c r="AC1231">
        <f>COUNTIF(C:C,QLKV_gui_ket_qua_ra_soat[[#This Row],[Mã điểm bán]])</f>
        <v>1</v>
      </c>
    </row>
    <row r="1232" spans="1:29" x14ac:dyDescent="0.45">
      <c r="A1232" t="s">
        <v>4550</v>
      </c>
      <c r="B1232">
        <v>114</v>
      </c>
      <c r="C1232" t="s">
        <v>4931</v>
      </c>
      <c r="D1232" t="s">
        <v>4932</v>
      </c>
      <c r="F1232" t="s">
        <v>4933</v>
      </c>
      <c r="G1232" t="s">
        <v>34</v>
      </c>
      <c r="H1232" t="s">
        <v>54</v>
      </c>
      <c r="I1232" t="s">
        <v>4934</v>
      </c>
      <c r="J1232" t="s">
        <v>37</v>
      </c>
      <c r="K1232" t="s">
        <v>37</v>
      </c>
      <c r="L1232" t="s">
        <v>40</v>
      </c>
      <c r="M1232" t="s">
        <v>56</v>
      </c>
      <c r="N1232" t="s">
        <v>56</v>
      </c>
      <c r="O1232" t="s">
        <v>39</v>
      </c>
      <c r="P1232" t="s">
        <v>37</v>
      </c>
      <c r="Q1232" t="s">
        <v>37</v>
      </c>
      <c r="R1232" t="s">
        <v>40</v>
      </c>
      <c r="S1232" t="s">
        <v>4892</v>
      </c>
      <c r="T1232" t="s">
        <v>4835</v>
      </c>
      <c r="U1232" t="s">
        <v>4802</v>
      </c>
      <c r="V1232" t="s">
        <v>4556</v>
      </c>
      <c r="W1232" t="s">
        <v>1457</v>
      </c>
      <c r="Z1232" t="s">
        <v>46</v>
      </c>
      <c r="AA1232" t="s">
        <v>4589</v>
      </c>
      <c r="AC1232">
        <f>COUNTIF(C:C,QLKV_gui_ket_qua_ra_soat[[#This Row],[Mã điểm bán]])</f>
        <v>1</v>
      </c>
    </row>
    <row r="1233" spans="1:29" x14ac:dyDescent="0.45">
      <c r="A1233" t="s">
        <v>4550</v>
      </c>
      <c r="B1233">
        <v>115</v>
      </c>
      <c r="C1233" t="s">
        <v>4935</v>
      </c>
      <c r="D1233" t="s">
        <v>4936</v>
      </c>
      <c r="F1233" t="s">
        <v>4937</v>
      </c>
      <c r="G1233" t="s">
        <v>34</v>
      </c>
      <c r="H1233" t="s">
        <v>332</v>
      </c>
      <c r="I1233" t="s">
        <v>4938</v>
      </c>
      <c r="J1233" t="s">
        <v>38</v>
      </c>
      <c r="K1233" t="s">
        <v>38</v>
      </c>
      <c r="L1233" t="s">
        <v>39</v>
      </c>
      <c r="M1233" t="s">
        <v>38</v>
      </c>
      <c r="N1233" t="s">
        <v>38</v>
      </c>
      <c r="O1233" t="s">
        <v>39</v>
      </c>
      <c r="P1233" t="s">
        <v>38</v>
      </c>
      <c r="Q1233" t="s">
        <v>38</v>
      </c>
      <c r="R1233" t="s">
        <v>39</v>
      </c>
      <c r="S1233" t="s">
        <v>4939</v>
      </c>
      <c r="T1233" t="s">
        <v>4801</v>
      </c>
      <c r="U1233" t="s">
        <v>4802</v>
      </c>
      <c r="V1233" t="s">
        <v>4556</v>
      </c>
      <c r="W1233" t="s">
        <v>1457</v>
      </c>
      <c r="X1233" t="s">
        <v>46</v>
      </c>
      <c r="AC1233">
        <f>COUNTIF(C:C,QLKV_gui_ket_qua_ra_soat[[#This Row],[Mã điểm bán]])</f>
        <v>1</v>
      </c>
    </row>
    <row r="1234" spans="1:29" x14ac:dyDescent="0.45">
      <c r="A1234" t="s">
        <v>4550</v>
      </c>
      <c r="B1234">
        <v>116</v>
      </c>
      <c r="C1234" t="s">
        <v>4940</v>
      </c>
      <c r="D1234" t="s">
        <v>4941</v>
      </c>
      <c r="F1234" t="s">
        <v>53</v>
      </c>
      <c r="G1234" t="s">
        <v>177</v>
      </c>
      <c r="H1234" t="s">
        <v>171</v>
      </c>
      <c r="I1234" t="s">
        <v>4942</v>
      </c>
      <c r="J1234" t="s">
        <v>38</v>
      </c>
      <c r="K1234" t="s">
        <v>38</v>
      </c>
      <c r="L1234" t="s">
        <v>39</v>
      </c>
      <c r="M1234" t="s">
        <v>38</v>
      </c>
      <c r="N1234" t="s">
        <v>38</v>
      </c>
      <c r="O1234" t="s">
        <v>39</v>
      </c>
      <c r="P1234" t="s">
        <v>38</v>
      </c>
      <c r="Q1234" t="s">
        <v>38</v>
      </c>
      <c r="R1234" t="s">
        <v>39</v>
      </c>
      <c r="S1234" t="s">
        <v>4751</v>
      </c>
      <c r="T1234" t="s">
        <v>4752</v>
      </c>
      <c r="U1234" t="s">
        <v>4753</v>
      </c>
      <c r="V1234" t="s">
        <v>4556</v>
      </c>
      <c r="W1234" t="s">
        <v>4557</v>
      </c>
      <c r="Z1234" t="s">
        <v>46</v>
      </c>
      <c r="AA1234" t="s">
        <v>4589</v>
      </c>
      <c r="AC1234">
        <f>COUNTIF(C:C,QLKV_gui_ket_qua_ra_soat[[#This Row],[Mã điểm bán]])</f>
        <v>1</v>
      </c>
    </row>
    <row r="1235" spans="1:29" x14ac:dyDescent="0.45">
      <c r="A1235" t="s">
        <v>4550</v>
      </c>
      <c r="B1235">
        <v>117</v>
      </c>
      <c r="C1235" t="s">
        <v>4943</v>
      </c>
      <c r="D1235" t="s">
        <v>4944</v>
      </c>
      <c r="F1235" t="s">
        <v>53</v>
      </c>
      <c r="G1235" t="s">
        <v>177</v>
      </c>
      <c r="H1235" t="s">
        <v>54</v>
      </c>
      <c r="I1235" t="s">
        <v>4942</v>
      </c>
      <c r="J1235" t="s">
        <v>38</v>
      </c>
      <c r="K1235" t="s">
        <v>38</v>
      </c>
      <c r="L1235" t="s">
        <v>39</v>
      </c>
      <c r="M1235" t="s">
        <v>38</v>
      </c>
      <c r="N1235" t="s">
        <v>38</v>
      </c>
      <c r="O1235" t="s">
        <v>39</v>
      </c>
      <c r="P1235" t="s">
        <v>38</v>
      </c>
      <c r="Q1235" t="s">
        <v>38</v>
      </c>
      <c r="R1235" t="s">
        <v>40</v>
      </c>
      <c r="S1235" t="s">
        <v>4751</v>
      </c>
      <c r="T1235" t="s">
        <v>4752</v>
      </c>
      <c r="U1235" t="s">
        <v>4753</v>
      </c>
      <c r="V1235" t="s">
        <v>4556</v>
      </c>
      <c r="W1235" t="s">
        <v>4557</v>
      </c>
      <c r="X1235" t="s">
        <v>46</v>
      </c>
      <c r="AC1235">
        <f>COUNTIF(C:C,QLKV_gui_ket_qua_ra_soat[[#This Row],[Mã điểm bán]])</f>
        <v>1</v>
      </c>
    </row>
    <row r="1236" spans="1:29" x14ac:dyDescent="0.45">
      <c r="A1236" t="s">
        <v>4550</v>
      </c>
      <c r="B1236">
        <v>118</v>
      </c>
      <c r="C1236" t="s">
        <v>4945</v>
      </c>
      <c r="D1236" t="s">
        <v>4946</v>
      </c>
      <c r="F1236" t="s">
        <v>53</v>
      </c>
      <c r="G1236" t="s">
        <v>177</v>
      </c>
      <c r="H1236" t="s">
        <v>54</v>
      </c>
      <c r="I1236" t="s">
        <v>4942</v>
      </c>
      <c r="J1236" t="s">
        <v>38</v>
      </c>
      <c r="K1236" t="s">
        <v>38</v>
      </c>
      <c r="L1236" t="s">
        <v>40</v>
      </c>
      <c r="M1236" t="s">
        <v>38</v>
      </c>
      <c r="N1236" t="s">
        <v>38</v>
      </c>
      <c r="O1236" t="s">
        <v>40</v>
      </c>
      <c r="P1236" t="s">
        <v>38</v>
      </c>
      <c r="Q1236" t="s">
        <v>38</v>
      </c>
      <c r="R1236" t="s">
        <v>40</v>
      </c>
      <c r="S1236" t="s">
        <v>4947</v>
      </c>
      <c r="T1236" t="s">
        <v>4752</v>
      </c>
      <c r="U1236" t="s">
        <v>4753</v>
      </c>
      <c r="V1236" t="s">
        <v>4556</v>
      </c>
      <c r="W1236" t="s">
        <v>4557</v>
      </c>
      <c r="Z1236" t="s">
        <v>46</v>
      </c>
      <c r="AA1236" t="s">
        <v>4589</v>
      </c>
      <c r="AC1236">
        <f>COUNTIF(C:C,QLKV_gui_ket_qua_ra_soat[[#This Row],[Mã điểm bán]])</f>
        <v>1</v>
      </c>
    </row>
    <row r="1237" spans="1:29" x14ac:dyDescent="0.45">
      <c r="A1237" t="s">
        <v>4550</v>
      </c>
      <c r="B1237">
        <v>119</v>
      </c>
      <c r="C1237" t="s">
        <v>4948</v>
      </c>
      <c r="D1237" t="s">
        <v>4949</v>
      </c>
      <c r="F1237" t="s">
        <v>53</v>
      </c>
      <c r="G1237" t="s">
        <v>177</v>
      </c>
      <c r="H1237" t="s">
        <v>2593</v>
      </c>
      <c r="I1237" t="s">
        <v>4950</v>
      </c>
      <c r="J1237" t="s">
        <v>38</v>
      </c>
      <c r="K1237" t="s">
        <v>38</v>
      </c>
      <c r="L1237" t="s">
        <v>40</v>
      </c>
      <c r="M1237" t="s">
        <v>38</v>
      </c>
      <c r="N1237" t="s">
        <v>38</v>
      </c>
      <c r="O1237" t="s">
        <v>39</v>
      </c>
      <c r="P1237" t="s">
        <v>38</v>
      </c>
      <c r="Q1237" t="s">
        <v>38</v>
      </c>
      <c r="R1237" t="s">
        <v>40</v>
      </c>
      <c r="S1237" t="s">
        <v>4751</v>
      </c>
      <c r="T1237" t="s">
        <v>4752</v>
      </c>
      <c r="U1237" t="s">
        <v>4753</v>
      </c>
      <c r="V1237" t="s">
        <v>4556</v>
      </c>
      <c r="W1237" t="s">
        <v>4557</v>
      </c>
      <c r="Z1237" t="s">
        <v>46</v>
      </c>
      <c r="AA1237" t="s">
        <v>4589</v>
      </c>
      <c r="AC1237">
        <f>COUNTIF(C:C,QLKV_gui_ket_qua_ra_soat[[#This Row],[Mã điểm bán]])</f>
        <v>1</v>
      </c>
    </row>
    <row r="1238" spans="1:29" x14ac:dyDescent="0.45">
      <c r="A1238" t="s">
        <v>4550</v>
      </c>
      <c r="B1238">
        <v>120</v>
      </c>
      <c r="C1238" t="s">
        <v>4951</v>
      </c>
      <c r="D1238" t="s">
        <v>4952</v>
      </c>
      <c r="F1238" t="s">
        <v>53</v>
      </c>
      <c r="G1238" t="s">
        <v>177</v>
      </c>
      <c r="H1238" t="s">
        <v>1929</v>
      </c>
      <c r="I1238" t="s">
        <v>4953</v>
      </c>
      <c r="J1238" t="s">
        <v>38</v>
      </c>
      <c r="K1238" t="s">
        <v>38</v>
      </c>
      <c r="L1238" t="s">
        <v>39</v>
      </c>
      <c r="M1238" t="s">
        <v>38</v>
      </c>
      <c r="N1238" t="s">
        <v>38</v>
      </c>
      <c r="O1238" t="s">
        <v>39</v>
      </c>
      <c r="P1238" t="s">
        <v>38</v>
      </c>
      <c r="Q1238" t="s">
        <v>38</v>
      </c>
      <c r="R1238" t="s">
        <v>40</v>
      </c>
      <c r="S1238" t="s">
        <v>4751</v>
      </c>
      <c r="T1238" t="s">
        <v>4752</v>
      </c>
      <c r="U1238" t="s">
        <v>4753</v>
      </c>
      <c r="V1238" t="s">
        <v>4556</v>
      </c>
      <c r="W1238" t="s">
        <v>4557</v>
      </c>
      <c r="X1238" t="s">
        <v>46</v>
      </c>
      <c r="AC1238">
        <f>COUNTIF(C:C,QLKV_gui_ket_qua_ra_soat[[#This Row],[Mã điểm bán]])</f>
        <v>1</v>
      </c>
    </row>
    <row r="1239" spans="1:29" x14ac:dyDescent="0.45">
      <c r="A1239" t="s">
        <v>4550</v>
      </c>
      <c r="B1239">
        <v>121</v>
      </c>
      <c r="C1239" t="s">
        <v>4954</v>
      </c>
      <c r="D1239" t="s">
        <v>4955</v>
      </c>
      <c r="F1239" t="s">
        <v>53</v>
      </c>
      <c r="G1239" t="s">
        <v>177</v>
      </c>
      <c r="H1239" t="s">
        <v>1184</v>
      </c>
      <c r="I1239" t="s">
        <v>4956</v>
      </c>
      <c r="J1239" t="s">
        <v>38</v>
      </c>
      <c r="K1239" t="s">
        <v>38</v>
      </c>
      <c r="L1239" t="s">
        <v>40</v>
      </c>
      <c r="M1239" t="s">
        <v>38</v>
      </c>
      <c r="N1239" t="s">
        <v>56</v>
      </c>
      <c r="O1239" t="s">
        <v>39</v>
      </c>
      <c r="P1239" t="s">
        <v>38</v>
      </c>
      <c r="Q1239" t="s">
        <v>38</v>
      </c>
      <c r="R1239" t="s">
        <v>40</v>
      </c>
      <c r="S1239" t="s">
        <v>4773</v>
      </c>
      <c r="T1239" t="s">
        <v>4667</v>
      </c>
      <c r="U1239" t="s">
        <v>4668</v>
      </c>
      <c r="V1239" t="s">
        <v>4556</v>
      </c>
      <c r="W1239" t="s">
        <v>4567</v>
      </c>
      <c r="X1239" t="s">
        <v>46</v>
      </c>
      <c r="AC1239">
        <f>COUNTIF(C:C,QLKV_gui_ket_qua_ra_soat[[#This Row],[Mã điểm bán]])</f>
        <v>1</v>
      </c>
    </row>
    <row r="1240" spans="1:29" x14ac:dyDescent="0.45">
      <c r="A1240" t="s">
        <v>4550</v>
      </c>
      <c r="B1240">
        <v>122</v>
      </c>
      <c r="C1240" t="s">
        <v>4957</v>
      </c>
      <c r="D1240" t="s">
        <v>4958</v>
      </c>
      <c r="F1240" t="s">
        <v>53</v>
      </c>
      <c r="G1240" t="s">
        <v>177</v>
      </c>
      <c r="H1240" t="s">
        <v>171</v>
      </c>
      <c r="I1240" t="s">
        <v>4942</v>
      </c>
      <c r="J1240" t="s">
        <v>38</v>
      </c>
      <c r="K1240" t="s">
        <v>38</v>
      </c>
      <c r="L1240" t="s">
        <v>39</v>
      </c>
      <c r="M1240" t="s">
        <v>38</v>
      </c>
      <c r="N1240" t="s">
        <v>38</v>
      </c>
      <c r="O1240" t="s">
        <v>39</v>
      </c>
      <c r="P1240" t="s">
        <v>38</v>
      </c>
      <c r="Q1240" t="s">
        <v>38</v>
      </c>
      <c r="R1240" t="s">
        <v>40</v>
      </c>
      <c r="S1240" t="s">
        <v>4959</v>
      </c>
      <c r="T1240" t="s">
        <v>4752</v>
      </c>
      <c r="U1240" t="s">
        <v>4753</v>
      </c>
      <c r="V1240" t="s">
        <v>4556</v>
      </c>
      <c r="W1240" t="s">
        <v>4557</v>
      </c>
      <c r="X1240" t="s">
        <v>46</v>
      </c>
      <c r="AC1240">
        <f>COUNTIF(C:C,QLKV_gui_ket_qua_ra_soat[[#This Row],[Mã điểm bán]])</f>
        <v>1</v>
      </c>
    </row>
    <row r="1241" spans="1:29" x14ac:dyDescent="0.45">
      <c r="A1241" t="s">
        <v>4550</v>
      </c>
      <c r="B1241">
        <v>123</v>
      </c>
      <c r="C1241" t="s">
        <v>4960</v>
      </c>
      <c r="D1241" t="s">
        <v>4961</v>
      </c>
      <c r="F1241" t="s">
        <v>478</v>
      </c>
      <c r="G1241" t="s">
        <v>34</v>
      </c>
      <c r="H1241" t="s">
        <v>54</v>
      </c>
      <c r="I1241" t="s">
        <v>4962</v>
      </c>
      <c r="J1241" t="s">
        <v>38</v>
      </c>
      <c r="K1241" t="s">
        <v>38</v>
      </c>
      <c r="L1241" t="s">
        <v>40</v>
      </c>
      <c r="M1241" t="s">
        <v>38</v>
      </c>
      <c r="N1241" t="s">
        <v>775</v>
      </c>
      <c r="O1241" t="s">
        <v>39</v>
      </c>
      <c r="P1241" t="s">
        <v>38</v>
      </c>
      <c r="Q1241" t="s">
        <v>38</v>
      </c>
      <c r="R1241" t="s">
        <v>40</v>
      </c>
      <c r="S1241" t="s">
        <v>41</v>
      </c>
      <c r="T1241" t="s">
        <v>4667</v>
      </c>
      <c r="U1241" t="s">
        <v>4668</v>
      </c>
      <c r="V1241" t="s">
        <v>4556</v>
      </c>
      <c r="W1241" t="s">
        <v>4567</v>
      </c>
      <c r="X1241" t="s">
        <v>46</v>
      </c>
      <c r="AC1241">
        <f>COUNTIF(C:C,QLKV_gui_ket_qua_ra_soat[[#This Row],[Mã điểm bán]])</f>
        <v>1</v>
      </c>
    </row>
    <row r="1242" spans="1:29" x14ac:dyDescent="0.45">
      <c r="A1242" t="s">
        <v>4550</v>
      </c>
      <c r="B1242">
        <v>124</v>
      </c>
      <c r="C1242" t="s">
        <v>4963</v>
      </c>
      <c r="D1242" t="s">
        <v>4964</v>
      </c>
      <c r="F1242" t="s">
        <v>53</v>
      </c>
      <c r="G1242" t="s">
        <v>177</v>
      </c>
      <c r="H1242" t="s">
        <v>2952</v>
      </c>
      <c r="I1242" t="s">
        <v>4756</v>
      </c>
      <c r="J1242" t="s">
        <v>38</v>
      </c>
      <c r="K1242" t="s">
        <v>37</v>
      </c>
      <c r="L1242" t="s">
        <v>40</v>
      </c>
      <c r="M1242" t="s">
        <v>38</v>
      </c>
      <c r="N1242" t="s">
        <v>38</v>
      </c>
      <c r="O1242" t="s">
        <v>39</v>
      </c>
      <c r="P1242" t="s">
        <v>38</v>
      </c>
      <c r="Q1242" t="s">
        <v>38</v>
      </c>
      <c r="R1242" t="s">
        <v>40</v>
      </c>
      <c r="S1242" t="s">
        <v>4751</v>
      </c>
      <c r="T1242" t="s">
        <v>4752</v>
      </c>
      <c r="U1242" t="s">
        <v>4753</v>
      </c>
      <c r="V1242" t="s">
        <v>4556</v>
      </c>
      <c r="W1242" t="s">
        <v>4557</v>
      </c>
      <c r="Z1242" t="s">
        <v>46</v>
      </c>
      <c r="AA1242" t="s">
        <v>4589</v>
      </c>
      <c r="AC1242">
        <f>COUNTIF(C:C,QLKV_gui_ket_qua_ra_soat[[#This Row],[Mã điểm bán]])</f>
        <v>1</v>
      </c>
    </row>
    <row r="1243" spans="1:29" x14ac:dyDescent="0.45">
      <c r="A1243" t="s">
        <v>4550</v>
      </c>
      <c r="B1243">
        <v>125</v>
      </c>
      <c r="C1243" t="s">
        <v>4965</v>
      </c>
      <c r="D1243" t="s">
        <v>4955</v>
      </c>
      <c r="F1243" t="s">
        <v>4805</v>
      </c>
      <c r="G1243" t="s">
        <v>34</v>
      </c>
      <c r="H1243" t="s">
        <v>54</v>
      </c>
      <c r="I1243" t="s">
        <v>4966</v>
      </c>
      <c r="J1243" t="s">
        <v>38</v>
      </c>
      <c r="K1243" t="s">
        <v>38</v>
      </c>
      <c r="L1243" t="s">
        <v>40</v>
      </c>
      <c r="M1243" t="s">
        <v>38</v>
      </c>
      <c r="N1243" t="s">
        <v>38</v>
      </c>
      <c r="O1243" t="s">
        <v>40</v>
      </c>
      <c r="P1243" t="s">
        <v>38</v>
      </c>
      <c r="Q1243" t="s">
        <v>38</v>
      </c>
      <c r="R1243" t="s">
        <v>40</v>
      </c>
      <c r="S1243" t="s">
        <v>4783</v>
      </c>
      <c r="T1243" t="s">
        <v>4565</v>
      </c>
      <c r="U1243" t="s">
        <v>4566</v>
      </c>
      <c r="V1243" t="s">
        <v>4556</v>
      </c>
      <c r="W1243" t="s">
        <v>4567</v>
      </c>
      <c r="Z1243" t="s">
        <v>46</v>
      </c>
      <c r="AA1243" t="s">
        <v>4589</v>
      </c>
      <c r="AC1243">
        <f>COUNTIF(C:C,QLKV_gui_ket_qua_ra_soat[[#This Row],[Mã điểm bán]])</f>
        <v>1</v>
      </c>
    </row>
    <row r="1244" spans="1:29" x14ac:dyDescent="0.45">
      <c r="A1244" t="s">
        <v>4550</v>
      </c>
      <c r="B1244">
        <v>126</v>
      </c>
      <c r="C1244" t="s">
        <v>4967</v>
      </c>
      <c r="D1244" t="s">
        <v>4968</v>
      </c>
      <c r="F1244" t="s">
        <v>4759</v>
      </c>
      <c r="G1244" t="s">
        <v>34</v>
      </c>
      <c r="H1244" t="s">
        <v>54</v>
      </c>
      <c r="I1244" t="s">
        <v>4969</v>
      </c>
      <c r="J1244" t="s">
        <v>38</v>
      </c>
      <c r="K1244" t="s">
        <v>38</v>
      </c>
      <c r="L1244" t="s">
        <v>40</v>
      </c>
      <c r="M1244" t="s">
        <v>56</v>
      </c>
      <c r="N1244" t="s">
        <v>56</v>
      </c>
      <c r="O1244" t="s">
        <v>39</v>
      </c>
      <c r="P1244" t="s">
        <v>38</v>
      </c>
      <c r="Q1244" t="s">
        <v>38</v>
      </c>
      <c r="R1244" t="s">
        <v>40</v>
      </c>
      <c r="S1244" t="s">
        <v>4970</v>
      </c>
      <c r="T1244" t="s">
        <v>4835</v>
      </c>
      <c r="U1244" t="s">
        <v>4802</v>
      </c>
      <c r="V1244" t="s">
        <v>4556</v>
      </c>
      <c r="W1244" t="s">
        <v>1457</v>
      </c>
      <c r="Z1244" t="s">
        <v>46</v>
      </c>
      <c r="AA1244" t="s">
        <v>4589</v>
      </c>
      <c r="AC1244">
        <f>COUNTIF(C:C,QLKV_gui_ket_qua_ra_soat[[#This Row],[Mã điểm bán]])</f>
        <v>1</v>
      </c>
    </row>
    <row r="1245" spans="1:29" x14ac:dyDescent="0.45">
      <c r="A1245" t="s">
        <v>4550</v>
      </c>
      <c r="B1245">
        <v>127</v>
      </c>
      <c r="C1245" t="s">
        <v>4971</v>
      </c>
      <c r="D1245" t="s">
        <v>4972</v>
      </c>
      <c r="F1245" t="s">
        <v>53</v>
      </c>
      <c r="G1245" t="s">
        <v>34</v>
      </c>
      <c r="H1245" t="s">
        <v>54</v>
      </c>
      <c r="I1245" t="s">
        <v>4973</v>
      </c>
      <c r="J1245" t="s">
        <v>38</v>
      </c>
      <c r="K1245" t="s">
        <v>38</v>
      </c>
      <c r="L1245" t="s">
        <v>40</v>
      </c>
      <c r="M1245" t="s">
        <v>38</v>
      </c>
      <c r="N1245" t="s">
        <v>38</v>
      </c>
      <c r="O1245" t="s">
        <v>40</v>
      </c>
      <c r="P1245" t="s">
        <v>38</v>
      </c>
      <c r="Q1245" t="s">
        <v>38</v>
      </c>
      <c r="R1245" t="s">
        <v>40</v>
      </c>
      <c r="S1245" t="s">
        <v>4783</v>
      </c>
      <c r="T1245" t="s">
        <v>4565</v>
      </c>
      <c r="U1245" t="s">
        <v>4566</v>
      </c>
      <c r="V1245" t="s">
        <v>4556</v>
      </c>
      <c r="W1245" t="s">
        <v>4567</v>
      </c>
      <c r="Z1245" t="s">
        <v>46</v>
      </c>
      <c r="AA1245" t="s">
        <v>4575</v>
      </c>
      <c r="AC1245">
        <f>COUNTIF(C:C,QLKV_gui_ket_qua_ra_soat[[#This Row],[Mã điểm bán]])</f>
        <v>1</v>
      </c>
    </row>
    <row r="1246" spans="1:29" x14ac:dyDescent="0.45">
      <c r="A1246" t="s">
        <v>4550</v>
      </c>
      <c r="B1246">
        <v>128</v>
      </c>
      <c r="C1246" t="s">
        <v>4974</v>
      </c>
      <c r="D1246" t="s">
        <v>4975</v>
      </c>
      <c r="F1246" t="s">
        <v>1597</v>
      </c>
      <c r="G1246" t="s">
        <v>34</v>
      </c>
      <c r="H1246" t="s">
        <v>54</v>
      </c>
      <c r="I1246" t="s">
        <v>4976</v>
      </c>
      <c r="J1246" t="s">
        <v>41</v>
      </c>
      <c r="K1246" t="s">
        <v>41</v>
      </c>
      <c r="L1246" t="s">
        <v>41</v>
      </c>
      <c r="M1246" t="s">
        <v>41</v>
      </c>
      <c r="N1246" t="s">
        <v>41</v>
      </c>
      <c r="O1246" t="s">
        <v>41</v>
      </c>
      <c r="P1246" t="s">
        <v>41</v>
      </c>
      <c r="Q1246" t="s">
        <v>41</v>
      </c>
      <c r="R1246" t="s">
        <v>41</v>
      </c>
      <c r="S1246" t="s">
        <v>41</v>
      </c>
      <c r="T1246" t="s">
        <v>4737</v>
      </c>
      <c r="U1246" t="s">
        <v>4738</v>
      </c>
      <c r="V1246" t="s">
        <v>4556</v>
      </c>
      <c r="W1246" t="s">
        <v>1457</v>
      </c>
      <c r="X1246" t="s">
        <v>46</v>
      </c>
      <c r="AC1246">
        <f>COUNTIF(C:C,QLKV_gui_ket_qua_ra_soat[[#This Row],[Mã điểm bán]])</f>
        <v>1</v>
      </c>
    </row>
    <row r="1247" spans="1:29" x14ac:dyDescent="0.45">
      <c r="A1247" t="s">
        <v>4550</v>
      </c>
      <c r="B1247">
        <v>129</v>
      </c>
      <c r="C1247" t="s">
        <v>4977</v>
      </c>
      <c r="D1247" t="s">
        <v>4978</v>
      </c>
      <c r="F1247" t="s">
        <v>53</v>
      </c>
      <c r="G1247" t="s">
        <v>34</v>
      </c>
      <c r="H1247" t="s">
        <v>54</v>
      </c>
      <c r="I1247" t="s">
        <v>4979</v>
      </c>
      <c r="J1247" t="s">
        <v>38</v>
      </c>
      <c r="K1247" t="s">
        <v>38</v>
      </c>
      <c r="L1247" t="s">
        <v>39</v>
      </c>
      <c r="M1247" t="s">
        <v>38</v>
      </c>
      <c r="N1247" t="s">
        <v>38</v>
      </c>
      <c r="O1247" t="s">
        <v>39</v>
      </c>
      <c r="P1247" t="s">
        <v>38</v>
      </c>
      <c r="Q1247" t="s">
        <v>38</v>
      </c>
      <c r="R1247" t="s">
        <v>39</v>
      </c>
      <c r="S1247" t="s">
        <v>41</v>
      </c>
      <c r="T1247" t="s">
        <v>4601</v>
      </c>
      <c r="U1247" t="s">
        <v>4602</v>
      </c>
      <c r="V1247" t="s">
        <v>4556</v>
      </c>
      <c r="W1247" t="s">
        <v>4603</v>
      </c>
      <c r="X1247" t="s">
        <v>46</v>
      </c>
      <c r="AC1247">
        <f>COUNTIF(C:C,QLKV_gui_ket_qua_ra_soat[[#This Row],[Mã điểm bán]])</f>
        <v>1</v>
      </c>
    </row>
    <row r="1248" spans="1:29" x14ac:dyDescent="0.45">
      <c r="A1248" t="s">
        <v>4550</v>
      </c>
      <c r="B1248">
        <v>130</v>
      </c>
      <c r="C1248" t="s">
        <v>4980</v>
      </c>
      <c r="D1248" t="s">
        <v>4981</v>
      </c>
      <c r="F1248" t="s">
        <v>166</v>
      </c>
      <c r="G1248" t="s">
        <v>34</v>
      </c>
      <c r="H1248" t="s">
        <v>546</v>
      </c>
      <c r="I1248" t="s">
        <v>4982</v>
      </c>
      <c r="J1248" t="s">
        <v>38</v>
      </c>
      <c r="K1248" t="s">
        <v>38</v>
      </c>
      <c r="L1248" t="s">
        <v>40</v>
      </c>
      <c r="M1248" t="s">
        <v>37</v>
      </c>
      <c r="N1248" t="s">
        <v>38</v>
      </c>
      <c r="O1248" t="s">
        <v>39</v>
      </c>
      <c r="P1248" t="s">
        <v>38</v>
      </c>
      <c r="Q1248" t="s">
        <v>38</v>
      </c>
      <c r="R1248" t="s">
        <v>40</v>
      </c>
      <c r="S1248" t="s">
        <v>41</v>
      </c>
      <c r="T1248" t="s">
        <v>4752</v>
      </c>
      <c r="U1248" t="s">
        <v>4753</v>
      </c>
      <c r="V1248" t="s">
        <v>4556</v>
      </c>
      <c r="W1248" t="s">
        <v>4557</v>
      </c>
      <c r="X1248" t="s">
        <v>46</v>
      </c>
      <c r="AC1248">
        <f>COUNTIF(C:C,QLKV_gui_ket_qua_ra_soat[[#This Row],[Mã điểm bán]])</f>
        <v>1</v>
      </c>
    </row>
    <row r="1249" spans="1:29" x14ac:dyDescent="0.45">
      <c r="A1249" t="s">
        <v>4550</v>
      </c>
      <c r="B1249">
        <v>131</v>
      </c>
      <c r="C1249" t="s">
        <v>4983</v>
      </c>
      <c r="D1249" t="s">
        <v>4984</v>
      </c>
      <c r="F1249" t="s">
        <v>4985</v>
      </c>
      <c r="G1249" t="s">
        <v>34</v>
      </c>
      <c r="H1249" t="s">
        <v>54</v>
      </c>
      <c r="I1249" t="s">
        <v>4986</v>
      </c>
      <c r="J1249" t="s">
        <v>38</v>
      </c>
      <c r="K1249" t="s">
        <v>38</v>
      </c>
      <c r="L1249" t="s">
        <v>40</v>
      </c>
      <c r="M1249" t="s">
        <v>38</v>
      </c>
      <c r="N1249" t="s">
        <v>38</v>
      </c>
      <c r="O1249" t="s">
        <v>40</v>
      </c>
      <c r="P1249" t="s">
        <v>38</v>
      </c>
      <c r="Q1249" t="s">
        <v>38</v>
      </c>
      <c r="R1249" t="s">
        <v>40</v>
      </c>
      <c r="S1249" t="s">
        <v>4783</v>
      </c>
      <c r="T1249" t="s">
        <v>4565</v>
      </c>
      <c r="U1249" t="s">
        <v>4566</v>
      </c>
      <c r="V1249" t="s">
        <v>4556</v>
      </c>
      <c r="W1249" t="s">
        <v>4567</v>
      </c>
      <c r="Z1249" t="s">
        <v>46</v>
      </c>
      <c r="AA1249" t="s">
        <v>4589</v>
      </c>
      <c r="AC1249">
        <f>COUNTIF(C:C,QLKV_gui_ket_qua_ra_soat[[#This Row],[Mã điểm bán]])</f>
        <v>1</v>
      </c>
    </row>
    <row r="1250" spans="1:29" x14ac:dyDescent="0.45">
      <c r="A1250" t="s">
        <v>4550</v>
      </c>
      <c r="B1250">
        <v>132</v>
      </c>
      <c r="C1250" t="s">
        <v>4987</v>
      </c>
      <c r="D1250" t="s">
        <v>4988</v>
      </c>
      <c r="F1250" t="s">
        <v>1597</v>
      </c>
      <c r="G1250" t="s">
        <v>34</v>
      </c>
      <c r="H1250" t="s">
        <v>171</v>
      </c>
      <c r="I1250" t="s">
        <v>4989</v>
      </c>
      <c r="J1250" t="s">
        <v>38</v>
      </c>
      <c r="K1250" t="s">
        <v>37</v>
      </c>
      <c r="L1250" t="s">
        <v>39</v>
      </c>
      <c r="M1250" t="s">
        <v>37</v>
      </c>
      <c r="N1250" t="s">
        <v>56</v>
      </c>
      <c r="O1250" t="s">
        <v>39</v>
      </c>
      <c r="P1250" t="s">
        <v>38</v>
      </c>
      <c r="Q1250" t="s">
        <v>38</v>
      </c>
      <c r="R1250" t="s">
        <v>39</v>
      </c>
      <c r="S1250" t="s">
        <v>41</v>
      </c>
      <c r="T1250" t="s">
        <v>4737</v>
      </c>
      <c r="U1250" t="s">
        <v>4738</v>
      </c>
      <c r="V1250" t="s">
        <v>4556</v>
      </c>
      <c r="W1250" t="s">
        <v>1457</v>
      </c>
      <c r="X1250" t="s">
        <v>46</v>
      </c>
      <c r="AC1250">
        <f>COUNTIF(C:C,QLKV_gui_ket_qua_ra_soat[[#This Row],[Mã điểm bán]])</f>
        <v>1</v>
      </c>
    </row>
    <row r="1251" spans="1:29" x14ac:dyDescent="0.45">
      <c r="A1251" t="s">
        <v>4550</v>
      </c>
      <c r="B1251">
        <v>133</v>
      </c>
      <c r="C1251" t="s">
        <v>4990</v>
      </c>
      <c r="D1251" t="s">
        <v>4991</v>
      </c>
      <c r="F1251" t="s">
        <v>53</v>
      </c>
      <c r="G1251" t="s">
        <v>177</v>
      </c>
      <c r="H1251" t="s">
        <v>697</v>
      </c>
      <c r="I1251" t="s">
        <v>4992</v>
      </c>
      <c r="J1251" t="s">
        <v>38</v>
      </c>
      <c r="K1251" t="s">
        <v>38</v>
      </c>
      <c r="L1251" t="s">
        <v>40</v>
      </c>
      <c r="M1251" t="s">
        <v>38</v>
      </c>
      <c r="N1251" t="s">
        <v>38</v>
      </c>
      <c r="O1251" t="s">
        <v>39</v>
      </c>
      <c r="P1251" t="s">
        <v>38</v>
      </c>
      <c r="Q1251" t="s">
        <v>38</v>
      </c>
      <c r="R1251" t="s">
        <v>40</v>
      </c>
      <c r="S1251" t="s">
        <v>4751</v>
      </c>
      <c r="T1251" t="s">
        <v>4752</v>
      </c>
      <c r="U1251" t="s">
        <v>4753</v>
      </c>
      <c r="V1251" t="s">
        <v>4556</v>
      </c>
      <c r="W1251" t="s">
        <v>4557</v>
      </c>
      <c r="Z1251" t="s">
        <v>46</v>
      </c>
      <c r="AA1251" t="s">
        <v>4589</v>
      </c>
      <c r="AC1251">
        <f>COUNTIF(C:C,QLKV_gui_ket_qua_ra_soat[[#This Row],[Mã điểm bán]])</f>
        <v>1</v>
      </c>
    </row>
    <row r="1252" spans="1:29" x14ac:dyDescent="0.45">
      <c r="A1252" t="s">
        <v>4550</v>
      </c>
      <c r="B1252">
        <v>134</v>
      </c>
      <c r="C1252" t="s">
        <v>4993</v>
      </c>
      <c r="D1252" t="s">
        <v>4994</v>
      </c>
      <c r="F1252" t="s">
        <v>4843</v>
      </c>
      <c r="G1252" t="s">
        <v>34</v>
      </c>
      <c r="H1252" t="s">
        <v>54</v>
      </c>
      <c r="I1252" t="s">
        <v>4995</v>
      </c>
      <c r="J1252" t="s">
        <v>38</v>
      </c>
      <c r="K1252" t="s">
        <v>37</v>
      </c>
      <c r="L1252" t="s">
        <v>39</v>
      </c>
      <c r="M1252" t="s">
        <v>37</v>
      </c>
      <c r="N1252" t="s">
        <v>37</v>
      </c>
      <c r="O1252" t="s">
        <v>39</v>
      </c>
      <c r="P1252" t="s">
        <v>37</v>
      </c>
      <c r="Q1252" t="s">
        <v>37</v>
      </c>
      <c r="R1252" t="s">
        <v>39</v>
      </c>
      <c r="S1252" t="s">
        <v>41</v>
      </c>
      <c r="T1252" t="s">
        <v>4737</v>
      </c>
      <c r="U1252" t="s">
        <v>4738</v>
      </c>
      <c r="V1252" t="s">
        <v>4556</v>
      </c>
      <c r="W1252" t="s">
        <v>1457</v>
      </c>
      <c r="X1252" t="s">
        <v>46</v>
      </c>
      <c r="AC1252">
        <f>COUNTIF(C:C,QLKV_gui_ket_qua_ra_soat[[#This Row],[Mã điểm bán]])</f>
        <v>1</v>
      </c>
    </row>
    <row r="1253" spans="1:29" x14ac:dyDescent="0.45">
      <c r="A1253" t="s">
        <v>4550</v>
      </c>
      <c r="B1253">
        <v>135</v>
      </c>
      <c r="C1253" t="s">
        <v>4996</v>
      </c>
      <c r="D1253" t="s">
        <v>4997</v>
      </c>
      <c r="F1253" t="s">
        <v>2368</v>
      </c>
      <c r="G1253" t="s">
        <v>177</v>
      </c>
      <c r="H1253" t="s">
        <v>2294</v>
      </c>
      <c r="I1253" t="s">
        <v>4998</v>
      </c>
      <c r="J1253" t="s">
        <v>38</v>
      </c>
      <c r="K1253" t="s">
        <v>38</v>
      </c>
      <c r="L1253" t="s">
        <v>40</v>
      </c>
      <c r="M1253" t="s">
        <v>38</v>
      </c>
      <c r="N1253" t="s">
        <v>38</v>
      </c>
      <c r="O1253" t="s">
        <v>39</v>
      </c>
      <c r="P1253" t="s">
        <v>38</v>
      </c>
      <c r="Q1253" t="s">
        <v>38</v>
      </c>
      <c r="R1253" t="s">
        <v>40</v>
      </c>
      <c r="S1253" t="s">
        <v>4751</v>
      </c>
      <c r="T1253" t="s">
        <v>4752</v>
      </c>
      <c r="U1253" t="s">
        <v>4753</v>
      </c>
      <c r="V1253" t="s">
        <v>4556</v>
      </c>
      <c r="W1253" t="s">
        <v>4557</v>
      </c>
      <c r="X1253" t="s">
        <v>46</v>
      </c>
      <c r="AC1253">
        <f>COUNTIF(C:C,QLKV_gui_ket_qua_ra_soat[[#This Row],[Mã điểm bán]])</f>
        <v>1</v>
      </c>
    </row>
    <row r="1254" spans="1:29" x14ac:dyDescent="0.45">
      <c r="A1254" t="s">
        <v>4550</v>
      </c>
      <c r="B1254">
        <v>136</v>
      </c>
      <c r="C1254" t="s">
        <v>4999</v>
      </c>
      <c r="D1254" t="s">
        <v>5000</v>
      </c>
      <c r="F1254" t="s">
        <v>581</v>
      </c>
      <c r="G1254" t="s">
        <v>34</v>
      </c>
      <c r="H1254" t="s">
        <v>54</v>
      </c>
      <c r="I1254" t="s">
        <v>5001</v>
      </c>
      <c r="J1254" t="s">
        <v>38</v>
      </c>
      <c r="K1254" t="s">
        <v>38</v>
      </c>
      <c r="L1254" t="s">
        <v>39</v>
      </c>
      <c r="M1254" t="s">
        <v>56</v>
      </c>
      <c r="N1254" t="s">
        <v>56</v>
      </c>
      <c r="O1254" t="s">
        <v>39</v>
      </c>
      <c r="P1254" t="s">
        <v>38</v>
      </c>
      <c r="Q1254" t="s">
        <v>38</v>
      </c>
      <c r="R1254" t="s">
        <v>39</v>
      </c>
      <c r="S1254" t="s">
        <v>5002</v>
      </c>
      <c r="T1254" t="s">
        <v>4746</v>
      </c>
      <c r="U1254" t="s">
        <v>4747</v>
      </c>
      <c r="V1254" t="s">
        <v>4556</v>
      </c>
      <c r="W1254" t="s">
        <v>4603</v>
      </c>
      <c r="X1254" t="s">
        <v>46</v>
      </c>
      <c r="AC1254">
        <f>COUNTIF(C:C,QLKV_gui_ket_qua_ra_soat[[#This Row],[Mã điểm bán]])</f>
        <v>1</v>
      </c>
    </row>
    <row r="1255" spans="1:29" x14ac:dyDescent="0.45">
      <c r="A1255" t="s">
        <v>4550</v>
      </c>
      <c r="B1255">
        <v>137</v>
      </c>
      <c r="C1255" t="s">
        <v>5003</v>
      </c>
      <c r="D1255" t="s">
        <v>5004</v>
      </c>
      <c r="F1255" t="s">
        <v>5005</v>
      </c>
      <c r="G1255" t="s">
        <v>34</v>
      </c>
      <c r="H1255" t="s">
        <v>708</v>
      </c>
      <c r="I1255" t="s">
        <v>5006</v>
      </c>
      <c r="J1255" t="s">
        <v>38</v>
      </c>
      <c r="K1255" t="s">
        <v>38</v>
      </c>
      <c r="L1255" t="s">
        <v>40</v>
      </c>
      <c r="M1255" t="s">
        <v>56</v>
      </c>
      <c r="N1255" t="s">
        <v>56</v>
      </c>
      <c r="O1255" t="s">
        <v>39</v>
      </c>
      <c r="P1255" t="s">
        <v>38</v>
      </c>
      <c r="Q1255" t="s">
        <v>38</v>
      </c>
      <c r="R1255" t="s">
        <v>40</v>
      </c>
      <c r="S1255" t="s">
        <v>5007</v>
      </c>
      <c r="T1255" t="s">
        <v>4835</v>
      </c>
      <c r="U1255" t="s">
        <v>4802</v>
      </c>
      <c r="V1255" t="s">
        <v>4556</v>
      </c>
      <c r="W1255" t="s">
        <v>1457</v>
      </c>
      <c r="X1255" t="s">
        <v>46</v>
      </c>
      <c r="AC1255">
        <f>COUNTIF(C:C,QLKV_gui_ket_qua_ra_soat[[#This Row],[Mã điểm bán]])</f>
        <v>1</v>
      </c>
    </row>
    <row r="1256" spans="1:29" x14ac:dyDescent="0.45">
      <c r="A1256" t="s">
        <v>4550</v>
      </c>
      <c r="B1256">
        <v>138</v>
      </c>
      <c r="C1256" t="s">
        <v>5008</v>
      </c>
      <c r="D1256" t="s">
        <v>5009</v>
      </c>
      <c r="F1256" t="s">
        <v>166</v>
      </c>
      <c r="G1256" t="s">
        <v>34</v>
      </c>
      <c r="H1256" t="s">
        <v>546</v>
      </c>
      <c r="I1256" t="s">
        <v>4982</v>
      </c>
      <c r="J1256" t="s">
        <v>38</v>
      </c>
      <c r="K1256" t="s">
        <v>38</v>
      </c>
      <c r="L1256" t="s">
        <v>40</v>
      </c>
      <c r="M1256" t="s">
        <v>38</v>
      </c>
      <c r="N1256" t="s">
        <v>38</v>
      </c>
      <c r="O1256" t="s">
        <v>39</v>
      </c>
      <c r="P1256" t="s">
        <v>38</v>
      </c>
      <c r="Q1256" t="s">
        <v>38</v>
      </c>
      <c r="R1256" t="s">
        <v>40</v>
      </c>
      <c r="S1256" t="s">
        <v>41</v>
      </c>
      <c r="T1256" t="s">
        <v>4752</v>
      </c>
      <c r="U1256" t="s">
        <v>4753</v>
      </c>
      <c r="V1256" t="s">
        <v>4556</v>
      </c>
      <c r="W1256" t="s">
        <v>4557</v>
      </c>
      <c r="X1256" t="s">
        <v>46</v>
      </c>
      <c r="AC1256">
        <f>COUNTIF(C:C,QLKV_gui_ket_qua_ra_soat[[#This Row],[Mã điểm bán]])</f>
        <v>1</v>
      </c>
    </row>
    <row r="1257" spans="1:29" x14ac:dyDescent="0.45">
      <c r="A1257" t="s">
        <v>4550</v>
      </c>
      <c r="B1257">
        <v>139</v>
      </c>
      <c r="C1257" t="s">
        <v>5010</v>
      </c>
      <c r="D1257" t="s">
        <v>5011</v>
      </c>
      <c r="F1257" t="s">
        <v>53</v>
      </c>
      <c r="G1257" t="s">
        <v>177</v>
      </c>
      <c r="H1257" t="s">
        <v>35</v>
      </c>
      <c r="I1257" t="s">
        <v>4942</v>
      </c>
      <c r="J1257" t="s">
        <v>38</v>
      </c>
      <c r="K1257" t="s">
        <v>38</v>
      </c>
      <c r="L1257" t="s">
        <v>40</v>
      </c>
      <c r="M1257" t="s">
        <v>38</v>
      </c>
      <c r="N1257" t="s">
        <v>38</v>
      </c>
      <c r="O1257" t="s">
        <v>40</v>
      </c>
      <c r="P1257" t="s">
        <v>38</v>
      </c>
      <c r="Q1257" t="s">
        <v>38</v>
      </c>
      <c r="R1257" t="s">
        <v>40</v>
      </c>
      <c r="S1257" t="s">
        <v>4751</v>
      </c>
      <c r="T1257" t="s">
        <v>4752</v>
      </c>
      <c r="U1257" t="s">
        <v>4753</v>
      </c>
      <c r="V1257" t="s">
        <v>4556</v>
      </c>
      <c r="W1257" t="s">
        <v>4557</v>
      </c>
      <c r="Z1257" t="s">
        <v>46</v>
      </c>
      <c r="AA1257" t="s">
        <v>4589</v>
      </c>
      <c r="AC1257">
        <f>COUNTIF(C:C,QLKV_gui_ket_qua_ra_soat[[#This Row],[Mã điểm bán]])</f>
        <v>1</v>
      </c>
    </row>
    <row r="1258" spans="1:29" x14ac:dyDescent="0.45">
      <c r="A1258" t="s">
        <v>4550</v>
      </c>
      <c r="B1258">
        <v>140</v>
      </c>
      <c r="C1258" t="s">
        <v>5012</v>
      </c>
      <c r="D1258" t="s">
        <v>5013</v>
      </c>
      <c r="F1258" t="s">
        <v>53</v>
      </c>
      <c r="G1258" t="s">
        <v>177</v>
      </c>
      <c r="H1258" t="s">
        <v>546</v>
      </c>
      <c r="I1258" t="s">
        <v>4950</v>
      </c>
      <c r="J1258" t="s">
        <v>38</v>
      </c>
      <c r="K1258" t="s">
        <v>38</v>
      </c>
      <c r="L1258" t="s">
        <v>40</v>
      </c>
      <c r="M1258" t="s">
        <v>38</v>
      </c>
      <c r="N1258" t="s">
        <v>38</v>
      </c>
      <c r="O1258" t="s">
        <v>39</v>
      </c>
      <c r="P1258" t="s">
        <v>38</v>
      </c>
      <c r="Q1258" t="s">
        <v>38</v>
      </c>
      <c r="R1258" t="s">
        <v>40</v>
      </c>
      <c r="S1258" t="s">
        <v>41</v>
      </c>
      <c r="T1258" t="s">
        <v>4752</v>
      </c>
      <c r="U1258" t="s">
        <v>4753</v>
      </c>
      <c r="V1258" t="s">
        <v>4556</v>
      </c>
      <c r="W1258" t="s">
        <v>4557</v>
      </c>
      <c r="X1258" t="s">
        <v>46</v>
      </c>
      <c r="AC1258">
        <f>COUNTIF(C:C,QLKV_gui_ket_qua_ra_soat[[#This Row],[Mã điểm bán]])</f>
        <v>1</v>
      </c>
    </row>
    <row r="1259" spans="1:29" x14ac:dyDescent="0.45">
      <c r="A1259" t="s">
        <v>4550</v>
      </c>
      <c r="B1259">
        <v>141</v>
      </c>
      <c r="C1259" t="s">
        <v>5014</v>
      </c>
      <c r="D1259" t="s">
        <v>5015</v>
      </c>
      <c r="F1259" t="s">
        <v>934</v>
      </c>
      <c r="G1259" t="s">
        <v>34</v>
      </c>
      <c r="H1259" t="s">
        <v>54</v>
      </c>
      <c r="I1259" t="s">
        <v>5016</v>
      </c>
      <c r="J1259" t="s">
        <v>37</v>
      </c>
      <c r="K1259" t="s">
        <v>37</v>
      </c>
      <c r="L1259" t="s">
        <v>39</v>
      </c>
      <c r="M1259" t="s">
        <v>38</v>
      </c>
      <c r="N1259" t="s">
        <v>37</v>
      </c>
      <c r="O1259" t="s">
        <v>121</v>
      </c>
      <c r="P1259" t="s">
        <v>38</v>
      </c>
      <c r="Q1259" t="s">
        <v>38</v>
      </c>
      <c r="R1259" t="s">
        <v>39</v>
      </c>
      <c r="S1259" t="s">
        <v>5017</v>
      </c>
      <c r="T1259" t="s">
        <v>4746</v>
      </c>
      <c r="U1259" t="s">
        <v>4747</v>
      </c>
      <c r="V1259" t="s">
        <v>4556</v>
      </c>
      <c r="W1259" t="s">
        <v>4603</v>
      </c>
      <c r="Z1259" t="s">
        <v>46</v>
      </c>
      <c r="AA1259" t="s">
        <v>4589</v>
      </c>
      <c r="AC1259">
        <f>COUNTIF(C:C,QLKV_gui_ket_qua_ra_soat[[#This Row],[Mã điểm bán]])</f>
        <v>1</v>
      </c>
    </row>
    <row r="1260" spans="1:29" x14ac:dyDescent="0.45">
      <c r="A1260" t="s">
        <v>4550</v>
      </c>
      <c r="B1260">
        <v>142</v>
      </c>
      <c r="C1260" t="s">
        <v>5018</v>
      </c>
      <c r="D1260" t="s">
        <v>5019</v>
      </c>
      <c r="F1260" t="s">
        <v>401</v>
      </c>
      <c r="G1260" t="s">
        <v>34</v>
      </c>
      <c r="H1260" t="s">
        <v>54</v>
      </c>
      <c r="I1260" t="s">
        <v>5020</v>
      </c>
      <c r="J1260" t="s">
        <v>38</v>
      </c>
      <c r="K1260" t="s">
        <v>38</v>
      </c>
      <c r="L1260" t="s">
        <v>39</v>
      </c>
      <c r="M1260" t="s">
        <v>38</v>
      </c>
      <c r="N1260" t="s">
        <v>38</v>
      </c>
      <c r="O1260" t="s">
        <v>39</v>
      </c>
      <c r="P1260" t="s">
        <v>38</v>
      </c>
      <c r="Q1260" t="s">
        <v>38</v>
      </c>
      <c r="R1260" t="s">
        <v>39</v>
      </c>
      <c r="S1260" t="s">
        <v>41</v>
      </c>
      <c r="T1260" t="s">
        <v>4601</v>
      </c>
      <c r="U1260" t="s">
        <v>4602</v>
      </c>
      <c r="V1260" t="s">
        <v>4556</v>
      </c>
      <c r="W1260" t="s">
        <v>4603</v>
      </c>
      <c r="X1260" t="s">
        <v>46</v>
      </c>
      <c r="AC1260">
        <f>COUNTIF(C:C,QLKV_gui_ket_qua_ra_soat[[#This Row],[Mã điểm bán]])</f>
        <v>1</v>
      </c>
    </row>
    <row r="1261" spans="1:29" x14ac:dyDescent="0.45">
      <c r="A1261" t="s">
        <v>4550</v>
      </c>
      <c r="B1261">
        <v>143</v>
      </c>
      <c r="C1261" t="s">
        <v>5021</v>
      </c>
      <c r="D1261" t="s">
        <v>5022</v>
      </c>
      <c r="F1261" t="s">
        <v>581</v>
      </c>
      <c r="G1261" t="s">
        <v>34</v>
      </c>
      <c r="H1261" t="s">
        <v>54</v>
      </c>
      <c r="I1261" t="s">
        <v>5023</v>
      </c>
      <c r="J1261" t="s">
        <v>37</v>
      </c>
      <c r="K1261" t="s">
        <v>37</v>
      </c>
      <c r="L1261" t="s">
        <v>121</v>
      </c>
      <c r="M1261" t="s">
        <v>56</v>
      </c>
      <c r="N1261" t="s">
        <v>56</v>
      </c>
      <c r="O1261" t="s">
        <v>121</v>
      </c>
      <c r="P1261" t="s">
        <v>38</v>
      </c>
      <c r="Q1261" t="s">
        <v>38</v>
      </c>
      <c r="R1261" t="s">
        <v>39</v>
      </c>
      <c r="S1261" t="s">
        <v>5024</v>
      </c>
      <c r="T1261" t="s">
        <v>4746</v>
      </c>
      <c r="U1261" t="s">
        <v>4747</v>
      </c>
      <c r="V1261" t="s">
        <v>4556</v>
      </c>
      <c r="W1261" t="s">
        <v>4603</v>
      </c>
      <c r="X1261" t="s">
        <v>46</v>
      </c>
      <c r="AC1261">
        <f>COUNTIF(C:C,QLKV_gui_ket_qua_ra_soat[[#This Row],[Mã điểm bán]])</f>
        <v>1</v>
      </c>
    </row>
    <row r="1262" spans="1:29" x14ac:dyDescent="0.45">
      <c r="A1262" t="s">
        <v>4550</v>
      </c>
      <c r="B1262">
        <v>144</v>
      </c>
      <c r="C1262" t="s">
        <v>5025</v>
      </c>
      <c r="D1262" t="s">
        <v>5026</v>
      </c>
      <c r="F1262" t="s">
        <v>286</v>
      </c>
      <c r="G1262" t="s">
        <v>34</v>
      </c>
      <c r="H1262" t="s">
        <v>550</v>
      </c>
      <c r="I1262" t="s">
        <v>5027</v>
      </c>
      <c r="J1262" t="s">
        <v>38</v>
      </c>
      <c r="K1262" t="s">
        <v>38</v>
      </c>
      <c r="L1262" t="s">
        <v>40</v>
      </c>
      <c r="M1262" t="s">
        <v>38</v>
      </c>
      <c r="N1262" t="s">
        <v>38</v>
      </c>
      <c r="O1262" t="s">
        <v>39</v>
      </c>
      <c r="P1262" t="s">
        <v>38</v>
      </c>
      <c r="Q1262" t="s">
        <v>38</v>
      </c>
      <c r="R1262" t="s">
        <v>40</v>
      </c>
      <c r="S1262" t="s">
        <v>5028</v>
      </c>
      <c r="T1262" t="s">
        <v>4801</v>
      </c>
      <c r="U1262" t="s">
        <v>4802</v>
      </c>
      <c r="V1262" t="s">
        <v>4556</v>
      </c>
      <c r="W1262" t="s">
        <v>1457</v>
      </c>
      <c r="X1262" t="s">
        <v>46</v>
      </c>
      <c r="AC1262">
        <f>COUNTIF(C:C,QLKV_gui_ket_qua_ra_soat[[#This Row],[Mã điểm bán]])</f>
        <v>1</v>
      </c>
    </row>
    <row r="1263" spans="1:29" x14ac:dyDescent="0.45">
      <c r="A1263" t="s">
        <v>4550</v>
      </c>
      <c r="B1263">
        <v>145</v>
      </c>
      <c r="C1263" t="s">
        <v>5029</v>
      </c>
      <c r="D1263" t="s">
        <v>5030</v>
      </c>
      <c r="F1263" t="s">
        <v>401</v>
      </c>
      <c r="G1263" t="s">
        <v>34</v>
      </c>
      <c r="H1263" t="s">
        <v>54</v>
      </c>
      <c r="I1263" t="s">
        <v>4812</v>
      </c>
      <c r="J1263" t="s">
        <v>38</v>
      </c>
      <c r="K1263" t="s">
        <v>38</v>
      </c>
      <c r="L1263" t="s">
        <v>40</v>
      </c>
      <c r="M1263" t="s">
        <v>37</v>
      </c>
      <c r="N1263" t="s">
        <v>37</v>
      </c>
      <c r="O1263" t="s">
        <v>39</v>
      </c>
      <c r="P1263" t="s">
        <v>37</v>
      </c>
      <c r="Q1263" t="s">
        <v>37</v>
      </c>
      <c r="R1263" t="s">
        <v>39</v>
      </c>
      <c r="S1263" t="s">
        <v>41</v>
      </c>
      <c r="T1263" t="s">
        <v>4737</v>
      </c>
      <c r="U1263" t="s">
        <v>4738</v>
      </c>
      <c r="V1263" t="s">
        <v>4556</v>
      </c>
      <c r="W1263" t="s">
        <v>1457</v>
      </c>
      <c r="X1263" t="s">
        <v>46</v>
      </c>
      <c r="AC1263">
        <f>COUNTIF(C:C,QLKV_gui_ket_qua_ra_soat[[#This Row],[Mã điểm bán]])</f>
        <v>1</v>
      </c>
    </row>
    <row r="1264" spans="1:29" x14ac:dyDescent="0.45">
      <c r="A1264" t="s">
        <v>4550</v>
      </c>
      <c r="B1264">
        <v>146</v>
      </c>
      <c r="C1264" t="s">
        <v>5031</v>
      </c>
      <c r="D1264" t="s">
        <v>5032</v>
      </c>
      <c r="F1264" t="s">
        <v>53</v>
      </c>
      <c r="G1264" t="s">
        <v>177</v>
      </c>
      <c r="H1264" t="s">
        <v>54</v>
      </c>
      <c r="I1264" t="s">
        <v>5033</v>
      </c>
      <c r="J1264" t="s">
        <v>38</v>
      </c>
      <c r="K1264" t="s">
        <v>38</v>
      </c>
      <c r="L1264" t="s">
        <v>40</v>
      </c>
      <c r="M1264" t="s">
        <v>38</v>
      </c>
      <c r="N1264" t="s">
        <v>38</v>
      </c>
      <c r="O1264" t="s">
        <v>39</v>
      </c>
      <c r="P1264" t="s">
        <v>38</v>
      </c>
      <c r="Q1264" t="s">
        <v>38</v>
      </c>
      <c r="R1264" t="s">
        <v>40</v>
      </c>
      <c r="S1264" t="s">
        <v>41</v>
      </c>
      <c r="T1264" t="s">
        <v>4601</v>
      </c>
      <c r="U1264" t="s">
        <v>4602</v>
      </c>
      <c r="V1264" t="s">
        <v>4556</v>
      </c>
      <c r="W1264" t="s">
        <v>4603</v>
      </c>
      <c r="X1264" t="s">
        <v>46</v>
      </c>
      <c r="AC1264">
        <f>COUNTIF(C:C,QLKV_gui_ket_qua_ra_soat[[#This Row],[Mã điểm bán]])</f>
        <v>1</v>
      </c>
    </row>
    <row r="1265" spans="1:29" x14ac:dyDescent="0.45">
      <c r="A1265" t="s">
        <v>4550</v>
      </c>
      <c r="B1265">
        <v>147</v>
      </c>
      <c r="C1265" t="s">
        <v>5034</v>
      </c>
      <c r="D1265" t="s">
        <v>5035</v>
      </c>
      <c r="F1265" t="s">
        <v>5036</v>
      </c>
      <c r="G1265" t="s">
        <v>34</v>
      </c>
      <c r="H1265" t="s">
        <v>54</v>
      </c>
      <c r="I1265" t="s">
        <v>5037</v>
      </c>
      <c r="J1265" t="s">
        <v>38</v>
      </c>
      <c r="K1265" t="s">
        <v>38</v>
      </c>
      <c r="L1265" t="s">
        <v>39</v>
      </c>
      <c r="M1265" t="s">
        <v>56</v>
      </c>
      <c r="N1265" t="s">
        <v>56</v>
      </c>
      <c r="O1265" t="s">
        <v>39</v>
      </c>
      <c r="P1265" t="s">
        <v>38</v>
      </c>
      <c r="Q1265" t="s">
        <v>38</v>
      </c>
      <c r="R1265" t="s">
        <v>39</v>
      </c>
      <c r="S1265" t="s">
        <v>41</v>
      </c>
      <c r="T1265" t="s">
        <v>4737</v>
      </c>
      <c r="U1265" t="s">
        <v>4738</v>
      </c>
      <c r="V1265" t="s">
        <v>4556</v>
      </c>
      <c r="W1265" t="s">
        <v>1457</v>
      </c>
      <c r="Z1265" t="s">
        <v>46</v>
      </c>
      <c r="AA1265" t="s">
        <v>4589</v>
      </c>
      <c r="AC1265">
        <f>COUNTIF(C:C,QLKV_gui_ket_qua_ra_soat[[#This Row],[Mã điểm bán]])</f>
        <v>1</v>
      </c>
    </row>
    <row r="1266" spans="1:29" x14ac:dyDescent="0.45">
      <c r="A1266" t="s">
        <v>4550</v>
      </c>
      <c r="B1266">
        <v>148</v>
      </c>
      <c r="C1266" t="s">
        <v>5038</v>
      </c>
      <c r="D1266" t="s">
        <v>5039</v>
      </c>
      <c r="F1266" t="s">
        <v>5040</v>
      </c>
      <c r="G1266" t="s">
        <v>34</v>
      </c>
      <c r="H1266" t="s">
        <v>54</v>
      </c>
      <c r="I1266" t="s">
        <v>5041</v>
      </c>
      <c r="J1266" t="s">
        <v>38</v>
      </c>
      <c r="K1266" t="s">
        <v>38</v>
      </c>
      <c r="L1266" t="s">
        <v>40</v>
      </c>
      <c r="M1266" t="s">
        <v>38</v>
      </c>
      <c r="N1266" t="s">
        <v>38</v>
      </c>
      <c r="O1266" t="s">
        <v>39</v>
      </c>
      <c r="P1266" t="s">
        <v>38</v>
      </c>
      <c r="Q1266" t="s">
        <v>38</v>
      </c>
      <c r="R1266" t="s">
        <v>40</v>
      </c>
      <c r="S1266" t="s">
        <v>5042</v>
      </c>
      <c r="T1266" t="s">
        <v>4801</v>
      </c>
      <c r="U1266" t="s">
        <v>4802</v>
      </c>
      <c r="V1266" t="s">
        <v>4556</v>
      </c>
      <c r="W1266" t="s">
        <v>1457</v>
      </c>
      <c r="X1266" t="s">
        <v>46</v>
      </c>
      <c r="AC1266">
        <f>COUNTIF(C:C,QLKV_gui_ket_qua_ra_soat[[#This Row],[Mã điểm bán]])</f>
        <v>1</v>
      </c>
    </row>
    <row r="1267" spans="1:29" x14ac:dyDescent="0.45">
      <c r="A1267" t="s">
        <v>4550</v>
      </c>
      <c r="B1267">
        <v>149</v>
      </c>
      <c r="C1267" t="s">
        <v>5043</v>
      </c>
      <c r="D1267" t="s">
        <v>5044</v>
      </c>
      <c r="F1267" t="s">
        <v>166</v>
      </c>
      <c r="G1267" t="s">
        <v>34</v>
      </c>
      <c r="H1267" t="s">
        <v>1788</v>
      </c>
      <c r="I1267" t="s">
        <v>5045</v>
      </c>
      <c r="J1267" t="s">
        <v>38</v>
      </c>
      <c r="K1267" t="s">
        <v>38</v>
      </c>
      <c r="L1267" t="s">
        <v>39</v>
      </c>
      <c r="M1267" t="s">
        <v>38</v>
      </c>
      <c r="N1267" t="s">
        <v>38</v>
      </c>
      <c r="O1267" t="s">
        <v>39</v>
      </c>
      <c r="P1267" t="s">
        <v>38</v>
      </c>
      <c r="Q1267" t="s">
        <v>38</v>
      </c>
      <c r="R1267" t="s">
        <v>39</v>
      </c>
      <c r="S1267" t="s">
        <v>5046</v>
      </c>
      <c r="T1267" t="s">
        <v>4801</v>
      </c>
      <c r="U1267" t="s">
        <v>4802</v>
      </c>
      <c r="V1267" t="s">
        <v>4556</v>
      </c>
      <c r="W1267" t="s">
        <v>1457</v>
      </c>
      <c r="X1267" t="s">
        <v>46</v>
      </c>
      <c r="AC1267">
        <f>COUNTIF(C:C,QLKV_gui_ket_qua_ra_soat[[#This Row],[Mã điểm bán]])</f>
        <v>1</v>
      </c>
    </row>
    <row r="1268" spans="1:29" x14ac:dyDescent="0.45">
      <c r="A1268" t="s">
        <v>4550</v>
      </c>
      <c r="B1268">
        <v>150</v>
      </c>
      <c r="C1268" t="s">
        <v>5047</v>
      </c>
      <c r="D1268" t="s">
        <v>5048</v>
      </c>
      <c r="F1268" t="s">
        <v>426</v>
      </c>
      <c r="G1268" t="s">
        <v>34</v>
      </c>
      <c r="H1268" t="s">
        <v>54</v>
      </c>
      <c r="I1268" t="s">
        <v>5049</v>
      </c>
      <c r="J1268" t="s">
        <v>37</v>
      </c>
      <c r="K1268" t="s">
        <v>37</v>
      </c>
      <c r="L1268" t="s">
        <v>39</v>
      </c>
      <c r="M1268" t="s">
        <v>37</v>
      </c>
      <c r="N1268" t="s">
        <v>37</v>
      </c>
      <c r="O1268" t="s">
        <v>39</v>
      </c>
      <c r="P1268" t="s">
        <v>38</v>
      </c>
      <c r="Q1268" t="s">
        <v>38</v>
      </c>
      <c r="R1268" t="s">
        <v>39</v>
      </c>
      <c r="S1268" t="s">
        <v>5050</v>
      </c>
      <c r="T1268" t="s">
        <v>4746</v>
      </c>
      <c r="U1268" t="s">
        <v>4747</v>
      </c>
      <c r="V1268" t="s">
        <v>4556</v>
      </c>
      <c r="W1268" t="s">
        <v>4603</v>
      </c>
      <c r="X1268" t="s">
        <v>46</v>
      </c>
      <c r="AC1268">
        <f>COUNTIF(C:C,QLKV_gui_ket_qua_ra_soat[[#This Row],[Mã điểm bán]])</f>
        <v>1</v>
      </c>
    </row>
    <row r="1269" spans="1:29" x14ac:dyDescent="0.45">
      <c r="A1269" t="s">
        <v>4550</v>
      </c>
      <c r="B1269">
        <v>151</v>
      </c>
      <c r="C1269" t="s">
        <v>5051</v>
      </c>
      <c r="D1269" t="s">
        <v>5052</v>
      </c>
      <c r="F1269" t="s">
        <v>53</v>
      </c>
      <c r="G1269" t="s">
        <v>34</v>
      </c>
      <c r="H1269" t="s">
        <v>54</v>
      </c>
      <c r="I1269" t="s">
        <v>5053</v>
      </c>
      <c r="J1269" t="s">
        <v>37</v>
      </c>
      <c r="K1269" t="s">
        <v>37</v>
      </c>
      <c r="L1269" t="s">
        <v>39</v>
      </c>
      <c r="M1269" t="s">
        <v>37</v>
      </c>
      <c r="N1269" t="s">
        <v>37</v>
      </c>
      <c r="O1269" t="s">
        <v>39</v>
      </c>
      <c r="P1269" t="s">
        <v>38</v>
      </c>
      <c r="Q1269" t="s">
        <v>38</v>
      </c>
      <c r="R1269" t="s">
        <v>39</v>
      </c>
      <c r="S1269" t="s">
        <v>41</v>
      </c>
      <c r="T1269" t="s">
        <v>4746</v>
      </c>
      <c r="U1269" t="s">
        <v>4747</v>
      </c>
      <c r="V1269" t="s">
        <v>4556</v>
      </c>
      <c r="W1269" t="s">
        <v>4603</v>
      </c>
      <c r="X1269" t="s">
        <v>46</v>
      </c>
      <c r="AC1269">
        <f>COUNTIF(C:C,QLKV_gui_ket_qua_ra_soat[[#This Row],[Mã điểm bán]])</f>
        <v>1</v>
      </c>
    </row>
    <row r="1270" spans="1:29" x14ac:dyDescent="0.45">
      <c r="A1270" t="s">
        <v>4550</v>
      </c>
      <c r="B1270">
        <v>152</v>
      </c>
      <c r="C1270" t="s">
        <v>5054</v>
      </c>
      <c r="D1270" t="s">
        <v>5055</v>
      </c>
      <c r="F1270" t="s">
        <v>417</v>
      </c>
      <c r="G1270" t="s">
        <v>34</v>
      </c>
      <c r="H1270" t="s">
        <v>1188</v>
      </c>
      <c r="I1270" t="s">
        <v>5056</v>
      </c>
      <c r="J1270" t="s">
        <v>38</v>
      </c>
      <c r="K1270" t="s">
        <v>38</v>
      </c>
      <c r="L1270" t="s">
        <v>40</v>
      </c>
      <c r="M1270" t="s">
        <v>38</v>
      </c>
      <c r="N1270" t="s">
        <v>56</v>
      </c>
      <c r="O1270" t="s">
        <v>39</v>
      </c>
      <c r="P1270" t="s">
        <v>38</v>
      </c>
      <c r="Q1270" t="s">
        <v>38</v>
      </c>
      <c r="R1270" t="s">
        <v>40</v>
      </c>
      <c r="S1270" t="s">
        <v>41</v>
      </c>
      <c r="T1270" t="s">
        <v>4667</v>
      </c>
      <c r="U1270" t="s">
        <v>4668</v>
      </c>
      <c r="V1270" t="s">
        <v>4556</v>
      </c>
      <c r="W1270" t="s">
        <v>4567</v>
      </c>
      <c r="Z1270" t="s">
        <v>46</v>
      </c>
      <c r="AA1270" t="s">
        <v>4589</v>
      </c>
      <c r="AC1270">
        <f>COUNTIF(C:C,QLKV_gui_ket_qua_ra_soat[[#This Row],[Mã điểm bán]])</f>
        <v>1</v>
      </c>
    </row>
    <row r="1271" spans="1:29" x14ac:dyDescent="0.45">
      <c r="A1271" t="s">
        <v>4550</v>
      </c>
      <c r="B1271">
        <v>153</v>
      </c>
      <c r="C1271" t="s">
        <v>5057</v>
      </c>
      <c r="D1271" t="s">
        <v>5058</v>
      </c>
      <c r="F1271" t="s">
        <v>581</v>
      </c>
      <c r="G1271" t="s">
        <v>34</v>
      </c>
      <c r="H1271" t="s">
        <v>54</v>
      </c>
      <c r="I1271" t="s">
        <v>5059</v>
      </c>
      <c r="J1271" t="s">
        <v>37</v>
      </c>
      <c r="K1271" t="s">
        <v>37</v>
      </c>
      <c r="L1271" t="s">
        <v>39</v>
      </c>
      <c r="M1271" t="s">
        <v>56</v>
      </c>
      <c r="N1271" t="s">
        <v>56</v>
      </c>
      <c r="O1271" t="s">
        <v>39</v>
      </c>
      <c r="P1271" t="s">
        <v>38</v>
      </c>
      <c r="Q1271" t="s">
        <v>38</v>
      </c>
      <c r="R1271" t="s">
        <v>39</v>
      </c>
      <c r="S1271" t="s">
        <v>5060</v>
      </c>
      <c r="T1271" t="s">
        <v>4746</v>
      </c>
      <c r="U1271" t="s">
        <v>4747</v>
      </c>
      <c r="V1271" t="s">
        <v>4556</v>
      </c>
      <c r="W1271" t="s">
        <v>4603</v>
      </c>
      <c r="Z1271" t="s">
        <v>46</v>
      </c>
      <c r="AA1271" t="s">
        <v>4589</v>
      </c>
      <c r="AC1271">
        <f>COUNTIF(C:C,QLKV_gui_ket_qua_ra_soat[[#This Row],[Mã điểm bán]])</f>
        <v>1</v>
      </c>
    </row>
    <row r="1272" spans="1:29" x14ac:dyDescent="0.45">
      <c r="A1272" t="s">
        <v>4550</v>
      </c>
      <c r="B1272">
        <v>154</v>
      </c>
      <c r="C1272" t="s">
        <v>5061</v>
      </c>
      <c r="D1272" t="s">
        <v>5062</v>
      </c>
      <c r="F1272" t="s">
        <v>53</v>
      </c>
      <c r="G1272" t="s">
        <v>34</v>
      </c>
      <c r="H1272" t="s">
        <v>1188</v>
      </c>
      <c r="I1272" t="s">
        <v>5063</v>
      </c>
      <c r="J1272" t="s">
        <v>38</v>
      </c>
      <c r="K1272" t="s">
        <v>38</v>
      </c>
      <c r="L1272" t="s">
        <v>39</v>
      </c>
      <c r="M1272" t="s">
        <v>38</v>
      </c>
      <c r="N1272" t="s">
        <v>38</v>
      </c>
      <c r="O1272" t="s">
        <v>39</v>
      </c>
      <c r="P1272" t="s">
        <v>38</v>
      </c>
      <c r="Q1272" t="s">
        <v>38</v>
      </c>
      <c r="R1272" t="s">
        <v>39</v>
      </c>
      <c r="S1272" t="s">
        <v>5064</v>
      </c>
      <c r="T1272" t="s">
        <v>4801</v>
      </c>
      <c r="U1272" t="s">
        <v>4802</v>
      </c>
      <c r="V1272" t="s">
        <v>4556</v>
      </c>
      <c r="W1272" t="s">
        <v>1457</v>
      </c>
      <c r="X1272" t="s">
        <v>46</v>
      </c>
      <c r="AC1272">
        <f>COUNTIF(C:C,QLKV_gui_ket_qua_ra_soat[[#This Row],[Mã điểm bán]])</f>
        <v>1</v>
      </c>
    </row>
    <row r="1273" spans="1:29" x14ac:dyDescent="0.45">
      <c r="A1273" t="s">
        <v>4550</v>
      </c>
      <c r="B1273">
        <v>155</v>
      </c>
      <c r="C1273" t="s">
        <v>5065</v>
      </c>
      <c r="D1273" t="s">
        <v>5066</v>
      </c>
      <c r="F1273" t="s">
        <v>401</v>
      </c>
      <c r="G1273" t="s">
        <v>34</v>
      </c>
      <c r="H1273" t="s">
        <v>54</v>
      </c>
      <c r="I1273" t="s">
        <v>5067</v>
      </c>
      <c r="J1273" t="s">
        <v>38</v>
      </c>
      <c r="K1273" t="s">
        <v>38</v>
      </c>
      <c r="L1273" t="s">
        <v>39</v>
      </c>
      <c r="M1273" t="s">
        <v>775</v>
      </c>
      <c r="N1273" t="s">
        <v>775</v>
      </c>
      <c r="O1273" t="s">
        <v>121</v>
      </c>
      <c r="P1273" t="s">
        <v>38</v>
      </c>
      <c r="Q1273" t="s">
        <v>38</v>
      </c>
      <c r="R1273" t="s">
        <v>40</v>
      </c>
      <c r="S1273" t="s">
        <v>5068</v>
      </c>
      <c r="T1273" t="s">
        <v>5069</v>
      </c>
      <c r="U1273" t="s">
        <v>5070</v>
      </c>
      <c r="V1273" t="s">
        <v>4556</v>
      </c>
      <c r="W1273" t="s">
        <v>4603</v>
      </c>
      <c r="X1273" t="s">
        <v>46</v>
      </c>
      <c r="AC1273">
        <f>COUNTIF(C:C,QLKV_gui_ket_qua_ra_soat[[#This Row],[Mã điểm bán]])</f>
        <v>1</v>
      </c>
    </row>
    <row r="1274" spans="1:29" x14ac:dyDescent="0.45">
      <c r="A1274" t="s">
        <v>4550</v>
      </c>
      <c r="B1274">
        <v>156</v>
      </c>
      <c r="C1274" t="s">
        <v>5071</v>
      </c>
      <c r="D1274" t="s">
        <v>5072</v>
      </c>
      <c r="F1274" t="s">
        <v>535</v>
      </c>
      <c r="G1274" t="s">
        <v>177</v>
      </c>
      <c r="H1274" t="s">
        <v>1263</v>
      </c>
      <c r="I1274" t="s">
        <v>5073</v>
      </c>
      <c r="J1274" t="s">
        <v>38</v>
      </c>
      <c r="K1274" t="s">
        <v>38</v>
      </c>
      <c r="L1274" t="s">
        <v>39</v>
      </c>
      <c r="M1274" t="s">
        <v>38</v>
      </c>
      <c r="N1274" t="s">
        <v>38</v>
      </c>
      <c r="O1274" t="s">
        <v>39</v>
      </c>
      <c r="P1274" t="s">
        <v>38</v>
      </c>
      <c r="Q1274" t="s">
        <v>38</v>
      </c>
      <c r="R1274" t="s">
        <v>40</v>
      </c>
      <c r="S1274" t="s">
        <v>5074</v>
      </c>
      <c r="T1274" t="s">
        <v>4752</v>
      </c>
      <c r="U1274" t="s">
        <v>4753</v>
      </c>
      <c r="V1274" t="s">
        <v>4556</v>
      </c>
      <c r="W1274" t="s">
        <v>4557</v>
      </c>
      <c r="X1274" t="s">
        <v>46</v>
      </c>
      <c r="AC1274">
        <f>COUNTIF(C:C,QLKV_gui_ket_qua_ra_soat[[#This Row],[Mã điểm bán]])</f>
        <v>1</v>
      </c>
    </row>
    <row r="1275" spans="1:29" x14ac:dyDescent="0.45">
      <c r="A1275" t="s">
        <v>4550</v>
      </c>
      <c r="B1275">
        <v>157</v>
      </c>
      <c r="C1275" t="s">
        <v>5075</v>
      </c>
      <c r="D1275" t="s">
        <v>5076</v>
      </c>
      <c r="F1275" t="s">
        <v>115</v>
      </c>
      <c r="G1275" t="s">
        <v>177</v>
      </c>
      <c r="H1275" t="s">
        <v>697</v>
      </c>
      <c r="I1275" t="s">
        <v>5077</v>
      </c>
      <c r="J1275" t="s">
        <v>38</v>
      </c>
      <c r="K1275" t="s">
        <v>38</v>
      </c>
      <c r="L1275" t="s">
        <v>40</v>
      </c>
      <c r="M1275" t="s">
        <v>38</v>
      </c>
      <c r="N1275" t="s">
        <v>38</v>
      </c>
      <c r="O1275" t="s">
        <v>39</v>
      </c>
      <c r="P1275" t="s">
        <v>38</v>
      </c>
      <c r="Q1275" t="s">
        <v>38</v>
      </c>
      <c r="R1275" t="s">
        <v>40</v>
      </c>
      <c r="S1275" t="s">
        <v>4751</v>
      </c>
      <c r="T1275" t="s">
        <v>4752</v>
      </c>
      <c r="U1275" t="s">
        <v>4753</v>
      </c>
      <c r="V1275" t="s">
        <v>4556</v>
      </c>
      <c r="W1275" t="s">
        <v>4557</v>
      </c>
      <c r="X1275" t="s">
        <v>46</v>
      </c>
      <c r="AC1275">
        <f>COUNTIF(C:C,QLKV_gui_ket_qua_ra_soat[[#This Row],[Mã điểm bán]])</f>
        <v>1</v>
      </c>
    </row>
    <row r="1276" spans="1:29" x14ac:dyDescent="0.45">
      <c r="A1276" t="s">
        <v>4550</v>
      </c>
      <c r="B1276">
        <v>158</v>
      </c>
      <c r="C1276" t="s">
        <v>5078</v>
      </c>
      <c r="D1276" t="s">
        <v>5079</v>
      </c>
      <c r="F1276" t="s">
        <v>166</v>
      </c>
      <c r="G1276" t="s">
        <v>34</v>
      </c>
      <c r="H1276" t="s">
        <v>2294</v>
      </c>
      <c r="I1276" t="s">
        <v>5080</v>
      </c>
      <c r="J1276" t="s">
        <v>37</v>
      </c>
      <c r="K1276" t="s">
        <v>37</v>
      </c>
      <c r="L1276" t="s">
        <v>39</v>
      </c>
      <c r="M1276" t="s">
        <v>37</v>
      </c>
      <c r="N1276" t="s">
        <v>37</v>
      </c>
      <c r="O1276" t="s">
        <v>39</v>
      </c>
      <c r="P1276" t="s">
        <v>38</v>
      </c>
      <c r="Q1276" t="s">
        <v>38</v>
      </c>
      <c r="R1276" t="s">
        <v>40</v>
      </c>
      <c r="S1276" t="s">
        <v>5081</v>
      </c>
      <c r="T1276" t="s">
        <v>5069</v>
      </c>
      <c r="U1276" t="s">
        <v>5070</v>
      </c>
      <c r="V1276" t="s">
        <v>4556</v>
      </c>
      <c r="W1276" t="s">
        <v>4603</v>
      </c>
      <c r="Z1276" t="s">
        <v>46</v>
      </c>
      <c r="AA1276" t="s">
        <v>4575</v>
      </c>
      <c r="AC1276">
        <f>COUNTIF(C:C,QLKV_gui_ket_qua_ra_soat[[#This Row],[Mã điểm bán]])</f>
        <v>1</v>
      </c>
    </row>
    <row r="1277" spans="1:29" x14ac:dyDescent="0.45">
      <c r="A1277" t="s">
        <v>4550</v>
      </c>
      <c r="B1277">
        <v>159</v>
      </c>
      <c r="C1277" t="s">
        <v>5082</v>
      </c>
      <c r="D1277" t="s">
        <v>5083</v>
      </c>
      <c r="F1277" t="s">
        <v>53</v>
      </c>
      <c r="G1277" t="s">
        <v>34</v>
      </c>
      <c r="H1277" t="s">
        <v>54</v>
      </c>
      <c r="I1277" t="s">
        <v>4665</v>
      </c>
      <c r="J1277" t="s">
        <v>38</v>
      </c>
      <c r="K1277" t="s">
        <v>38</v>
      </c>
      <c r="L1277" t="s">
        <v>40</v>
      </c>
      <c r="M1277" t="s">
        <v>38</v>
      </c>
      <c r="N1277" t="s">
        <v>56</v>
      </c>
      <c r="O1277" t="s">
        <v>39</v>
      </c>
      <c r="P1277" t="s">
        <v>38</v>
      </c>
      <c r="Q1277" t="s">
        <v>38</v>
      </c>
      <c r="R1277" t="s">
        <v>40</v>
      </c>
      <c r="S1277" t="s">
        <v>41</v>
      </c>
      <c r="T1277" t="s">
        <v>4667</v>
      </c>
      <c r="U1277" t="s">
        <v>4668</v>
      </c>
      <c r="V1277" t="s">
        <v>4556</v>
      </c>
      <c r="W1277" t="s">
        <v>4567</v>
      </c>
      <c r="X1277" t="s">
        <v>46</v>
      </c>
      <c r="AC1277">
        <f>COUNTIF(C:C,QLKV_gui_ket_qua_ra_soat[[#This Row],[Mã điểm bán]])</f>
        <v>1</v>
      </c>
    </row>
    <row r="1278" spans="1:29" x14ac:dyDescent="0.45">
      <c r="A1278" t="s">
        <v>4550</v>
      </c>
      <c r="B1278">
        <v>160</v>
      </c>
      <c r="C1278" t="s">
        <v>5084</v>
      </c>
      <c r="D1278" t="s">
        <v>5085</v>
      </c>
      <c r="F1278" t="s">
        <v>53</v>
      </c>
      <c r="G1278" t="s">
        <v>177</v>
      </c>
      <c r="H1278" t="s">
        <v>1483</v>
      </c>
      <c r="I1278" t="s">
        <v>4942</v>
      </c>
      <c r="J1278" t="s">
        <v>38</v>
      </c>
      <c r="K1278" t="s">
        <v>38</v>
      </c>
      <c r="L1278" t="s">
        <v>40</v>
      </c>
      <c r="M1278" t="s">
        <v>38</v>
      </c>
      <c r="N1278" t="s">
        <v>38</v>
      </c>
      <c r="O1278" t="s">
        <v>39</v>
      </c>
      <c r="P1278" t="s">
        <v>38</v>
      </c>
      <c r="Q1278" t="s">
        <v>38</v>
      </c>
      <c r="R1278" t="s">
        <v>40</v>
      </c>
      <c r="S1278" t="s">
        <v>4751</v>
      </c>
      <c r="T1278" t="s">
        <v>4752</v>
      </c>
      <c r="U1278" t="s">
        <v>4753</v>
      </c>
      <c r="V1278" t="s">
        <v>4556</v>
      </c>
      <c r="W1278" t="s">
        <v>4557</v>
      </c>
      <c r="Z1278" t="s">
        <v>46</v>
      </c>
      <c r="AA1278" t="s">
        <v>4589</v>
      </c>
      <c r="AC1278">
        <f>COUNTIF(C:C,QLKV_gui_ket_qua_ra_soat[[#This Row],[Mã điểm bán]])</f>
        <v>1</v>
      </c>
    </row>
    <row r="1279" spans="1:29" x14ac:dyDescent="0.45">
      <c r="A1279" t="s">
        <v>4550</v>
      </c>
      <c r="B1279">
        <v>161</v>
      </c>
      <c r="C1279" t="s">
        <v>5086</v>
      </c>
      <c r="D1279" t="s">
        <v>5087</v>
      </c>
      <c r="F1279" t="s">
        <v>426</v>
      </c>
      <c r="G1279" t="s">
        <v>34</v>
      </c>
      <c r="H1279" t="s">
        <v>171</v>
      </c>
      <c r="I1279" t="s">
        <v>5088</v>
      </c>
      <c r="J1279" t="s">
        <v>38</v>
      </c>
      <c r="K1279" t="s">
        <v>38</v>
      </c>
      <c r="L1279" t="s">
        <v>40</v>
      </c>
      <c r="M1279" t="s">
        <v>38</v>
      </c>
      <c r="N1279" t="s">
        <v>38</v>
      </c>
      <c r="O1279" t="s">
        <v>39</v>
      </c>
      <c r="P1279" t="s">
        <v>38</v>
      </c>
      <c r="Q1279" t="s">
        <v>38</v>
      </c>
      <c r="R1279" t="s">
        <v>40</v>
      </c>
      <c r="S1279" t="s">
        <v>41</v>
      </c>
      <c r="T1279" t="s">
        <v>4554</v>
      </c>
      <c r="U1279" t="s">
        <v>4555</v>
      </c>
      <c r="V1279" t="s">
        <v>4556</v>
      </c>
      <c r="W1279" t="s">
        <v>4557</v>
      </c>
      <c r="X1279" t="s">
        <v>46</v>
      </c>
      <c r="AC1279">
        <f>COUNTIF(C:C,QLKV_gui_ket_qua_ra_soat[[#This Row],[Mã điểm bán]])</f>
        <v>1</v>
      </c>
    </row>
    <row r="1280" spans="1:29" x14ac:dyDescent="0.45">
      <c r="A1280" t="s">
        <v>4550</v>
      </c>
      <c r="B1280">
        <v>162</v>
      </c>
      <c r="C1280" t="s">
        <v>5089</v>
      </c>
      <c r="D1280" t="s">
        <v>5090</v>
      </c>
      <c r="F1280" t="s">
        <v>5091</v>
      </c>
      <c r="G1280" t="s">
        <v>34</v>
      </c>
      <c r="H1280" t="s">
        <v>54</v>
      </c>
      <c r="I1280" t="s">
        <v>5092</v>
      </c>
      <c r="J1280" t="s">
        <v>41</v>
      </c>
      <c r="K1280" t="s">
        <v>41</v>
      </c>
      <c r="L1280" t="s">
        <v>41</v>
      </c>
      <c r="M1280" t="s">
        <v>41</v>
      </c>
      <c r="N1280" t="s">
        <v>41</v>
      </c>
      <c r="O1280" t="s">
        <v>41</v>
      </c>
      <c r="P1280" t="s">
        <v>41</v>
      </c>
      <c r="Q1280" t="s">
        <v>41</v>
      </c>
      <c r="R1280" t="s">
        <v>41</v>
      </c>
      <c r="S1280" t="s">
        <v>41</v>
      </c>
      <c r="T1280" t="s">
        <v>4737</v>
      </c>
      <c r="U1280" t="s">
        <v>4738</v>
      </c>
      <c r="V1280" t="s">
        <v>4556</v>
      </c>
      <c r="W1280" t="s">
        <v>1457</v>
      </c>
      <c r="Z1280" t="s">
        <v>46</v>
      </c>
      <c r="AA1280" t="s">
        <v>4589</v>
      </c>
      <c r="AC1280">
        <f>COUNTIF(C:C,QLKV_gui_ket_qua_ra_soat[[#This Row],[Mã điểm bán]])</f>
        <v>1</v>
      </c>
    </row>
    <row r="1281" spans="1:29" x14ac:dyDescent="0.45">
      <c r="A1281" t="s">
        <v>4550</v>
      </c>
      <c r="B1281">
        <v>163</v>
      </c>
      <c r="C1281" t="s">
        <v>5093</v>
      </c>
      <c r="D1281" t="s">
        <v>5094</v>
      </c>
      <c r="F1281" t="s">
        <v>417</v>
      </c>
      <c r="G1281" t="s">
        <v>177</v>
      </c>
      <c r="H1281" t="s">
        <v>214</v>
      </c>
      <c r="I1281" t="s">
        <v>5095</v>
      </c>
      <c r="J1281" t="s">
        <v>38</v>
      </c>
      <c r="K1281" t="s">
        <v>38</v>
      </c>
      <c r="L1281" t="s">
        <v>40</v>
      </c>
      <c r="M1281" t="s">
        <v>38</v>
      </c>
      <c r="N1281" t="s">
        <v>775</v>
      </c>
      <c r="O1281" t="s">
        <v>39</v>
      </c>
      <c r="P1281" t="s">
        <v>38</v>
      </c>
      <c r="Q1281" t="s">
        <v>38</v>
      </c>
      <c r="R1281" t="s">
        <v>40</v>
      </c>
      <c r="S1281" t="s">
        <v>5096</v>
      </c>
      <c r="T1281" t="s">
        <v>4667</v>
      </c>
      <c r="U1281" t="s">
        <v>4668</v>
      </c>
      <c r="V1281" t="s">
        <v>4556</v>
      </c>
      <c r="W1281" t="s">
        <v>4567</v>
      </c>
      <c r="Z1281" t="s">
        <v>46</v>
      </c>
      <c r="AA1281" t="s">
        <v>4589</v>
      </c>
      <c r="AC1281">
        <f>COUNTIF(C:C,QLKV_gui_ket_qua_ra_soat[[#This Row],[Mã điểm bán]])</f>
        <v>1</v>
      </c>
    </row>
    <row r="1282" spans="1:29" x14ac:dyDescent="0.45">
      <c r="A1282" t="s">
        <v>4550</v>
      </c>
      <c r="B1282">
        <v>164</v>
      </c>
      <c r="C1282" t="s">
        <v>5097</v>
      </c>
      <c r="D1282" t="s">
        <v>5098</v>
      </c>
      <c r="F1282" t="s">
        <v>5099</v>
      </c>
      <c r="G1282" t="s">
        <v>34</v>
      </c>
      <c r="H1282" t="s">
        <v>402</v>
      </c>
      <c r="I1282" t="s">
        <v>5100</v>
      </c>
      <c r="J1282" t="s">
        <v>37</v>
      </c>
      <c r="K1282" t="s">
        <v>37</v>
      </c>
      <c r="L1282" t="s">
        <v>39</v>
      </c>
      <c r="M1282" t="s">
        <v>37</v>
      </c>
      <c r="N1282" t="s">
        <v>37</v>
      </c>
      <c r="O1282" t="s">
        <v>39</v>
      </c>
      <c r="P1282" t="s">
        <v>37</v>
      </c>
      <c r="Q1282" t="s">
        <v>37</v>
      </c>
      <c r="R1282" t="s">
        <v>39</v>
      </c>
      <c r="S1282" t="s">
        <v>41</v>
      </c>
      <c r="T1282" t="s">
        <v>4737</v>
      </c>
      <c r="U1282" t="s">
        <v>4738</v>
      </c>
      <c r="V1282" t="s">
        <v>4556</v>
      </c>
      <c r="W1282" t="s">
        <v>1457</v>
      </c>
      <c r="X1282" t="s">
        <v>46</v>
      </c>
      <c r="AC1282">
        <f>COUNTIF(C:C,QLKV_gui_ket_qua_ra_soat[[#This Row],[Mã điểm bán]])</f>
        <v>1</v>
      </c>
    </row>
    <row r="1283" spans="1:29" x14ac:dyDescent="0.45">
      <c r="A1283" t="s">
        <v>4550</v>
      </c>
      <c r="B1283">
        <v>165</v>
      </c>
      <c r="C1283" t="s">
        <v>5101</v>
      </c>
      <c r="D1283" t="s">
        <v>5102</v>
      </c>
      <c r="F1283" t="s">
        <v>581</v>
      </c>
      <c r="G1283" t="s">
        <v>34</v>
      </c>
      <c r="H1283" t="s">
        <v>402</v>
      </c>
      <c r="I1283" t="s">
        <v>5103</v>
      </c>
      <c r="J1283" t="s">
        <v>37</v>
      </c>
      <c r="K1283" t="s">
        <v>37</v>
      </c>
      <c r="L1283" t="s">
        <v>39</v>
      </c>
      <c r="M1283" t="s">
        <v>37</v>
      </c>
      <c r="N1283" t="s">
        <v>37</v>
      </c>
      <c r="O1283" t="s">
        <v>39</v>
      </c>
      <c r="P1283" t="s">
        <v>37</v>
      </c>
      <c r="Q1283" t="s">
        <v>37</v>
      </c>
      <c r="R1283" t="s">
        <v>39</v>
      </c>
      <c r="S1283" t="s">
        <v>41</v>
      </c>
      <c r="T1283" t="s">
        <v>4737</v>
      </c>
      <c r="U1283" t="s">
        <v>4738</v>
      </c>
      <c r="V1283" t="s">
        <v>4556</v>
      </c>
      <c r="W1283" t="s">
        <v>1457</v>
      </c>
      <c r="Y1283" t="s">
        <v>46</v>
      </c>
      <c r="AC1283">
        <f>COUNTIF(C:C,QLKV_gui_ket_qua_ra_soat[[#This Row],[Mã điểm bán]])</f>
        <v>1</v>
      </c>
    </row>
    <row r="1284" spans="1:29" x14ac:dyDescent="0.45">
      <c r="A1284" t="s">
        <v>4550</v>
      </c>
      <c r="B1284">
        <v>166</v>
      </c>
      <c r="C1284" t="s">
        <v>5104</v>
      </c>
      <c r="D1284" t="s">
        <v>5105</v>
      </c>
      <c r="F1284" t="s">
        <v>5106</v>
      </c>
      <c r="G1284" t="s">
        <v>34</v>
      </c>
      <c r="H1284" t="s">
        <v>100</v>
      </c>
      <c r="I1284" t="s">
        <v>4938</v>
      </c>
      <c r="J1284" t="s">
        <v>38</v>
      </c>
      <c r="K1284" t="s">
        <v>38</v>
      </c>
      <c r="L1284" t="s">
        <v>39</v>
      </c>
      <c r="M1284" t="s">
        <v>38</v>
      </c>
      <c r="N1284" t="s">
        <v>38</v>
      </c>
      <c r="O1284" t="s">
        <v>39</v>
      </c>
      <c r="P1284" t="s">
        <v>38</v>
      </c>
      <c r="Q1284" t="s">
        <v>38</v>
      </c>
      <c r="R1284" t="s">
        <v>39</v>
      </c>
      <c r="S1284" t="s">
        <v>41</v>
      </c>
      <c r="T1284" t="s">
        <v>4801</v>
      </c>
      <c r="U1284" t="s">
        <v>4802</v>
      </c>
      <c r="V1284" t="s">
        <v>4556</v>
      </c>
      <c r="W1284" t="s">
        <v>1457</v>
      </c>
      <c r="X1284" t="s">
        <v>46</v>
      </c>
      <c r="AC1284">
        <f>COUNTIF(C:C,QLKV_gui_ket_qua_ra_soat[[#This Row],[Mã điểm bán]])</f>
        <v>1</v>
      </c>
    </row>
    <row r="1285" spans="1:29" x14ac:dyDescent="0.45">
      <c r="A1285" t="s">
        <v>4550</v>
      </c>
      <c r="B1285">
        <v>167</v>
      </c>
      <c r="C1285" t="s">
        <v>5107</v>
      </c>
      <c r="D1285" t="s">
        <v>5108</v>
      </c>
      <c r="F1285" t="s">
        <v>417</v>
      </c>
      <c r="G1285" t="s">
        <v>34</v>
      </c>
      <c r="H1285" t="s">
        <v>54</v>
      </c>
      <c r="I1285" t="s">
        <v>5109</v>
      </c>
      <c r="J1285" t="s">
        <v>37</v>
      </c>
      <c r="K1285" t="s">
        <v>37</v>
      </c>
      <c r="L1285" t="s">
        <v>39</v>
      </c>
      <c r="M1285" t="s">
        <v>37</v>
      </c>
      <c r="N1285" t="s">
        <v>37</v>
      </c>
      <c r="O1285" t="s">
        <v>39</v>
      </c>
      <c r="P1285" t="s">
        <v>37</v>
      </c>
      <c r="Q1285" t="s">
        <v>37</v>
      </c>
      <c r="R1285" t="s">
        <v>39</v>
      </c>
      <c r="S1285" t="s">
        <v>5110</v>
      </c>
      <c r="T1285" t="s">
        <v>4746</v>
      </c>
      <c r="U1285" t="s">
        <v>4747</v>
      </c>
      <c r="V1285" t="s">
        <v>4556</v>
      </c>
      <c r="W1285" t="s">
        <v>4603</v>
      </c>
      <c r="X1285" t="s">
        <v>46</v>
      </c>
      <c r="AC1285">
        <f>COUNTIF(C:C,QLKV_gui_ket_qua_ra_soat[[#This Row],[Mã điểm bán]])</f>
        <v>1</v>
      </c>
    </row>
    <row r="1286" spans="1:29" x14ac:dyDescent="0.45">
      <c r="A1286" t="s">
        <v>4550</v>
      </c>
      <c r="B1286">
        <v>168</v>
      </c>
      <c r="C1286" t="s">
        <v>5111</v>
      </c>
      <c r="D1286" t="s">
        <v>5112</v>
      </c>
      <c r="F1286" t="s">
        <v>115</v>
      </c>
      <c r="G1286" t="s">
        <v>34</v>
      </c>
      <c r="H1286" t="s">
        <v>54</v>
      </c>
      <c r="I1286" t="s">
        <v>1716</v>
      </c>
      <c r="J1286" t="s">
        <v>38</v>
      </c>
      <c r="K1286" t="s">
        <v>38</v>
      </c>
      <c r="L1286" t="s">
        <v>40</v>
      </c>
      <c r="M1286" t="s">
        <v>38</v>
      </c>
      <c r="N1286" t="s">
        <v>38</v>
      </c>
      <c r="O1286" t="s">
        <v>40</v>
      </c>
      <c r="P1286" t="s">
        <v>38</v>
      </c>
      <c r="Q1286" t="s">
        <v>38</v>
      </c>
      <c r="R1286" t="s">
        <v>40</v>
      </c>
      <c r="S1286" t="s">
        <v>4783</v>
      </c>
      <c r="T1286" t="s">
        <v>4565</v>
      </c>
      <c r="U1286" t="s">
        <v>4566</v>
      </c>
      <c r="V1286" t="s">
        <v>4556</v>
      </c>
      <c r="W1286" t="s">
        <v>4567</v>
      </c>
      <c r="X1286" t="s">
        <v>46</v>
      </c>
      <c r="AC1286">
        <f>COUNTIF(C:C,QLKV_gui_ket_qua_ra_soat[[#This Row],[Mã điểm bán]])</f>
        <v>1</v>
      </c>
    </row>
    <row r="1287" spans="1:29" x14ac:dyDescent="0.45">
      <c r="A1287" t="s">
        <v>4550</v>
      </c>
      <c r="B1287">
        <v>169</v>
      </c>
      <c r="C1287" t="s">
        <v>5113</v>
      </c>
      <c r="D1287" t="s">
        <v>5114</v>
      </c>
      <c r="F1287" t="s">
        <v>1336</v>
      </c>
      <c r="G1287" t="s">
        <v>34</v>
      </c>
      <c r="H1287" t="s">
        <v>54</v>
      </c>
      <c r="I1287" t="s">
        <v>5115</v>
      </c>
      <c r="J1287" t="s">
        <v>38</v>
      </c>
      <c r="K1287" t="s">
        <v>38</v>
      </c>
      <c r="L1287" t="s">
        <v>40</v>
      </c>
      <c r="M1287" t="s">
        <v>56</v>
      </c>
      <c r="N1287" t="s">
        <v>56</v>
      </c>
      <c r="O1287" t="s">
        <v>39</v>
      </c>
      <c r="P1287" t="s">
        <v>38</v>
      </c>
      <c r="Q1287" t="s">
        <v>38</v>
      </c>
      <c r="R1287" t="s">
        <v>40</v>
      </c>
      <c r="S1287" t="s">
        <v>4892</v>
      </c>
      <c r="T1287" t="s">
        <v>4835</v>
      </c>
      <c r="U1287" t="s">
        <v>4802</v>
      </c>
      <c r="V1287" t="s">
        <v>4556</v>
      </c>
      <c r="W1287" t="s">
        <v>1457</v>
      </c>
      <c r="X1287" t="s">
        <v>46</v>
      </c>
      <c r="AC1287">
        <f>COUNTIF(C:C,QLKV_gui_ket_qua_ra_soat[[#This Row],[Mã điểm bán]])</f>
        <v>1</v>
      </c>
    </row>
    <row r="1288" spans="1:29" x14ac:dyDescent="0.45">
      <c r="A1288" t="s">
        <v>4550</v>
      </c>
      <c r="B1288">
        <v>170</v>
      </c>
      <c r="C1288" t="s">
        <v>5116</v>
      </c>
      <c r="D1288" t="s">
        <v>5117</v>
      </c>
      <c r="F1288" t="s">
        <v>53</v>
      </c>
      <c r="G1288" t="s">
        <v>177</v>
      </c>
      <c r="H1288" t="s">
        <v>1746</v>
      </c>
      <c r="I1288" t="s">
        <v>4950</v>
      </c>
      <c r="J1288" t="s">
        <v>38</v>
      </c>
      <c r="K1288" t="s">
        <v>38</v>
      </c>
      <c r="L1288" t="s">
        <v>40</v>
      </c>
      <c r="M1288" t="s">
        <v>38</v>
      </c>
      <c r="N1288" t="s">
        <v>38</v>
      </c>
      <c r="O1288" t="s">
        <v>39</v>
      </c>
      <c r="P1288" t="s">
        <v>38</v>
      </c>
      <c r="Q1288" t="s">
        <v>38</v>
      </c>
      <c r="R1288" t="s">
        <v>40</v>
      </c>
      <c r="S1288" t="s">
        <v>4959</v>
      </c>
      <c r="T1288" t="s">
        <v>4752</v>
      </c>
      <c r="U1288" t="s">
        <v>4753</v>
      </c>
      <c r="V1288" t="s">
        <v>4556</v>
      </c>
      <c r="W1288" t="s">
        <v>4557</v>
      </c>
      <c r="Z1288" t="s">
        <v>46</v>
      </c>
      <c r="AA1288" t="s">
        <v>4589</v>
      </c>
      <c r="AC1288">
        <f>COUNTIF(C:C,QLKV_gui_ket_qua_ra_soat[[#This Row],[Mã điểm bán]])</f>
        <v>1</v>
      </c>
    </row>
    <row r="1289" spans="1:29" x14ac:dyDescent="0.45">
      <c r="A1289" t="s">
        <v>4550</v>
      </c>
      <c r="B1289">
        <v>171</v>
      </c>
      <c r="C1289" t="s">
        <v>5118</v>
      </c>
      <c r="D1289" t="s">
        <v>5119</v>
      </c>
      <c r="F1289" t="s">
        <v>115</v>
      </c>
      <c r="G1289" t="s">
        <v>2522</v>
      </c>
      <c r="H1289" t="s">
        <v>1188</v>
      </c>
      <c r="I1289" t="s">
        <v>5120</v>
      </c>
      <c r="J1289" t="s">
        <v>38</v>
      </c>
      <c r="K1289" t="s">
        <v>38</v>
      </c>
      <c r="L1289" t="s">
        <v>40</v>
      </c>
      <c r="M1289" t="s">
        <v>37</v>
      </c>
      <c r="N1289" t="s">
        <v>38</v>
      </c>
      <c r="O1289" t="s">
        <v>39</v>
      </c>
      <c r="P1289" t="s">
        <v>38</v>
      </c>
      <c r="Q1289" t="s">
        <v>38</v>
      </c>
      <c r="R1289" t="s">
        <v>40</v>
      </c>
      <c r="S1289" t="s">
        <v>41</v>
      </c>
      <c r="T1289" t="s">
        <v>4601</v>
      </c>
      <c r="U1289" t="s">
        <v>4602</v>
      </c>
      <c r="V1289" t="s">
        <v>4556</v>
      </c>
      <c r="W1289" t="s">
        <v>4603</v>
      </c>
      <c r="Z1289" t="s">
        <v>46</v>
      </c>
      <c r="AA1289" t="s">
        <v>4575</v>
      </c>
      <c r="AC1289">
        <f>COUNTIF(C:C,QLKV_gui_ket_qua_ra_soat[[#This Row],[Mã điểm bán]])</f>
        <v>1</v>
      </c>
    </row>
    <row r="1290" spans="1:29" x14ac:dyDescent="0.45">
      <c r="A1290" t="s">
        <v>4550</v>
      </c>
      <c r="B1290">
        <v>172</v>
      </c>
      <c r="C1290" t="s">
        <v>5121</v>
      </c>
      <c r="D1290" t="s">
        <v>5122</v>
      </c>
      <c r="F1290" t="s">
        <v>5123</v>
      </c>
      <c r="G1290" t="s">
        <v>34</v>
      </c>
      <c r="H1290" t="s">
        <v>214</v>
      </c>
      <c r="I1290" t="s">
        <v>5124</v>
      </c>
      <c r="J1290" t="s">
        <v>38</v>
      </c>
      <c r="K1290" t="s">
        <v>38</v>
      </c>
      <c r="L1290" t="s">
        <v>40</v>
      </c>
      <c r="M1290" t="s">
        <v>37</v>
      </c>
      <c r="N1290" t="s">
        <v>37</v>
      </c>
      <c r="O1290" t="s">
        <v>39</v>
      </c>
      <c r="P1290" t="s">
        <v>37</v>
      </c>
      <c r="Q1290" t="s">
        <v>37</v>
      </c>
      <c r="R1290" t="s">
        <v>39</v>
      </c>
      <c r="S1290" t="s">
        <v>41</v>
      </c>
      <c r="T1290" t="s">
        <v>4737</v>
      </c>
      <c r="U1290" t="s">
        <v>4738</v>
      </c>
      <c r="V1290" t="s">
        <v>4556</v>
      </c>
      <c r="W1290" t="s">
        <v>1457</v>
      </c>
      <c r="X1290" t="s">
        <v>46</v>
      </c>
      <c r="AC1290">
        <f>COUNTIF(C:C,QLKV_gui_ket_qua_ra_soat[[#This Row],[Mã điểm bán]])</f>
        <v>1</v>
      </c>
    </row>
    <row r="1291" spans="1:29" x14ac:dyDescent="0.45">
      <c r="A1291" t="s">
        <v>4550</v>
      </c>
      <c r="B1291">
        <v>173</v>
      </c>
      <c r="C1291" t="s">
        <v>5125</v>
      </c>
      <c r="D1291" t="s">
        <v>5126</v>
      </c>
      <c r="F1291" t="s">
        <v>115</v>
      </c>
      <c r="G1291" t="s">
        <v>34</v>
      </c>
      <c r="H1291" t="s">
        <v>2643</v>
      </c>
      <c r="I1291" t="s">
        <v>5127</v>
      </c>
      <c r="J1291" t="s">
        <v>38</v>
      </c>
      <c r="K1291" t="s">
        <v>38</v>
      </c>
      <c r="L1291" t="s">
        <v>40</v>
      </c>
      <c r="M1291" t="s">
        <v>38</v>
      </c>
      <c r="N1291" t="s">
        <v>38</v>
      </c>
      <c r="O1291" t="s">
        <v>39</v>
      </c>
      <c r="P1291" t="s">
        <v>38</v>
      </c>
      <c r="Q1291" t="s">
        <v>38</v>
      </c>
      <c r="R1291" t="s">
        <v>40</v>
      </c>
      <c r="S1291" t="s">
        <v>41</v>
      </c>
      <c r="T1291" t="s">
        <v>4752</v>
      </c>
      <c r="U1291" t="s">
        <v>4753</v>
      </c>
      <c r="V1291" t="s">
        <v>4556</v>
      </c>
      <c r="W1291" t="s">
        <v>4557</v>
      </c>
      <c r="Z1291" t="s">
        <v>46</v>
      </c>
      <c r="AA1291" t="s">
        <v>4575</v>
      </c>
      <c r="AC1291">
        <f>COUNTIF(C:C,QLKV_gui_ket_qua_ra_soat[[#This Row],[Mã điểm bán]])</f>
        <v>1</v>
      </c>
    </row>
    <row r="1292" spans="1:29" x14ac:dyDescent="0.45">
      <c r="A1292" t="s">
        <v>4550</v>
      </c>
      <c r="B1292">
        <v>174</v>
      </c>
      <c r="C1292" t="s">
        <v>5128</v>
      </c>
      <c r="D1292" t="s">
        <v>5129</v>
      </c>
      <c r="F1292" t="s">
        <v>3705</v>
      </c>
      <c r="G1292" t="s">
        <v>150</v>
      </c>
      <c r="H1292" t="s">
        <v>5130</v>
      </c>
      <c r="I1292" t="s">
        <v>5131</v>
      </c>
      <c r="J1292" t="s">
        <v>38</v>
      </c>
      <c r="K1292" t="s">
        <v>38</v>
      </c>
      <c r="L1292" t="s">
        <v>40</v>
      </c>
      <c r="M1292" t="s">
        <v>56</v>
      </c>
      <c r="N1292" t="s">
        <v>56</v>
      </c>
      <c r="O1292" t="s">
        <v>39</v>
      </c>
      <c r="P1292" t="s">
        <v>38</v>
      </c>
      <c r="Q1292" t="s">
        <v>38</v>
      </c>
      <c r="R1292" t="s">
        <v>40</v>
      </c>
      <c r="S1292" t="s">
        <v>4892</v>
      </c>
      <c r="T1292" t="s">
        <v>4835</v>
      </c>
      <c r="U1292" t="s">
        <v>4802</v>
      </c>
      <c r="V1292" t="s">
        <v>4556</v>
      </c>
      <c r="W1292" t="s">
        <v>1457</v>
      </c>
      <c r="Z1292" t="s">
        <v>46</v>
      </c>
      <c r="AA1292" t="s">
        <v>4589</v>
      </c>
      <c r="AC1292">
        <f>COUNTIF(C:C,QLKV_gui_ket_qua_ra_soat[[#This Row],[Mã điểm bán]])</f>
        <v>1</v>
      </c>
    </row>
    <row r="1293" spans="1:29" x14ac:dyDescent="0.45">
      <c r="A1293" t="s">
        <v>4550</v>
      </c>
      <c r="B1293">
        <v>175</v>
      </c>
      <c r="C1293" t="s">
        <v>5132</v>
      </c>
      <c r="D1293" t="s">
        <v>5133</v>
      </c>
      <c r="F1293" t="s">
        <v>467</v>
      </c>
      <c r="G1293" t="s">
        <v>177</v>
      </c>
      <c r="H1293" t="s">
        <v>54</v>
      </c>
      <c r="I1293" t="s">
        <v>5134</v>
      </c>
      <c r="J1293" t="s">
        <v>38</v>
      </c>
      <c r="K1293" t="s">
        <v>38</v>
      </c>
      <c r="L1293" t="s">
        <v>39</v>
      </c>
      <c r="M1293" t="s">
        <v>38</v>
      </c>
      <c r="N1293" t="s">
        <v>37</v>
      </c>
      <c r="O1293" t="s">
        <v>39</v>
      </c>
      <c r="P1293" t="s">
        <v>38</v>
      </c>
      <c r="Q1293" t="s">
        <v>38</v>
      </c>
      <c r="R1293" t="s">
        <v>40</v>
      </c>
      <c r="S1293" t="s">
        <v>4751</v>
      </c>
      <c r="T1293" t="s">
        <v>4752</v>
      </c>
      <c r="U1293" t="s">
        <v>4753</v>
      </c>
      <c r="V1293" t="s">
        <v>4556</v>
      </c>
      <c r="W1293" t="s">
        <v>4557</v>
      </c>
      <c r="X1293" t="s">
        <v>46</v>
      </c>
      <c r="AC1293">
        <f>COUNTIF(C:C,QLKV_gui_ket_qua_ra_soat[[#This Row],[Mã điểm bán]])</f>
        <v>1</v>
      </c>
    </row>
    <row r="1294" spans="1:29" x14ac:dyDescent="0.45">
      <c r="A1294" t="s">
        <v>4550</v>
      </c>
      <c r="B1294">
        <v>176</v>
      </c>
      <c r="C1294" t="s">
        <v>5135</v>
      </c>
      <c r="D1294" t="s">
        <v>5136</v>
      </c>
      <c r="F1294" t="s">
        <v>5137</v>
      </c>
      <c r="G1294" t="s">
        <v>34</v>
      </c>
      <c r="H1294" t="s">
        <v>54</v>
      </c>
      <c r="I1294" t="s">
        <v>5138</v>
      </c>
      <c r="J1294" t="s">
        <v>38</v>
      </c>
      <c r="K1294" t="s">
        <v>38</v>
      </c>
      <c r="L1294" t="s">
        <v>40</v>
      </c>
      <c r="M1294" t="s">
        <v>56</v>
      </c>
      <c r="N1294" t="s">
        <v>56</v>
      </c>
      <c r="O1294" t="s">
        <v>39</v>
      </c>
      <c r="P1294" t="s">
        <v>38</v>
      </c>
      <c r="Q1294" t="s">
        <v>38</v>
      </c>
      <c r="R1294" t="s">
        <v>40</v>
      </c>
      <c r="S1294" t="s">
        <v>4892</v>
      </c>
      <c r="T1294" t="s">
        <v>4835</v>
      </c>
      <c r="U1294" t="s">
        <v>4802</v>
      </c>
      <c r="V1294" t="s">
        <v>4556</v>
      </c>
      <c r="W1294" t="s">
        <v>1457</v>
      </c>
      <c r="Z1294" t="s">
        <v>46</v>
      </c>
      <c r="AA1294" t="s">
        <v>4589</v>
      </c>
      <c r="AC1294">
        <f>COUNTIF(C:C,QLKV_gui_ket_qua_ra_soat[[#This Row],[Mã điểm bán]])</f>
        <v>1</v>
      </c>
    </row>
    <row r="1295" spans="1:29" x14ac:dyDescent="0.45">
      <c r="A1295" t="s">
        <v>4550</v>
      </c>
      <c r="B1295">
        <v>177</v>
      </c>
      <c r="C1295" t="s">
        <v>5139</v>
      </c>
      <c r="D1295" t="s">
        <v>5140</v>
      </c>
      <c r="F1295" t="s">
        <v>5141</v>
      </c>
      <c r="G1295" t="s">
        <v>177</v>
      </c>
      <c r="H1295" t="s">
        <v>1010</v>
      </c>
      <c r="I1295" t="s">
        <v>5142</v>
      </c>
      <c r="J1295" t="s">
        <v>38</v>
      </c>
      <c r="K1295" t="s">
        <v>38</v>
      </c>
      <c r="L1295" t="s">
        <v>40</v>
      </c>
      <c r="M1295" t="s">
        <v>38</v>
      </c>
      <c r="N1295" t="s">
        <v>38</v>
      </c>
      <c r="O1295" t="s">
        <v>39</v>
      </c>
      <c r="P1295" t="s">
        <v>38</v>
      </c>
      <c r="Q1295" t="s">
        <v>38</v>
      </c>
      <c r="R1295" t="s">
        <v>40</v>
      </c>
      <c r="S1295" t="s">
        <v>4751</v>
      </c>
      <c r="T1295" t="s">
        <v>4752</v>
      </c>
      <c r="U1295" t="s">
        <v>4753</v>
      </c>
      <c r="V1295" t="s">
        <v>4556</v>
      </c>
      <c r="W1295" t="s">
        <v>4557</v>
      </c>
      <c r="X1295" t="s">
        <v>46</v>
      </c>
      <c r="AC1295">
        <f>COUNTIF(C:C,QLKV_gui_ket_qua_ra_soat[[#This Row],[Mã điểm bán]])</f>
        <v>1</v>
      </c>
    </row>
    <row r="1296" spans="1:29" x14ac:dyDescent="0.45">
      <c r="A1296" t="s">
        <v>4550</v>
      </c>
      <c r="B1296">
        <v>178</v>
      </c>
      <c r="C1296" t="s">
        <v>5143</v>
      </c>
      <c r="D1296" t="s">
        <v>5144</v>
      </c>
      <c r="F1296" t="s">
        <v>5141</v>
      </c>
      <c r="G1296" t="s">
        <v>177</v>
      </c>
      <c r="H1296" t="s">
        <v>3620</v>
      </c>
      <c r="I1296" t="s">
        <v>5142</v>
      </c>
      <c r="J1296" t="s">
        <v>38</v>
      </c>
      <c r="K1296" t="s">
        <v>38</v>
      </c>
      <c r="L1296" t="s">
        <v>40</v>
      </c>
      <c r="M1296" t="s">
        <v>38</v>
      </c>
      <c r="N1296" t="s">
        <v>38</v>
      </c>
      <c r="O1296" t="s">
        <v>39</v>
      </c>
      <c r="P1296" t="s">
        <v>37</v>
      </c>
      <c r="Q1296" t="s">
        <v>38</v>
      </c>
      <c r="R1296" t="s">
        <v>40</v>
      </c>
      <c r="S1296" t="s">
        <v>4751</v>
      </c>
      <c r="T1296" t="s">
        <v>4752</v>
      </c>
      <c r="U1296" t="s">
        <v>4753</v>
      </c>
      <c r="V1296" t="s">
        <v>4556</v>
      </c>
      <c r="W1296" t="s">
        <v>4557</v>
      </c>
      <c r="X1296" t="s">
        <v>46</v>
      </c>
      <c r="AC1296">
        <f>COUNTIF(C:C,QLKV_gui_ket_qua_ra_soat[[#This Row],[Mã điểm bán]])</f>
        <v>1</v>
      </c>
    </row>
    <row r="1297" spans="1:29" x14ac:dyDescent="0.45">
      <c r="A1297" t="s">
        <v>4550</v>
      </c>
      <c r="B1297">
        <v>179</v>
      </c>
      <c r="C1297" t="s">
        <v>5145</v>
      </c>
      <c r="D1297" t="s">
        <v>3869</v>
      </c>
      <c r="F1297" t="s">
        <v>115</v>
      </c>
      <c r="G1297" t="s">
        <v>177</v>
      </c>
      <c r="H1297" t="s">
        <v>3620</v>
      </c>
      <c r="I1297" t="s">
        <v>5146</v>
      </c>
      <c r="J1297" t="s">
        <v>38</v>
      </c>
      <c r="K1297" t="s">
        <v>38</v>
      </c>
      <c r="L1297" t="s">
        <v>40</v>
      </c>
      <c r="M1297" t="s">
        <v>38</v>
      </c>
      <c r="N1297" t="s">
        <v>38</v>
      </c>
      <c r="O1297" t="s">
        <v>39</v>
      </c>
      <c r="P1297" t="s">
        <v>38</v>
      </c>
      <c r="Q1297" t="s">
        <v>38</v>
      </c>
      <c r="R1297" t="s">
        <v>40</v>
      </c>
      <c r="S1297" t="s">
        <v>4959</v>
      </c>
      <c r="T1297" t="s">
        <v>4752</v>
      </c>
      <c r="U1297" t="s">
        <v>4753</v>
      </c>
      <c r="V1297" t="s">
        <v>4556</v>
      </c>
      <c r="W1297" t="s">
        <v>4557</v>
      </c>
      <c r="X1297" t="s">
        <v>46</v>
      </c>
      <c r="AC1297">
        <f>COUNTIF(C:C,QLKV_gui_ket_qua_ra_soat[[#This Row],[Mã điểm bán]])</f>
        <v>1</v>
      </c>
    </row>
    <row r="1298" spans="1:29" x14ac:dyDescent="0.45">
      <c r="A1298" t="s">
        <v>4550</v>
      </c>
      <c r="B1298">
        <v>180</v>
      </c>
      <c r="C1298" t="s">
        <v>5147</v>
      </c>
      <c r="D1298" t="s">
        <v>5148</v>
      </c>
      <c r="F1298" t="s">
        <v>53</v>
      </c>
      <c r="G1298" t="s">
        <v>34</v>
      </c>
      <c r="H1298" t="s">
        <v>54</v>
      </c>
      <c r="I1298" t="s">
        <v>4731</v>
      </c>
      <c r="J1298" t="s">
        <v>38</v>
      </c>
      <c r="K1298" t="s">
        <v>38</v>
      </c>
      <c r="L1298" t="s">
        <v>40</v>
      </c>
      <c r="M1298" t="s">
        <v>38</v>
      </c>
      <c r="N1298" t="s">
        <v>775</v>
      </c>
      <c r="O1298" t="s">
        <v>39</v>
      </c>
      <c r="P1298" t="s">
        <v>38</v>
      </c>
      <c r="Q1298" t="s">
        <v>38</v>
      </c>
      <c r="R1298" t="s">
        <v>40</v>
      </c>
      <c r="S1298" t="s">
        <v>41</v>
      </c>
      <c r="T1298" t="s">
        <v>4667</v>
      </c>
      <c r="U1298" t="s">
        <v>4668</v>
      </c>
      <c r="V1298" t="s">
        <v>4556</v>
      </c>
      <c r="W1298" t="s">
        <v>4567</v>
      </c>
      <c r="X1298" t="s">
        <v>46</v>
      </c>
      <c r="AC1298">
        <f>COUNTIF(C:C,QLKV_gui_ket_qua_ra_soat[[#This Row],[Mã điểm bán]])</f>
        <v>1</v>
      </c>
    </row>
    <row r="1299" spans="1:29" x14ac:dyDescent="0.45">
      <c r="A1299" t="s">
        <v>4550</v>
      </c>
      <c r="B1299">
        <v>181</v>
      </c>
      <c r="C1299" t="s">
        <v>5149</v>
      </c>
      <c r="D1299" t="s">
        <v>5150</v>
      </c>
      <c r="F1299" t="s">
        <v>4759</v>
      </c>
      <c r="G1299" t="s">
        <v>34</v>
      </c>
      <c r="H1299" t="s">
        <v>54</v>
      </c>
      <c r="I1299" t="s">
        <v>5151</v>
      </c>
      <c r="J1299" t="s">
        <v>56</v>
      </c>
      <c r="K1299" t="s">
        <v>56</v>
      </c>
      <c r="L1299" t="s">
        <v>39</v>
      </c>
      <c r="M1299" t="s">
        <v>56</v>
      </c>
      <c r="N1299" t="s">
        <v>56</v>
      </c>
      <c r="O1299" t="s">
        <v>39</v>
      </c>
      <c r="P1299" t="s">
        <v>37</v>
      </c>
      <c r="Q1299" t="s">
        <v>37</v>
      </c>
      <c r="R1299" t="s">
        <v>39</v>
      </c>
      <c r="S1299" t="s">
        <v>5152</v>
      </c>
      <c r="T1299" t="s">
        <v>4746</v>
      </c>
      <c r="U1299" t="s">
        <v>4747</v>
      </c>
      <c r="V1299" t="s">
        <v>4556</v>
      </c>
      <c r="W1299" t="s">
        <v>4603</v>
      </c>
      <c r="X1299" t="s">
        <v>46</v>
      </c>
      <c r="AC1299">
        <f>COUNTIF(C:C,QLKV_gui_ket_qua_ra_soat[[#This Row],[Mã điểm bán]])</f>
        <v>1</v>
      </c>
    </row>
    <row r="1300" spans="1:29" x14ac:dyDescent="0.45">
      <c r="A1300" t="s">
        <v>4550</v>
      </c>
      <c r="B1300">
        <v>182</v>
      </c>
      <c r="C1300" t="s">
        <v>5153</v>
      </c>
      <c r="D1300" t="s">
        <v>5154</v>
      </c>
      <c r="F1300" t="s">
        <v>2293</v>
      </c>
      <c r="G1300" t="s">
        <v>34</v>
      </c>
      <c r="H1300" t="s">
        <v>54</v>
      </c>
      <c r="I1300" t="s">
        <v>5155</v>
      </c>
      <c r="J1300" t="s">
        <v>38</v>
      </c>
      <c r="K1300" t="s">
        <v>38</v>
      </c>
      <c r="L1300" t="s">
        <v>40</v>
      </c>
      <c r="M1300" t="s">
        <v>38</v>
      </c>
      <c r="N1300" t="s">
        <v>38</v>
      </c>
      <c r="O1300" t="s">
        <v>40</v>
      </c>
      <c r="P1300" t="s">
        <v>38</v>
      </c>
      <c r="Q1300" t="s">
        <v>38</v>
      </c>
      <c r="R1300" t="s">
        <v>40</v>
      </c>
      <c r="S1300" t="s">
        <v>41</v>
      </c>
      <c r="T1300" t="s">
        <v>4554</v>
      </c>
      <c r="U1300" t="s">
        <v>4555</v>
      </c>
      <c r="V1300" t="s">
        <v>4556</v>
      </c>
      <c r="W1300" t="s">
        <v>4557</v>
      </c>
      <c r="X1300" t="s">
        <v>46</v>
      </c>
      <c r="AC1300">
        <f>COUNTIF(C:C,QLKV_gui_ket_qua_ra_soat[[#This Row],[Mã điểm bán]])</f>
        <v>1</v>
      </c>
    </row>
    <row r="1301" spans="1:29" x14ac:dyDescent="0.45">
      <c r="A1301" t="s">
        <v>4550</v>
      </c>
      <c r="B1301">
        <v>183</v>
      </c>
      <c r="C1301" t="s">
        <v>5156</v>
      </c>
      <c r="D1301" t="s">
        <v>5112</v>
      </c>
      <c r="F1301" t="s">
        <v>401</v>
      </c>
      <c r="G1301" t="s">
        <v>34</v>
      </c>
      <c r="H1301" t="s">
        <v>356</v>
      </c>
      <c r="I1301" t="s">
        <v>5157</v>
      </c>
      <c r="J1301" t="s">
        <v>38</v>
      </c>
      <c r="K1301" t="s">
        <v>38</v>
      </c>
      <c r="L1301" t="s">
        <v>40</v>
      </c>
      <c r="M1301" t="s">
        <v>38</v>
      </c>
      <c r="N1301" t="s">
        <v>56</v>
      </c>
      <c r="O1301" t="s">
        <v>39</v>
      </c>
      <c r="P1301" t="s">
        <v>38</v>
      </c>
      <c r="Q1301" t="s">
        <v>38</v>
      </c>
      <c r="R1301" t="s">
        <v>40</v>
      </c>
      <c r="S1301" t="s">
        <v>41</v>
      </c>
      <c r="T1301" t="s">
        <v>4667</v>
      </c>
      <c r="U1301" t="s">
        <v>4668</v>
      </c>
      <c r="V1301" t="s">
        <v>4556</v>
      </c>
      <c r="W1301" t="s">
        <v>4567</v>
      </c>
      <c r="X1301" t="s">
        <v>46</v>
      </c>
      <c r="AC1301">
        <f>COUNTIF(C:C,QLKV_gui_ket_qua_ra_soat[[#This Row],[Mã điểm bán]])</f>
        <v>1</v>
      </c>
    </row>
    <row r="1302" spans="1:29" x14ac:dyDescent="0.45">
      <c r="A1302" t="s">
        <v>4550</v>
      </c>
      <c r="B1302">
        <v>184</v>
      </c>
      <c r="C1302" t="s">
        <v>5158</v>
      </c>
      <c r="D1302" t="s">
        <v>5159</v>
      </c>
      <c r="F1302" t="s">
        <v>53</v>
      </c>
      <c r="G1302" t="s">
        <v>34</v>
      </c>
      <c r="H1302" t="s">
        <v>1188</v>
      </c>
      <c r="I1302" t="s">
        <v>4560</v>
      </c>
      <c r="J1302" t="s">
        <v>38</v>
      </c>
      <c r="K1302" t="s">
        <v>38</v>
      </c>
      <c r="L1302" t="s">
        <v>40</v>
      </c>
      <c r="M1302" t="s">
        <v>38</v>
      </c>
      <c r="N1302" t="s">
        <v>38</v>
      </c>
      <c r="O1302" t="s">
        <v>40</v>
      </c>
      <c r="P1302" t="s">
        <v>38</v>
      </c>
      <c r="Q1302" t="s">
        <v>38</v>
      </c>
      <c r="R1302" t="s">
        <v>40</v>
      </c>
      <c r="S1302" t="s">
        <v>41</v>
      </c>
      <c r="T1302" t="s">
        <v>4554</v>
      </c>
      <c r="U1302" t="s">
        <v>4555</v>
      </c>
      <c r="V1302" t="s">
        <v>4556</v>
      </c>
      <c r="W1302" t="s">
        <v>4557</v>
      </c>
      <c r="X1302" t="s">
        <v>46</v>
      </c>
      <c r="AC1302">
        <f>COUNTIF(C:C,QLKV_gui_ket_qua_ra_soat[[#This Row],[Mã điểm bán]])</f>
        <v>1</v>
      </c>
    </row>
    <row r="1303" spans="1:29" x14ac:dyDescent="0.45">
      <c r="A1303" t="s">
        <v>4550</v>
      </c>
      <c r="B1303">
        <v>185</v>
      </c>
      <c r="C1303" t="s">
        <v>5160</v>
      </c>
      <c r="D1303" t="s">
        <v>5161</v>
      </c>
      <c r="F1303" t="s">
        <v>1597</v>
      </c>
      <c r="G1303" t="s">
        <v>34</v>
      </c>
      <c r="H1303" t="s">
        <v>214</v>
      </c>
      <c r="I1303" t="s">
        <v>5162</v>
      </c>
      <c r="J1303" t="s">
        <v>38</v>
      </c>
      <c r="K1303" t="s">
        <v>38</v>
      </c>
      <c r="L1303" t="s">
        <v>40</v>
      </c>
      <c r="M1303" t="s">
        <v>56</v>
      </c>
      <c r="N1303" t="s">
        <v>56</v>
      </c>
      <c r="O1303" t="s">
        <v>39</v>
      </c>
      <c r="P1303" t="s">
        <v>37</v>
      </c>
      <c r="Q1303" t="s">
        <v>37</v>
      </c>
      <c r="R1303" t="s">
        <v>39</v>
      </c>
      <c r="S1303" t="s">
        <v>41</v>
      </c>
      <c r="T1303" t="s">
        <v>4737</v>
      </c>
      <c r="U1303" t="s">
        <v>4738</v>
      </c>
      <c r="V1303" t="s">
        <v>4556</v>
      </c>
      <c r="W1303" t="s">
        <v>1457</v>
      </c>
      <c r="X1303" t="s">
        <v>46</v>
      </c>
      <c r="AC1303">
        <f>COUNTIF(C:C,QLKV_gui_ket_qua_ra_soat[[#This Row],[Mã điểm bán]])</f>
        <v>1</v>
      </c>
    </row>
    <row r="1304" spans="1:29" x14ac:dyDescent="0.45">
      <c r="A1304" t="s">
        <v>4550</v>
      </c>
      <c r="B1304">
        <v>186</v>
      </c>
      <c r="C1304" t="s">
        <v>5163</v>
      </c>
      <c r="D1304" t="s">
        <v>5164</v>
      </c>
      <c r="F1304" t="s">
        <v>417</v>
      </c>
      <c r="G1304" t="s">
        <v>34</v>
      </c>
      <c r="H1304" t="s">
        <v>54</v>
      </c>
      <c r="I1304" t="s">
        <v>5103</v>
      </c>
      <c r="J1304" t="s">
        <v>37</v>
      </c>
      <c r="K1304" t="s">
        <v>37</v>
      </c>
      <c r="L1304" t="s">
        <v>39</v>
      </c>
      <c r="M1304" t="s">
        <v>37</v>
      </c>
      <c r="N1304" t="s">
        <v>56</v>
      </c>
      <c r="O1304" t="s">
        <v>39</v>
      </c>
      <c r="P1304" t="s">
        <v>38</v>
      </c>
      <c r="Q1304" t="s">
        <v>37</v>
      </c>
      <c r="R1304" t="s">
        <v>39</v>
      </c>
      <c r="S1304" t="s">
        <v>41</v>
      </c>
      <c r="T1304" t="s">
        <v>4737</v>
      </c>
      <c r="U1304" t="s">
        <v>4738</v>
      </c>
      <c r="V1304" t="s">
        <v>4556</v>
      </c>
      <c r="W1304" t="s">
        <v>1457</v>
      </c>
      <c r="Z1304" t="s">
        <v>46</v>
      </c>
      <c r="AA1304" t="s">
        <v>4589</v>
      </c>
      <c r="AC1304">
        <f>COUNTIF(C:C,QLKV_gui_ket_qua_ra_soat[[#This Row],[Mã điểm bán]])</f>
        <v>1</v>
      </c>
    </row>
    <row r="1305" spans="1:29" x14ac:dyDescent="0.45">
      <c r="A1305" t="s">
        <v>4550</v>
      </c>
      <c r="B1305">
        <v>187</v>
      </c>
      <c r="C1305" t="s">
        <v>5165</v>
      </c>
      <c r="D1305" t="s">
        <v>5166</v>
      </c>
      <c r="F1305" t="s">
        <v>5167</v>
      </c>
      <c r="G1305" t="s">
        <v>177</v>
      </c>
      <c r="H1305" t="s">
        <v>3620</v>
      </c>
      <c r="I1305" t="s">
        <v>5168</v>
      </c>
      <c r="J1305" t="s">
        <v>38</v>
      </c>
      <c r="K1305" t="s">
        <v>38</v>
      </c>
      <c r="L1305" t="s">
        <v>40</v>
      </c>
      <c r="M1305" t="s">
        <v>38</v>
      </c>
      <c r="N1305" t="s">
        <v>38</v>
      </c>
      <c r="O1305" t="s">
        <v>39</v>
      </c>
      <c r="P1305" t="s">
        <v>38</v>
      </c>
      <c r="Q1305" t="s">
        <v>38</v>
      </c>
      <c r="R1305" t="s">
        <v>40</v>
      </c>
      <c r="S1305" t="s">
        <v>5169</v>
      </c>
      <c r="T1305" t="s">
        <v>4752</v>
      </c>
      <c r="U1305" t="s">
        <v>4753</v>
      </c>
      <c r="V1305" t="s">
        <v>4556</v>
      </c>
      <c r="W1305" t="s">
        <v>4557</v>
      </c>
      <c r="X1305" t="s">
        <v>46</v>
      </c>
      <c r="AC1305">
        <f>COUNTIF(C:C,QLKV_gui_ket_qua_ra_soat[[#This Row],[Mã điểm bán]])</f>
        <v>1</v>
      </c>
    </row>
    <row r="1306" spans="1:29" x14ac:dyDescent="0.45">
      <c r="A1306" t="s">
        <v>4550</v>
      </c>
      <c r="B1306">
        <v>188</v>
      </c>
      <c r="C1306" t="s">
        <v>5170</v>
      </c>
      <c r="D1306" t="s">
        <v>5171</v>
      </c>
      <c r="F1306" t="s">
        <v>1861</v>
      </c>
      <c r="G1306" t="s">
        <v>34</v>
      </c>
      <c r="H1306" t="s">
        <v>54</v>
      </c>
      <c r="I1306" t="s">
        <v>5172</v>
      </c>
      <c r="J1306" t="s">
        <v>38</v>
      </c>
      <c r="K1306" t="s">
        <v>37</v>
      </c>
      <c r="L1306" t="s">
        <v>40</v>
      </c>
      <c r="M1306" t="s">
        <v>56</v>
      </c>
      <c r="N1306" t="s">
        <v>56</v>
      </c>
      <c r="O1306" t="s">
        <v>39</v>
      </c>
      <c r="P1306" t="s">
        <v>37</v>
      </c>
      <c r="Q1306" t="s">
        <v>37</v>
      </c>
      <c r="R1306" t="s">
        <v>39</v>
      </c>
      <c r="S1306" t="s">
        <v>41</v>
      </c>
      <c r="T1306" t="s">
        <v>4737</v>
      </c>
      <c r="U1306" t="s">
        <v>4738</v>
      </c>
      <c r="V1306" t="s">
        <v>4556</v>
      </c>
      <c r="W1306" t="s">
        <v>1457</v>
      </c>
      <c r="X1306" t="s">
        <v>46</v>
      </c>
      <c r="AC1306">
        <f>COUNTIF(C:C,QLKV_gui_ket_qua_ra_soat[[#This Row],[Mã điểm bán]])</f>
        <v>1</v>
      </c>
    </row>
    <row r="1307" spans="1:29" x14ac:dyDescent="0.45">
      <c r="A1307" t="s">
        <v>4550</v>
      </c>
      <c r="B1307">
        <v>189</v>
      </c>
      <c r="C1307" t="s">
        <v>5173</v>
      </c>
      <c r="D1307" t="s">
        <v>5174</v>
      </c>
      <c r="F1307" t="s">
        <v>191</v>
      </c>
      <c r="G1307" t="s">
        <v>177</v>
      </c>
      <c r="H1307" t="s">
        <v>1010</v>
      </c>
      <c r="I1307" t="s">
        <v>5175</v>
      </c>
      <c r="J1307" t="s">
        <v>38</v>
      </c>
      <c r="K1307" t="s">
        <v>38</v>
      </c>
      <c r="L1307" t="s">
        <v>39</v>
      </c>
      <c r="M1307" t="s">
        <v>38</v>
      </c>
      <c r="N1307" t="s">
        <v>38</v>
      </c>
      <c r="O1307" t="s">
        <v>39</v>
      </c>
      <c r="P1307" t="s">
        <v>38</v>
      </c>
      <c r="Q1307" t="s">
        <v>38</v>
      </c>
      <c r="R1307" t="s">
        <v>40</v>
      </c>
      <c r="S1307" t="s">
        <v>5176</v>
      </c>
      <c r="T1307" t="s">
        <v>4752</v>
      </c>
      <c r="U1307" t="s">
        <v>4753</v>
      </c>
      <c r="V1307" t="s">
        <v>4556</v>
      </c>
      <c r="W1307" t="s">
        <v>4557</v>
      </c>
      <c r="X1307" t="s">
        <v>46</v>
      </c>
      <c r="AC1307">
        <f>COUNTIF(C:C,QLKV_gui_ket_qua_ra_soat[[#This Row],[Mã điểm bán]])</f>
        <v>1</v>
      </c>
    </row>
    <row r="1308" spans="1:29" x14ac:dyDescent="0.45">
      <c r="A1308" t="s">
        <v>4550</v>
      </c>
      <c r="B1308">
        <v>190</v>
      </c>
      <c r="C1308" t="s">
        <v>5177</v>
      </c>
      <c r="D1308" t="s">
        <v>5178</v>
      </c>
      <c r="F1308" t="s">
        <v>53</v>
      </c>
      <c r="G1308" t="s">
        <v>177</v>
      </c>
      <c r="H1308" t="s">
        <v>550</v>
      </c>
      <c r="I1308" t="s">
        <v>5179</v>
      </c>
      <c r="J1308" t="s">
        <v>38</v>
      </c>
      <c r="K1308" t="s">
        <v>38</v>
      </c>
      <c r="L1308" t="s">
        <v>40</v>
      </c>
      <c r="M1308" t="s">
        <v>38</v>
      </c>
      <c r="N1308" t="s">
        <v>38</v>
      </c>
      <c r="O1308" t="s">
        <v>39</v>
      </c>
      <c r="P1308" t="s">
        <v>38</v>
      </c>
      <c r="Q1308" t="s">
        <v>38</v>
      </c>
      <c r="R1308" t="s">
        <v>40</v>
      </c>
      <c r="S1308" t="s">
        <v>4751</v>
      </c>
      <c r="T1308" t="s">
        <v>4752</v>
      </c>
      <c r="U1308" t="s">
        <v>4753</v>
      </c>
      <c r="V1308" t="s">
        <v>4556</v>
      </c>
      <c r="W1308" t="s">
        <v>4557</v>
      </c>
      <c r="Z1308" t="s">
        <v>46</v>
      </c>
      <c r="AA1308" t="s">
        <v>4589</v>
      </c>
      <c r="AC1308">
        <f>COUNTIF(C:C,QLKV_gui_ket_qua_ra_soat[[#This Row],[Mã điểm bán]])</f>
        <v>1</v>
      </c>
    </row>
    <row r="1309" spans="1:29" x14ac:dyDescent="0.45">
      <c r="A1309" t="s">
        <v>4550</v>
      </c>
      <c r="B1309">
        <v>191</v>
      </c>
      <c r="C1309" t="s">
        <v>5180</v>
      </c>
      <c r="D1309" t="s">
        <v>5181</v>
      </c>
      <c r="F1309" t="s">
        <v>33</v>
      </c>
      <c r="G1309" t="s">
        <v>177</v>
      </c>
      <c r="H1309" t="s">
        <v>433</v>
      </c>
      <c r="I1309" t="s">
        <v>5182</v>
      </c>
      <c r="J1309" t="s">
        <v>38</v>
      </c>
      <c r="K1309" t="s">
        <v>38</v>
      </c>
      <c r="L1309" t="s">
        <v>40</v>
      </c>
      <c r="M1309" t="s">
        <v>38</v>
      </c>
      <c r="N1309" t="s">
        <v>38</v>
      </c>
      <c r="O1309" t="s">
        <v>39</v>
      </c>
      <c r="P1309" t="s">
        <v>38</v>
      </c>
      <c r="Q1309" t="s">
        <v>38</v>
      </c>
      <c r="R1309" t="s">
        <v>40</v>
      </c>
      <c r="S1309" t="s">
        <v>5183</v>
      </c>
      <c r="T1309" t="s">
        <v>4752</v>
      </c>
      <c r="U1309" t="s">
        <v>4753</v>
      </c>
      <c r="V1309" t="s">
        <v>4556</v>
      </c>
      <c r="W1309" t="s">
        <v>4557</v>
      </c>
      <c r="X1309" t="s">
        <v>46</v>
      </c>
      <c r="AC1309">
        <f>COUNTIF(C:C,QLKV_gui_ket_qua_ra_soat[[#This Row],[Mã điểm bán]])</f>
        <v>1</v>
      </c>
    </row>
    <row r="1310" spans="1:29" x14ac:dyDescent="0.45">
      <c r="A1310" t="s">
        <v>4550</v>
      </c>
      <c r="B1310">
        <v>192</v>
      </c>
      <c r="C1310" t="s">
        <v>5184</v>
      </c>
      <c r="D1310" t="s">
        <v>5185</v>
      </c>
      <c r="F1310" t="s">
        <v>3619</v>
      </c>
      <c r="G1310" t="s">
        <v>34</v>
      </c>
      <c r="H1310" t="s">
        <v>54</v>
      </c>
      <c r="I1310" t="s">
        <v>5186</v>
      </c>
      <c r="J1310" t="s">
        <v>38</v>
      </c>
      <c r="K1310" t="s">
        <v>38</v>
      </c>
      <c r="L1310" t="s">
        <v>39</v>
      </c>
      <c r="M1310" t="s">
        <v>38</v>
      </c>
      <c r="N1310" t="s">
        <v>38</v>
      </c>
      <c r="O1310" t="s">
        <v>39</v>
      </c>
      <c r="P1310" t="s">
        <v>38</v>
      </c>
      <c r="Q1310" t="s">
        <v>38</v>
      </c>
      <c r="R1310" t="s">
        <v>39</v>
      </c>
      <c r="S1310" t="s">
        <v>41</v>
      </c>
      <c r="T1310" t="s">
        <v>4801</v>
      </c>
      <c r="U1310" t="s">
        <v>4802</v>
      </c>
      <c r="V1310" t="s">
        <v>4556</v>
      </c>
      <c r="W1310" t="s">
        <v>1457</v>
      </c>
      <c r="X1310" t="s">
        <v>46</v>
      </c>
      <c r="AC1310">
        <f>COUNTIF(C:C,QLKV_gui_ket_qua_ra_soat[[#This Row],[Mã điểm bán]])</f>
        <v>1</v>
      </c>
    </row>
    <row r="1311" spans="1:29" x14ac:dyDescent="0.45">
      <c r="A1311" t="s">
        <v>4550</v>
      </c>
      <c r="B1311">
        <v>193</v>
      </c>
      <c r="C1311" t="s">
        <v>5187</v>
      </c>
      <c r="D1311" t="s">
        <v>5188</v>
      </c>
      <c r="F1311" t="s">
        <v>5189</v>
      </c>
      <c r="G1311" t="s">
        <v>34</v>
      </c>
      <c r="H1311" t="s">
        <v>332</v>
      </c>
      <c r="I1311" t="s">
        <v>5190</v>
      </c>
      <c r="J1311" t="s">
        <v>38</v>
      </c>
      <c r="K1311" t="s">
        <v>38</v>
      </c>
      <c r="L1311" t="s">
        <v>40</v>
      </c>
      <c r="M1311" t="s">
        <v>37</v>
      </c>
      <c r="N1311" t="s">
        <v>56</v>
      </c>
      <c r="O1311" t="s">
        <v>40</v>
      </c>
      <c r="P1311" t="s">
        <v>38</v>
      </c>
      <c r="Q1311" t="s">
        <v>38</v>
      </c>
      <c r="R1311" t="s">
        <v>40</v>
      </c>
      <c r="S1311" t="s">
        <v>5191</v>
      </c>
      <c r="T1311" t="s">
        <v>4835</v>
      </c>
      <c r="U1311" t="s">
        <v>4802</v>
      </c>
      <c r="V1311" t="s">
        <v>4556</v>
      </c>
      <c r="W1311" t="s">
        <v>1457</v>
      </c>
      <c r="Z1311" t="s">
        <v>46</v>
      </c>
      <c r="AA1311" t="s">
        <v>4589</v>
      </c>
      <c r="AC1311">
        <f>COUNTIF(C:C,QLKV_gui_ket_qua_ra_soat[[#This Row],[Mã điểm bán]])</f>
        <v>1</v>
      </c>
    </row>
    <row r="1312" spans="1:29" x14ac:dyDescent="0.45">
      <c r="A1312" t="s">
        <v>4550</v>
      </c>
      <c r="B1312">
        <v>194</v>
      </c>
      <c r="C1312" t="s">
        <v>5192</v>
      </c>
      <c r="D1312" t="s">
        <v>5193</v>
      </c>
      <c r="F1312" t="s">
        <v>1833</v>
      </c>
      <c r="G1312" t="s">
        <v>34</v>
      </c>
      <c r="H1312" t="s">
        <v>54</v>
      </c>
      <c r="I1312" t="s">
        <v>5194</v>
      </c>
      <c r="J1312" t="s">
        <v>38</v>
      </c>
      <c r="K1312" t="s">
        <v>38</v>
      </c>
      <c r="L1312" t="s">
        <v>40</v>
      </c>
      <c r="M1312" t="s">
        <v>56</v>
      </c>
      <c r="N1312" t="s">
        <v>56</v>
      </c>
      <c r="O1312" t="s">
        <v>39</v>
      </c>
      <c r="P1312" t="s">
        <v>37</v>
      </c>
      <c r="Q1312" t="s">
        <v>37</v>
      </c>
      <c r="R1312" t="s">
        <v>39</v>
      </c>
      <c r="S1312" t="s">
        <v>41</v>
      </c>
      <c r="T1312" t="s">
        <v>4737</v>
      </c>
      <c r="U1312" t="s">
        <v>4738</v>
      </c>
      <c r="V1312" t="s">
        <v>4556</v>
      </c>
      <c r="W1312" t="s">
        <v>1457</v>
      </c>
      <c r="X1312" t="s">
        <v>46</v>
      </c>
      <c r="AC1312">
        <f>COUNTIF(C:C,QLKV_gui_ket_qua_ra_soat[[#This Row],[Mã điểm bán]])</f>
        <v>1</v>
      </c>
    </row>
    <row r="1313" spans="1:29" x14ac:dyDescent="0.45">
      <c r="A1313" t="s">
        <v>4550</v>
      </c>
      <c r="B1313">
        <v>195</v>
      </c>
      <c r="C1313" t="s">
        <v>5195</v>
      </c>
      <c r="D1313" t="s">
        <v>5196</v>
      </c>
      <c r="F1313" t="s">
        <v>426</v>
      </c>
      <c r="G1313" t="s">
        <v>34</v>
      </c>
      <c r="H1313" t="s">
        <v>214</v>
      </c>
      <c r="I1313" t="s">
        <v>5197</v>
      </c>
      <c r="J1313" t="s">
        <v>38</v>
      </c>
      <c r="K1313" t="s">
        <v>38</v>
      </c>
      <c r="L1313" t="s">
        <v>40</v>
      </c>
      <c r="M1313" t="s">
        <v>56</v>
      </c>
      <c r="N1313" t="s">
        <v>37</v>
      </c>
      <c r="O1313" t="s">
        <v>39</v>
      </c>
      <c r="P1313" t="s">
        <v>37</v>
      </c>
      <c r="Q1313" t="s">
        <v>37</v>
      </c>
      <c r="R1313" t="s">
        <v>39</v>
      </c>
      <c r="S1313" t="s">
        <v>41</v>
      </c>
      <c r="T1313" t="s">
        <v>4737</v>
      </c>
      <c r="U1313" t="s">
        <v>4738</v>
      </c>
      <c r="V1313" t="s">
        <v>4556</v>
      </c>
      <c r="W1313" t="s">
        <v>1457</v>
      </c>
      <c r="X1313" t="s">
        <v>46</v>
      </c>
      <c r="AC1313">
        <f>COUNTIF(C:C,QLKV_gui_ket_qua_ra_soat[[#This Row],[Mã điểm bán]])</f>
        <v>1</v>
      </c>
    </row>
    <row r="1314" spans="1:29" x14ac:dyDescent="0.45">
      <c r="A1314" t="s">
        <v>4550</v>
      </c>
      <c r="B1314">
        <v>196</v>
      </c>
      <c r="C1314" t="s">
        <v>5198</v>
      </c>
      <c r="D1314" t="s">
        <v>5199</v>
      </c>
      <c r="F1314" t="s">
        <v>4349</v>
      </c>
      <c r="G1314" t="s">
        <v>34</v>
      </c>
      <c r="H1314" t="s">
        <v>54</v>
      </c>
      <c r="I1314" t="s">
        <v>5200</v>
      </c>
      <c r="J1314" t="s">
        <v>38</v>
      </c>
      <c r="K1314" t="s">
        <v>38</v>
      </c>
      <c r="L1314" t="s">
        <v>40</v>
      </c>
      <c r="M1314" t="s">
        <v>37</v>
      </c>
      <c r="N1314" t="s">
        <v>37</v>
      </c>
      <c r="O1314" t="s">
        <v>39</v>
      </c>
      <c r="P1314" t="s">
        <v>37</v>
      </c>
      <c r="Q1314" t="s">
        <v>37</v>
      </c>
      <c r="R1314" t="s">
        <v>39</v>
      </c>
      <c r="S1314" t="s">
        <v>41</v>
      </c>
      <c r="T1314" t="s">
        <v>4737</v>
      </c>
      <c r="U1314" t="s">
        <v>4738</v>
      </c>
      <c r="V1314" t="s">
        <v>4556</v>
      </c>
      <c r="W1314" t="s">
        <v>1457</v>
      </c>
      <c r="X1314" t="s">
        <v>46</v>
      </c>
      <c r="AC1314">
        <f>COUNTIF(C:C,QLKV_gui_ket_qua_ra_soat[[#This Row],[Mã điểm bán]])</f>
        <v>1</v>
      </c>
    </row>
    <row r="1315" spans="1:29" x14ac:dyDescent="0.45">
      <c r="A1315" t="s">
        <v>4550</v>
      </c>
      <c r="B1315">
        <v>197</v>
      </c>
      <c r="C1315" t="s">
        <v>5201</v>
      </c>
      <c r="D1315" t="s">
        <v>5202</v>
      </c>
      <c r="F1315" t="s">
        <v>70</v>
      </c>
      <c r="G1315" t="s">
        <v>177</v>
      </c>
      <c r="H1315" t="s">
        <v>2736</v>
      </c>
      <c r="I1315" t="s">
        <v>5203</v>
      </c>
      <c r="J1315" t="s">
        <v>38</v>
      </c>
      <c r="K1315" t="s">
        <v>38</v>
      </c>
      <c r="L1315" t="s">
        <v>40</v>
      </c>
      <c r="M1315" t="s">
        <v>38</v>
      </c>
      <c r="N1315" t="s">
        <v>38</v>
      </c>
      <c r="O1315" t="s">
        <v>39</v>
      </c>
      <c r="P1315" t="s">
        <v>38</v>
      </c>
      <c r="Q1315" t="s">
        <v>38</v>
      </c>
      <c r="R1315" t="s">
        <v>40</v>
      </c>
      <c r="S1315" t="s">
        <v>4751</v>
      </c>
      <c r="T1315" t="s">
        <v>4752</v>
      </c>
      <c r="U1315" t="s">
        <v>4753</v>
      </c>
      <c r="V1315" t="s">
        <v>4556</v>
      </c>
      <c r="W1315" t="s">
        <v>4557</v>
      </c>
      <c r="X1315" t="s">
        <v>46</v>
      </c>
      <c r="AC1315">
        <f>COUNTIF(C:C,QLKV_gui_ket_qua_ra_soat[[#This Row],[Mã điểm bán]])</f>
        <v>1</v>
      </c>
    </row>
    <row r="1316" spans="1:29" x14ac:dyDescent="0.45">
      <c r="A1316" t="s">
        <v>4550</v>
      </c>
      <c r="B1316">
        <v>198</v>
      </c>
      <c r="C1316" t="s">
        <v>5204</v>
      </c>
      <c r="D1316" t="s">
        <v>5205</v>
      </c>
      <c r="F1316" t="s">
        <v>829</v>
      </c>
      <c r="G1316" t="s">
        <v>34</v>
      </c>
      <c r="H1316" t="s">
        <v>54</v>
      </c>
      <c r="I1316" t="s">
        <v>5206</v>
      </c>
      <c r="J1316" t="s">
        <v>38</v>
      </c>
      <c r="K1316" t="s">
        <v>38</v>
      </c>
      <c r="L1316" t="s">
        <v>40</v>
      </c>
      <c r="M1316" t="s">
        <v>38</v>
      </c>
      <c r="N1316" t="s">
        <v>38</v>
      </c>
      <c r="O1316" t="s">
        <v>39</v>
      </c>
      <c r="P1316" t="s">
        <v>38</v>
      </c>
      <c r="Q1316" t="s">
        <v>38</v>
      </c>
      <c r="R1316" t="s">
        <v>40</v>
      </c>
      <c r="S1316" t="s">
        <v>5169</v>
      </c>
      <c r="T1316" t="s">
        <v>4752</v>
      </c>
      <c r="U1316" t="s">
        <v>4753</v>
      </c>
      <c r="V1316" t="s">
        <v>4556</v>
      </c>
      <c r="W1316" t="s">
        <v>4557</v>
      </c>
      <c r="X1316" t="s">
        <v>46</v>
      </c>
      <c r="AC1316">
        <f>COUNTIF(C:C,QLKV_gui_ket_qua_ra_soat[[#This Row],[Mã điểm bán]])</f>
        <v>1</v>
      </c>
    </row>
    <row r="1317" spans="1:29" x14ac:dyDescent="0.45">
      <c r="A1317" t="s">
        <v>4550</v>
      </c>
      <c r="B1317">
        <v>199</v>
      </c>
      <c r="C1317" t="s">
        <v>5207</v>
      </c>
      <c r="D1317" t="s">
        <v>5208</v>
      </c>
      <c r="F1317" t="s">
        <v>115</v>
      </c>
      <c r="G1317" t="s">
        <v>1624</v>
      </c>
      <c r="H1317" t="s">
        <v>274</v>
      </c>
      <c r="I1317" t="s">
        <v>5209</v>
      </c>
      <c r="J1317" t="s">
        <v>38</v>
      </c>
      <c r="K1317" t="s">
        <v>38</v>
      </c>
      <c r="L1317" t="s">
        <v>40</v>
      </c>
      <c r="M1317" t="s">
        <v>37</v>
      </c>
      <c r="N1317" t="s">
        <v>37</v>
      </c>
      <c r="O1317" t="s">
        <v>39</v>
      </c>
      <c r="P1317" t="s">
        <v>38</v>
      </c>
      <c r="Q1317" t="s">
        <v>38</v>
      </c>
      <c r="R1317" t="s">
        <v>40</v>
      </c>
      <c r="S1317" t="s">
        <v>41</v>
      </c>
      <c r="T1317" t="s">
        <v>4601</v>
      </c>
      <c r="U1317" t="s">
        <v>4602</v>
      </c>
      <c r="V1317" t="s">
        <v>4556</v>
      </c>
      <c r="W1317" t="s">
        <v>4603</v>
      </c>
      <c r="Z1317" t="s">
        <v>46</v>
      </c>
      <c r="AA1317" t="s">
        <v>4589</v>
      </c>
      <c r="AC1317">
        <f>COUNTIF(C:C,QLKV_gui_ket_qua_ra_soat[[#This Row],[Mã điểm bán]])</f>
        <v>1</v>
      </c>
    </row>
    <row r="1318" spans="1:29" x14ac:dyDescent="0.45">
      <c r="A1318" t="s">
        <v>4550</v>
      </c>
      <c r="B1318">
        <v>200</v>
      </c>
      <c r="C1318" t="s">
        <v>5210</v>
      </c>
      <c r="D1318" t="s">
        <v>5211</v>
      </c>
      <c r="F1318" t="s">
        <v>53</v>
      </c>
      <c r="G1318" t="s">
        <v>177</v>
      </c>
      <c r="H1318" t="s">
        <v>5212</v>
      </c>
      <c r="I1318" t="s">
        <v>5213</v>
      </c>
      <c r="J1318" t="s">
        <v>38</v>
      </c>
      <c r="K1318" t="s">
        <v>38</v>
      </c>
      <c r="L1318" t="s">
        <v>40</v>
      </c>
      <c r="M1318" t="s">
        <v>38</v>
      </c>
      <c r="N1318" t="s">
        <v>38</v>
      </c>
      <c r="O1318" t="s">
        <v>39</v>
      </c>
      <c r="P1318" t="s">
        <v>38</v>
      </c>
      <c r="Q1318" t="s">
        <v>38</v>
      </c>
      <c r="R1318" t="s">
        <v>40</v>
      </c>
      <c r="S1318" t="s">
        <v>3003</v>
      </c>
      <c r="T1318" t="s">
        <v>4752</v>
      </c>
      <c r="U1318" t="s">
        <v>4753</v>
      </c>
      <c r="V1318" t="s">
        <v>4556</v>
      </c>
      <c r="W1318" t="s">
        <v>4557</v>
      </c>
      <c r="X1318" t="s">
        <v>46</v>
      </c>
      <c r="AC1318">
        <f>COUNTIF(C:C,QLKV_gui_ket_qua_ra_soat[[#This Row],[Mã điểm bán]])</f>
        <v>1</v>
      </c>
    </row>
    <row r="1319" spans="1:29" x14ac:dyDescent="0.45">
      <c r="A1319" t="s">
        <v>4550</v>
      </c>
      <c r="B1319">
        <v>201</v>
      </c>
      <c r="C1319" t="s">
        <v>5214</v>
      </c>
      <c r="D1319" t="s">
        <v>5215</v>
      </c>
      <c r="F1319" t="s">
        <v>166</v>
      </c>
      <c r="G1319" t="s">
        <v>177</v>
      </c>
      <c r="H1319" t="s">
        <v>319</v>
      </c>
      <c r="I1319" t="s">
        <v>5216</v>
      </c>
      <c r="J1319" t="s">
        <v>38</v>
      </c>
      <c r="K1319" t="s">
        <v>38</v>
      </c>
      <c r="L1319" t="s">
        <v>40</v>
      </c>
      <c r="M1319" t="s">
        <v>38</v>
      </c>
      <c r="N1319" t="s">
        <v>38</v>
      </c>
      <c r="O1319" t="s">
        <v>40</v>
      </c>
      <c r="P1319" t="s">
        <v>38</v>
      </c>
      <c r="Q1319" t="s">
        <v>38</v>
      </c>
      <c r="R1319" t="s">
        <v>40</v>
      </c>
      <c r="S1319" t="s">
        <v>41</v>
      </c>
      <c r="T1319" t="s">
        <v>4601</v>
      </c>
      <c r="U1319" t="s">
        <v>4602</v>
      </c>
      <c r="V1319" t="s">
        <v>4556</v>
      </c>
      <c r="W1319" t="s">
        <v>4603</v>
      </c>
      <c r="X1319" t="s">
        <v>46</v>
      </c>
      <c r="AC1319">
        <f>COUNTIF(C:C,QLKV_gui_ket_qua_ra_soat[[#This Row],[Mã điểm bán]])</f>
        <v>1</v>
      </c>
    </row>
    <row r="1320" spans="1:29" x14ac:dyDescent="0.45">
      <c r="A1320" t="s">
        <v>4550</v>
      </c>
      <c r="B1320">
        <v>202</v>
      </c>
      <c r="C1320" t="s">
        <v>5217</v>
      </c>
      <c r="D1320" t="s">
        <v>5218</v>
      </c>
      <c r="F1320" t="s">
        <v>53</v>
      </c>
      <c r="G1320" t="s">
        <v>177</v>
      </c>
      <c r="H1320" t="s">
        <v>54</v>
      </c>
      <c r="I1320" t="s">
        <v>5219</v>
      </c>
      <c r="J1320" t="s">
        <v>38</v>
      </c>
      <c r="K1320" t="s">
        <v>38</v>
      </c>
      <c r="L1320" t="s">
        <v>40</v>
      </c>
      <c r="M1320" t="s">
        <v>38</v>
      </c>
      <c r="N1320" t="s">
        <v>38</v>
      </c>
      <c r="O1320" t="s">
        <v>40</v>
      </c>
      <c r="P1320" t="s">
        <v>38</v>
      </c>
      <c r="Q1320" t="s">
        <v>38</v>
      </c>
      <c r="R1320" t="s">
        <v>40</v>
      </c>
      <c r="S1320" t="s">
        <v>41</v>
      </c>
      <c r="T1320" t="s">
        <v>4601</v>
      </c>
      <c r="U1320" t="s">
        <v>4602</v>
      </c>
      <c r="V1320" t="s">
        <v>4556</v>
      </c>
      <c r="W1320" t="s">
        <v>4603</v>
      </c>
      <c r="X1320" t="s">
        <v>46</v>
      </c>
      <c r="AC1320">
        <f>COUNTIF(C:C,QLKV_gui_ket_qua_ra_soat[[#This Row],[Mã điểm bán]])</f>
        <v>1</v>
      </c>
    </row>
    <row r="1321" spans="1:29" x14ac:dyDescent="0.45">
      <c r="A1321" t="s">
        <v>4550</v>
      </c>
      <c r="B1321">
        <v>203</v>
      </c>
      <c r="C1321" t="s">
        <v>5220</v>
      </c>
      <c r="D1321" t="s">
        <v>5221</v>
      </c>
      <c r="F1321" t="s">
        <v>417</v>
      </c>
      <c r="G1321" t="s">
        <v>34</v>
      </c>
      <c r="H1321" t="s">
        <v>54</v>
      </c>
      <c r="I1321" t="s">
        <v>5103</v>
      </c>
      <c r="J1321" t="s">
        <v>38</v>
      </c>
      <c r="K1321" t="s">
        <v>38</v>
      </c>
      <c r="L1321" t="s">
        <v>40</v>
      </c>
      <c r="M1321" t="s">
        <v>37</v>
      </c>
      <c r="N1321" t="s">
        <v>37</v>
      </c>
      <c r="O1321" t="s">
        <v>39</v>
      </c>
      <c r="P1321" t="s">
        <v>37</v>
      </c>
      <c r="Q1321" t="s">
        <v>37</v>
      </c>
      <c r="R1321" t="s">
        <v>39</v>
      </c>
      <c r="S1321" t="s">
        <v>41</v>
      </c>
      <c r="T1321" t="s">
        <v>4737</v>
      </c>
      <c r="U1321" t="s">
        <v>4738</v>
      </c>
      <c r="V1321" t="s">
        <v>4556</v>
      </c>
      <c r="W1321" t="s">
        <v>1457</v>
      </c>
      <c r="X1321" t="s">
        <v>46</v>
      </c>
      <c r="AC1321">
        <f>COUNTIF(C:C,QLKV_gui_ket_qua_ra_soat[[#This Row],[Mã điểm bán]])</f>
        <v>1</v>
      </c>
    </row>
    <row r="1322" spans="1:29" x14ac:dyDescent="0.45">
      <c r="A1322" t="s">
        <v>4550</v>
      </c>
      <c r="B1322">
        <v>204</v>
      </c>
      <c r="C1322" t="s">
        <v>5222</v>
      </c>
      <c r="D1322" t="s">
        <v>5223</v>
      </c>
      <c r="F1322" t="s">
        <v>53</v>
      </c>
      <c r="G1322" t="s">
        <v>34</v>
      </c>
      <c r="H1322" t="s">
        <v>332</v>
      </c>
      <c r="I1322" t="s">
        <v>5224</v>
      </c>
      <c r="J1322" t="s">
        <v>38</v>
      </c>
      <c r="K1322" t="s">
        <v>38</v>
      </c>
      <c r="L1322" t="s">
        <v>40</v>
      </c>
      <c r="M1322" t="s">
        <v>38</v>
      </c>
      <c r="N1322" t="s">
        <v>38</v>
      </c>
      <c r="O1322" t="s">
        <v>40</v>
      </c>
      <c r="P1322" t="s">
        <v>38</v>
      </c>
      <c r="Q1322" t="s">
        <v>38</v>
      </c>
      <c r="R1322" t="s">
        <v>40</v>
      </c>
      <c r="S1322" t="s">
        <v>41</v>
      </c>
      <c r="T1322" t="s">
        <v>4601</v>
      </c>
      <c r="U1322" t="s">
        <v>4602</v>
      </c>
      <c r="V1322" t="s">
        <v>4556</v>
      </c>
      <c r="W1322" t="s">
        <v>4603</v>
      </c>
      <c r="X1322" t="s">
        <v>46</v>
      </c>
      <c r="AC1322">
        <f>COUNTIF(C:C,QLKV_gui_ket_qua_ra_soat[[#This Row],[Mã điểm bán]])</f>
        <v>1</v>
      </c>
    </row>
    <row r="1323" spans="1:29" x14ac:dyDescent="0.45">
      <c r="A1323" t="s">
        <v>4550</v>
      </c>
      <c r="B1323">
        <v>205</v>
      </c>
      <c r="C1323" t="s">
        <v>5225</v>
      </c>
      <c r="D1323" t="s">
        <v>5226</v>
      </c>
      <c r="F1323" t="s">
        <v>1160</v>
      </c>
      <c r="G1323" t="s">
        <v>34</v>
      </c>
      <c r="H1323" t="s">
        <v>3620</v>
      </c>
      <c r="I1323" t="s">
        <v>5227</v>
      </c>
      <c r="J1323" t="s">
        <v>38</v>
      </c>
      <c r="K1323" t="s">
        <v>38</v>
      </c>
      <c r="L1323" t="s">
        <v>39</v>
      </c>
      <c r="M1323" t="s">
        <v>38</v>
      </c>
      <c r="N1323" t="s">
        <v>38</v>
      </c>
      <c r="O1323" t="s">
        <v>39</v>
      </c>
      <c r="P1323" t="s">
        <v>38</v>
      </c>
      <c r="Q1323" t="s">
        <v>38</v>
      </c>
      <c r="R1323" t="s">
        <v>39</v>
      </c>
      <c r="S1323" t="s">
        <v>5228</v>
      </c>
      <c r="T1323" t="s">
        <v>4801</v>
      </c>
      <c r="U1323" t="s">
        <v>4802</v>
      </c>
      <c r="V1323" t="s">
        <v>4556</v>
      </c>
      <c r="W1323" t="s">
        <v>1457</v>
      </c>
      <c r="X1323" t="s">
        <v>46</v>
      </c>
      <c r="AC1323">
        <f>COUNTIF(C:C,QLKV_gui_ket_qua_ra_soat[[#This Row],[Mã điểm bán]])</f>
        <v>1</v>
      </c>
    </row>
    <row r="1324" spans="1:29" x14ac:dyDescent="0.45">
      <c r="A1324" t="s">
        <v>4550</v>
      </c>
      <c r="B1324">
        <v>206</v>
      </c>
      <c r="C1324" t="s">
        <v>5229</v>
      </c>
      <c r="D1324" t="s">
        <v>5230</v>
      </c>
      <c r="F1324" t="s">
        <v>53</v>
      </c>
      <c r="G1324" t="s">
        <v>34</v>
      </c>
      <c r="H1324" t="s">
        <v>192</v>
      </c>
      <c r="I1324" t="s">
        <v>2728</v>
      </c>
      <c r="J1324" t="s">
        <v>38</v>
      </c>
      <c r="K1324" t="s">
        <v>38</v>
      </c>
      <c r="L1324" t="s">
        <v>40</v>
      </c>
      <c r="M1324" t="s">
        <v>38</v>
      </c>
      <c r="N1324" t="s">
        <v>38</v>
      </c>
      <c r="O1324" t="s">
        <v>39</v>
      </c>
      <c r="P1324" t="s">
        <v>38</v>
      </c>
      <c r="Q1324" t="s">
        <v>38</v>
      </c>
      <c r="R1324" t="s">
        <v>40</v>
      </c>
      <c r="S1324" t="s">
        <v>41</v>
      </c>
      <c r="T1324" t="s">
        <v>4752</v>
      </c>
      <c r="U1324" t="s">
        <v>4753</v>
      </c>
      <c r="V1324" t="s">
        <v>4556</v>
      </c>
      <c r="W1324" t="s">
        <v>4557</v>
      </c>
      <c r="Z1324" t="s">
        <v>46</v>
      </c>
      <c r="AA1324" t="s">
        <v>4589</v>
      </c>
      <c r="AC1324">
        <f>COUNTIF(C:C,QLKV_gui_ket_qua_ra_soat[[#This Row],[Mã điểm bán]])</f>
        <v>1</v>
      </c>
    </row>
    <row r="1325" spans="1:29" x14ac:dyDescent="0.45">
      <c r="A1325" t="s">
        <v>4550</v>
      </c>
      <c r="B1325">
        <v>207</v>
      </c>
      <c r="C1325" t="s">
        <v>5231</v>
      </c>
      <c r="D1325" t="s">
        <v>5232</v>
      </c>
      <c r="F1325" t="s">
        <v>5233</v>
      </c>
      <c r="G1325" t="s">
        <v>34</v>
      </c>
      <c r="H1325" t="s">
        <v>2044</v>
      </c>
      <c r="I1325" t="s">
        <v>5234</v>
      </c>
      <c r="J1325" t="s">
        <v>38</v>
      </c>
      <c r="K1325" t="s">
        <v>38</v>
      </c>
      <c r="L1325" t="s">
        <v>39</v>
      </c>
      <c r="M1325" t="s">
        <v>38</v>
      </c>
      <c r="N1325" t="s">
        <v>38</v>
      </c>
      <c r="O1325" t="s">
        <v>39</v>
      </c>
      <c r="P1325" t="s">
        <v>38</v>
      </c>
      <c r="Q1325" t="s">
        <v>38</v>
      </c>
      <c r="R1325" t="s">
        <v>39</v>
      </c>
      <c r="S1325" t="s">
        <v>41</v>
      </c>
      <c r="T1325" t="s">
        <v>4801</v>
      </c>
      <c r="U1325" t="s">
        <v>4802</v>
      </c>
      <c r="V1325" t="s">
        <v>4556</v>
      </c>
      <c r="W1325" t="s">
        <v>1457</v>
      </c>
      <c r="X1325" t="s">
        <v>46</v>
      </c>
      <c r="AC1325">
        <f>COUNTIF(C:C,QLKV_gui_ket_qua_ra_soat[[#This Row],[Mã điểm bán]])</f>
        <v>1</v>
      </c>
    </row>
    <row r="1326" spans="1:29" x14ac:dyDescent="0.45">
      <c r="A1326" t="s">
        <v>4550</v>
      </c>
      <c r="B1326">
        <v>208</v>
      </c>
      <c r="C1326" t="s">
        <v>5235</v>
      </c>
      <c r="D1326" t="s">
        <v>5236</v>
      </c>
      <c r="F1326" t="s">
        <v>3049</v>
      </c>
      <c r="G1326" t="s">
        <v>177</v>
      </c>
      <c r="H1326" t="s">
        <v>54</v>
      </c>
      <c r="I1326" t="s">
        <v>5237</v>
      </c>
      <c r="J1326" t="s">
        <v>37</v>
      </c>
      <c r="K1326" t="s">
        <v>37</v>
      </c>
      <c r="L1326" t="s">
        <v>40</v>
      </c>
      <c r="M1326" t="s">
        <v>56</v>
      </c>
      <c r="N1326" t="s">
        <v>56</v>
      </c>
      <c r="O1326" t="s">
        <v>39</v>
      </c>
      <c r="P1326" t="s">
        <v>37</v>
      </c>
      <c r="Q1326" t="s">
        <v>56</v>
      </c>
      <c r="R1326" t="s">
        <v>40</v>
      </c>
      <c r="S1326" t="s">
        <v>627</v>
      </c>
      <c r="T1326" t="s">
        <v>4835</v>
      </c>
      <c r="U1326" t="s">
        <v>4802</v>
      </c>
      <c r="V1326" t="s">
        <v>4556</v>
      </c>
      <c r="W1326" t="s">
        <v>1457</v>
      </c>
      <c r="Z1326" t="s">
        <v>46</v>
      </c>
      <c r="AA1326" t="s">
        <v>4589</v>
      </c>
      <c r="AC1326">
        <f>COUNTIF(C:C,QLKV_gui_ket_qua_ra_soat[[#This Row],[Mã điểm bán]])</f>
        <v>1</v>
      </c>
    </row>
    <row r="1327" spans="1:29" x14ac:dyDescent="0.45">
      <c r="A1327" t="s">
        <v>4550</v>
      </c>
      <c r="B1327">
        <v>209</v>
      </c>
      <c r="C1327" t="s">
        <v>5238</v>
      </c>
      <c r="D1327" t="s">
        <v>5239</v>
      </c>
      <c r="F1327" t="s">
        <v>53</v>
      </c>
      <c r="G1327" t="s">
        <v>34</v>
      </c>
      <c r="H1327" t="s">
        <v>54</v>
      </c>
      <c r="I1327" t="s">
        <v>4731</v>
      </c>
      <c r="J1327" t="s">
        <v>38</v>
      </c>
      <c r="K1327" t="s">
        <v>38</v>
      </c>
      <c r="L1327" t="s">
        <v>40</v>
      </c>
      <c r="M1327" t="s">
        <v>38</v>
      </c>
      <c r="N1327" t="s">
        <v>56</v>
      </c>
      <c r="O1327" t="s">
        <v>39</v>
      </c>
      <c r="P1327" t="s">
        <v>38</v>
      </c>
      <c r="Q1327" t="s">
        <v>38</v>
      </c>
      <c r="R1327" t="s">
        <v>40</v>
      </c>
      <c r="S1327" t="s">
        <v>41</v>
      </c>
      <c r="T1327" t="s">
        <v>4667</v>
      </c>
      <c r="U1327" t="s">
        <v>4668</v>
      </c>
      <c r="V1327" t="s">
        <v>4556</v>
      </c>
      <c r="W1327" t="s">
        <v>4567</v>
      </c>
      <c r="X1327" t="s">
        <v>46</v>
      </c>
      <c r="AC1327">
        <f>COUNTIF(C:C,QLKV_gui_ket_qua_ra_soat[[#This Row],[Mã điểm bán]])</f>
        <v>1</v>
      </c>
    </row>
    <row r="1328" spans="1:29" x14ac:dyDescent="0.45">
      <c r="A1328" t="s">
        <v>4550</v>
      </c>
      <c r="B1328">
        <v>210</v>
      </c>
      <c r="C1328" t="s">
        <v>5240</v>
      </c>
      <c r="D1328" t="s">
        <v>5241</v>
      </c>
      <c r="F1328" t="s">
        <v>53</v>
      </c>
      <c r="G1328" t="s">
        <v>34</v>
      </c>
      <c r="H1328" t="s">
        <v>54</v>
      </c>
      <c r="I1328" t="s">
        <v>5242</v>
      </c>
      <c r="J1328" t="s">
        <v>38</v>
      </c>
      <c r="K1328" t="s">
        <v>38</v>
      </c>
      <c r="L1328" t="s">
        <v>40</v>
      </c>
      <c r="M1328" t="s">
        <v>38</v>
      </c>
      <c r="N1328" t="s">
        <v>38</v>
      </c>
      <c r="O1328" t="s">
        <v>40</v>
      </c>
      <c r="P1328" t="s">
        <v>38</v>
      </c>
      <c r="Q1328" t="s">
        <v>38</v>
      </c>
      <c r="R1328" t="s">
        <v>40</v>
      </c>
      <c r="S1328" t="s">
        <v>41</v>
      </c>
      <c r="T1328" t="s">
        <v>4601</v>
      </c>
      <c r="U1328" t="s">
        <v>4602</v>
      </c>
      <c r="V1328" t="s">
        <v>4556</v>
      </c>
      <c r="W1328" t="s">
        <v>4603</v>
      </c>
      <c r="Z1328" t="s">
        <v>46</v>
      </c>
      <c r="AA1328" t="s">
        <v>4589</v>
      </c>
      <c r="AC1328">
        <f>COUNTIF(C:C,QLKV_gui_ket_qua_ra_soat[[#This Row],[Mã điểm bán]])</f>
        <v>1</v>
      </c>
    </row>
    <row r="1329" spans="1:29" x14ac:dyDescent="0.45">
      <c r="A1329" t="s">
        <v>4550</v>
      </c>
      <c r="B1329">
        <v>211</v>
      </c>
      <c r="C1329" t="s">
        <v>5243</v>
      </c>
      <c r="D1329" t="s">
        <v>5244</v>
      </c>
      <c r="F1329" t="s">
        <v>325</v>
      </c>
      <c r="G1329" t="s">
        <v>177</v>
      </c>
      <c r="H1329" t="s">
        <v>550</v>
      </c>
      <c r="I1329" t="s">
        <v>5245</v>
      </c>
      <c r="J1329" t="s">
        <v>38</v>
      </c>
      <c r="K1329" t="s">
        <v>38</v>
      </c>
      <c r="L1329" t="s">
        <v>40</v>
      </c>
      <c r="M1329" t="s">
        <v>38</v>
      </c>
      <c r="N1329" t="s">
        <v>38</v>
      </c>
      <c r="O1329" t="s">
        <v>39</v>
      </c>
      <c r="P1329" t="s">
        <v>38</v>
      </c>
      <c r="Q1329" t="s">
        <v>38</v>
      </c>
      <c r="R1329" t="s">
        <v>40</v>
      </c>
      <c r="S1329" t="s">
        <v>41</v>
      </c>
      <c r="T1329" t="s">
        <v>4752</v>
      </c>
      <c r="U1329" t="s">
        <v>4753</v>
      </c>
      <c r="V1329" t="s">
        <v>4556</v>
      </c>
      <c r="W1329" t="s">
        <v>4557</v>
      </c>
      <c r="X1329" t="s">
        <v>46</v>
      </c>
      <c r="AC1329">
        <f>COUNTIF(C:C,QLKV_gui_ket_qua_ra_soat[[#This Row],[Mã điểm bán]])</f>
        <v>1</v>
      </c>
    </row>
    <row r="1330" spans="1:29" x14ac:dyDescent="0.45">
      <c r="A1330" t="s">
        <v>4550</v>
      </c>
      <c r="B1330">
        <v>212</v>
      </c>
      <c r="C1330" t="s">
        <v>5246</v>
      </c>
      <c r="D1330" t="s">
        <v>5247</v>
      </c>
      <c r="F1330" t="s">
        <v>53</v>
      </c>
      <c r="G1330" t="s">
        <v>34</v>
      </c>
      <c r="H1330" t="s">
        <v>54</v>
      </c>
      <c r="I1330" t="s">
        <v>5248</v>
      </c>
      <c r="J1330" t="s">
        <v>38</v>
      </c>
      <c r="K1330" t="s">
        <v>38</v>
      </c>
      <c r="L1330" t="s">
        <v>40</v>
      </c>
      <c r="M1330" t="s">
        <v>38</v>
      </c>
      <c r="N1330" t="s">
        <v>38</v>
      </c>
      <c r="O1330" t="s">
        <v>40</v>
      </c>
      <c r="P1330" t="s">
        <v>38</v>
      </c>
      <c r="Q1330" t="s">
        <v>38</v>
      </c>
      <c r="R1330" t="s">
        <v>40</v>
      </c>
      <c r="S1330" t="s">
        <v>41</v>
      </c>
      <c r="T1330" t="s">
        <v>4601</v>
      </c>
      <c r="U1330" t="s">
        <v>4602</v>
      </c>
      <c r="V1330" t="s">
        <v>4556</v>
      </c>
      <c r="W1330" t="s">
        <v>4603</v>
      </c>
      <c r="Z1330" t="s">
        <v>46</v>
      </c>
      <c r="AA1330" t="s">
        <v>4589</v>
      </c>
      <c r="AC1330">
        <f>COUNTIF(C:C,QLKV_gui_ket_qua_ra_soat[[#This Row],[Mã điểm bán]])</f>
        <v>1</v>
      </c>
    </row>
    <row r="1331" spans="1:29" x14ac:dyDescent="0.45">
      <c r="A1331" t="s">
        <v>4550</v>
      </c>
      <c r="B1331">
        <v>213</v>
      </c>
      <c r="C1331" t="s">
        <v>5249</v>
      </c>
      <c r="D1331" t="s">
        <v>5250</v>
      </c>
      <c r="F1331" t="s">
        <v>286</v>
      </c>
      <c r="G1331" t="s">
        <v>34</v>
      </c>
      <c r="H1331" t="s">
        <v>546</v>
      </c>
      <c r="I1331" t="s">
        <v>5251</v>
      </c>
      <c r="J1331" t="s">
        <v>38</v>
      </c>
      <c r="K1331" t="s">
        <v>38</v>
      </c>
      <c r="L1331" t="s">
        <v>39</v>
      </c>
      <c r="M1331" t="s">
        <v>38</v>
      </c>
      <c r="N1331" t="s">
        <v>38</v>
      </c>
      <c r="O1331" t="s">
        <v>39</v>
      </c>
      <c r="P1331" t="s">
        <v>38</v>
      </c>
      <c r="Q1331" t="s">
        <v>38</v>
      </c>
      <c r="R1331" t="s">
        <v>39</v>
      </c>
      <c r="S1331" t="s">
        <v>5252</v>
      </c>
      <c r="T1331" t="s">
        <v>4801</v>
      </c>
      <c r="U1331" t="s">
        <v>4802</v>
      </c>
      <c r="V1331" t="s">
        <v>4556</v>
      </c>
      <c r="W1331" t="s">
        <v>1457</v>
      </c>
      <c r="X1331" t="s">
        <v>46</v>
      </c>
      <c r="AC1331">
        <f>COUNTIF(C:C,QLKV_gui_ket_qua_ra_soat[[#This Row],[Mã điểm bán]])</f>
        <v>1</v>
      </c>
    </row>
    <row r="1332" spans="1:29" x14ac:dyDescent="0.45">
      <c r="A1332" t="s">
        <v>4550</v>
      </c>
      <c r="B1332">
        <v>214</v>
      </c>
      <c r="C1332" t="s">
        <v>5253</v>
      </c>
      <c r="D1332" t="s">
        <v>5254</v>
      </c>
      <c r="F1332" t="s">
        <v>53</v>
      </c>
      <c r="G1332" t="s">
        <v>34</v>
      </c>
      <c r="H1332" t="s">
        <v>4182</v>
      </c>
      <c r="I1332" t="s">
        <v>5255</v>
      </c>
      <c r="J1332" t="s">
        <v>38</v>
      </c>
      <c r="K1332" t="s">
        <v>38</v>
      </c>
      <c r="L1332" t="s">
        <v>40</v>
      </c>
      <c r="M1332" t="s">
        <v>38</v>
      </c>
      <c r="N1332" t="s">
        <v>38</v>
      </c>
      <c r="O1332" t="s">
        <v>39</v>
      </c>
      <c r="P1332" t="s">
        <v>38</v>
      </c>
      <c r="Q1332" t="s">
        <v>38</v>
      </c>
      <c r="R1332" t="s">
        <v>40</v>
      </c>
      <c r="S1332" t="s">
        <v>41</v>
      </c>
      <c r="T1332" t="s">
        <v>4752</v>
      </c>
      <c r="U1332" t="s">
        <v>4753</v>
      </c>
      <c r="V1332" t="s">
        <v>4556</v>
      </c>
      <c r="W1332" t="s">
        <v>4557</v>
      </c>
      <c r="X1332" t="s">
        <v>46</v>
      </c>
      <c r="AC1332">
        <f>COUNTIF(C:C,QLKV_gui_ket_qua_ra_soat[[#This Row],[Mã điểm bán]])</f>
        <v>1</v>
      </c>
    </row>
    <row r="1333" spans="1:29" x14ac:dyDescent="0.45">
      <c r="A1333" t="s">
        <v>4550</v>
      </c>
      <c r="B1333">
        <v>215</v>
      </c>
      <c r="C1333" t="s">
        <v>5256</v>
      </c>
      <c r="D1333" t="s">
        <v>5257</v>
      </c>
      <c r="F1333" t="s">
        <v>401</v>
      </c>
      <c r="G1333" t="s">
        <v>34</v>
      </c>
      <c r="H1333" t="s">
        <v>171</v>
      </c>
      <c r="I1333" t="s">
        <v>5258</v>
      </c>
      <c r="J1333" t="s">
        <v>38</v>
      </c>
      <c r="K1333" t="s">
        <v>38</v>
      </c>
      <c r="L1333" t="s">
        <v>40</v>
      </c>
      <c r="M1333" t="s">
        <v>56</v>
      </c>
      <c r="N1333" t="s">
        <v>56</v>
      </c>
      <c r="O1333" t="s">
        <v>39</v>
      </c>
      <c r="P1333" t="s">
        <v>38</v>
      </c>
      <c r="Q1333" t="s">
        <v>38</v>
      </c>
      <c r="R1333" t="s">
        <v>40</v>
      </c>
      <c r="S1333" t="s">
        <v>5259</v>
      </c>
      <c r="T1333" t="s">
        <v>4835</v>
      </c>
      <c r="U1333" t="s">
        <v>4802</v>
      </c>
      <c r="V1333" t="s">
        <v>4556</v>
      </c>
      <c r="W1333" t="s">
        <v>1457</v>
      </c>
      <c r="X1333" t="s">
        <v>46</v>
      </c>
      <c r="AC1333">
        <f>COUNTIF(C:C,QLKV_gui_ket_qua_ra_soat[[#This Row],[Mã điểm bán]])</f>
        <v>1</v>
      </c>
    </row>
    <row r="1334" spans="1:29" x14ac:dyDescent="0.45">
      <c r="A1334" t="s">
        <v>4550</v>
      </c>
      <c r="B1334">
        <v>216</v>
      </c>
      <c r="C1334" t="s">
        <v>5260</v>
      </c>
      <c r="D1334" t="s">
        <v>5261</v>
      </c>
      <c r="F1334" t="s">
        <v>401</v>
      </c>
      <c r="G1334" t="s">
        <v>34</v>
      </c>
      <c r="H1334" t="s">
        <v>214</v>
      </c>
      <c r="I1334" t="s">
        <v>5262</v>
      </c>
      <c r="J1334" t="s">
        <v>38</v>
      </c>
      <c r="K1334" t="s">
        <v>38</v>
      </c>
      <c r="L1334" t="s">
        <v>40</v>
      </c>
      <c r="M1334" t="s">
        <v>37</v>
      </c>
      <c r="N1334" t="s">
        <v>37</v>
      </c>
      <c r="O1334" t="s">
        <v>39</v>
      </c>
      <c r="P1334" t="s">
        <v>37</v>
      </c>
      <c r="Q1334" t="s">
        <v>37</v>
      </c>
      <c r="R1334" t="s">
        <v>39</v>
      </c>
      <c r="S1334" t="s">
        <v>41</v>
      </c>
      <c r="T1334" t="s">
        <v>4737</v>
      </c>
      <c r="U1334" t="s">
        <v>4738</v>
      </c>
      <c r="V1334" t="s">
        <v>4556</v>
      </c>
      <c r="W1334" t="s">
        <v>1457</v>
      </c>
      <c r="X1334" t="s">
        <v>46</v>
      </c>
      <c r="AC1334">
        <f>COUNTIF(C:C,QLKV_gui_ket_qua_ra_soat[[#This Row],[Mã điểm bán]])</f>
        <v>1</v>
      </c>
    </row>
    <row r="1335" spans="1:29" x14ac:dyDescent="0.45">
      <c r="A1335" t="s">
        <v>4550</v>
      </c>
      <c r="B1335">
        <v>217</v>
      </c>
      <c r="C1335" t="s">
        <v>5263</v>
      </c>
      <c r="D1335" t="s">
        <v>5264</v>
      </c>
      <c r="F1335" t="s">
        <v>5265</v>
      </c>
      <c r="G1335" t="s">
        <v>34</v>
      </c>
      <c r="H1335" t="s">
        <v>319</v>
      </c>
      <c r="I1335" t="s">
        <v>5266</v>
      </c>
      <c r="J1335" t="s">
        <v>38</v>
      </c>
      <c r="K1335" t="s">
        <v>38</v>
      </c>
      <c r="L1335" t="s">
        <v>39</v>
      </c>
      <c r="M1335" t="s">
        <v>38</v>
      </c>
      <c r="N1335" t="s">
        <v>38</v>
      </c>
      <c r="O1335" t="s">
        <v>39</v>
      </c>
      <c r="P1335" t="s">
        <v>38</v>
      </c>
      <c r="Q1335" t="s">
        <v>38</v>
      </c>
      <c r="R1335" t="s">
        <v>39</v>
      </c>
      <c r="S1335" t="s">
        <v>5267</v>
      </c>
      <c r="T1335" t="s">
        <v>4801</v>
      </c>
      <c r="U1335" t="s">
        <v>4802</v>
      </c>
      <c r="V1335" t="s">
        <v>4556</v>
      </c>
      <c r="W1335" t="s">
        <v>1457</v>
      </c>
      <c r="X1335" t="s">
        <v>46</v>
      </c>
      <c r="AC1335">
        <f>COUNTIF(C:C,QLKV_gui_ket_qua_ra_soat[[#This Row],[Mã điểm bán]])</f>
        <v>1</v>
      </c>
    </row>
    <row r="1336" spans="1:29" x14ac:dyDescent="0.45">
      <c r="A1336" t="s">
        <v>4550</v>
      </c>
      <c r="B1336">
        <v>218</v>
      </c>
      <c r="C1336" t="s">
        <v>5268</v>
      </c>
      <c r="D1336" t="s">
        <v>5269</v>
      </c>
      <c r="F1336" t="s">
        <v>5270</v>
      </c>
      <c r="G1336" t="s">
        <v>34</v>
      </c>
      <c r="H1336" t="s">
        <v>54</v>
      </c>
      <c r="I1336" t="s">
        <v>5271</v>
      </c>
      <c r="J1336" t="s">
        <v>38</v>
      </c>
      <c r="K1336" t="s">
        <v>38</v>
      </c>
      <c r="L1336" t="s">
        <v>40</v>
      </c>
      <c r="M1336" t="s">
        <v>37</v>
      </c>
      <c r="N1336" t="s">
        <v>37</v>
      </c>
      <c r="O1336" t="s">
        <v>39</v>
      </c>
      <c r="P1336" t="s">
        <v>37</v>
      </c>
      <c r="Q1336" t="s">
        <v>37</v>
      </c>
      <c r="R1336" t="s">
        <v>39</v>
      </c>
      <c r="S1336" t="s">
        <v>41</v>
      </c>
      <c r="T1336" t="s">
        <v>4737</v>
      </c>
      <c r="U1336" t="s">
        <v>4738</v>
      </c>
      <c r="V1336" t="s">
        <v>4556</v>
      </c>
      <c r="W1336" t="s">
        <v>1457</v>
      </c>
      <c r="Z1336" t="s">
        <v>46</v>
      </c>
      <c r="AA1336" t="s">
        <v>4589</v>
      </c>
      <c r="AC1336">
        <f>COUNTIF(C:C,QLKV_gui_ket_qua_ra_soat[[#This Row],[Mã điểm bán]])</f>
        <v>1</v>
      </c>
    </row>
    <row r="1337" spans="1:29" x14ac:dyDescent="0.45">
      <c r="A1337" t="s">
        <v>4550</v>
      </c>
      <c r="B1337">
        <v>219</v>
      </c>
      <c r="C1337" t="s">
        <v>5272</v>
      </c>
      <c r="D1337" t="s">
        <v>5273</v>
      </c>
      <c r="F1337" t="s">
        <v>5274</v>
      </c>
      <c r="G1337" t="s">
        <v>34</v>
      </c>
      <c r="H1337" t="s">
        <v>54</v>
      </c>
      <c r="I1337" t="s">
        <v>5275</v>
      </c>
      <c r="J1337" t="s">
        <v>38</v>
      </c>
      <c r="K1337" t="s">
        <v>38</v>
      </c>
      <c r="L1337" t="s">
        <v>40</v>
      </c>
      <c r="M1337" t="s">
        <v>38</v>
      </c>
      <c r="N1337" t="s">
        <v>38</v>
      </c>
      <c r="O1337" t="s">
        <v>40</v>
      </c>
      <c r="P1337" t="s">
        <v>38</v>
      </c>
      <c r="Q1337" t="s">
        <v>38</v>
      </c>
      <c r="R1337" t="s">
        <v>40</v>
      </c>
      <c r="S1337" t="s">
        <v>4783</v>
      </c>
      <c r="T1337" t="s">
        <v>4565</v>
      </c>
      <c r="U1337" t="s">
        <v>4566</v>
      </c>
      <c r="V1337" t="s">
        <v>4556</v>
      </c>
      <c r="W1337" t="s">
        <v>4567</v>
      </c>
      <c r="X1337" t="s">
        <v>46</v>
      </c>
      <c r="AC1337">
        <f>COUNTIF(C:C,QLKV_gui_ket_qua_ra_soat[[#This Row],[Mã điểm bán]])</f>
        <v>1</v>
      </c>
    </row>
    <row r="1338" spans="1:29" x14ac:dyDescent="0.45">
      <c r="A1338" t="s">
        <v>4550</v>
      </c>
      <c r="B1338">
        <v>220</v>
      </c>
      <c r="C1338" t="s">
        <v>5276</v>
      </c>
      <c r="D1338" t="s">
        <v>5277</v>
      </c>
      <c r="F1338" t="s">
        <v>5278</v>
      </c>
      <c r="G1338" t="s">
        <v>34</v>
      </c>
      <c r="H1338" t="s">
        <v>54</v>
      </c>
      <c r="I1338" t="s">
        <v>5279</v>
      </c>
      <c r="J1338" t="s">
        <v>38</v>
      </c>
      <c r="K1338" t="s">
        <v>38</v>
      </c>
      <c r="L1338" t="s">
        <v>39</v>
      </c>
      <c r="M1338" t="s">
        <v>38</v>
      </c>
      <c r="N1338" t="s">
        <v>38</v>
      </c>
      <c r="O1338" t="s">
        <v>39</v>
      </c>
      <c r="P1338" t="s">
        <v>38</v>
      </c>
      <c r="Q1338" t="s">
        <v>38</v>
      </c>
      <c r="R1338" t="s">
        <v>39</v>
      </c>
      <c r="S1338" t="s">
        <v>5280</v>
      </c>
      <c r="T1338" t="s">
        <v>4801</v>
      </c>
      <c r="U1338" t="s">
        <v>4802</v>
      </c>
      <c r="V1338" t="s">
        <v>4556</v>
      </c>
      <c r="W1338" t="s">
        <v>1457</v>
      </c>
      <c r="X1338" t="s">
        <v>46</v>
      </c>
      <c r="AC1338">
        <f>COUNTIF(C:C,QLKV_gui_ket_qua_ra_soat[[#This Row],[Mã điểm bán]])</f>
        <v>1</v>
      </c>
    </row>
    <row r="1339" spans="1:29" x14ac:dyDescent="0.45">
      <c r="A1339" t="s">
        <v>4550</v>
      </c>
      <c r="B1339">
        <v>221</v>
      </c>
      <c r="C1339" t="s">
        <v>5281</v>
      </c>
      <c r="D1339" t="s">
        <v>5282</v>
      </c>
      <c r="F1339" t="s">
        <v>1833</v>
      </c>
      <c r="G1339" t="s">
        <v>150</v>
      </c>
      <c r="H1339" t="s">
        <v>1188</v>
      </c>
      <c r="I1339" t="s">
        <v>5283</v>
      </c>
      <c r="J1339" t="s">
        <v>41</v>
      </c>
      <c r="K1339" t="s">
        <v>41</v>
      </c>
      <c r="L1339" t="s">
        <v>41</v>
      </c>
      <c r="M1339" t="s">
        <v>41</v>
      </c>
      <c r="N1339" t="s">
        <v>41</v>
      </c>
      <c r="O1339" t="s">
        <v>41</v>
      </c>
      <c r="P1339" t="s">
        <v>41</v>
      </c>
      <c r="Q1339" t="s">
        <v>41</v>
      </c>
      <c r="R1339" t="s">
        <v>41</v>
      </c>
      <c r="S1339" t="s">
        <v>41</v>
      </c>
      <c r="T1339" t="s">
        <v>4737</v>
      </c>
      <c r="U1339" t="s">
        <v>4738</v>
      </c>
      <c r="V1339" t="s">
        <v>4556</v>
      </c>
      <c r="W1339" t="s">
        <v>1457</v>
      </c>
      <c r="Z1339" t="s">
        <v>46</v>
      </c>
      <c r="AA1339" t="s">
        <v>4589</v>
      </c>
      <c r="AC1339">
        <f>COUNTIF(C:C,QLKV_gui_ket_qua_ra_soat[[#This Row],[Mã điểm bán]])</f>
        <v>1</v>
      </c>
    </row>
    <row r="1340" spans="1:29" x14ac:dyDescent="0.45">
      <c r="A1340" t="s">
        <v>4550</v>
      </c>
      <c r="B1340">
        <v>222</v>
      </c>
      <c r="C1340" t="s">
        <v>5284</v>
      </c>
      <c r="D1340" t="s">
        <v>5285</v>
      </c>
      <c r="F1340" t="s">
        <v>478</v>
      </c>
      <c r="G1340" t="s">
        <v>34</v>
      </c>
      <c r="H1340" t="s">
        <v>214</v>
      </c>
      <c r="I1340" t="s">
        <v>5286</v>
      </c>
      <c r="J1340" t="s">
        <v>38</v>
      </c>
      <c r="K1340" t="s">
        <v>38</v>
      </c>
      <c r="L1340" t="s">
        <v>40</v>
      </c>
      <c r="M1340" t="s">
        <v>38</v>
      </c>
      <c r="N1340" t="s">
        <v>56</v>
      </c>
      <c r="O1340" t="s">
        <v>39</v>
      </c>
      <c r="P1340" t="s">
        <v>38</v>
      </c>
      <c r="Q1340" t="s">
        <v>38</v>
      </c>
      <c r="R1340" t="s">
        <v>40</v>
      </c>
      <c r="S1340" t="s">
        <v>41</v>
      </c>
      <c r="T1340" t="s">
        <v>4667</v>
      </c>
      <c r="U1340" t="s">
        <v>4668</v>
      </c>
      <c r="V1340" t="s">
        <v>4556</v>
      </c>
      <c r="W1340" t="s">
        <v>4567</v>
      </c>
      <c r="X1340" t="s">
        <v>46</v>
      </c>
      <c r="AC1340">
        <f>COUNTIF(C:C,QLKV_gui_ket_qua_ra_soat[[#This Row],[Mã điểm bán]])</f>
        <v>1</v>
      </c>
    </row>
    <row r="1341" spans="1:29" x14ac:dyDescent="0.45">
      <c r="A1341" t="s">
        <v>4550</v>
      </c>
      <c r="B1341">
        <v>223</v>
      </c>
      <c r="C1341" t="s">
        <v>5287</v>
      </c>
      <c r="D1341" t="s">
        <v>5288</v>
      </c>
      <c r="F1341" t="s">
        <v>115</v>
      </c>
      <c r="G1341" t="s">
        <v>150</v>
      </c>
      <c r="H1341" t="s">
        <v>54</v>
      </c>
      <c r="I1341" t="s">
        <v>5289</v>
      </c>
      <c r="J1341" t="s">
        <v>38</v>
      </c>
      <c r="K1341" t="s">
        <v>38</v>
      </c>
      <c r="L1341" t="s">
        <v>39</v>
      </c>
      <c r="M1341" t="s">
        <v>38</v>
      </c>
      <c r="N1341" t="s">
        <v>38</v>
      </c>
      <c r="O1341" t="s">
        <v>39</v>
      </c>
      <c r="P1341" t="s">
        <v>38</v>
      </c>
      <c r="Q1341" t="s">
        <v>38</v>
      </c>
      <c r="R1341" t="s">
        <v>39</v>
      </c>
      <c r="S1341" t="s">
        <v>5290</v>
      </c>
      <c r="T1341" t="s">
        <v>4801</v>
      </c>
      <c r="U1341" t="s">
        <v>4802</v>
      </c>
      <c r="V1341" t="s">
        <v>4556</v>
      </c>
      <c r="W1341" t="s">
        <v>1457</v>
      </c>
      <c r="X1341" t="s">
        <v>46</v>
      </c>
      <c r="AC1341">
        <f>COUNTIF(C:C,QLKV_gui_ket_qua_ra_soat[[#This Row],[Mã điểm bán]])</f>
        <v>1</v>
      </c>
    </row>
    <row r="1342" spans="1:29" x14ac:dyDescent="0.45">
      <c r="A1342" t="s">
        <v>4550</v>
      </c>
      <c r="B1342">
        <v>224</v>
      </c>
      <c r="C1342" t="s">
        <v>5291</v>
      </c>
      <c r="D1342" t="s">
        <v>5292</v>
      </c>
      <c r="F1342" t="s">
        <v>325</v>
      </c>
      <c r="G1342" t="s">
        <v>34</v>
      </c>
      <c r="H1342" t="s">
        <v>842</v>
      </c>
      <c r="I1342" t="s">
        <v>5293</v>
      </c>
      <c r="J1342" t="s">
        <v>38</v>
      </c>
      <c r="K1342" t="s">
        <v>38</v>
      </c>
      <c r="L1342" t="s">
        <v>40</v>
      </c>
      <c r="M1342" t="s">
        <v>37</v>
      </c>
      <c r="N1342" t="s">
        <v>56</v>
      </c>
      <c r="O1342" t="s">
        <v>40</v>
      </c>
      <c r="P1342" t="s">
        <v>38</v>
      </c>
      <c r="Q1342" t="s">
        <v>38</v>
      </c>
      <c r="R1342" t="s">
        <v>40</v>
      </c>
      <c r="S1342" t="s">
        <v>5294</v>
      </c>
      <c r="T1342" t="s">
        <v>4835</v>
      </c>
      <c r="U1342" t="s">
        <v>4802</v>
      </c>
      <c r="V1342" t="s">
        <v>4556</v>
      </c>
      <c r="W1342" t="s">
        <v>1457</v>
      </c>
      <c r="X1342" t="s">
        <v>46</v>
      </c>
      <c r="AC1342">
        <f>COUNTIF(C:C,QLKV_gui_ket_qua_ra_soat[[#This Row],[Mã điểm bán]])</f>
        <v>1</v>
      </c>
    </row>
    <row r="1343" spans="1:29" x14ac:dyDescent="0.45">
      <c r="A1343" t="s">
        <v>4550</v>
      </c>
      <c r="B1343">
        <v>225</v>
      </c>
      <c r="C1343" t="s">
        <v>5295</v>
      </c>
      <c r="D1343" t="s">
        <v>5296</v>
      </c>
      <c r="F1343" t="s">
        <v>53</v>
      </c>
      <c r="G1343" t="s">
        <v>34</v>
      </c>
      <c r="H1343" t="s">
        <v>54</v>
      </c>
      <c r="I1343" t="s">
        <v>5297</v>
      </c>
      <c r="J1343" t="s">
        <v>38</v>
      </c>
      <c r="K1343" t="s">
        <v>38</v>
      </c>
      <c r="L1343" t="s">
        <v>40</v>
      </c>
      <c r="M1343" t="s">
        <v>38</v>
      </c>
      <c r="N1343" t="s">
        <v>38</v>
      </c>
      <c r="O1343" t="s">
        <v>39</v>
      </c>
      <c r="P1343" t="s">
        <v>38</v>
      </c>
      <c r="Q1343" t="s">
        <v>38</v>
      </c>
      <c r="R1343" t="s">
        <v>40</v>
      </c>
      <c r="S1343" t="s">
        <v>41</v>
      </c>
      <c r="T1343" t="s">
        <v>4601</v>
      </c>
      <c r="U1343" t="s">
        <v>4602</v>
      </c>
      <c r="V1343" t="s">
        <v>4556</v>
      </c>
      <c r="W1343" t="s">
        <v>4603</v>
      </c>
      <c r="Z1343" t="s">
        <v>46</v>
      </c>
      <c r="AA1343" t="s">
        <v>4589</v>
      </c>
      <c r="AC1343">
        <f>COUNTIF(C:C,QLKV_gui_ket_qua_ra_soat[[#This Row],[Mã điểm bán]])</f>
        <v>1</v>
      </c>
    </row>
    <row r="1344" spans="1:29" x14ac:dyDescent="0.45">
      <c r="A1344" t="s">
        <v>4550</v>
      </c>
      <c r="B1344">
        <v>226</v>
      </c>
      <c r="C1344" t="s">
        <v>5298</v>
      </c>
      <c r="D1344" t="s">
        <v>5299</v>
      </c>
      <c r="F1344" t="s">
        <v>53</v>
      </c>
      <c r="G1344" t="s">
        <v>34</v>
      </c>
      <c r="H1344" t="s">
        <v>54</v>
      </c>
      <c r="I1344" t="s">
        <v>5300</v>
      </c>
      <c r="J1344" t="s">
        <v>38</v>
      </c>
      <c r="K1344" t="s">
        <v>38</v>
      </c>
      <c r="L1344" t="s">
        <v>40</v>
      </c>
      <c r="M1344" t="s">
        <v>38</v>
      </c>
      <c r="N1344" t="s">
        <v>38</v>
      </c>
      <c r="O1344" t="s">
        <v>40</v>
      </c>
      <c r="P1344" t="s">
        <v>38</v>
      </c>
      <c r="Q1344" t="s">
        <v>38</v>
      </c>
      <c r="R1344" t="s">
        <v>40</v>
      </c>
      <c r="S1344" t="s">
        <v>41</v>
      </c>
      <c r="T1344" t="s">
        <v>4601</v>
      </c>
      <c r="U1344" t="s">
        <v>4602</v>
      </c>
      <c r="V1344" t="s">
        <v>4556</v>
      </c>
      <c r="W1344" t="s">
        <v>4603</v>
      </c>
      <c r="Z1344" t="s">
        <v>46</v>
      </c>
      <c r="AA1344" t="s">
        <v>4589</v>
      </c>
      <c r="AC1344">
        <f>COUNTIF(C:C,QLKV_gui_ket_qua_ra_soat[[#This Row],[Mã điểm bán]])</f>
        <v>1</v>
      </c>
    </row>
    <row r="1345" spans="1:29" x14ac:dyDescent="0.45">
      <c r="A1345" t="s">
        <v>4550</v>
      </c>
      <c r="B1345">
        <v>227</v>
      </c>
      <c r="C1345" t="s">
        <v>5301</v>
      </c>
      <c r="D1345" t="s">
        <v>5032</v>
      </c>
      <c r="F1345" t="s">
        <v>53</v>
      </c>
      <c r="G1345" t="s">
        <v>34</v>
      </c>
      <c r="H1345" t="s">
        <v>54</v>
      </c>
      <c r="I1345" t="s">
        <v>5302</v>
      </c>
      <c r="J1345" t="s">
        <v>38</v>
      </c>
      <c r="K1345" t="s">
        <v>38</v>
      </c>
      <c r="L1345" t="s">
        <v>40</v>
      </c>
      <c r="M1345" t="s">
        <v>38</v>
      </c>
      <c r="N1345" t="s">
        <v>38</v>
      </c>
      <c r="O1345" t="s">
        <v>40</v>
      </c>
      <c r="P1345" t="s">
        <v>38</v>
      </c>
      <c r="Q1345" t="s">
        <v>38</v>
      </c>
      <c r="R1345" t="s">
        <v>40</v>
      </c>
      <c r="S1345" t="s">
        <v>41</v>
      </c>
      <c r="T1345" t="s">
        <v>4601</v>
      </c>
      <c r="U1345" t="s">
        <v>4602</v>
      </c>
      <c r="V1345" t="s">
        <v>4556</v>
      </c>
      <c r="W1345" t="s">
        <v>4603</v>
      </c>
      <c r="X1345" t="s">
        <v>46</v>
      </c>
      <c r="AC1345">
        <f>COUNTIF(C:C,QLKV_gui_ket_qua_ra_soat[[#This Row],[Mã điểm bán]])</f>
        <v>1</v>
      </c>
    </row>
    <row r="1346" spans="1:29" x14ac:dyDescent="0.45">
      <c r="A1346" t="s">
        <v>4550</v>
      </c>
      <c r="B1346">
        <v>228</v>
      </c>
      <c r="C1346" t="s">
        <v>5303</v>
      </c>
      <c r="D1346" t="s">
        <v>5304</v>
      </c>
      <c r="F1346" t="s">
        <v>53</v>
      </c>
      <c r="G1346" t="s">
        <v>177</v>
      </c>
      <c r="H1346" t="s">
        <v>54</v>
      </c>
      <c r="I1346" t="s">
        <v>5305</v>
      </c>
      <c r="J1346" t="s">
        <v>37</v>
      </c>
      <c r="K1346" t="s">
        <v>38</v>
      </c>
      <c r="L1346" t="s">
        <v>40</v>
      </c>
      <c r="M1346" t="s">
        <v>37</v>
      </c>
      <c r="N1346" t="s">
        <v>37</v>
      </c>
      <c r="O1346" t="s">
        <v>40</v>
      </c>
      <c r="P1346" t="s">
        <v>38</v>
      </c>
      <c r="Q1346" t="s">
        <v>38</v>
      </c>
      <c r="R1346" t="s">
        <v>40</v>
      </c>
      <c r="S1346" t="s">
        <v>41</v>
      </c>
      <c r="T1346" t="s">
        <v>4601</v>
      </c>
      <c r="U1346" t="s">
        <v>4602</v>
      </c>
      <c r="V1346" t="s">
        <v>4556</v>
      </c>
      <c r="W1346" t="s">
        <v>4603</v>
      </c>
      <c r="X1346" t="s">
        <v>46</v>
      </c>
      <c r="AC1346">
        <f>COUNTIF(C:C,QLKV_gui_ket_qua_ra_soat[[#This Row],[Mã điểm bán]])</f>
        <v>1</v>
      </c>
    </row>
    <row r="1347" spans="1:29" x14ac:dyDescent="0.45">
      <c r="A1347" t="s">
        <v>4550</v>
      </c>
      <c r="B1347">
        <v>229</v>
      </c>
      <c r="C1347" t="s">
        <v>5306</v>
      </c>
      <c r="D1347" t="s">
        <v>5307</v>
      </c>
      <c r="F1347" t="s">
        <v>426</v>
      </c>
      <c r="G1347" t="s">
        <v>1458</v>
      </c>
      <c r="H1347" t="s">
        <v>1731</v>
      </c>
      <c r="I1347" t="s">
        <v>5308</v>
      </c>
      <c r="J1347" t="s">
        <v>38</v>
      </c>
      <c r="K1347" t="s">
        <v>38</v>
      </c>
      <c r="L1347" t="s">
        <v>40</v>
      </c>
      <c r="M1347" t="s">
        <v>38</v>
      </c>
      <c r="N1347" t="s">
        <v>38</v>
      </c>
      <c r="O1347" t="s">
        <v>40</v>
      </c>
      <c r="P1347" t="s">
        <v>38</v>
      </c>
      <c r="Q1347" t="s">
        <v>38</v>
      </c>
      <c r="R1347" t="s">
        <v>40</v>
      </c>
      <c r="S1347" t="s">
        <v>41</v>
      </c>
      <c r="T1347" t="s">
        <v>4601</v>
      </c>
      <c r="U1347" t="s">
        <v>4602</v>
      </c>
      <c r="V1347" t="s">
        <v>4556</v>
      </c>
      <c r="W1347" t="s">
        <v>4603</v>
      </c>
      <c r="X1347" t="s">
        <v>46</v>
      </c>
      <c r="AC1347">
        <f>COUNTIF(C:C,QLKV_gui_ket_qua_ra_soat[[#This Row],[Mã điểm bán]])</f>
        <v>1</v>
      </c>
    </row>
    <row r="1348" spans="1:29" x14ac:dyDescent="0.45">
      <c r="A1348" t="s">
        <v>4550</v>
      </c>
      <c r="B1348">
        <v>230</v>
      </c>
      <c r="C1348" t="s">
        <v>5309</v>
      </c>
      <c r="D1348" t="s">
        <v>5310</v>
      </c>
      <c r="F1348" t="s">
        <v>166</v>
      </c>
      <c r="G1348" t="s">
        <v>34</v>
      </c>
      <c r="H1348" t="s">
        <v>54</v>
      </c>
      <c r="I1348" t="s">
        <v>4709</v>
      </c>
      <c r="J1348" t="s">
        <v>38</v>
      </c>
      <c r="K1348" t="s">
        <v>38</v>
      </c>
      <c r="L1348" t="s">
        <v>40</v>
      </c>
      <c r="M1348" t="s">
        <v>38</v>
      </c>
      <c r="N1348" t="s">
        <v>38</v>
      </c>
      <c r="O1348" t="s">
        <v>40</v>
      </c>
      <c r="P1348" t="s">
        <v>38</v>
      </c>
      <c r="Q1348" t="s">
        <v>38</v>
      </c>
      <c r="R1348" t="s">
        <v>40</v>
      </c>
      <c r="S1348" t="s">
        <v>627</v>
      </c>
      <c r="T1348" t="s">
        <v>4565</v>
      </c>
      <c r="U1348" t="s">
        <v>4566</v>
      </c>
      <c r="V1348" t="s">
        <v>4556</v>
      </c>
      <c r="W1348" t="s">
        <v>4567</v>
      </c>
      <c r="X1348" t="s">
        <v>46</v>
      </c>
      <c r="AC1348">
        <f>COUNTIF(C:C,QLKV_gui_ket_qua_ra_soat[[#This Row],[Mã điểm bán]])</f>
        <v>1</v>
      </c>
    </row>
    <row r="1349" spans="1:29" x14ac:dyDescent="0.45">
      <c r="A1349" t="s">
        <v>4550</v>
      </c>
      <c r="B1349">
        <v>231</v>
      </c>
      <c r="C1349" t="s">
        <v>5311</v>
      </c>
      <c r="D1349" t="s">
        <v>3998</v>
      </c>
      <c r="F1349" t="s">
        <v>401</v>
      </c>
      <c r="G1349" t="s">
        <v>177</v>
      </c>
      <c r="H1349" t="s">
        <v>402</v>
      </c>
      <c r="I1349" t="s">
        <v>5312</v>
      </c>
      <c r="J1349" t="s">
        <v>38</v>
      </c>
      <c r="K1349" t="s">
        <v>38</v>
      </c>
      <c r="L1349" t="s">
        <v>40</v>
      </c>
      <c r="M1349" t="s">
        <v>38</v>
      </c>
      <c r="N1349" t="s">
        <v>56</v>
      </c>
      <c r="O1349" t="s">
        <v>39</v>
      </c>
      <c r="P1349" t="s">
        <v>38</v>
      </c>
      <c r="Q1349" t="s">
        <v>38</v>
      </c>
      <c r="R1349" t="s">
        <v>40</v>
      </c>
      <c r="S1349" t="s">
        <v>5313</v>
      </c>
      <c r="T1349" t="s">
        <v>4667</v>
      </c>
      <c r="U1349" t="s">
        <v>4668</v>
      </c>
      <c r="V1349" t="s">
        <v>4556</v>
      </c>
      <c r="W1349" t="s">
        <v>4567</v>
      </c>
      <c r="X1349" t="s">
        <v>46</v>
      </c>
      <c r="AC1349">
        <f>COUNTIF(C:C,QLKV_gui_ket_qua_ra_soat[[#This Row],[Mã điểm bán]])</f>
        <v>1</v>
      </c>
    </row>
    <row r="1350" spans="1:29" x14ac:dyDescent="0.45">
      <c r="A1350" t="s">
        <v>4550</v>
      </c>
      <c r="B1350">
        <v>232</v>
      </c>
      <c r="C1350" t="s">
        <v>5314</v>
      </c>
      <c r="D1350" t="s">
        <v>5315</v>
      </c>
      <c r="F1350" t="s">
        <v>2365</v>
      </c>
      <c r="G1350" t="s">
        <v>150</v>
      </c>
      <c r="H1350" t="s">
        <v>54</v>
      </c>
      <c r="I1350" t="s">
        <v>5316</v>
      </c>
      <c r="J1350" t="s">
        <v>38</v>
      </c>
      <c r="K1350" t="s">
        <v>38</v>
      </c>
      <c r="L1350" t="s">
        <v>40</v>
      </c>
      <c r="M1350" t="s">
        <v>38</v>
      </c>
      <c r="N1350" t="s">
        <v>38</v>
      </c>
      <c r="O1350" t="s">
        <v>40</v>
      </c>
      <c r="P1350" t="s">
        <v>38</v>
      </c>
      <c r="Q1350" t="s">
        <v>38</v>
      </c>
      <c r="R1350" t="s">
        <v>40</v>
      </c>
      <c r="S1350" t="s">
        <v>41</v>
      </c>
      <c r="T1350" t="s">
        <v>4601</v>
      </c>
      <c r="U1350" t="s">
        <v>4602</v>
      </c>
      <c r="V1350" t="s">
        <v>4556</v>
      </c>
      <c r="W1350" t="s">
        <v>4603</v>
      </c>
      <c r="X1350" t="s">
        <v>46</v>
      </c>
      <c r="AC1350">
        <f>COUNTIF(C:C,QLKV_gui_ket_qua_ra_soat[[#This Row],[Mã điểm bán]])</f>
        <v>1</v>
      </c>
    </row>
    <row r="1351" spans="1:29" x14ac:dyDescent="0.45">
      <c r="A1351" t="s">
        <v>4550</v>
      </c>
      <c r="B1351">
        <v>233</v>
      </c>
      <c r="C1351" t="s">
        <v>5317</v>
      </c>
      <c r="D1351" t="s">
        <v>5318</v>
      </c>
      <c r="F1351" t="s">
        <v>53</v>
      </c>
      <c r="G1351" t="s">
        <v>34</v>
      </c>
      <c r="H1351" t="s">
        <v>54</v>
      </c>
      <c r="I1351" t="s">
        <v>228</v>
      </c>
      <c r="J1351" t="s">
        <v>38</v>
      </c>
      <c r="K1351" t="s">
        <v>38</v>
      </c>
      <c r="L1351" t="s">
        <v>40</v>
      </c>
      <c r="M1351" t="s">
        <v>38</v>
      </c>
      <c r="N1351" t="s">
        <v>38</v>
      </c>
      <c r="O1351" t="s">
        <v>40</v>
      </c>
      <c r="P1351" t="s">
        <v>38</v>
      </c>
      <c r="Q1351" t="s">
        <v>38</v>
      </c>
      <c r="R1351" t="s">
        <v>40</v>
      </c>
      <c r="S1351" t="s">
        <v>627</v>
      </c>
      <c r="T1351" t="s">
        <v>4746</v>
      </c>
      <c r="U1351" t="s">
        <v>4747</v>
      </c>
      <c r="V1351" t="s">
        <v>4556</v>
      </c>
      <c r="W1351" t="s">
        <v>4603</v>
      </c>
      <c r="X1351" t="s">
        <v>46</v>
      </c>
      <c r="AC1351">
        <f>COUNTIF(C:C,QLKV_gui_ket_qua_ra_soat[[#This Row],[Mã điểm bán]])</f>
        <v>1</v>
      </c>
    </row>
    <row r="1352" spans="1:29" x14ac:dyDescent="0.45">
      <c r="A1352" t="s">
        <v>4550</v>
      </c>
      <c r="B1352">
        <v>234</v>
      </c>
      <c r="C1352" t="s">
        <v>5319</v>
      </c>
      <c r="D1352" t="s">
        <v>5320</v>
      </c>
      <c r="F1352" t="s">
        <v>53</v>
      </c>
      <c r="G1352" t="s">
        <v>177</v>
      </c>
      <c r="H1352" t="s">
        <v>54</v>
      </c>
      <c r="I1352" t="s">
        <v>4725</v>
      </c>
      <c r="J1352" t="s">
        <v>37</v>
      </c>
      <c r="K1352" t="s">
        <v>37</v>
      </c>
      <c r="L1352" t="s">
        <v>39</v>
      </c>
      <c r="M1352" t="s">
        <v>37</v>
      </c>
      <c r="N1352" t="s">
        <v>37</v>
      </c>
      <c r="O1352" t="s">
        <v>39</v>
      </c>
      <c r="P1352" t="s">
        <v>38</v>
      </c>
      <c r="Q1352" t="s">
        <v>38</v>
      </c>
      <c r="R1352" t="s">
        <v>39</v>
      </c>
      <c r="S1352" t="s">
        <v>41</v>
      </c>
      <c r="T1352" t="s">
        <v>4601</v>
      </c>
      <c r="U1352" t="s">
        <v>4602</v>
      </c>
      <c r="V1352" t="s">
        <v>4556</v>
      </c>
      <c r="W1352" t="s">
        <v>4603</v>
      </c>
      <c r="X1352" t="s">
        <v>46</v>
      </c>
      <c r="AC1352">
        <f>COUNTIF(C:C,QLKV_gui_ket_qua_ra_soat[[#This Row],[Mã điểm bán]])</f>
        <v>1</v>
      </c>
    </row>
    <row r="1353" spans="1:29" x14ac:dyDescent="0.45">
      <c r="A1353" t="s">
        <v>4550</v>
      </c>
      <c r="B1353">
        <v>235</v>
      </c>
      <c r="C1353" t="s">
        <v>5321</v>
      </c>
      <c r="D1353" t="s">
        <v>5322</v>
      </c>
      <c r="F1353" t="s">
        <v>884</v>
      </c>
      <c r="G1353" t="s">
        <v>34</v>
      </c>
      <c r="H1353" t="s">
        <v>402</v>
      </c>
      <c r="I1353" t="s">
        <v>5323</v>
      </c>
      <c r="J1353" t="s">
        <v>38</v>
      </c>
      <c r="K1353" t="s">
        <v>38</v>
      </c>
      <c r="L1353" t="s">
        <v>40</v>
      </c>
      <c r="M1353" t="s">
        <v>37</v>
      </c>
      <c r="N1353" t="s">
        <v>37</v>
      </c>
      <c r="O1353" t="s">
        <v>39</v>
      </c>
      <c r="P1353" t="s">
        <v>38</v>
      </c>
      <c r="Q1353" t="s">
        <v>38</v>
      </c>
      <c r="R1353" t="s">
        <v>40</v>
      </c>
      <c r="S1353" t="s">
        <v>627</v>
      </c>
      <c r="T1353" t="s">
        <v>4746</v>
      </c>
      <c r="U1353" t="s">
        <v>4747</v>
      </c>
      <c r="V1353" t="s">
        <v>4556</v>
      </c>
      <c r="W1353" t="s">
        <v>4603</v>
      </c>
      <c r="X1353" t="s">
        <v>46</v>
      </c>
      <c r="AC1353">
        <f>COUNTIF(C:C,QLKV_gui_ket_qua_ra_soat[[#This Row],[Mã điểm bán]])</f>
        <v>1</v>
      </c>
    </row>
    <row r="1354" spans="1:29" x14ac:dyDescent="0.45">
      <c r="A1354" t="s">
        <v>4550</v>
      </c>
      <c r="B1354">
        <v>236</v>
      </c>
      <c r="C1354" t="s">
        <v>5324</v>
      </c>
      <c r="D1354" t="s">
        <v>3334</v>
      </c>
      <c r="F1354" t="s">
        <v>1871</v>
      </c>
      <c r="G1354" t="s">
        <v>34</v>
      </c>
      <c r="H1354" t="s">
        <v>214</v>
      </c>
      <c r="I1354" t="s">
        <v>5325</v>
      </c>
      <c r="J1354" t="s">
        <v>38</v>
      </c>
      <c r="K1354" t="s">
        <v>38</v>
      </c>
      <c r="L1354" t="s">
        <v>40</v>
      </c>
      <c r="M1354" t="s">
        <v>38</v>
      </c>
      <c r="N1354" t="s">
        <v>38</v>
      </c>
      <c r="O1354" t="s">
        <v>40</v>
      </c>
      <c r="P1354" t="s">
        <v>38</v>
      </c>
      <c r="Q1354" t="s">
        <v>38</v>
      </c>
      <c r="R1354" t="s">
        <v>40</v>
      </c>
      <c r="S1354" t="s">
        <v>41</v>
      </c>
      <c r="T1354" t="s">
        <v>4554</v>
      </c>
      <c r="U1354" t="s">
        <v>4555</v>
      </c>
      <c r="V1354" t="s">
        <v>4556</v>
      </c>
      <c r="W1354" t="s">
        <v>4557</v>
      </c>
      <c r="Z1354" t="s">
        <v>46</v>
      </c>
      <c r="AA1354" t="s">
        <v>4575</v>
      </c>
      <c r="AC1354">
        <f>COUNTIF(C:C,QLKV_gui_ket_qua_ra_soat[[#This Row],[Mã điểm bán]])</f>
        <v>1</v>
      </c>
    </row>
    <row r="1355" spans="1:29" x14ac:dyDescent="0.45">
      <c r="A1355" t="s">
        <v>4550</v>
      </c>
      <c r="B1355">
        <v>237</v>
      </c>
      <c r="C1355" t="s">
        <v>5326</v>
      </c>
      <c r="D1355" t="s">
        <v>5327</v>
      </c>
      <c r="F1355" t="s">
        <v>401</v>
      </c>
      <c r="G1355" t="s">
        <v>34</v>
      </c>
      <c r="H1355" t="s">
        <v>214</v>
      </c>
      <c r="I1355" t="s">
        <v>5325</v>
      </c>
      <c r="J1355" t="s">
        <v>38</v>
      </c>
      <c r="K1355" t="s">
        <v>38</v>
      </c>
      <c r="L1355" t="s">
        <v>40</v>
      </c>
      <c r="M1355" t="s">
        <v>38</v>
      </c>
      <c r="N1355" t="s">
        <v>38</v>
      </c>
      <c r="O1355" t="s">
        <v>39</v>
      </c>
      <c r="P1355" t="s">
        <v>38</v>
      </c>
      <c r="Q1355" t="s">
        <v>38</v>
      </c>
      <c r="R1355" t="s">
        <v>40</v>
      </c>
      <c r="S1355" t="s">
        <v>41</v>
      </c>
      <c r="T1355" t="s">
        <v>4554</v>
      </c>
      <c r="U1355" t="s">
        <v>4555</v>
      </c>
      <c r="V1355" t="s">
        <v>4556</v>
      </c>
      <c r="W1355" t="s">
        <v>4557</v>
      </c>
      <c r="X1355" t="s">
        <v>46</v>
      </c>
      <c r="AC1355">
        <f>COUNTIF(C:C,QLKV_gui_ket_qua_ra_soat[[#This Row],[Mã điểm bán]])</f>
        <v>1</v>
      </c>
    </row>
    <row r="1356" spans="1:29" x14ac:dyDescent="0.45">
      <c r="A1356" t="s">
        <v>4550</v>
      </c>
      <c r="B1356">
        <v>238</v>
      </c>
      <c r="C1356" t="s">
        <v>5328</v>
      </c>
      <c r="D1356" t="s">
        <v>5329</v>
      </c>
      <c r="F1356" t="s">
        <v>1833</v>
      </c>
      <c r="G1356" t="s">
        <v>34</v>
      </c>
      <c r="H1356" t="s">
        <v>565</v>
      </c>
      <c r="I1356" t="s">
        <v>5330</v>
      </c>
      <c r="J1356" t="s">
        <v>38</v>
      </c>
      <c r="K1356" t="s">
        <v>38</v>
      </c>
      <c r="L1356" t="s">
        <v>40</v>
      </c>
      <c r="M1356" t="s">
        <v>37</v>
      </c>
      <c r="N1356" t="s">
        <v>37</v>
      </c>
      <c r="O1356" t="s">
        <v>39</v>
      </c>
      <c r="P1356" t="s">
        <v>37</v>
      </c>
      <c r="Q1356" t="s">
        <v>37</v>
      </c>
      <c r="R1356" t="s">
        <v>39</v>
      </c>
      <c r="S1356" t="s">
        <v>41</v>
      </c>
      <c r="T1356" t="s">
        <v>4737</v>
      </c>
      <c r="U1356" t="s">
        <v>4738</v>
      </c>
      <c r="V1356" t="s">
        <v>4556</v>
      </c>
      <c r="W1356" t="s">
        <v>1457</v>
      </c>
      <c r="X1356" t="s">
        <v>46</v>
      </c>
      <c r="AC1356">
        <f>COUNTIF(C:C,QLKV_gui_ket_qua_ra_soat[[#This Row],[Mã điểm bán]])</f>
        <v>1</v>
      </c>
    </row>
    <row r="1357" spans="1:29" x14ac:dyDescent="0.45">
      <c r="A1357" t="s">
        <v>4550</v>
      </c>
      <c r="B1357">
        <v>239</v>
      </c>
      <c r="C1357" t="s">
        <v>5331</v>
      </c>
      <c r="D1357" t="s">
        <v>5332</v>
      </c>
      <c r="F1357" t="s">
        <v>115</v>
      </c>
      <c r="G1357" t="s">
        <v>34</v>
      </c>
      <c r="H1357" t="s">
        <v>100</v>
      </c>
      <c r="I1357" t="s">
        <v>5333</v>
      </c>
      <c r="J1357" t="s">
        <v>38</v>
      </c>
      <c r="K1357" t="s">
        <v>38</v>
      </c>
      <c r="L1357" t="s">
        <v>40</v>
      </c>
      <c r="M1357" t="s">
        <v>38</v>
      </c>
      <c r="N1357" t="s">
        <v>38</v>
      </c>
      <c r="O1357" t="s">
        <v>39</v>
      </c>
      <c r="P1357" t="s">
        <v>38</v>
      </c>
      <c r="Q1357" t="s">
        <v>38</v>
      </c>
      <c r="R1357" t="s">
        <v>40</v>
      </c>
      <c r="S1357" t="s">
        <v>41</v>
      </c>
      <c r="T1357" t="s">
        <v>4601</v>
      </c>
      <c r="U1357" t="s">
        <v>4602</v>
      </c>
      <c r="V1357" t="s">
        <v>4556</v>
      </c>
      <c r="W1357" t="s">
        <v>4603</v>
      </c>
      <c r="X1357" t="s">
        <v>46</v>
      </c>
      <c r="AC1357">
        <f>COUNTIF(C:C,QLKV_gui_ket_qua_ra_soat[[#This Row],[Mã điểm bán]])</f>
        <v>1</v>
      </c>
    </row>
    <row r="1358" spans="1:29" x14ac:dyDescent="0.45">
      <c r="A1358" t="s">
        <v>4550</v>
      </c>
      <c r="B1358">
        <v>240</v>
      </c>
      <c r="C1358" t="s">
        <v>5334</v>
      </c>
      <c r="D1358" t="s">
        <v>5335</v>
      </c>
      <c r="F1358" t="s">
        <v>53</v>
      </c>
      <c r="G1358" t="s">
        <v>34</v>
      </c>
      <c r="H1358" t="s">
        <v>54</v>
      </c>
      <c r="I1358" t="s">
        <v>5336</v>
      </c>
      <c r="J1358" t="s">
        <v>37</v>
      </c>
      <c r="K1358" t="s">
        <v>37</v>
      </c>
      <c r="L1358" t="s">
        <v>39</v>
      </c>
      <c r="M1358" t="s">
        <v>37</v>
      </c>
      <c r="N1358" t="s">
        <v>37</v>
      </c>
      <c r="O1358" t="s">
        <v>39</v>
      </c>
      <c r="P1358" t="s">
        <v>37</v>
      </c>
      <c r="Q1358" t="s">
        <v>37</v>
      </c>
      <c r="R1358" t="s">
        <v>39</v>
      </c>
      <c r="S1358" t="s">
        <v>5337</v>
      </c>
      <c r="T1358" t="s">
        <v>5069</v>
      </c>
      <c r="U1358" t="s">
        <v>5070</v>
      </c>
      <c r="V1358" t="s">
        <v>4556</v>
      </c>
      <c r="W1358" t="s">
        <v>4603</v>
      </c>
      <c r="X1358" t="s">
        <v>46</v>
      </c>
      <c r="AC1358">
        <f>COUNTIF(C:C,QLKV_gui_ket_qua_ra_soat[[#This Row],[Mã điểm bán]])</f>
        <v>1</v>
      </c>
    </row>
    <row r="1359" spans="1:29" x14ac:dyDescent="0.45">
      <c r="A1359" t="s">
        <v>4550</v>
      </c>
      <c r="B1359">
        <v>241</v>
      </c>
      <c r="C1359" t="s">
        <v>5338</v>
      </c>
      <c r="D1359" t="s">
        <v>5339</v>
      </c>
      <c r="F1359" t="s">
        <v>286</v>
      </c>
      <c r="G1359" t="s">
        <v>34</v>
      </c>
      <c r="H1359" t="s">
        <v>917</v>
      </c>
      <c r="I1359" t="s">
        <v>5340</v>
      </c>
      <c r="J1359" t="s">
        <v>38</v>
      </c>
      <c r="K1359" t="s">
        <v>38</v>
      </c>
      <c r="L1359" t="s">
        <v>39</v>
      </c>
      <c r="M1359" t="s">
        <v>38</v>
      </c>
      <c r="N1359" t="s">
        <v>37</v>
      </c>
      <c r="O1359" t="s">
        <v>39</v>
      </c>
      <c r="P1359" t="s">
        <v>38</v>
      </c>
      <c r="Q1359" t="s">
        <v>38</v>
      </c>
      <c r="R1359" t="s">
        <v>39</v>
      </c>
      <c r="S1359" t="s">
        <v>5341</v>
      </c>
      <c r="T1359" t="s">
        <v>4801</v>
      </c>
      <c r="U1359" t="s">
        <v>4802</v>
      </c>
      <c r="V1359" t="s">
        <v>4556</v>
      </c>
      <c r="W1359" t="s">
        <v>1457</v>
      </c>
      <c r="X1359" t="s">
        <v>46</v>
      </c>
      <c r="AC1359">
        <f>COUNTIF(C:C,QLKV_gui_ket_qua_ra_soat[[#This Row],[Mã điểm bán]])</f>
        <v>1</v>
      </c>
    </row>
    <row r="1360" spans="1:29" x14ac:dyDescent="0.45">
      <c r="A1360" t="s">
        <v>4550</v>
      </c>
      <c r="B1360">
        <v>242</v>
      </c>
      <c r="C1360" t="s">
        <v>5342</v>
      </c>
      <c r="D1360" t="s">
        <v>5343</v>
      </c>
      <c r="F1360" t="s">
        <v>401</v>
      </c>
      <c r="G1360" t="s">
        <v>34</v>
      </c>
      <c r="H1360" t="s">
        <v>1188</v>
      </c>
      <c r="I1360" t="s">
        <v>5344</v>
      </c>
      <c r="J1360" t="s">
        <v>38</v>
      </c>
      <c r="K1360" t="s">
        <v>38</v>
      </c>
      <c r="L1360" t="s">
        <v>39</v>
      </c>
      <c r="M1360" t="s">
        <v>37</v>
      </c>
      <c r="N1360" t="s">
        <v>37</v>
      </c>
      <c r="O1360" t="s">
        <v>39</v>
      </c>
      <c r="P1360" t="s">
        <v>38</v>
      </c>
      <c r="Q1360" t="s">
        <v>38</v>
      </c>
      <c r="R1360" t="s">
        <v>40</v>
      </c>
      <c r="S1360" t="s">
        <v>5345</v>
      </c>
      <c r="T1360" t="s">
        <v>4746</v>
      </c>
      <c r="U1360" t="s">
        <v>4747</v>
      </c>
      <c r="V1360" t="s">
        <v>4556</v>
      </c>
      <c r="W1360" t="s">
        <v>4603</v>
      </c>
      <c r="X1360" t="s">
        <v>46</v>
      </c>
      <c r="AC1360">
        <f>COUNTIF(C:C,QLKV_gui_ket_qua_ra_soat[[#This Row],[Mã điểm bán]])</f>
        <v>1</v>
      </c>
    </row>
    <row r="1361" spans="1:29" x14ac:dyDescent="0.45">
      <c r="A1361" t="s">
        <v>4550</v>
      </c>
      <c r="B1361">
        <v>243</v>
      </c>
      <c r="C1361" t="s">
        <v>5346</v>
      </c>
      <c r="D1361" t="s">
        <v>3941</v>
      </c>
      <c r="F1361" t="s">
        <v>53</v>
      </c>
      <c r="G1361" t="s">
        <v>34</v>
      </c>
      <c r="H1361" t="s">
        <v>54</v>
      </c>
      <c r="I1361" t="s">
        <v>5347</v>
      </c>
      <c r="J1361" t="s">
        <v>38</v>
      </c>
      <c r="K1361" t="s">
        <v>38</v>
      </c>
      <c r="L1361" t="s">
        <v>40</v>
      </c>
      <c r="M1361" t="s">
        <v>38</v>
      </c>
      <c r="N1361" t="s">
        <v>56</v>
      </c>
      <c r="O1361" t="s">
        <v>39</v>
      </c>
      <c r="P1361" t="s">
        <v>38</v>
      </c>
      <c r="Q1361" t="s">
        <v>38</v>
      </c>
      <c r="R1361" t="s">
        <v>40</v>
      </c>
      <c r="S1361" t="s">
        <v>41</v>
      </c>
      <c r="T1361" t="s">
        <v>4667</v>
      </c>
      <c r="U1361" t="s">
        <v>4668</v>
      </c>
      <c r="V1361" t="s">
        <v>4556</v>
      </c>
      <c r="W1361" t="s">
        <v>4567</v>
      </c>
      <c r="X1361" t="s">
        <v>46</v>
      </c>
      <c r="AC1361">
        <f>COUNTIF(C:C,QLKV_gui_ket_qua_ra_soat[[#This Row],[Mã điểm bán]])</f>
        <v>1</v>
      </c>
    </row>
    <row r="1362" spans="1:29" x14ac:dyDescent="0.45">
      <c r="A1362" t="s">
        <v>4550</v>
      </c>
      <c r="B1362">
        <v>244</v>
      </c>
      <c r="C1362" t="s">
        <v>5348</v>
      </c>
      <c r="D1362" t="s">
        <v>5349</v>
      </c>
      <c r="F1362" t="s">
        <v>115</v>
      </c>
      <c r="G1362" t="s">
        <v>34</v>
      </c>
      <c r="H1362" t="s">
        <v>214</v>
      </c>
      <c r="I1362" t="s">
        <v>5350</v>
      </c>
      <c r="J1362" t="s">
        <v>38</v>
      </c>
      <c r="K1362" t="s">
        <v>38</v>
      </c>
      <c r="L1362" t="s">
        <v>40</v>
      </c>
      <c r="M1362" t="s">
        <v>38</v>
      </c>
      <c r="N1362" t="s">
        <v>56</v>
      </c>
      <c r="O1362" t="s">
        <v>39</v>
      </c>
      <c r="P1362" t="s">
        <v>38</v>
      </c>
      <c r="Q1362" t="s">
        <v>38</v>
      </c>
      <c r="R1362" t="s">
        <v>40</v>
      </c>
      <c r="S1362" t="s">
        <v>41</v>
      </c>
      <c r="T1362" t="s">
        <v>4667</v>
      </c>
      <c r="U1362" t="s">
        <v>4668</v>
      </c>
      <c r="V1362" t="s">
        <v>4556</v>
      </c>
      <c r="W1362" t="s">
        <v>4567</v>
      </c>
      <c r="X1362" t="s">
        <v>46</v>
      </c>
      <c r="AC1362">
        <f>COUNTIF(C:C,QLKV_gui_ket_qua_ra_soat[[#This Row],[Mã điểm bán]])</f>
        <v>1</v>
      </c>
    </row>
    <row r="1363" spans="1:29" x14ac:dyDescent="0.45">
      <c r="A1363" t="s">
        <v>4550</v>
      </c>
      <c r="B1363">
        <v>245</v>
      </c>
      <c r="C1363" t="s">
        <v>5351</v>
      </c>
      <c r="D1363" t="s">
        <v>5352</v>
      </c>
      <c r="F1363" t="s">
        <v>325</v>
      </c>
      <c r="G1363" t="s">
        <v>34</v>
      </c>
      <c r="H1363" t="s">
        <v>565</v>
      </c>
      <c r="I1363" t="s">
        <v>5353</v>
      </c>
      <c r="J1363" t="s">
        <v>38</v>
      </c>
      <c r="K1363" t="s">
        <v>38</v>
      </c>
      <c r="L1363" t="s">
        <v>40</v>
      </c>
      <c r="M1363" t="s">
        <v>37</v>
      </c>
      <c r="N1363" t="s">
        <v>37</v>
      </c>
      <c r="O1363" t="s">
        <v>39</v>
      </c>
      <c r="P1363" t="s">
        <v>38</v>
      </c>
      <c r="Q1363" t="s">
        <v>38</v>
      </c>
      <c r="R1363" t="s">
        <v>40</v>
      </c>
      <c r="S1363" t="s">
        <v>5169</v>
      </c>
      <c r="T1363" t="s">
        <v>4746</v>
      </c>
      <c r="U1363" t="s">
        <v>4747</v>
      </c>
      <c r="V1363" t="s">
        <v>4556</v>
      </c>
      <c r="W1363" t="s">
        <v>4603</v>
      </c>
      <c r="X1363" t="s">
        <v>46</v>
      </c>
      <c r="AC1363">
        <f>COUNTIF(C:C,QLKV_gui_ket_qua_ra_soat[[#This Row],[Mã điểm bán]])</f>
        <v>1</v>
      </c>
    </row>
    <row r="1364" spans="1:29" x14ac:dyDescent="0.45">
      <c r="A1364" t="s">
        <v>4550</v>
      </c>
      <c r="B1364">
        <v>246</v>
      </c>
      <c r="C1364" t="s">
        <v>5354</v>
      </c>
      <c r="D1364" t="s">
        <v>5355</v>
      </c>
      <c r="F1364" t="s">
        <v>166</v>
      </c>
      <c r="G1364" t="s">
        <v>34</v>
      </c>
      <c r="H1364" t="s">
        <v>685</v>
      </c>
      <c r="I1364" t="s">
        <v>5356</v>
      </c>
      <c r="J1364" t="s">
        <v>38</v>
      </c>
      <c r="K1364" t="s">
        <v>38</v>
      </c>
      <c r="L1364" t="s">
        <v>40</v>
      </c>
      <c r="M1364" t="s">
        <v>38</v>
      </c>
      <c r="N1364" t="s">
        <v>38</v>
      </c>
      <c r="O1364" t="s">
        <v>40</v>
      </c>
      <c r="P1364" t="s">
        <v>38</v>
      </c>
      <c r="Q1364" t="s">
        <v>38</v>
      </c>
      <c r="R1364" t="s">
        <v>40</v>
      </c>
      <c r="S1364" t="s">
        <v>41</v>
      </c>
      <c r="T1364" t="s">
        <v>4554</v>
      </c>
      <c r="U1364" t="s">
        <v>4555</v>
      </c>
      <c r="V1364" t="s">
        <v>4556</v>
      </c>
      <c r="W1364" t="s">
        <v>4557</v>
      </c>
      <c r="X1364" t="s">
        <v>46</v>
      </c>
      <c r="AC1364">
        <f>COUNTIF(C:C,QLKV_gui_ket_qua_ra_soat[[#This Row],[Mã điểm bán]])</f>
        <v>1</v>
      </c>
    </row>
    <row r="1365" spans="1:29" x14ac:dyDescent="0.45">
      <c r="A1365" t="s">
        <v>4550</v>
      </c>
      <c r="B1365">
        <v>247</v>
      </c>
      <c r="C1365" t="s">
        <v>5357</v>
      </c>
      <c r="D1365" t="s">
        <v>5358</v>
      </c>
      <c r="F1365" t="s">
        <v>53</v>
      </c>
      <c r="G1365" t="s">
        <v>34</v>
      </c>
      <c r="H1365" t="s">
        <v>54</v>
      </c>
      <c r="I1365" t="s">
        <v>5359</v>
      </c>
      <c r="J1365" t="s">
        <v>38</v>
      </c>
      <c r="K1365" t="s">
        <v>38</v>
      </c>
      <c r="L1365" t="s">
        <v>40</v>
      </c>
      <c r="M1365" t="s">
        <v>38</v>
      </c>
      <c r="N1365" t="s">
        <v>38</v>
      </c>
      <c r="O1365" t="s">
        <v>40</v>
      </c>
      <c r="P1365" t="s">
        <v>38</v>
      </c>
      <c r="Q1365" t="s">
        <v>38</v>
      </c>
      <c r="R1365" t="s">
        <v>40</v>
      </c>
      <c r="S1365" t="s">
        <v>41</v>
      </c>
      <c r="T1365" t="s">
        <v>4554</v>
      </c>
      <c r="U1365" t="s">
        <v>4555</v>
      </c>
      <c r="V1365" t="s">
        <v>4556</v>
      </c>
      <c r="W1365" t="s">
        <v>4557</v>
      </c>
      <c r="X1365" t="s">
        <v>46</v>
      </c>
      <c r="AC1365">
        <f>COUNTIF(C:C,QLKV_gui_ket_qua_ra_soat[[#This Row],[Mã điểm bán]])</f>
        <v>1</v>
      </c>
    </row>
    <row r="1366" spans="1:29" x14ac:dyDescent="0.45">
      <c r="A1366" t="s">
        <v>4550</v>
      </c>
      <c r="B1366">
        <v>248</v>
      </c>
      <c r="C1366" t="s">
        <v>5360</v>
      </c>
      <c r="D1366" t="s">
        <v>5361</v>
      </c>
      <c r="F1366" t="s">
        <v>115</v>
      </c>
      <c r="G1366" t="s">
        <v>34</v>
      </c>
      <c r="H1366" t="s">
        <v>214</v>
      </c>
      <c r="I1366" t="s">
        <v>5362</v>
      </c>
      <c r="J1366" t="s">
        <v>38</v>
      </c>
      <c r="K1366" t="s">
        <v>38</v>
      </c>
      <c r="L1366" t="s">
        <v>40</v>
      </c>
      <c r="M1366" t="s">
        <v>37</v>
      </c>
      <c r="N1366" t="s">
        <v>38</v>
      </c>
      <c r="O1366" t="s">
        <v>39</v>
      </c>
      <c r="P1366" t="s">
        <v>38</v>
      </c>
      <c r="Q1366" t="s">
        <v>38</v>
      </c>
      <c r="R1366" t="s">
        <v>40</v>
      </c>
      <c r="S1366" t="s">
        <v>5363</v>
      </c>
      <c r="T1366" t="s">
        <v>4746</v>
      </c>
      <c r="U1366" t="s">
        <v>4747</v>
      </c>
      <c r="V1366" t="s">
        <v>4556</v>
      </c>
      <c r="W1366" t="s">
        <v>4603</v>
      </c>
      <c r="X1366" t="s">
        <v>46</v>
      </c>
      <c r="AC1366">
        <f>COUNTIF(C:C,QLKV_gui_ket_qua_ra_soat[[#This Row],[Mã điểm bán]])</f>
        <v>1</v>
      </c>
    </row>
    <row r="1367" spans="1:29" x14ac:dyDescent="0.45">
      <c r="A1367" t="s">
        <v>4550</v>
      </c>
      <c r="B1367">
        <v>249</v>
      </c>
      <c r="C1367" t="s">
        <v>5364</v>
      </c>
      <c r="D1367" t="s">
        <v>5365</v>
      </c>
      <c r="F1367" t="s">
        <v>2365</v>
      </c>
      <c r="G1367" t="s">
        <v>177</v>
      </c>
      <c r="H1367" t="s">
        <v>54</v>
      </c>
      <c r="I1367" t="s">
        <v>5366</v>
      </c>
      <c r="J1367" t="s">
        <v>37</v>
      </c>
      <c r="K1367" t="s">
        <v>37</v>
      </c>
      <c r="L1367" t="s">
        <v>39</v>
      </c>
      <c r="M1367" t="s">
        <v>56</v>
      </c>
      <c r="N1367" t="s">
        <v>56</v>
      </c>
      <c r="O1367" t="s">
        <v>39</v>
      </c>
      <c r="P1367" t="s">
        <v>775</v>
      </c>
      <c r="Q1367" t="s">
        <v>38</v>
      </c>
      <c r="R1367" t="s">
        <v>39</v>
      </c>
      <c r="S1367" t="s">
        <v>5367</v>
      </c>
      <c r="T1367" t="s">
        <v>5069</v>
      </c>
      <c r="U1367" t="s">
        <v>5070</v>
      </c>
      <c r="V1367" t="s">
        <v>4556</v>
      </c>
      <c r="W1367" t="s">
        <v>4603</v>
      </c>
      <c r="Z1367" t="s">
        <v>46</v>
      </c>
      <c r="AA1367" t="s">
        <v>4589</v>
      </c>
      <c r="AC1367">
        <f>COUNTIF(C:C,QLKV_gui_ket_qua_ra_soat[[#This Row],[Mã điểm bán]])</f>
        <v>1</v>
      </c>
    </row>
    <row r="1368" spans="1:29" x14ac:dyDescent="0.45">
      <c r="A1368" t="s">
        <v>4550</v>
      </c>
      <c r="B1368">
        <v>250</v>
      </c>
      <c r="C1368" t="s">
        <v>5368</v>
      </c>
      <c r="D1368" t="s">
        <v>5369</v>
      </c>
      <c r="F1368" t="s">
        <v>53</v>
      </c>
      <c r="G1368" t="s">
        <v>34</v>
      </c>
      <c r="H1368" t="s">
        <v>54</v>
      </c>
      <c r="I1368" t="s">
        <v>4645</v>
      </c>
      <c r="J1368" t="s">
        <v>38</v>
      </c>
      <c r="K1368" t="s">
        <v>38</v>
      </c>
      <c r="L1368" t="s">
        <v>40</v>
      </c>
      <c r="M1368" t="s">
        <v>38</v>
      </c>
      <c r="N1368" t="s">
        <v>38</v>
      </c>
      <c r="O1368" t="s">
        <v>40</v>
      </c>
      <c r="P1368" t="s">
        <v>38</v>
      </c>
      <c r="Q1368" t="s">
        <v>38</v>
      </c>
      <c r="R1368" t="s">
        <v>40</v>
      </c>
      <c r="S1368" t="s">
        <v>41</v>
      </c>
      <c r="T1368" t="s">
        <v>4554</v>
      </c>
      <c r="U1368" t="s">
        <v>4555</v>
      </c>
      <c r="V1368" t="s">
        <v>4556</v>
      </c>
      <c r="W1368" t="s">
        <v>4557</v>
      </c>
      <c r="X1368" t="s">
        <v>46</v>
      </c>
      <c r="AC1368">
        <f>COUNTIF(C:C,QLKV_gui_ket_qua_ra_soat[[#This Row],[Mã điểm bán]])</f>
        <v>1</v>
      </c>
    </row>
    <row r="1369" spans="1:29" x14ac:dyDescent="0.45">
      <c r="A1369" t="s">
        <v>4550</v>
      </c>
      <c r="B1369">
        <v>251</v>
      </c>
      <c r="C1369" t="s">
        <v>5370</v>
      </c>
      <c r="D1369" t="s">
        <v>5371</v>
      </c>
      <c r="F1369" t="s">
        <v>53</v>
      </c>
      <c r="G1369" t="s">
        <v>34</v>
      </c>
      <c r="H1369" t="s">
        <v>54</v>
      </c>
      <c r="I1369" t="s">
        <v>5372</v>
      </c>
      <c r="J1369" t="s">
        <v>56</v>
      </c>
      <c r="K1369" t="s">
        <v>56</v>
      </c>
      <c r="L1369" t="s">
        <v>39</v>
      </c>
      <c r="M1369" t="s">
        <v>775</v>
      </c>
      <c r="N1369" t="s">
        <v>37</v>
      </c>
      <c r="O1369" t="s">
        <v>39</v>
      </c>
      <c r="P1369" t="s">
        <v>1034</v>
      </c>
      <c r="Q1369" t="s">
        <v>37</v>
      </c>
      <c r="R1369" t="s">
        <v>39</v>
      </c>
      <c r="S1369" t="s">
        <v>5373</v>
      </c>
      <c r="T1369" t="s">
        <v>5069</v>
      </c>
      <c r="U1369" t="s">
        <v>5070</v>
      </c>
      <c r="V1369" t="s">
        <v>4556</v>
      </c>
      <c r="W1369" t="s">
        <v>4603</v>
      </c>
      <c r="Z1369" t="s">
        <v>46</v>
      </c>
      <c r="AA1369" t="s">
        <v>4575</v>
      </c>
      <c r="AC1369">
        <f>COUNTIF(C:C,QLKV_gui_ket_qua_ra_soat[[#This Row],[Mã điểm bán]])</f>
        <v>1</v>
      </c>
    </row>
    <row r="1370" spans="1:29" x14ac:dyDescent="0.45">
      <c r="A1370" t="s">
        <v>4550</v>
      </c>
      <c r="B1370">
        <v>252</v>
      </c>
      <c r="C1370" t="s">
        <v>5374</v>
      </c>
      <c r="D1370" t="s">
        <v>5375</v>
      </c>
      <c r="F1370" t="s">
        <v>53</v>
      </c>
      <c r="G1370" t="s">
        <v>34</v>
      </c>
      <c r="H1370" t="s">
        <v>54</v>
      </c>
      <c r="I1370" t="s">
        <v>5376</v>
      </c>
      <c r="J1370" t="s">
        <v>38</v>
      </c>
      <c r="K1370" t="s">
        <v>38</v>
      </c>
      <c r="L1370" t="s">
        <v>40</v>
      </c>
      <c r="M1370" t="s">
        <v>38</v>
      </c>
      <c r="N1370" t="s">
        <v>38</v>
      </c>
      <c r="O1370" t="s">
        <v>40</v>
      </c>
      <c r="P1370" t="s">
        <v>38</v>
      </c>
      <c r="Q1370" t="s">
        <v>38</v>
      </c>
      <c r="R1370" t="s">
        <v>40</v>
      </c>
      <c r="S1370" t="s">
        <v>41</v>
      </c>
      <c r="T1370" t="s">
        <v>4554</v>
      </c>
      <c r="U1370" t="s">
        <v>4555</v>
      </c>
      <c r="V1370" t="s">
        <v>4556</v>
      </c>
      <c r="W1370" t="s">
        <v>4557</v>
      </c>
      <c r="X1370" t="s">
        <v>46</v>
      </c>
      <c r="AC1370">
        <f>COUNTIF(C:C,QLKV_gui_ket_qua_ra_soat[[#This Row],[Mã điểm bán]])</f>
        <v>1</v>
      </c>
    </row>
    <row r="1371" spans="1:29" x14ac:dyDescent="0.45">
      <c r="A1371" t="s">
        <v>4550</v>
      </c>
      <c r="B1371">
        <v>253</v>
      </c>
      <c r="C1371" t="s">
        <v>5377</v>
      </c>
      <c r="D1371" t="s">
        <v>5378</v>
      </c>
      <c r="F1371" t="s">
        <v>401</v>
      </c>
      <c r="G1371" t="s">
        <v>34</v>
      </c>
      <c r="H1371" t="s">
        <v>1542</v>
      </c>
      <c r="I1371" t="s">
        <v>5379</v>
      </c>
      <c r="J1371" t="s">
        <v>38</v>
      </c>
      <c r="K1371" t="s">
        <v>38</v>
      </c>
      <c r="L1371" t="s">
        <v>40</v>
      </c>
      <c r="M1371" t="s">
        <v>37</v>
      </c>
      <c r="N1371" t="s">
        <v>56</v>
      </c>
      <c r="O1371" t="s">
        <v>40</v>
      </c>
      <c r="P1371" t="s">
        <v>38</v>
      </c>
      <c r="Q1371" t="s">
        <v>38</v>
      </c>
      <c r="R1371" t="s">
        <v>40</v>
      </c>
      <c r="S1371" t="s">
        <v>5380</v>
      </c>
      <c r="T1371" t="s">
        <v>4835</v>
      </c>
      <c r="U1371" t="s">
        <v>4802</v>
      </c>
      <c r="V1371" t="s">
        <v>4556</v>
      </c>
      <c r="W1371" t="s">
        <v>1457</v>
      </c>
      <c r="Z1371" t="s">
        <v>46</v>
      </c>
      <c r="AA1371" t="s">
        <v>4589</v>
      </c>
      <c r="AC1371">
        <f>COUNTIF(C:C,QLKV_gui_ket_qua_ra_soat[[#This Row],[Mã điểm bán]])</f>
        <v>1</v>
      </c>
    </row>
    <row r="1372" spans="1:29" x14ac:dyDescent="0.45">
      <c r="A1372" t="s">
        <v>4550</v>
      </c>
      <c r="B1372">
        <v>254</v>
      </c>
      <c r="C1372" t="s">
        <v>5381</v>
      </c>
      <c r="D1372" t="s">
        <v>5382</v>
      </c>
      <c r="F1372" t="s">
        <v>331</v>
      </c>
      <c r="G1372" t="s">
        <v>34</v>
      </c>
      <c r="H1372" t="s">
        <v>1188</v>
      </c>
      <c r="I1372" t="s">
        <v>5383</v>
      </c>
      <c r="J1372" t="s">
        <v>38</v>
      </c>
      <c r="K1372" t="s">
        <v>38</v>
      </c>
      <c r="L1372" t="s">
        <v>40</v>
      </c>
      <c r="M1372" t="s">
        <v>38</v>
      </c>
      <c r="N1372" t="s">
        <v>38</v>
      </c>
      <c r="O1372" t="s">
        <v>40</v>
      </c>
      <c r="P1372" t="s">
        <v>38</v>
      </c>
      <c r="Q1372" t="s">
        <v>38</v>
      </c>
      <c r="R1372" t="s">
        <v>40</v>
      </c>
      <c r="S1372" t="s">
        <v>41</v>
      </c>
      <c r="T1372" t="s">
        <v>4554</v>
      </c>
      <c r="U1372" t="s">
        <v>4555</v>
      </c>
      <c r="V1372" t="s">
        <v>4556</v>
      </c>
      <c r="W1372" t="s">
        <v>4557</v>
      </c>
      <c r="X1372" t="s">
        <v>46</v>
      </c>
      <c r="AC1372">
        <f>COUNTIF(C:C,QLKV_gui_ket_qua_ra_soat[[#This Row],[Mã điểm bán]])</f>
        <v>1</v>
      </c>
    </row>
    <row r="1373" spans="1:29" x14ac:dyDescent="0.45">
      <c r="A1373" t="s">
        <v>4550</v>
      </c>
      <c r="B1373">
        <v>255</v>
      </c>
      <c r="C1373" t="s">
        <v>5384</v>
      </c>
      <c r="D1373" t="s">
        <v>5385</v>
      </c>
      <c r="F1373" t="s">
        <v>5386</v>
      </c>
      <c r="G1373" t="s">
        <v>150</v>
      </c>
      <c r="H1373" t="s">
        <v>1184</v>
      </c>
      <c r="I1373" t="s">
        <v>5387</v>
      </c>
      <c r="J1373" t="s">
        <v>38</v>
      </c>
      <c r="K1373" t="s">
        <v>38</v>
      </c>
      <c r="L1373" t="s">
        <v>40</v>
      </c>
      <c r="M1373" t="s">
        <v>38</v>
      </c>
      <c r="N1373" t="s">
        <v>56</v>
      </c>
      <c r="O1373" t="s">
        <v>39</v>
      </c>
      <c r="P1373" t="s">
        <v>38</v>
      </c>
      <c r="Q1373" t="s">
        <v>38</v>
      </c>
      <c r="R1373" t="s">
        <v>40</v>
      </c>
      <c r="S1373" t="s">
        <v>5228</v>
      </c>
      <c r="T1373" t="s">
        <v>4801</v>
      </c>
      <c r="U1373" t="s">
        <v>4802</v>
      </c>
      <c r="V1373" t="s">
        <v>4556</v>
      </c>
      <c r="W1373" t="s">
        <v>1457</v>
      </c>
      <c r="X1373" t="s">
        <v>46</v>
      </c>
      <c r="AC1373">
        <f>COUNTIF(C:C,QLKV_gui_ket_qua_ra_soat[[#This Row],[Mã điểm bán]])</f>
        <v>1</v>
      </c>
    </row>
    <row r="1374" spans="1:29" x14ac:dyDescent="0.45">
      <c r="A1374" t="s">
        <v>4550</v>
      </c>
      <c r="B1374">
        <v>256</v>
      </c>
      <c r="C1374" t="s">
        <v>5388</v>
      </c>
      <c r="D1374" t="s">
        <v>5389</v>
      </c>
      <c r="F1374" t="s">
        <v>53</v>
      </c>
      <c r="G1374" t="s">
        <v>34</v>
      </c>
      <c r="H1374" t="s">
        <v>171</v>
      </c>
      <c r="I1374" t="s">
        <v>4665</v>
      </c>
      <c r="J1374" t="s">
        <v>38</v>
      </c>
      <c r="K1374" t="s">
        <v>38</v>
      </c>
      <c r="L1374" t="s">
        <v>40</v>
      </c>
      <c r="M1374" t="s">
        <v>38</v>
      </c>
      <c r="N1374" t="s">
        <v>56</v>
      </c>
      <c r="O1374" t="s">
        <v>39</v>
      </c>
      <c r="P1374" t="s">
        <v>38</v>
      </c>
      <c r="Q1374" t="s">
        <v>38</v>
      </c>
      <c r="R1374" t="s">
        <v>40</v>
      </c>
      <c r="S1374" t="s">
        <v>41</v>
      </c>
      <c r="T1374" t="s">
        <v>4667</v>
      </c>
      <c r="U1374" t="s">
        <v>4668</v>
      </c>
      <c r="V1374" t="s">
        <v>4556</v>
      </c>
      <c r="W1374" t="s">
        <v>4567</v>
      </c>
      <c r="X1374" t="s">
        <v>46</v>
      </c>
      <c r="AC1374">
        <f>COUNTIF(C:C,QLKV_gui_ket_qua_ra_soat[[#This Row],[Mã điểm bán]])</f>
        <v>1</v>
      </c>
    </row>
    <row r="1375" spans="1:29" x14ac:dyDescent="0.45">
      <c r="A1375" t="s">
        <v>4550</v>
      </c>
      <c r="B1375">
        <v>257</v>
      </c>
      <c r="C1375" t="s">
        <v>5390</v>
      </c>
      <c r="D1375" t="s">
        <v>5391</v>
      </c>
      <c r="F1375" t="s">
        <v>2365</v>
      </c>
      <c r="G1375" t="s">
        <v>34</v>
      </c>
      <c r="H1375" t="s">
        <v>54</v>
      </c>
      <c r="I1375" t="s">
        <v>5392</v>
      </c>
      <c r="J1375" t="s">
        <v>38</v>
      </c>
      <c r="K1375" t="s">
        <v>38</v>
      </c>
      <c r="L1375" t="s">
        <v>40</v>
      </c>
      <c r="M1375" t="s">
        <v>38</v>
      </c>
      <c r="N1375" t="s">
        <v>38</v>
      </c>
      <c r="O1375" t="s">
        <v>40</v>
      </c>
      <c r="P1375" t="s">
        <v>38</v>
      </c>
      <c r="Q1375" t="s">
        <v>38</v>
      </c>
      <c r="R1375" t="s">
        <v>40</v>
      </c>
      <c r="S1375" t="s">
        <v>5363</v>
      </c>
      <c r="T1375" t="s">
        <v>4746</v>
      </c>
      <c r="U1375" t="s">
        <v>4747</v>
      </c>
      <c r="V1375" t="s">
        <v>4556</v>
      </c>
      <c r="W1375" t="s">
        <v>4603</v>
      </c>
      <c r="Z1375" t="s">
        <v>46</v>
      </c>
      <c r="AA1375" t="s">
        <v>4589</v>
      </c>
      <c r="AC1375">
        <f>COUNTIF(C:C,QLKV_gui_ket_qua_ra_soat[[#This Row],[Mã điểm bán]])</f>
        <v>1</v>
      </c>
    </row>
    <row r="1376" spans="1:29" x14ac:dyDescent="0.45">
      <c r="A1376" t="s">
        <v>4550</v>
      </c>
      <c r="B1376">
        <v>258</v>
      </c>
      <c r="C1376" t="s">
        <v>5393</v>
      </c>
      <c r="D1376" t="s">
        <v>5394</v>
      </c>
      <c r="F1376" t="s">
        <v>5395</v>
      </c>
      <c r="G1376" t="s">
        <v>34</v>
      </c>
      <c r="H1376" t="s">
        <v>1188</v>
      </c>
      <c r="I1376" t="s">
        <v>5396</v>
      </c>
      <c r="J1376" t="s">
        <v>37</v>
      </c>
      <c r="K1376" t="s">
        <v>38</v>
      </c>
      <c r="L1376" t="s">
        <v>40</v>
      </c>
      <c r="M1376" t="s">
        <v>37</v>
      </c>
      <c r="N1376" t="s">
        <v>37</v>
      </c>
      <c r="O1376" t="s">
        <v>39</v>
      </c>
      <c r="P1376" t="s">
        <v>37</v>
      </c>
      <c r="Q1376" t="s">
        <v>37</v>
      </c>
      <c r="R1376" t="s">
        <v>39</v>
      </c>
      <c r="S1376" t="s">
        <v>41</v>
      </c>
      <c r="T1376" t="s">
        <v>4737</v>
      </c>
      <c r="U1376" t="s">
        <v>4738</v>
      </c>
      <c r="V1376" t="s">
        <v>4556</v>
      </c>
      <c r="W1376" t="s">
        <v>1457</v>
      </c>
      <c r="X1376" t="s">
        <v>46</v>
      </c>
      <c r="AC1376">
        <f>COUNTIF(C:C,QLKV_gui_ket_qua_ra_soat[[#This Row],[Mã điểm bán]])</f>
        <v>1</v>
      </c>
    </row>
    <row r="1377" spans="1:29" x14ac:dyDescent="0.45">
      <c r="A1377" t="s">
        <v>4550</v>
      </c>
      <c r="B1377">
        <v>259</v>
      </c>
      <c r="C1377" t="s">
        <v>5397</v>
      </c>
      <c r="D1377" t="s">
        <v>5398</v>
      </c>
      <c r="F1377" t="s">
        <v>325</v>
      </c>
      <c r="G1377" t="s">
        <v>34</v>
      </c>
      <c r="H1377" t="s">
        <v>214</v>
      </c>
      <c r="I1377" t="s">
        <v>5399</v>
      </c>
      <c r="J1377" t="s">
        <v>38</v>
      </c>
      <c r="K1377" t="s">
        <v>38</v>
      </c>
      <c r="L1377" t="s">
        <v>40</v>
      </c>
      <c r="M1377" t="s">
        <v>38</v>
      </c>
      <c r="N1377" t="s">
        <v>38</v>
      </c>
      <c r="O1377" t="s">
        <v>40</v>
      </c>
      <c r="P1377" t="s">
        <v>38</v>
      </c>
      <c r="Q1377" t="s">
        <v>38</v>
      </c>
      <c r="R1377" t="s">
        <v>40</v>
      </c>
      <c r="S1377" t="s">
        <v>5400</v>
      </c>
      <c r="T1377" t="s">
        <v>4746</v>
      </c>
      <c r="U1377" t="s">
        <v>4747</v>
      </c>
      <c r="V1377" t="s">
        <v>4556</v>
      </c>
      <c r="W1377" t="s">
        <v>4603</v>
      </c>
      <c r="X1377" t="s">
        <v>46</v>
      </c>
      <c r="AC1377">
        <f>COUNTIF(C:C,QLKV_gui_ket_qua_ra_soat[[#This Row],[Mã điểm bán]])</f>
        <v>1</v>
      </c>
    </row>
    <row r="1378" spans="1:29" x14ac:dyDescent="0.45">
      <c r="A1378" t="s">
        <v>4550</v>
      </c>
      <c r="B1378">
        <v>260</v>
      </c>
      <c r="C1378" t="s">
        <v>5401</v>
      </c>
      <c r="D1378" t="s">
        <v>5402</v>
      </c>
      <c r="F1378" t="s">
        <v>4298</v>
      </c>
      <c r="G1378" t="s">
        <v>34</v>
      </c>
      <c r="H1378" t="s">
        <v>565</v>
      </c>
      <c r="I1378" t="s">
        <v>5403</v>
      </c>
      <c r="J1378" t="s">
        <v>37</v>
      </c>
      <c r="K1378" t="s">
        <v>37</v>
      </c>
      <c r="L1378" t="s">
        <v>39</v>
      </c>
      <c r="M1378" t="s">
        <v>37</v>
      </c>
      <c r="N1378" t="s">
        <v>37</v>
      </c>
      <c r="O1378" t="s">
        <v>39</v>
      </c>
      <c r="P1378" t="s">
        <v>37</v>
      </c>
      <c r="Q1378" t="s">
        <v>37</v>
      </c>
      <c r="R1378" t="s">
        <v>39</v>
      </c>
      <c r="S1378" t="s">
        <v>41</v>
      </c>
      <c r="T1378" t="s">
        <v>4737</v>
      </c>
      <c r="U1378" t="s">
        <v>4738</v>
      </c>
      <c r="V1378" t="s">
        <v>4556</v>
      </c>
      <c r="W1378" t="s">
        <v>1457</v>
      </c>
      <c r="Z1378" t="s">
        <v>46</v>
      </c>
      <c r="AA1378" t="s">
        <v>4575</v>
      </c>
      <c r="AC1378">
        <f>COUNTIF(C:C,QLKV_gui_ket_qua_ra_soat[[#This Row],[Mã điểm bán]])</f>
        <v>1</v>
      </c>
    </row>
    <row r="1379" spans="1:29" x14ac:dyDescent="0.45">
      <c r="A1379" t="s">
        <v>4550</v>
      </c>
      <c r="B1379">
        <v>261</v>
      </c>
      <c r="C1379" t="s">
        <v>5404</v>
      </c>
      <c r="D1379" t="s">
        <v>5405</v>
      </c>
      <c r="F1379" t="s">
        <v>629</v>
      </c>
      <c r="G1379" t="s">
        <v>34</v>
      </c>
      <c r="H1379" t="s">
        <v>54</v>
      </c>
      <c r="I1379" t="s">
        <v>5406</v>
      </c>
      <c r="J1379" t="s">
        <v>38</v>
      </c>
      <c r="K1379" t="s">
        <v>38</v>
      </c>
      <c r="L1379" t="s">
        <v>40</v>
      </c>
      <c r="M1379" t="s">
        <v>56</v>
      </c>
      <c r="N1379" t="s">
        <v>775</v>
      </c>
      <c r="O1379" t="s">
        <v>39</v>
      </c>
      <c r="P1379" t="s">
        <v>38</v>
      </c>
      <c r="Q1379" t="s">
        <v>38</v>
      </c>
      <c r="R1379" t="s">
        <v>40</v>
      </c>
      <c r="S1379" t="s">
        <v>5407</v>
      </c>
      <c r="T1379" t="s">
        <v>4835</v>
      </c>
      <c r="U1379" t="s">
        <v>4802</v>
      </c>
      <c r="V1379" t="s">
        <v>4556</v>
      </c>
      <c r="W1379" t="s">
        <v>1457</v>
      </c>
      <c r="X1379" t="s">
        <v>46</v>
      </c>
      <c r="AC1379">
        <f>COUNTIF(C:C,QLKV_gui_ket_qua_ra_soat[[#This Row],[Mã điểm bán]])</f>
        <v>1</v>
      </c>
    </row>
    <row r="1380" spans="1:29" x14ac:dyDescent="0.45">
      <c r="A1380" t="s">
        <v>4550</v>
      </c>
      <c r="B1380">
        <v>262</v>
      </c>
      <c r="C1380" t="s">
        <v>5408</v>
      </c>
      <c r="D1380" t="s">
        <v>3790</v>
      </c>
      <c r="F1380" t="s">
        <v>325</v>
      </c>
      <c r="G1380" t="s">
        <v>34</v>
      </c>
      <c r="H1380" t="s">
        <v>1188</v>
      </c>
      <c r="I1380" t="s">
        <v>5409</v>
      </c>
      <c r="J1380" t="s">
        <v>38</v>
      </c>
      <c r="K1380" t="s">
        <v>38</v>
      </c>
      <c r="L1380" t="s">
        <v>40</v>
      </c>
      <c r="M1380" t="s">
        <v>38</v>
      </c>
      <c r="N1380" t="s">
        <v>38</v>
      </c>
      <c r="O1380" t="s">
        <v>40</v>
      </c>
      <c r="P1380" t="s">
        <v>38</v>
      </c>
      <c r="Q1380" t="s">
        <v>38</v>
      </c>
      <c r="R1380" t="s">
        <v>40</v>
      </c>
      <c r="S1380" t="s">
        <v>5363</v>
      </c>
      <c r="T1380" t="s">
        <v>4746</v>
      </c>
      <c r="U1380" t="s">
        <v>4747</v>
      </c>
      <c r="V1380" t="s">
        <v>4556</v>
      </c>
      <c r="W1380" t="s">
        <v>4603</v>
      </c>
      <c r="X1380" t="s">
        <v>46</v>
      </c>
      <c r="AC1380">
        <f>COUNTIF(C:C,QLKV_gui_ket_qua_ra_soat[[#This Row],[Mã điểm bán]])</f>
        <v>1</v>
      </c>
    </row>
    <row r="1381" spans="1:29" x14ac:dyDescent="0.45">
      <c r="A1381" t="s">
        <v>4550</v>
      </c>
      <c r="B1381">
        <v>263</v>
      </c>
      <c r="C1381" t="s">
        <v>5410</v>
      </c>
      <c r="D1381" t="s">
        <v>5411</v>
      </c>
      <c r="F1381" t="s">
        <v>4933</v>
      </c>
      <c r="G1381" t="s">
        <v>34</v>
      </c>
      <c r="H1381" t="s">
        <v>54</v>
      </c>
      <c r="I1381" t="s">
        <v>5412</v>
      </c>
      <c r="J1381" t="s">
        <v>38</v>
      </c>
      <c r="K1381" t="s">
        <v>37</v>
      </c>
      <c r="L1381" t="s">
        <v>40</v>
      </c>
      <c r="M1381" t="s">
        <v>56</v>
      </c>
      <c r="N1381" t="s">
        <v>775</v>
      </c>
      <c r="O1381" t="s">
        <v>39</v>
      </c>
      <c r="P1381" t="s">
        <v>38</v>
      </c>
      <c r="Q1381" t="s">
        <v>38</v>
      </c>
      <c r="R1381" t="s">
        <v>40</v>
      </c>
      <c r="S1381" t="s">
        <v>5413</v>
      </c>
      <c r="T1381" t="s">
        <v>4835</v>
      </c>
      <c r="U1381" t="s">
        <v>4802</v>
      </c>
      <c r="V1381" t="s">
        <v>4556</v>
      </c>
      <c r="W1381" t="s">
        <v>1457</v>
      </c>
      <c r="Z1381" t="s">
        <v>46</v>
      </c>
      <c r="AA1381" t="s">
        <v>4589</v>
      </c>
      <c r="AC1381">
        <f>COUNTIF(C:C,QLKV_gui_ket_qua_ra_soat[[#This Row],[Mã điểm bán]])</f>
        <v>1</v>
      </c>
    </row>
    <row r="1382" spans="1:29" x14ac:dyDescent="0.45">
      <c r="A1382" t="s">
        <v>4550</v>
      </c>
      <c r="B1382">
        <v>264</v>
      </c>
      <c r="C1382" t="s">
        <v>5414</v>
      </c>
      <c r="D1382" t="s">
        <v>3998</v>
      </c>
      <c r="F1382" t="s">
        <v>5415</v>
      </c>
      <c r="G1382" t="s">
        <v>34</v>
      </c>
      <c r="H1382" t="s">
        <v>54</v>
      </c>
      <c r="I1382" t="s">
        <v>5416</v>
      </c>
      <c r="J1382" t="s">
        <v>37</v>
      </c>
      <c r="K1382" t="s">
        <v>37</v>
      </c>
      <c r="L1382" t="s">
        <v>39</v>
      </c>
      <c r="M1382" t="s">
        <v>56</v>
      </c>
      <c r="N1382" t="s">
        <v>56</v>
      </c>
      <c r="O1382" t="s">
        <v>39</v>
      </c>
      <c r="P1382" t="s">
        <v>37</v>
      </c>
      <c r="Q1382" t="s">
        <v>37</v>
      </c>
      <c r="R1382" t="s">
        <v>39</v>
      </c>
      <c r="S1382" t="s">
        <v>41</v>
      </c>
      <c r="T1382" t="s">
        <v>4737</v>
      </c>
      <c r="U1382" t="s">
        <v>4738</v>
      </c>
      <c r="V1382" t="s">
        <v>4556</v>
      </c>
      <c r="W1382" t="s">
        <v>1457</v>
      </c>
      <c r="Z1382" t="s">
        <v>46</v>
      </c>
      <c r="AA1382" t="s">
        <v>4589</v>
      </c>
      <c r="AC1382">
        <f>COUNTIF(C:C,QLKV_gui_ket_qua_ra_soat[[#This Row],[Mã điểm bán]])</f>
        <v>1</v>
      </c>
    </row>
    <row r="1383" spans="1:29" x14ac:dyDescent="0.45">
      <c r="A1383" t="s">
        <v>4550</v>
      </c>
      <c r="B1383">
        <v>265</v>
      </c>
      <c r="C1383" t="s">
        <v>5417</v>
      </c>
      <c r="D1383" t="s">
        <v>5418</v>
      </c>
      <c r="F1383" t="s">
        <v>417</v>
      </c>
      <c r="G1383" t="s">
        <v>34</v>
      </c>
      <c r="H1383" t="s">
        <v>1052</v>
      </c>
      <c r="I1383" t="s">
        <v>5419</v>
      </c>
      <c r="J1383" t="s">
        <v>38</v>
      </c>
      <c r="K1383" t="s">
        <v>38</v>
      </c>
      <c r="L1383" t="s">
        <v>40</v>
      </c>
      <c r="M1383" t="s">
        <v>37</v>
      </c>
      <c r="N1383" t="s">
        <v>56</v>
      </c>
      <c r="O1383" t="s">
        <v>39</v>
      </c>
      <c r="P1383" t="s">
        <v>38</v>
      </c>
      <c r="Q1383" t="s">
        <v>37</v>
      </c>
      <c r="R1383" t="s">
        <v>40</v>
      </c>
      <c r="S1383" t="s">
        <v>5420</v>
      </c>
      <c r="T1383" t="s">
        <v>4835</v>
      </c>
      <c r="U1383" t="s">
        <v>4802</v>
      </c>
      <c r="V1383" t="s">
        <v>4556</v>
      </c>
      <c r="W1383" t="s">
        <v>1457</v>
      </c>
      <c r="X1383" t="s">
        <v>46</v>
      </c>
      <c r="AC1383">
        <f>COUNTIF(C:C,QLKV_gui_ket_qua_ra_soat[[#This Row],[Mã điểm bán]])</f>
        <v>1</v>
      </c>
    </row>
    <row r="1384" spans="1:29" x14ac:dyDescent="0.45">
      <c r="A1384" t="s">
        <v>4550</v>
      </c>
      <c r="B1384">
        <v>266</v>
      </c>
      <c r="C1384" t="s">
        <v>5421</v>
      </c>
      <c r="D1384" t="s">
        <v>5422</v>
      </c>
      <c r="F1384" t="s">
        <v>401</v>
      </c>
      <c r="G1384" t="s">
        <v>34</v>
      </c>
      <c r="H1384" t="s">
        <v>1746</v>
      </c>
      <c r="I1384" t="s">
        <v>5423</v>
      </c>
      <c r="J1384" t="s">
        <v>38</v>
      </c>
      <c r="K1384" t="s">
        <v>38</v>
      </c>
      <c r="L1384" t="s">
        <v>40</v>
      </c>
      <c r="M1384" t="s">
        <v>37</v>
      </c>
      <c r="N1384" t="s">
        <v>56</v>
      </c>
      <c r="O1384" t="s">
        <v>40</v>
      </c>
      <c r="P1384" t="s">
        <v>38</v>
      </c>
      <c r="Q1384" t="s">
        <v>38</v>
      </c>
      <c r="R1384" t="s">
        <v>40</v>
      </c>
      <c r="S1384" t="s">
        <v>5424</v>
      </c>
      <c r="T1384" t="s">
        <v>4835</v>
      </c>
      <c r="U1384" t="s">
        <v>4802</v>
      </c>
      <c r="V1384" t="s">
        <v>4556</v>
      </c>
      <c r="W1384" t="s">
        <v>1457</v>
      </c>
      <c r="X1384" t="s">
        <v>46</v>
      </c>
      <c r="AC1384">
        <f>COUNTIF(C:C,QLKV_gui_ket_qua_ra_soat[[#This Row],[Mã điểm bán]])</f>
        <v>1</v>
      </c>
    </row>
    <row r="1385" spans="1:29" x14ac:dyDescent="0.45">
      <c r="A1385" t="s">
        <v>4550</v>
      </c>
      <c r="B1385">
        <v>267</v>
      </c>
      <c r="C1385" t="s">
        <v>5425</v>
      </c>
      <c r="D1385" t="s">
        <v>5426</v>
      </c>
      <c r="F1385" t="s">
        <v>5427</v>
      </c>
      <c r="G1385" t="s">
        <v>34</v>
      </c>
      <c r="H1385" t="s">
        <v>1188</v>
      </c>
      <c r="I1385" t="s">
        <v>5428</v>
      </c>
      <c r="J1385" t="s">
        <v>37</v>
      </c>
      <c r="K1385" t="s">
        <v>37</v>
      </c>
      <c r="L1385" t="s">
        <v>39</v>
      </c>
      <c r="M1385" t="s">
        <v>56</v>
      </c>
      <c r="N1385" t="s">
        <v>56</v>
      </c>
      <c r="O1385" t="s">
        <v>39</v>
      </c>
      <c r="P1385" t="s">
        <v>37</v>
      </c>
      <c r="Q1385" t="s">
        <v>37</v>
      </c>
      <c r="R1385" t="s">
        <v>39</v>
      </c>
      <c r="S1385" t="s">
        <v>41</v>
      </c>
      <c r="T1385" t="s">
        <v>4737</v>
      </c>
      <c r="U1385" t="s">
        <v>4738</v>
      </c>
      <c r="V1385" t="s">
        <v>4556</v>
      </c>
      <c r="W1385" t="s">
        <v>1457</v>
      </c>
      <c r="X1385" t="s">
        <v>46</v>
      </c>
      <c r="AC1385">
        <f>COUNTIF(C:C,QLKV_gui_ket_qua_ra_soat[[#This Row],[Mã điểm bán]])</f>
        <v>1</v>
      </c>
    </row>
    <row r="1386" spans="1:29" x14ac:dyDescent="0.45">
      <c r="A1386" t="s">
        <v>4550</v>
      </c>
      <c r="B1386">
        <v>268</v>
      </c>
      <c r="C1386" t="s">
        <v>5429</v>
      </c>
      <c r="D1386" t="s">
        <v>5430</v>
      </c>
      <c r="F1386" t="s">
        <v>1787</v>
      </c>
      <c r="G1386" t="s">
        <v>34</v>
      </c>
      <c r="H1386" t="s">
        <v>685</v>
      </c>
      <c r="I1386" t="s">
        <v>5431</v>
      </c>
      <c r="J1386" t="s">
        <v>38</v>
      </c>
      <c r="K1386" t="s">
        <v>38</v>
      </c>
      <c r="L1386" t="s">
        <v>39</v>
      </c>
      <c r="M1386" t="s">
        <v>37</v>
      </c>
      <c r="N1386" t="s">
        <v>37</v>
      </c>
      <c r="O1386" t="s">
        <v>39</v>
      </c>
      <c r="P1386" t="s">
        <v>37</v>
      </c>
      <c r="Q1386" t="s">
        <v>37</v>
      </c>
      <c r="R1386" t="s">
        <v>39</v>
      </c>
      <c r="S1386" t="s">
        <v>41</v>
      </c>
      <c r="T1386" t="s">
        <v>4737</v>
      </c>
      <c r="U1386" t="s">
        <v>4738</v>
      </c>
      <c r="V1386" t="s">
        <v>4556</v>
      </c>
      <c r="W1386" t="s">
        <v>1457</v>
      </c>
      <c r="X1386" t="s">
        <v>46</v>
      </c>
      <c r="AC1386">
        <f>COUNTIF(C:C,QLKV_gui_ket_qua_ra_soat[[#This Row],[Mã điểm bán]])</f>
        <v>1</v>
      </c>
    </row>
    <row r="1387" spans="1:29" x14ac:dyDescent="0.45">
      <c r="A1387" t="s">
        <v>4550</v>
      </c>
      <c r="B1387">
        <v>269</v>
      </c>
      <c r="C1387" t="s">
        <v>5432</v>
      </c>
      <c r="D1387" t="s">
        <v>5433</v>
      </c>
      <c r="F1387" t="s">
        <v>1981</v>
      </c>
      <c r="G1387" t="s">
        <v>34</v>
      </c>
      <c r="H1387" t="s">
        <v>565</v>
      </c>
      <c r="I1387" t="s">
        <v>5434</v>
      </c>
      <c r="J1387" t="s">
        <v>38</v>
      </c>
      <c r="K1387" t="s">
        <v>38</v>
      </c>
      <c r="L1387" t="s">
        <v>40</v>
      </c>
      <c r="M1387" t="s">
        <v>37</v>
      </c>
      <c r="N1387" t="s">
        <v>37</v>
      </c>
      <c r="O1387" t="s">
        <v>39</v>
      </c>
      <c r="P1387" t="s">
        <v>37</v>
      </c>
      <c r="Q1387" t="s">
        <v>37</v>
      </c>
      <c r="R1387" t="s">
        <v>39</v>
      </c>
      <c r="S1387" t="s">
        <v>41</v>
      </c>
      <c r="T1387" t="s">
        <v>4737</v>
      </c>
      <c r="U1387" t="s">
        <v>4738</v>
      </c>
      <c r="V1387" t="s">
        <v>4556</v>
      </c>
      <c r="W1387" t="s">
        <v>1457</v>
      </c>
      <c r="Z1387" t="s">
        <v>46</v>
      </c>
      <c r="AA1387" t="s">
        <v>4575</v>
      </c>
      <c r="AC1387">
        <f>COUNTIF(C:C,QLKV_gui_ket_qua_ra_soat[[#This Row],[Mã điểm bán]])</f>
        <v>1</v>
      </c>
    </row>
    <row r="1388" spans="1:29" x14ac:dyDescent="0.45">
      <c r="A1388" t="s">
        <v>4550</v>
      </c>
      <c r="B1388">
        <v>270</v>
      </c>
      <c r="C1388" t="s">
        <v>5435</v>
      </c>
      <c r="D1388" t="s">
        <v>5436</v>
      </c>
      <c r="F1388" t="s">
        <v>426</v>
      </c>
      <c r="G1388" t="s">
        <v>177</v>
      </c>
      <c r="H1388" t="s">
        <v>685</v>
      </c>
      <c r="I1388" t="s">
        <v>5437</v>
      </c>
      <c r="J1388" t="s">
        <v>38</v>
      </c>
      <c r="K1388" t="s">
        <v>38</v>
      </c>
      <c r="L1388" t="s">
        <v>40</v>
      </c>
      <c r="M1388" t="s">
        <v>38</v>
      </c>
      <c r="N1388" t="s">
        <v>38</v>
      </c>
      <c r="O1388" t="s">
        <v>40</v>
      </c>
      <c r="P1388" t="s">
        <v>38</v>
      </c>
      <c r="Q1388" t="s">
        <v>38</v>
      </c>
      <c r="R1388" t="s">
        <v>40</v>
      </c>
      <c r="S1388" t="s">
        <v>41</v>
      </c>
      <c r="T1388" t="s">
        <v>4601</v>
      </c>
      <c r="U1388" t="s">
        <v>4602</v>
      </c>
      <c r="V1388" t="s">
        <v>4556</v>
      </c>
      <c r="W1388" t="s">
        <v>4603</v>
      </c>
      <c r="X1388" t="s">
        <v>46</v>
      </c>
      <c r="AC1388">
        <f>COUNTIF(C:C,QLKV_gui_ket_qua_ra_soat[[#This Row],[Mã điểm bán]])</f>
        <v>1</v>
      </c>
    </row>
    <row r="1389" spans="1:29" x14ac:dyDescent="0.45">
      <c r="A1389" t="s">
        <v>4550</v>
      </c>
      <c r="B1389">
        <v>271</v>
      </c>
      <c r="C1389" t="s">
        <v>5438</v>
      </c>
      <c r="D1389" t="s">
        <v>5439</v>
      </c>
      <c r="F1389" t="s">
        <v>4843</v>
      </c>
      <c r="G1389" t="s">
        <v>34</v>
      </c>
      <c r="H1389" t="s">
        <v>214</v>
      </c>
      <c r="I1389" t="s">
        <v>5440</v>
      </c>
      <c r="J1389" t="s">
        <v>38</v>
      </c>
      <c r="K1389" t="s">
        <v>38</v>
      </c>
      <c r="L1389" t="s">
        <v>39</v>
      </c>
      <c r="M1389" t="s">
        <v>37</v>
      </c>
      <c r="N1389" t="s">
        <v>37</v>
      </c>
      <c r="O1389" t="s">
        <v>39</v>
      </c>
      <c r="P1389" t="s">
        <v>38</v>
      </c>
      <c r="Q1389" t="s">
        <v>38</v>
      </c>
      <c r="R1389" t="s">
        <v>39</v>
      </c>
      <c r="S1389" t="s">
        <v>41</v>
      </c>
      <c r="T1389" t="s">
        <v>4737</v>
      </c>
      <c r="U1389" t="s">
        <v>4738</v>
      </c>
      <c r="V1389" t="s">
        <v>4556</v>
      </c>
      <c r="W1389" t="s">
        <v>1457</v>
      </c>
      <c r="X1389" t="s">
        <v>46</v>
      </c>
      <c r="AC1389">
        <f>COUNTIF(C:C,QLKV_gui_ket_qua_ra_soat[[#This Row],[Mã điểm bán]])</f>
        <v>1</v>
      </c>
    </row>
    <row r="1390" spans="1:29" x14ac:dyDescent="0.45">
      <c r="A1390" t="s">
        <v>4550</v>
      </c>
      <c r="B1390">
        <v>272</v>
      </c>
      <c r="C1390" t="s">
        <v>5441</v>
      </c>
      <c r="D1390" t="s">
        <v>3256</v>
      </c>
      <c r="F1390" t="s">
        <v>5442</v>
      </c>
      <c r="G1390" t="s">
        <v>34</v>
      </c>
      <c r="H1390" t="s">
        <v>54</v>
      </c>
      <c r="I1390" t="s">
        <v>2350</v>
      </c>
      <c r="J1390" t="s">
        <v>38</v>
      </c>
      <c r="K1390" t="s">
        <v>38</v>
      </c>
      <c r="L1390" t="s">
        <v>40</v>
      </c>
      <c r="M1390" t="s">
        <v>38</v>
      </c>
      <c r="N1390" t="s">
        <v>38</v>
      </c>
      <c r="O1390" t="s">
        <v>40</v>
      </c>
      <c r="P1390" t="s">
        <v>38</v>
      </c>
      <c r="Q1390" t="s">
        <v>38</v>
      </c>
      <c r="R1390" t="s">
        <v>40</v>
      </c>
      <c r="S1390" t="s">
        <v>4783</v>
      </c>
      <c r="T1390" t="s">
        <v>4565</v>
      </c>
      <c r="U1390" t="s">
        <v>4566</v>
      </c>
      <c r="V1390" t="s">
        <v>4556</v>
      </c>
      <c r="W1390" t="s">
        <v>4567</v>
      </c>
      <c r="Z1390" t="s">
        <v>46</v>
      </c>
      <c r="AA1390" t="s">
        <v>4589</v>
      </c>
      <c r="AC1390">
        <f>COUNTIF(C:C,QLKV_gui_ket_qua_ra_soat[[#This Row],[Mã điểm bán]])</f>
        <v>1</v>
      </c>
    </row>
    <row r="1391" spans="1:29" x14ac:dyDescent="0.45">
      <c r="A1391" t="s">
        <v>4550</v>
      </c>
      <c r="B1391">
        <v>273</v>
      </c>
      <c r="C1391" t="s">
        <v>5443</v>
      </c>
      <c r="D1391" t="s">
        <v>5022</v>
      </c>
      <c r="F1391" t="s">
        <v>417</v>
      </c>
      <c r="G1391" t="s">
        <v>34</v>
      </c>
      <c r="H1391" t="s">
        <v>214</v>
      </c>
      <c r="I1391" t="s">
        <v>5444</v>
      </c>
      <c r="J1391" t="s">
        <v>38</v>
      </c>
      <c r="K1391" t="s">
        <v>38</v>
      </c>
      <c r="L1391" t="s">
        <v>40</v>
      </c>
      <c r="M1391" t="s">
        <v>38</v>
      </c>
      <c r="N1391" t="s">
        <v>56</v>
      </c>
      <c r="O1391" t="s">
        <v>39</v>
      </c>
      <c r="P1391" t="s">
        <v>38</v>
      </c>
      <c r="Q1391" t="s">
        <v>38</v>
      </c>
      <c r="R1391" t="s">
        <v>40</v>
      </c>
      <c r="S1391" t="s">
        <v>41</v>
      </c>
      <c r="T1391" t="s">
        <v>4667</v>
      </c>
      <c r="U1391" t="s">
        <v>4668</v>
      </c>
      <c r="V1391" t="s">
        <v>4556</v>
      </c>
      <c r="W1391" t="s">
        <v>4567</v>
      </c>
      <c r="Z1391" t="s">
        <v>46</v>
      </c>
      <c r="AA1391" t="s">
        <v>4589</v>
      </c>
      <c r="AC1391">
        <f>COUNTIF(C:C,QLKV_gui_ket_qua_ra_soat[[#This Row],[Mã điểm bán]])</f>
        <v>1</v>
      </c>
    </row>
    <row r="1392" spans="1:29" x14ac:dyDescent="0.45">
      <c r="A1392" t="s">
        <v>4550</v>
      </c>
      <c r="B1392">
        <v>274</v>
      </c>
      <c r="C1392" t="s">
        <v>5445</v>
      </c>
      <c r="D1392" t="s">
        <v>5446</v>
      </c>
      <c r="F1392" t="s">
        <v>53</v>
      </c>
      <c r="G1392" t="s">
        <v>177</v>
      </c>
      <c r="H1392" t="s">
        <v>54</v>
      </c>
      <c r="I1392" t="s">
        <v>5447</v>
      </c>
      <c r="J1392" t="s">
        <v>38</v>
      </c>
      <c r="K1392" t="s">
        <v>38</v>
      </c>
      <c r="L1392" t="s">
        <v>40</v>
      </c>
      <c r="M1392" t="s">
        <v>37</v>
      </c>
      <c r="N1392" t="s">
        <v>37</v>
      </c>
      <c r="O1392" t="s">
        <v>39</v>
      </c>
      <c r="P1392" t="s">
        <v>38</v>
      </c>
      <c r="Q1392" t="s">
        <v>38</v>
      </c>
      <c r="R1392" t="s">
        <v>40</v>
      </c>
      <c r="S1392" t="s">
        <v>41</v>
      </c>
      <c r="T1392" t="s">
        <v>4601</v>
      </c>
      <c r="U1392" t="s">
        <v>4602</v>
      </c>
      <c r="V1392" t="s">
        <v>4556</v>
      </c>
      <c r="W1392" t="s">
        <v>4603</v>
      </c>
      <c r="X1392" t="s">
        <v>46</v>
      </c>
      <c r="AC1392">
        <f>COUNTIF(C:C,QLKV_gui_ket_qua_ra_soat[[#This Row],[Mã điểm bán]])</f>
        <v>1</v>
      </c>
    </row>
    <row r="1393" spans="1:29" x14ac:dyDescent="0.45">
      <c r="A1393" t="s">
        <v>4550</v>
      </c>
      <c r="B1393">
        <v>275</v>
      </c>
      <c r="C1393" t="s">
        <v>5448</v>
      </c>
      <c r="D1393" t="s">
        <v>5449</v>
      </c>
      <c r="F1393" t="s">
        <v>426</v>
      </c>
      <c r="G1393" t="s">
        <v>34</v>
      </c>
      <c r="H1393" t="s">
        <v>1706</v>
      </c>
      <c r="I1393" t="s">
        <v>5450</v>
      </c>
      <c r="J1393" t="s">
        <v>37</v>
      </c>
      <c r="K1393" t="s">
        <v>38</v>
      </c>
      <c r="L1393" t="s">
        <v>40</v>
      </c>
      <c r="M1393" t="s">
        <v>37</v>
      </c>
      <c r="N1393" t="s">
        <v>37</v>
      </c>
      <c r="O1393" t="s">
        <v>39</v>
      </c>
      <c r="P1393" t="s">
        <v>38</v>
      </c>
      <c r="Q1393" t="s">
        <v>38</v>
      </c>
      <c r="R1393" t="s">
        <v>40</v>
      </c>
      <c r="S1393" t="s">
        <v>41</v>
      </c>
      <c r="T1393" t="s">
        <v>4601</v>
      </c>
      <c r="U1393" t="s">
        <v>4602</v>
      </c>
      <c r="V1393" t="s">
        <v>4556</v>
      </c>
      <c r="W1393" t="s">
        <v>4603</v>
      </c>
      <c r="X1393" t="s">
        <v>46</v>
      </c>
      <c r="AC1393">
        <f>COUNTIF(C:C,QLKV_gui_ket_qua_ra_soat[[#This Row],[Mã điểm bán]])</f>
        <v>1</v>
      </c>
    </row>
    <row r="1394" spans="1:29" x14ac:dyDescent="0.45">
      <c r="A1394" t="s">
        <v>4550</v>
      </c>
      <c r="B1394">
        <v>276</v>
      </c>
      <c r="C1394" t="s">
        <v>5451</v>
      </c>
      <c r="D1394" t="s">
        <v>5452</v>
      </c>
      <c r="F1394" t="s">
        <v>5453</v>
      </c>
      <c r="G1394" t="s">
        <v>34</v>
      </c>
      <c r="H1394" t="s">
        <v>54</v>
      </c>
      <c r="I1394" t="s">
        <v>5454</v>
      </c>
      <c r="J1394" t="s">
        <v>38</v>
      </c>
      <c r="K1394" t="s">
        <v>38</v>
      </c>
      <c r="L1394" t="s">
        <v>39</v>
      </c>
      <c r="M1394" t="s">
        <v>38</v>
      </c>
      <c r="N1394" t="s">
        <v>37</v>
      </c>
      <c r="O1394" t="s">
        <v>39</v>
      </c>
      <c r="P1394" t="s">
        <v>38</v>
      </c>
      <c r="Q1394" t="s">
        <v>38</v>
      </c>
      <c r="R1394" t="s">
        <v>39</v>
      </c>
      <c r="S1394" t="s">
        <v>5455</v>
      </c>
      <c r="T1394" t="s">
        <v>4801</v>
      </c>
      <c r="U1394" t="s">
        <v>4802</v>
      </c>
      <c r="V1394" t="s">
        <v>4556</v>
      </c>
      <c r="W1394" t="s">
        <v>1457</v>
      </c>
      <c r="X1394" t="s">
        <v>46</v>
      </c>
      <c r="AC1394">
        <f>COUNTIF(C:C,QLKV_gui_ket_qua_ra_soat[[#This Row],[Mã điểm bán]])</f>
        <v>1</v>
      </c>
    </row>
    <row r="1395" spans="1:29" x14ac:dyDescent="0.45">
      <c r="A1395" t="s">
        <v>4550</v>
      </c>
      <c r="B1395">
        <v>277</v>
      </c>
      <c r="C1395" t="s">
        <v>5456</v>
      </c>
      <c r="D1395" t="s">
        <v>5457</v>
      </c>
      <c r="F1395" t="s">
        <v>53</v>
      </c>
      <c r="G1395" t="s">
        <v>34</v>
      </c>
      <c r="H1395" t="s">
        <v>54</v>
      </c>
      <c r="I1395" t="s">
        <v>5458</v>
      </c>
      <c r="J1395" t="s">
        <v>38</v>
      </c>
      <c r="K1395" t="s">
        <v>38</v>
      </c>
      <c r="L1395" t="s">
        <v>40</v>
      </c>
      <c r="M1395" t="s">
        <v>37</v>
      </c>
      <c r="N1395" t="s">
        <v>37</v>
      </c>
      <c r="O1395" t="s">
        <v>39</v>
      </c>
      <c r="P1395" t="s">
        <v>38</v>
      </c>
      <c r="Q1395" t="s">
        <v>38</v>
      </c>
      <c r="R1395" t="s">
        <v>40</v>
      </c>
      <c r="S1395" t="s">
        <v>41</v>
      </c>
      <c r="T1395" t="s">
        <v>4601</v>
      </c>
      <c r="U1395" t="s">
        <v>4602</v>
      </c>
      <c r="V1395" t="s">
        <v>4556</v>
      </c>
      <c r="W1395" t="s">
        <v>4603</v>
      </c>
      <c r="X1395" t="s">
        <v>46</v>
      </c>
      <c r="AC1395">
        <f>COUNTIF(C:C,QLKV_gui_ket_qua_ra_soat[[#This Row],[Mã điểm bán]])</f>
        <v>1</v>
      </c>
    </row>
    <row r="1396" spans="1:29" x14ac:dyDescent="0.45">
      <c r="A1396" t="s">
        <v>4550</v>
      </c>
      <c r="B1396">
        <v>278</v>
      </c>
      <c r="C1396" t="s">
        <v>5459</v>
      </c>
      <c r="D1396" t="s">
        <v>2951</v>
      </c>
      <c r="F1396" t="s">
        <v>115</v>
      </c>
      <c r="G1396" t="s">
        <v>34</v>
      </c>
      <c r="H1396" t="s">
        <v>54</v>
      </c>
      <c r="I1396" t="s">
        <v>4782</v>
      </c>
      <c r="J1396" t="s">
        <v>38</v>
      </c>
      <c r="K1396" t="s">
        <v>38</v>
      </c>
      <c r="L1396" t="s">
        <v>40</v>
      </c>
      <c r="M1396" t="s">
        <v>38</v>
      </c>
      <c r="N1396" t="s">
        <v>38</v>
      </c>
      <c r="O1396" t="s">
        <v>40</v>
      </c>
      <c r="P1396" t="s">
        <v>38</v>
      </c>
      <c r="Q1396" t="s">
        <v>38</v>
      </c>
      <c r="R1396" t="s">
        <v>40</v>
      </c>
      <c r="S1396" t="s">
        <v>5460</v>
      </c>
      <c r="T1396" t="s">
        <v>4565</v>
      </c>
      <c r="U1396" t="s">
        <v>4566</v>
      </c>
      <c r="V1396" t="s">
        <v>4556</v>
      </c>
      <c r="W1396" t="s">
        <v>4567</v>
      </c>
      <c r="Z1396" t="s">
        <v>46</v>
      </c>
      <c r="AA1396" t="s">
        <v>4589</v>
      </c>
      <c r="AC1396">
        <f>COUNTIF(C:C,QLKV_gui_ket_qua_ra_soat[[#This Row],[Mã điểm bán]])</f>
        <v>1</v>
      </c>
    </row>
    <row r="1397" spans="1:29" x14ac:dyDescent="0.45">
      <c r="A1397" t="s">
        <v>4550</v>
      </c>
      <c r="B1397">
        <v>279</v>
      </c>
      <c r="C1397" t="s">
        <v>5461</v>
      </c>
      <c r="D1397" t="s">
        <v>5462</v>
      </c>
      <c r="F1397" t="s">
        <v>401</v>
      </c>
      <c r="G1397" t="s">
        <v>34</v>
      </c>
      <c r="H1397" t="s">
        <v>332</v>
      </c>
      <c r="I1397" t="s">
        <v>5463</v>
      </c>
      <c r="J1397" t="s">
        <v>38</v>
      </c>
      <c r="K1397" t="s">
        <v>38</v>
      </c>
      <c r="L1397" t="s">
        <v>40</v>
      </c>
      <c r="M1397" t="s">
        <v>38</v>
      </c>
      <c r="N1397" t="s">
        <v>775</v>
      </c>
      <c r="O1397" t="s">
        <v>39</v>
      </c>
      <c r="P1397" t="s">
        <v>38</v>
      </c>
      <c r="Q1397" t="s">
        <v>38</v>
      </c>
      <c r="R1397" t="s">
        <v>40</v>
      </c>
      <c r="S1397" t="s">
        <v>41</v>
      </c>
      <c r="T1397" t="s">
        <v>4667</v>
      </c>
      <c r="U1397" t="s">
        <v>4668</v>
      </c>
      <c r="V1397" t="s">
        <v>4556</v>
      </c>
      <c r="W1397" t="s">
        <v>4567</v>
      </c>
      <c r="Z1397" t="s">
        <v>46</v>
      </c>
      <c r="AA1397" t="s">
        <v>4589</v>
      </c>
      <c r="AC1397">
        <f>COUNTIF(C:C,QLKV_gui_ket_qua_ra_soat[[#This Row],[Mã điểm bán]])</f>
        <v>1</v>
      </c>
    </row>
    <row r="1398" spans="1:29" x14ac:dyDescent="0.45">
      <c r="A1398" t="s">
        <v>4550</v>
      </c>
      <c r="B1398">
        <v>280</v>
      </c>
      <c r="C1398" t="s">
        <v>5464</v>
      </c>
      <c r="D1398" t="s">
        <v>5465</v>
      </c>
      <c r="F1398" t="s">
        <v>53</v>
      </c>
      <c r="G1398" t="s">
        <v>34</v>
      </c>
      <c r="H1398" t="s">
        <v>54</v>
      </c>
      <c r="I1398" t="s">
        <v>5466</v>
      </c>
      <c r="J1398" t="s">
        <v>38</v>
      </c>
      <c r="K1398" t="s">
        <v>38</v>
      </c>
      <c r="L1398" t="s">
        <v>39</v>
      </c>
      <c r="M1398" t="s">
        <v>38</v>
      </c>
      <c r="N1398" t="s">
        <v>37</v>
      </c>
      <c r="O1398" t="s">
        <v>39</v>
      </c>
      <c r="P1398" t="s">
        <v>38</v>
      </c>
      <c r="Q1398" t="s">
        <v>38</v>
      </c>
      <c r="R1398" t="s">
        <v>40</v>
      </c>
      <c r="S1398" t="s">
        <v>5467</v>
      </c>
      <c r="T1398" t="s">
        <v>4801</v>
      </c>
      <c r="U1398" t="s">
        <v>4802</v>
      </c>
      <c r="V1398" t="s">
        <v>4556</v>
      </c>
      <c r="W1398" t="s">
        <v>1457</v>
      </c>
      <c r="Z1398" t="s">
        <v>46</v>
      </c>
      <c r="AA1398" t="s">
        <v>4589</v>
      </c>
      <c r="AC1398">
        <f>COUNTIF(C:C,QLKV_gui_ket_qua_ra_soat[[#This Row],[Mã điểm bán]])</f>
        <v>1</v>
      </c>
    </row>
    <row r="1399" spans="1:29" x14ac:dyDescent="0.45">
      <c r="A1399" t="s">
        <v>4550</v>
      </c>
      <c r="B1399">
        <v>281</v>
      </c>
      <c r="C1399" t="s">
        <v>5468</v>
      </c>
      <c r="D1399" t="s">
        <v>5469</v>
      </c>
      <c r="F1399" t="s">
        <v>441</v>
      </c>
      <c r="G1399" t="s">
        <v>34</v>
      </c>
      <c r="H1399" t="s">
        <v>54</v>
      </c>
      <c r="I1399" t="s">
        <v>5470</v>
      </c>
      <c r="J1399" t="s">
        <v>38</v>
      </c>
      <c r="K1399" t="s">
        <v>38</v>
      </c>
      <c r="L1399" t="s">
        <v>40</v>
      </c>
      <c r="M1399" t="s">
        <v>38</v>
      </c>
      <c r="N1399" t="s">
        <v>38</v>
      </c>
      <c r="O1399" t="s">
        <v>39</v>
      </c>
      <c r="P1399" t="s">
        <v>38</v>
      </c>
      <c r="Q1399" t="s">
        <v>38</v>
      </c>
      <c r="R1399" t="s">
        <v>40</v>
      </c>
      <c r="S1399" t="s">
        <v>5363</v>
      </c>
      <c r="T1399" t="s">
        <v>4801</v>
      </c>
      <c r="U1399" t="s">
        <v>4802</v>
      </c>
      <c r="V1399" t="s">
        <v>4556</v>
      </c>
      <c r="W1399" t="s">
        <v>1457</v>
      </c>
      <c r="X1399" t="s">
        <v>46</v>
      </c>
      <c r="AC1399">
        <f>COUNTIF(C:C,QLKV_gui_ket_qua_ra_soat[[#This Row],[Mã điểm bán]])</f>
        <v>1</v>
      </c>
    </row>
    <row r="1400" spans="1:29" x14ac:dyDescent="0.45">
      <c r="A1400" t="s">
        <v>4550</v>
      </c>
      <c r="B1400">
        <v>282</v>
      </c>
      <c r="C1400" t="s">
        <v>5471</v>
      </c>
      <c r="D1400" t="s">
        <v>1749</v>
      </c>
      <c r="F1400" t="s">
        <v>1833</v>
      </c>
      <c r="G1400" t="s">
        <v>34</v>
      </c>
      <c r="H1400" t="s">
        <v>1184</v>
      </c>
      <c r="I1400" t="s">
        <v>5472</v>
      </c>
      <c r="J1400" t="s">
        <v>38</v>
      </c>
      <c r="K1400" t="s">
        <v>38</v>
      </c>
      <c r="L1400" t="s">
        <v>40</v>
      </c>
      <c r="M1400" t="s">
        <v>38</v>
      </c>
      <c r="N1400" t="s">
        <v>56</v>
      </c>
      <c r="O1400" t="s">
        <v>39</v>
      </c>
      <c r="P1400" t="s">
        <v>38</v>
      </c>
      <c r="Q1400" t="s">
        <v>38</v>
      </c>
      <c r="R1400" t="s">
        <v>40</v>
      </c>
      <c r="S1400" t="s">
        <v>41</v>
      </c>
      <c r="T1400" t="s">
        <v>4667</v>
      </c>
      <c r="U1400" t="s">
        <v>4668</v>
      </c>
      <c r="V1400" t="s">
        <v>4556</v>
      </c>
      <c r="W1400" t="s">
        <v>4567</v>
      </c>
      <c r="Z1400" t="s">
        <v>46</v>
      </c>
      <c r="AA1400" t="s">
        <v>4589</v>
      </c>
      <c r="AC1400">
        <f>COUNTIF(C:C,QLKV_gui_ket_qua_ra_soat[[#This Row],[Mã điểm bán]])</f>
        <v>1</v>
      </c>
    </row>
    <row r="1401" spans="1:29" x14ac:dyDescent="0.45">
      <c r="A1401" t="s">
        <v>4550</v>
      </c>
      <c r="B1401">
        <v>283</v>
      </c>
      <c r="C1401" t="s">
        <v>5473</v>
      </c>
      <c r="D1401" t="s">
        <v>5474</v>
      </c>
      <c r="F1401" t="s">
        <v>166</v>
      </c>
      <c r="G1401" t="s">
        <v>34</v>
      </c>
      <c r="H1401" t="s">
        <v>54</v>
      </c>
      <c r="I1401" t="s">
        <v>5475</v>
      </c>
      <c r="J1401" t="s">
        <v>38</v>
      </c>
      <c r="K1401" t="s">
        <v>38</v>
      </c>
      <c r="L1401" t="s">
        <v>40</v>
      </c>
      <c r="M1401" t="s">
        <v>38</v>
      </c>
      <c r="N1401" t="s">
        <v>38</v>
      </c>
      <c r="O1401" t="s">
        <v>39</v>
      </c>
      <c r="P1401" t="s">
        <v>38</v>
      </c>
      <c r="Q1401" t="s">
        <v>38</v>
      </c>
      <c r="R1401" t="s">
        <v>40</v>
      </c>
      <c r="S1401" t="s">
        <v>627</v>
      </c>
      <c r="T1401" t="s">
        <v>4565</v>
      </c>
      <c r="U1401" t="s">
        <v>4566</v>
      </c>
      <c r="V1401" t="s">
        <v>4556</v>
      </c>
      <c r="W1401" t="s">
        <v>4567</v>
      </c>
      <c r="Z1401" t="s">
        <v>46</v>
      </c>
      <c r="AA1401" t="s">
        <v>4589</v>
      </c>
      <c r="AC1401">
        <f>COUNTIF(C:C,QLKV_gui_ket_qua_ra_soat[[#This Row],[Mã điểm bán]])</f>
        <v>1</v>
      </c>
    </row>
    <row r="1402" spans="1:29" x14ac:dyDescent="0.45">
      <c r="A1402" t="s">
        <v>4550</v>
      </c>
      <c r="B1402">
        <v>284</v>
      </c>
      <c r="C1402" t="s">
        <v>5476</v>
      </c>
      <c r="D1402" t="s">
        <v>5477</v>
      </c>
      <c r="F1402" t="s">
        <v>53</v>
      </c>
      <c r="G1402" t="s">
        <v>34</v>
      </c>
      <c r="H1402" t="s">
        <v>54</v>
      </c>
      <c r="I1402" t="s">
        <v>5478</v>
      </c>
      <c r="J1402" t="s">
        <v>38</v>
      </c>
      <c r="K1402" t="s">
        <v>38</v>
      </c>
      <c r="L1402" t="s">
        <v>40</v>
      </c>
      <c r="M1402" t="s">
        <v>38</v>
      </c>
      <c r="N1402" t="s">
        <v>775</v>
      </c>
      <c r="O1402" t="s">
        <v>39</v>
      </c>
      <c r="P1402" t="s">
        <v>38</v>
      </c>
      <c r="Q1402" t="s">
        <v>38</v>
      </c>
      <c r="R1402" t="s">
        <v>40</v>
      </c>
      <c r="S1402" t="s">
        <v>41</v>
      </c>
      <c r="T1402" t="s">
        <v>4667</v>
      </c>
      <c r="U1402" t="s">
        <v>4668</v>
      </c>
      <c r="V1402" t="s">
        <v>4556</v>
      </c>
      <c r="W1402" t="s">
        <v>4567</v>
      </c>
      <c r="X1402" t="s">
        <v>46</v>
      </c>
      <c r="AC1402">
        <f>COUNTIF(C:C,QLKV_gui_ket_qua_ra_soat[[#This Row],[Mã điểm bán]])</f>
        <v>1</v>
      </c>
    </row>
    <row r="1403" spans="1:29" x14ac:dyDescent="0.45">
      <c r="A1403" t="s">
        <v>4550</v>
      </c>
      <c r="B1403">
        <v>285</v>
      </c>
      <c r="C1403" t="s">
        <v>5479</v>
      </c>
      <c r="D1403" t="s">
        <v>5480</v>
      </c>
      <c r="F1403" t="s">
        <v>401</v>
      </c>
      <c r="G1403" t="s">
        <v>177</v>
      </c>
      <c r="H1403" t="s">
        <v>171</v>
      </c>
      <c r="I1403" t="s">
        <v>5481</v>
      </c>
      <c r="J1403" t="s">
        <v>37</v>
      </c>
      <c r="K1403" t="s">
        <v>37</v>
      </c>
      <c r="L1403" t="s">
        <v>39</v>
      </c>
      <c r="M1403" t="s">
        <v>56</v>
      </c>
      <c r="N1403" t="s">
        <v>37</v>
      </c>
      <c r="O1403" t="s">
        <v>39</v>
      </c>
      <c r="P1403" t="s">
        <v>38</v>
      </c>
      <c r="Q1403" t="s">
        <v>38</v>
      </c>
      <c r="R1403" t="s">
        <v>39</v>
      </c>
      <c r="S1403" t="s">
        <v>5482</v>
      </c>
      <c r="T1403" t="s">
        <v>5069</v>
      </c>
      <c r="U1403" t="s">
        <v>5070</v>
      </c>
      <c r="V1403" t="s">
        <v>4556</v>
      </c>
      <c r="W1403" t="s">
        <v>4603</v>
      </c>
      <c r="X1403" t="s">
        <v>46</v>
      </c>
      <c r="AC1403">
        <f>COUNTIF(C:C,QLKV_gui_ket_qua_ra_soat[[#This Row],[Mã điểm bán]])</f>
        <v>1</v>
      </c>
    </row>
    <row r="1404" spans="1:29" x14ac:dyDescent="0.45">
      <c r="A1404" t="s">
        <v>4550</v>
      </c>
      <c r="B1404">
        <v>286</v>
      </c>
      <c r="C1404" t="s">
        <v>5483</v>
      </c>
      <c r="D1404" t="s">
        <v>3150</v>
      </c>
      <c r="F1404" t="s">
        <v>426</v>
      </c>
      <c r="G1404" t="s">
        <v>177</v>
      </c>
      <c r="H1404" t="s">
        <v>1199</v>
      </c>
      <c r="I1404" t="s">
        <v>5484</v>
      </c>
      <c r="J1404" t="s">
        <v>38</v>
      </c>
      <c r="K1404" t="s">
        <v>38</v>
      </c>
      <c r="L1404" t="s">
        <v>40</v>
      </c>
      <c r="M1404" t="s">
        <v>38</v>
      </c>
      <c r="N1404" t="s">
        <v>38</v>
      </c>
      <c r="O1404" t="s">
        <v>39</v>
      </c>
      <c r="P1404" t="s">
        <v>38</v>
      </c>
      <c r="Q1404" t="s">
        <v>38</v>
      </c>
      <c r="R1404" t="s">
        <v>40</v>
      </c>
      <c r="S1404" t="s">
        <v>41</v>
      </c>
      <c r="T1404" t="s">
        <v>4601</v>
      </c>
      <c r="U1404" t="s">
        <v>4602</v>
      </c>
      <c r="V1404" t="s">
        <v>4556</v>
      </c>
      <c r="W1404" t="s">
        <v>4603</v>
      </c>
      <c r="X1404" t="s">
        <v>46</v>
      </c>
      <c r="AC1404">
        <f>COUNTIF(C:C,QLKV_gui_ket_qua_ra_soat[[#This Row],[Mã điểm bán]])</f>
        <v>1</v>
      </c>
    </row>
    <row r="1405" spans="1:29" x14ac:dyDescent="0.45">
      <c r="A1405" t="s">
        <v>4550</v>
      </c>
      <c r="B1405">
        <v>287</v>
      </c>
      <c r="C1405" t="s">
        <v>5485</v>
      </c>
      <c r="D1405" t="s">
        <v>5486</v>
      </c>
      <c r="F1405" t="s">
        <v>166</v>
      </c>
      <c r="G1405" t="s">
        <v>34</v>
      </c>
      <c r="H1405" t="s">
        <v>697</v>
      </c>
      <c r="I1405" t="s">
        <v>5487</v>
      </c>
      <c r="J1405" t="s">
        <v>38</v>
      </c>
      <c r="K1405" t="s">
        <v>38</v>
      </c>
      <c r="L1405" t="s">
        <v>40</v>
      </c>
      <c r="M1405" t="s">
        <v>38</v>
      </c>
      <c r="N1405" t="s">
        <v>38</v>
      </c>
      <c r="O1405" t="s">
        <v>40</v>
      </c>
      <c r="P1405" t="s">
        <v>38</v>
      </c>
      <c r="Q1405" t="s">
        <v>38</v>
      </c>
      <c r="R1405" t="s">
        <v>40</v>
      </c>
      <c r="S1405" t="s">
        <v>41</v>
      </c>
      <c r="T1405" t="s">
        <v>4601</v>
      </c>
      <c r="U1405" t="s">
        <v>4602</v>
      </c>
      <c r="V1405" t="s">
        <v>4556</v>
      </c>
      <c r="W1405" t="s">
        <v>4603</v>
      </c>
      <c r="X1405" t="s">
        <v>46</v>
      </c>
      <c r="AC1405">
        <f>COUNTIF(C:C,QLKV_gui_ket_qua_ra_soat[[#This Row],[Mã điểm bán]])</f>
        <v>1</v>
      </c>
    </row>
    <row r="1406" spans="1:29" x14ac:dyDescent="0.45">
      <c r="A1406" t="s">
        <v>4550</v>
      </c>
      <c r="B1406">
        <v>288</v>
      </c>
      <c r="C1406" t="s">
        <v>5488</v>
      </c>
      <c r="D1406" t="s">
        <v>5489</v>
      </c>
      <c r="F1406" t="s">
        <v>53</v>
      </c>
      <c r="G1406" t="s">
        <v>177</v>
      </c>
      <c r="H1406" t="s">
        <v>54</v>
      </c>
      <c r="I1406" t="s">
        <v>5490</v>
      </c>
      <c r="J1406" t="s">
        <v>38</v>
      </c>
      <c r="K1406" t="s">
        <v>38</v>
      </c>
      <c r="L1406" t="s">
        <v>40</v>
      </c>
      <c r="M1406" t="s">
        <v>37</v>
      </c>
      <c r="N1406" t="s">
        <v>37</v>
      </c>
      <c r="O1406" t="s">
        <v>39</v>
      </c>
      <c r="P1406" t="s">
        <v>38</v>
      </c>
      <c r="Q1406" t="s">
        <v>38</v>
      </c>
      <c r="R1406" t="s">
        <v>40</v>
      </c>
      <c r="S1406" t="s">
        <v>41</v>
      </c>
      <c r="T1406" t="s">
        <v>4601</v>
      </c>
      <c r="U1406" t="s">
        <v>4602</v>
      </c>
      <c r="V1406" t="s">
        <v>4556</v>
      </c>
      <c r="W1406" t="s">
        <v>4603</v>
      </c>
      <c r="Z1406" t="s">
        <v>46</v>
      </c>
      <c r="AA1406" t="s">
        <v>4589</v>
      </c>
      <c r="AC1406">
        <f>COUNTIF(C:C,QLKV_gui_ket_qua_ra_soat[[#This Row],[Mã điểm bán]])</f>
        <v>1</v>
      </c>
    </row>
    <row r="1407" spans="1:29" x14ac:dyDescent="0.45">
      <c r="A1407" t="s">
        <v>4550</v>
      </c>
      <c r="B1407">
        <v>289</v>
      </c>
      <c r="C1407" t="s">
        <v>5491</v>
      </c>
      <c r="D1407" t="s">
        <v>5492</v>
      </c>
      <c r="F1407" t="s">
        <v>426</v>
      </c>
      <c r="G1407" t="s">
        <v>177</v>
      </c>
      <c r="H1407" t="s">
        <v>54</v>
      </c>
      <c r="I1407" t="s">
        <v>1838</v>
      </c>
      <c r="J1407" t="s">
        <v>38</v>
      </c>
      <c r="K1407" t="s">
        <v>38</v>
      </c>
      <c r="L1407" t="s">
        <v>39</v>
      </c>
      <c r="M1407" t="s">
        <v>37</v>
      </c>
      <c r="N1407" t="s">
        <v>37</v>
      </c>
      <c r="O1407" t="s">
        <v>39</v>
      </c>
      <c r="P1407" t="s">
        <v>38</v>
      </c>
      <c r="Q1407" t="s">
        <v>38</v>
      </c>
      <c r="R1407" t="s">
        <v>39</v>
      </c>
      <c r="S1407" t="s">
        <v>41</v>
      </c>
      <c r="T1407" t="s">
        <v>4601</v>
      </c>
      <c r="U1407" t="s">
        <v>4602</v>
      </c>
      <c r="V1407" t="s">
        <v>4556</v>
      </c>
      <c r="W1407" t="s">
        <v>4603</v>
      </c>
      <c r="X1407" t="s">
        <v>46</v>
      </c>
      <c r="AC1407">
        <f>COUNTIF(C:C,QLKV_gui_ket_qua_ra_soat[[#This Row],[Mã điểm bán]])</f>
        <v>1</v>
      </c>
    </row>
    <row r="1408" spans="1:29" x14ac:dyDescent="0.45">
      <c r="A1408" t="s">
        <v>4550</v>
      </c>
      <c r="B1408">
        <v>290</v>
      </c>
      <c r="C1408" t="s">
        <v>5493</v>
      </c>
      <c r="D1408" t="s">
        <v>5494</v>
      </c>
      <c r="F1408" t="s">
        <v>2365</v>
      </c>
      <c r="G1408" t="s">
        <v>177</v>
      </c>
      <c r="H1408" t="s">
        <v>4115</v>
      </c>
      <c r="I1408" t="s">
        <v>5495</v>
      </c>
      <c r="J1408" t="s">
        <v>38</v>
      </c>
      <c r="K1408" t="s">
        <v>38</v>
      </c>
      <c r="L1408" t="s">
        <v>39</v>
      </c>
      <c r="M1408" t="s">
        <v>37</v>
      </c>
      <c r="N1408" t="s">
        <v>37</v>
      </c>
      <c r="O1408" t="s">
        <v>39</v>
      </c>
      <c r="P1408" t="s">
        <v>38</v>
      </c>
      <c r="Q1408" t="s">
        <v>38</v>
      </c>
      <c r="R1408" t="s">
        <v>39</v>
      </c>
      <c r="S1408" t="s">
        <v>41</v>
      </c>
      <c r="T1408" t="s">
        <v>4601</v>
      </c>
      <c r="U1408" t="s">
        <v>4602</v>
      </c>
      <c r="V1408" t="s">
        <v>4556</v>
      </c>
      <c r="W1408" t="s">
        <v>4603</v>
      </c>
      <c r="Z1408" t="s">
        <v>46</v>
      </c>
      <c r="AA1408" t="s">
        <v>4589</v>
      </c>
      <c r="AC1408">
        <f>COUNTIF(C:C,QLKV_gui_ket_qua_ra_soat[[#This Row],[Mã điểm bán]])</f>
        <v>1</v>
      </c>
    </row>
    <row r="1409" spans="1:29" x14ac:dyDescent="0.45">
      <c r="A1409" t="s">
        <v>4550</v>
      </c>
      <c r="B1409">
        <v>291</v>
      </c>
      <c r="C1409" t="s">
        <v>5496</v>
      </c>
      <c r="D1409" t="s">
        <v>5497</v>
      </c>
      <c r="F1409" t="s">
        <v>53</v>
      </c>
      <c r="G1409" t="s">
        <v>177</v>
      </c>
      <c r="H1409" t="s">
        <v>100</v>
      </c>
      <c r="I1409" t="s">
        <v>5498</v>
      </c>
      <c r="J1409" t="s">
        <v>38</v>
      </c>
      <c r="K1409" t="s">
        <v>38</v>
      </c>
      <c r="L1409" t="s">
        <v>40</v>
      </c>
      <c r="M1409" t="s">
        <v>38</v>
      </c>
      <c r="N1409" t="s">
        <v>38</v>
      </c>
      <c r="O1409" t="s">
        <v>39</v>
      </c>
      <c r="P1409" t="s">
        <v>38</v>
      </c>
      <c r="Q1409" t="s">
        <v>37</v>
      </c>
      <c r="R1409" t="s">
        <v>40</v>
      </c>
      <c r="S1409" t="s">
        <v>41</v>
      </c>
      <c r="T1409" t="s">
        <v>4601</v>
      </c>
      <c r="U1409" t="s">
        <v>4602</v>
      </c>
      <c r="V1409" t="s">
        <v>4556</v>
      </c>
      <c r="W1409" t="s">
        <v>4603</v>
      </c>
      <c r="X1409" t="s">
        <v>46</v>
      </c>
      <c r="AC1409">
        <f>COUNTIF(C:C,QLKV_gui_ket_qua_ra_soat[[#This Row],[Mã điểm bán]])</f>
        <v>1</v>
      </c>
    </row>
    <row r="1410" spans="1:29" x14ac:dyDescent="0.45">
      <c r="A1410" t="s">
        <v>4550</v>
      </c>
      <c r="B1410">
        <v>292</v>
      </c>
      <c r="C1410" t="s">
        <v>5499</v>
      </c>
      <c r="D1410" t="s">
        <v>5500</v>
      </c>
      <c r="F1410" t="s">
        <v>115</v>
      </c>
      <c r="G1410" t="s">
        <v>34</v>
      </c>
      <c r="H1410" t="s">
        <v>54</v>
      </c>
      <c r="I1410" t="s">
        <v>5501</v>
      </c>
      <c r="J1410" t="s">
        <v>38</v>
      </c>
      <c r="K1410" t="s">
        <v>38</v>
      </c>
      <c r="L1410" t="s">
        <v>39</v>
      </c>
      <c r="M1410" t="s">
        <v>56</v>
      </c>
      <c r="N1410" t="s">
        <v>56</v>
      </c>
      <c r="O1410" t="s">
        <v>39</v>
      </c>
      <c r="P1410" t="s">
        <v>38</v>
      </c>
      <c r="Q1410" t="s">
        <v>37</v>
      </c>
      <c r="R1410" t="s">
        <v>39</v>
      </c>
      <c r="S1410" t="s">
        <v>5502</v>
      </c>
      <c r="T1410" t="s">
        <v>5069</v>
      </c>
      <c r="U1410" t="s">
        <v>5070</v>
      </c>
      <c r="V1410" t="s">
        <v>4556</v>
      </c>
      <c r="W1410" t="s">
        <v>4603</v>
      </c>
      <c r="X1410" t="s">
        <v>46</v>
      </c>
      <c r="AC1410">
        <f>COUNTIF(C:C,QLKV_gui_ket_qua_ra_soat[[#This Row],[Mã điểm bán]])</f>
        <v>1</v>
      </c>
    </row>
    <row r="1411" spans="1:29" x14ac:dyDescent="0.45">
      <c r="A1411" t="s">
        <v>4550</v>
      </c>
      <c r="B1411">
        <v>293</v>
      </c>
      <c r="C1411" t="s">
        <v>5503</v>
      </c>
      <c r="D1411" t="s">
        <v>5504</v>
      </c>
      <c r="F1411" t="s">
        <v>5505</v>
      </c>
      <c r="G1411" t="s">
        <v>34</v>
      </c>
      <c r="H1411" t="s">
        <v>214</v>
      </c>
      <c r="I1411" t="s">
        <v>5506</v>
      </c>
      <c r="J1411" t="s">
        <v>38</v>
      </c>
      <c r="K1411" t="s">
        <v>38</v>
      </c>
      <c r="L1411" t="s">
        <v>40</v>
      </c>
      <c r="M1411" t="s">
        <v>37</v>
      </c>
      <c r="N1411" t="s">
        <v>37</v>
      </c>
      <c r="O1411" t="s">
        <v>39</v>
      </c>
      <c r="P1411" t="s">
        <v>38</v>
      </c>
      <c r="Q1411" t="s">
        <v>37</v>
      </c>
      <c r="R1411" t="s">
        <v>39</v>
      </c>
      <c r="S1411" t="s">
        <v>41</v>
      </c>
      <c r="T1411" t="s">
        <v>4737</v>
      </c>
      <c r="U1411" t="s">
        <v>4738</v>
      </c>
      <c r="V1411" t="s">
        <v>4556</v>
      </c>
      <c r="W1411" t="s">
        <v>1457</v>
      </c>
      <c r="X1411" t="s">
        <v>46</v>
      </c>
      <c r="AC1411">
        <f>COUNTIF(C:C,QLKV_gui_ket_qua_ra_soat[[#This Row],[Mã điểm bán]])</f>
        <v>1</v>
      </c>
    </row>
    <row r="1412" spans="1:29" x14ac:dyDescent="0.45">
      <c r="A1412" t="s">
        <v>4550</v>
      </c>
      <c r="B1412">
        <v>294</v>
      </c>
      <c r="C1412" t="s">
        <v>5507</v>
      </c>
      <c r="D1412" t="s">
        <v>5508</v>
      </c>
      <c r="F1412" t="s">
        <v>331</v>
      </c>
      <c r="G1412" t="s">
        <v>34</v>
      </c>
      <c r="H1412" t="s">
        <v>54</v>
      </c>
      <c r="I1412" t="s">
        <v>1845</v>
      </c>
      <c r="J1412" t="s">
        <v>38</v>
      </c>
      <c r="K1412" t="s">
        <v>38</v>
      </c>
      <c r="L1412" t="s">
        <v>40</v>
      </c>
      <c r="M1412" t="s">
        <v>38</v>
      </c>
      <c r="N1412" t="s">
        <v>38</v>
      </c>
      <c r="O1412" t="s">
        <v>39</v>
      </c>
      <c r="P1412" t="s">
        <v>38</v>
      </c>
      <c r="Q1412" t="s">
        <v>38</v>
      </c>
      <c r="R1412" t="s">
        <v>40</v>
      </c>
      <c r="S1412" t="s">
        <v>41</v>
      </c>
      <c r="T1412" t="s">
        <v>4565</v>
      </c>
      <c r="U1412" t="s">
        <v>4566</v>
      </c>
      <c r="V1412" t="s">
        <v>4556</v>
      </c>
      <c r="W1412" t="s">
        <v>4567</v>
      </c>
      <c r="Z1412" t="s">
        <v>46</v>
      </c>
      <c r="AA1412" t="s">
        <v>4589</v>
      </c>
      <c r="AC1412">
        <f>COUNTIF(C:C,QLKV_gui_ket_qua_ra_soat[[#This Row],[Mã điểm bán]])</f>
        <v>1</v>
      </c>
    </row>
    <row r="1413" spans="1:29" x14ac:dyDescent="0.45">
      <c r="A1413" t="s">
        <v>4550</v>
      </c>
      <c r="B1413">
        <v>295</v>
      </c>
      <c r="C1413" t="s">
        <v>5509</v>
      </c>
      <c r="D1413" t="s">
        <v>5510</v>
      </c>
      <c r="F1413" t="s">
        <v>417</v>
      </c>
      <c r="G1413" t="s">
        <v>34</v>
      </c>
      <c r="H1413" t="s">
        <v>214</v>
      </c>
      <c r="I1413" t="s">
        <v>5511</v>
      </c>
      <c r="J1413" t="s">
        <v>38</v>
      </c>
      <c r="K1413" t="s">
        <v>38</v>
      </c>
      <c r="L1413" t="s">
        <v>40</v>
      </c>
      <c r="M1413" t="s">
        <v>38</v>
      </c>
      <c r="N1413" t="s">
        <v>775</v>
      </c>
      <c r="O1413" t="s">
        <v>39</v>
      </c>
      <c r="P1413" t="s">
        <v>38</v>
      </c>
      <c r="Q1413" t="s">
        <v>38</v>
      </c>
      <c r="R1413" t="s">
        <v>40</v>
      </c>
      <c r="S1413" t="s">
        <v>41</v>
      </c>
      <c r="T1413" t="s">
        <v>4667</v>
      </c>
      <c r="U1413" t="s">
        <v>4668</v>
      </c>
      <c r="V1413" t="s">
        <v>4556</v>
      </c>
      <c r="W1413" t="s">
        <v>4567</v>
      </c>
      <c r="Z1413" t="s">
        <v>46</v>
      </c>
      <c r="AA1413" t="s">
        <v>4589</v>
      </c>
      <c r="AC1413">
        <f>COUNTIF(C:C,QLKV_gui_ket_qua_ra_soat[[#This Row],[Mã điểm bán]])</f>
        <v>1</v>
      </c>
    </row>
    <row r="1414" spans="1:29" x14ac:dyDescent="0.45">
      <c r="A1414" t="s">
        <v>4550</v>
      </c>
      <c r="B1414">
        <v>296</v>
      </c>
      <c r="C1414" t="s">
        <v>5512</v>
      </c>
      <c r="D1414" t="s">
        <v>5513</v>
      </c>
      <c r="F1414" t="s">
        <v>325</v>
      </c>
      <c r="G1414" t="s">
        <v>34</v>
      </c>
      <c r="H1414" t="s">
        <v>54</v>
      </c>
      <c r="I1414" t="s">
        <v>5514</v>
      </c>
      <c r="J1414" t="s">
        <v>38</v>
      </c>
      <c r="K1414" t="s">
        <v>37</v>
      </c>
      <c r="L1414" t="s">
        <v>39</v>
      </c>
      <c r="M1414" t="s">
        <v>56</v>
      </c>
      <c r="N1414" t="s">
        <v>56</v>
      </c>
      <c r="O1414" t="s">
        <v>39</v>
      </c>
      <c r="P1414" t="s">
        <v>1034</v>
      </c>
      <c r="Q1414" t="s">
        <v>38</v>
      </c>
      <c r="R1414" t="s">
        <v>40</v>
      </c>
      <c r="S1414" t="s">
        <v>5515</v>
      </c>
      <c r="T1414" t="s">
        <v>5069</v>
      </c>
      <c r="U1414" t="s">
        <v>5070</v>
      </c>
      <c r="V1414" t="s">
        <v>4556</v>
      </c>
      <c r="W1414" t="s">
        <v>4603</v>
      </c>
      <c r="X1414" t="s">
        <v>46</v>
      </c>
      <c r="AC1414">
        <f>COUNTIF(C:C,QLKV_gui_ket_qua_ra_soat[[#This Row],[Mã điểm bán]])</f>
        <v>1</v>
      </c>
    </row>
    <row r="1415" spans="1:29" x14ac:dyDescent="0.45">
      <c r="A1415" t="s">
        <v>4550</v>
      </c>
      <c r="B1415">
        <v>297</v>
      </c>
      <c r="C1415" t="s">
        <v>5516</v>
      </c>
      <c r="D1415" t="s">
        <v>5517</v>
      </c>
      <c r="F1415" t="s">
        <v>2089</v>
      </c>
      <c r="G1415" t="s">
        <v>34</v>
      </c>
      <c r="H1415" t="s">
        <v>2454</v>
      </c>
      <c r="I1415" t="s">
        <v>5518</v>
      </c>
      <c r="J1415" t="s">
        <v>38</v>
      </c>
      <c r="K1415" t="s">
        <v>38</v>
      </c>
      <c r="L1415" t="s">
        <v>40</v>
      </c>
      <c r="M1415" t="s">
        <v>38</v>
      </c>
      <c r="N1415" t="s">
        <v>38</v>
      </c>
      <c r="O1415" t="s">
        <v>40</v>
      </c>
      <c r="P1415" t="s">
        <v>38</v>
      </c>
      <c r="Q1415" t="s">
        <v>37</v>
      </c>
      <c r="R1415" t="s">
        <v>40</v>
      </c>
      <c r="S1415" t="s">
        <v>5519</v>
      </c>
      <c r="T1415" t="s">
        <v>4746</v>
      </c>
      <c r="U1415" t="s">
        <v>4747</v>
      </c>
      <c r="V1415" t="s">
        <v>4556</v>
      </c>
      <c r="W1415" t="s">
        <v>4603</v>
      </c>
      <c r="X1415" t="s">
        <v>46</v>
      </c>
      <c r="AC1415">
        <f>COUNTIF(C:C,QLKV_gui_ket_qua_ra_soat[[#This Row],[Mã điểm bán]])</f>
        <v>1</v>
      </c>
    </row>
    <row r="1416" spans="1:29" x14ac:dyDescent="0.45">
      <c r="A1416" t="s">
        <v>4550</v>
      </c>
      <c r="B1416">
        <v>298</v>
      </c>
      <c r="C1416" t="s">
        <v>5520</v>
      </c>
      <c r="D1416" t="s">
        <v>5521</v>
      </c>
      <c r="F1416" t="s">
        <v>53</v>
      </c>
      <c r="G1416" t="s">
        <v>177</v>
      </c>
      <c r="H1416" t="s">
        <v>54</v>
      </c>
      <c r="I1416" t="s">
        <v>1968</v>
      </c>
      <c r="J1416" t="s">
        <v>38</v>
      </c>
      <c r="K1416" t="s">
        <v>38</v>
      </c>
      <c r="L1416" t="s">
        <v>40</v>
      </c>
      <c r="M1416" t="s">
        <v>37</v>
      </c>
      <c r="N1416" t="s">
        <v>37</v>
      </c>
      <c r="O1416" t="s">
        <v>39</v>
      </c>
      <c r="P1416" t="s">
        <v>38</v>
      </c>
      <c r="Q1416" t="s">
        <v>38</v>
      </c>
      <c r="R1416" t="s">
        <v>39</v>
      </c>
      <c r="S1416" t="s">
        <v>41</v>
      </c>
      <c r="T1416" t="s">
        <v>4601</v>
      </c>
      <c r="U1416" t="s">
        <v>4602</v>
      </c>
      <c r="V1416" t="s">
        <v>4556</v>
      </c>
      <c r="W1416" t="s">
        <v>4603</v>
      </c>
      <c r="X1416" t="s">
        <v>46</v>
      </c>
      <c r="AC1416">
        <f>COUNTIF(C:C,QLKV_gui_ket_qua_ra_soat[[#This Row],[Mã điểm bán]])</f>
        <v>1</v>
      </c>
    </row>
    <row r="1417" spans="1:29" x14ac:dyDescent="0.45">
      <c r="A1417" t="s">
        <v>4550</v>
      </c>
      <c r="B1417">
        <v>299</v>
      </c>
      <c r="C1417" t="s">
        <v>5522</v>
      </c>
      <c r="D1417" t="s">
        <v>5523</v>
      </c>
      <c r="F1417" t="s">
        <v>426</v>
      </c>
      <c r="G1417" t="s">
        <v>177</v>
      </c>
      <c r="H1417" t="s">
        <v>54</v>
      </c>
      <c r="I1417" t="s">
        <v>5524</v>
      </c>
      <c r="J1417" t="s">
        <v>38</v>
      </c>
      <c r="K1417" t="s">
        <v>38</v>
      </c>
      <c r="L1417" t="s">
        <v>40</v>
      </c>
      <c r="M1417" t="s">
        <v>37</v>
      </c>
      <c r="N1417" t="s">
        <v>37</v>
      </c>
      <c r="O1417" t="s">
        <v>39</v>
      </c>
      <c r="P1417" t="s">
        <v>38</v>
      </c>
      <c r="Q1417" t="s">
        <v>38</v>
      </c>
      <c r="R1417" t="s">
        <v>40</v>
      </c>
      <c r="S1417" t="s">
        <v>41</v>
      </c>
      <c r="T1417" t="s">
        <v>4601</v>
      </c>
      <c r="U1417" t="s">
        <v>4602</v>
      </c>
      <c r="V1417" t="s">
        <v>4556</v>
      </c>
      <c r="W1417" t="s">
        <v>4603</v>
      </c>
      <c r="X1417" t="s">
        <v>46</v>
      </c>
      <c r="AC1417">
        <f>COUNTIF(C:C,QLKV_gui_ket_qua_ra_soat[[#This Row],[Mã điểm bán]])</f>
        <v>1</v>
      </c>
    </row>
    <row r="1418" spans="1:29" x14ac:dyDescent="0.45">
      <c r="A1418" t="s">
        <v>4550</v>
      </c>
      <c r="B1418">
        <v>300</v>
      </c>
      <c r="C1418" t="s">
        <v>5525</v>
      </c>
      <c r="D1418" t="s">
        <v>5526</v>
      </c>
      <c r="F1418" t="s">
        <v>426</v>
      </c>
      <c r="G1418" t="s">
        <v>34</v>
      </c>
      <c r="H1418" t="s">
        <v>3620</v>
      </c>
      <c r="I1418" t="s">
        <v>5527</v>
      </c>
      <c r="J1418" t="s">
        <v>38</v>
      </c>
      <c r="K1418" t="s">
        <v>37</v>
      </c>
      <c r="L1418" t="s">
        <v>39</v>
      </c>
      <c r="M1418" t="s">
        <v>37</v>
      </c>
      <c r="N1418" t="s">
        <v>37</v>
      </c>
      <c r="O1418" t="s">
        <v>39</v>
      </c>
      <c r="P1418" t="s">
        <v>38</v>
      </c>
      <c r="Q1418" t="s">
        <v>37</v>
      </c>
      <c r="R1418" t="s">
        <v>40</v>
      </c>
      <c r="S1418" t="s">
        <v>41</v>
      </c>
      <c r="T1418" t="s">
        <v>4601</v>
      </c>
      <c r="U1418" t="s">
        <v>4602</v>
      </c>
      <c r="V1418" t="s">
        <v>4556</v>
      </c>
      <c r="W1418" t="s">
        <v>4603</v>
      </c>
      <c r="X1418" t="s">
        <v>46</v>
      </c>
      <c r="AC1418">
        <f>COUNTIF(C:C,QLKV_gui_ket_qua_ra_soat[[#This Row],[Mã điểm bán]])</f>
        <v>1</v>
      </c>
    </row>
    <row r="1419" spans="1:29" x14ac:dyDescent="0.45">
      <c r="A1419" t="s">
        <v>4550</v>
      </c>
      <c r="B1419">
        <v>301</v>
      </c>
      <c r="C1419" t="s">
        <v>5528</v>
      </c>
      <c r="D1419" t="s">
        <v>5529</v>
      </c>
      <c r="F1419" t="s">
        <v>166</v>
      </c>
      <c r="G1419" t="s">
        <v>34</v>
      </c>
      <c r="H1419" t="s">
        <v>4115</v>
      </c>
      <c r="I1419" t="s">
        <v>5530</v>
      </c>
      <c r="J1419" t="s">
        <v>38</v>
      </c>
      <c r="K1419" t="s">
        <v>38</v>
      </c>
      <c r="L1419" t="s">
        <v>40</v>
      </c>
      <c r="M1419" t="s">
        <v>37</v>
      </c>
      <c r="N1419" t="s">
        <v>37</v>
      </c>
      <c r="O1419" t="s">
        <v>40</v>
      </c>
      <c r="P1419" t="s">
        <v>38</v>
      </c>
      <c r="Q1419" t="s">
        <v>38</v>
      </c>
      <c r="R1419" t="s">
        <v>40</v>
      </c>
      <c r="S1419" t="s">
        <v>41</v>
      </c>
      <c r="T1419" t="s">
        <v>4601</v>
      </c>
      <c r="U1419" t="s">
        <v>4602</v>
      </c>
      <c r="V1419" t="s">
        <v>4556</v>
      </c>
      <c r="W1419" t="s">
        <v>4603</v>
      </c>
      <c r="X1419" t="s">
        <v>46</v>
      </c>
      <c r="AC1419">
        <f>COUNTIF(C:C,QLKV_gui_ket_qua_ra_soat[[#This Row],[Mã điểm bán]])</f>
        <v>1</v>
      </c>
    </row>
    <row r="1420" spans="1:29" x14ac:dyDescent="0.45">
      <c r="A1420" t="s">
        <v>4550</v>
      </c>
      <c r="B1420">
        <v>302</v>
      </c>
      <c r="C1420" t="s">
        <v>5531</v>
      </c>
      <c r="D1420" t="s">
        <v>5532</v>
      </c>
      <c r="F1420" t="s">
        <v>115</v>
      </c>
      <c r="G1420" t="s">
        <v>34</v>
      </c>
      <c r="H1420" t="s">
        <v>171</v>
      </c>
      <c r="I1420" t="s">
        <v>5533</v>
      </c>
      <c r="J1420" t="s">
        <v>38</v>
      </c>
      <c r="K1420" t="s">
        <v>37</v>
      </c>
      <c r="L1420" t="s">
        <v>40</v>
      </c>
      <c r="M1420" t="s">
        <v>56</v>
      </c>
      <c r="N1420" t="s">
        <v>56</v>
      </c>
      <c r="O1420" t="s">
        <v>39</v>
      </c>
      <c r="P1420" t="s">
        <v>38</v>
      </c>
      <c r="Q1420" t="s">
        <v>38</v>
      </c>
      <c r="R1420" t="s">
        <v>39</v>
      </c>
      <c r="S1420" t="s">
        <v>41</v>
      </c>
      <c r="T1420" t="s">
        <v>4737</v>
      </c>
      <c r="U1420" t="s">
        <v>4738</v>
      </c>
      <c r="V1420" t="s">
        <v>4556</v>
      </c>
      <c r="W1420" t="s">
        <v>1457</v>
      </c>
      <c r="Z1420" t="s">
        <v>46</v>
      </c>
      <c r="AA1420" t="s">
        <v>4575</v>
      </c>
      <c r="AC1420">
        <f>COUNTIF(C:C,QLKV_gui_ket_qua_ra_soat[[#This Row],[Mã điểm bán]])</f>
        <v>1</v>
      </c>
    </row>
    <row r="1421" spans="1:29" x14ac:dyDescent="0.45">
      <c r="A1421" t="s">
        <v>4550</v>
      </c>
      <c r="B1421">
        <v>303</v>
      </c>
      <c r="C1421" t="s">
        <v>5534</v>
      </c>
      <c r="D1421" t="s">
        <v>3520</v>
      </c>
      <c r="F1421" t="s">
        <v>5535</v>
      </c>
      <c r="G1421" t="s">
        <v>34</v>
      </c>
      <c r="H1421" t="s">
        <v>546</v>
      </c>
      <c r="I1421" t="s">
        <v>5536</v>
      </c>
      <c r="J1421" t="s">
        <v>37</v>
      </c>
      <c r="K1421" t="s">
        <v>38</v>
      </c>
      <c r="L1421" t="s">
        <v>40</v>
      </c>
      <c r="M1421" t="s">
        <v>38</v>
      </c>
      <c r="N1421" t="s">
        <v>38</v>
      </c>
      <c r="O1421" t="s">
        <v>40</v>
      </c>
      <c r="P1421" t="s">
        <v>38</v>
      </c>
      <c r="Q1421" t="s">
        <v>38</v>
      </c>
      <c r="R1421" t="s">
        <v>39</v>
      </c>
      <c r="S1421" t="s">
        <v>5537</v>
      </c>
      <c r="T1421" t="s">
        <v>4746</v>
      </c>
      <c r="U1421" t="s">
        <v>4747</v>
      </c>
      <c r="V1421" t="s">
        <v>4556</v>
      </c>
      <c r="W1421" t="s">
        <v>4603</v>
      </c>
      <c r="X1421" t="s">
        <v>46</v>
      </c>
      <c r="AC1421">
        <f>COUNTIF(C:C,QLKV_gui_ket_qua_ra_soat[[#This Row],[Mã điểm bán]])</f>
        <v>1</v>
      </c>
    </row>
    <row r="1422" spans="1:29" x14ac:dyDescent="0.45">
      <c r="A1422" t="s">
        <v>4550</v>
      </c>
      <c r="B1422">
        <v>304</v>
      </c>
      <c r="C1422" t="s">
        <v>5538</v>
      </c>
      <c r="D1422" t="s">
        <v>5539</v>
      </c>
      <c r="F1422" t="s">
        <v>53</v>
      </c>
      <c r="G1422" t="s">
        <v>150</v>
      </c>
      <c r="H1422" t="s">
        <v>54</v>
      </c>
      <c r="I1422" t="s">
        <v>5540</v>
      </c>
      <c r="J1422" t="s">
        <v>38</v>
      </c>
      <c r="K1422" t="s">
        <v>38</v>
      </c>
      <c r="L1422" t="s">
        <v>40</v>
      </c>
      <c r="M1422" t="s">
        <v>38</v>
      </c>
      <c r="N1422" t="s">
        <v>38</v>
      </c>
      <c r="O1422" t="s">
        <v>40</v>
      </c>
      <c r="P1422" t="s">
        <v>38</v>
      </c>
      <c r="Q1422" t="s">
        <v>38</v>
      </c>
      <c r="R1422" t="s">
        <v>40</v>
      </c>
      <c r="S1422" t="s">
        <v>5363</v>
      </c>
      <c r="T1422" t="s">
        <v>5069</v>
      </c>
      <c r="U1422" t="s">
        <v>5070</v>
      </c>
      <c r="V1422" t="s">
        <v>4556</v>
      </c>
      <c r="W1422" t="s">
        <v>4603</v>
      </c>
      <c r="X1422" t="s">
        <v>46</v>
      </c>
      <c r="AC1422">
        <f>COUNTIF(C:C,QLKV_gui_ket_qua_ra_soat[[#This Row],[Mã điểm bán]])</f>
        <v>1</v>
      </c>
    </row>
    <row r="1423" spans="1:29" x14ac:dyDescent="0.45">
      <c r="A1423" t="s">
        <v>4550</v>
      </c>
      <c r="B1423">
        <v>305</v>
      </c>
      <c r="C1423" t="s">
        <v>5541</v>
      </c>
      <c r="D1423" t="s">
        <v>5327</v>
      </c>
      <c r="F1423" t="s">
        <v>325</v>
      </c>
      <c r="G1423" t="s">
        <v>1624</v>
      </c>
      <c r="H1423" t="s">
        <v>54</v>
      </c>
      <c r="I1423" t="s">
        <v>4322</v>
      </c>
      <c r="J1423" t="s">
        <v>38</v>
      </c>
      <c r="K1423" t="s">
        <v>1034</v>
      </c>
      <c r="L1423" t="s">
        <v>39</v>
      </c>
      <c r="M1423" t="s">
        <v>37</v>
      </c>
      <c r="N1423" t="s">
        <v>37</v>
      </c>
      <c r="O1423" t="s">
        <v>39</v>
      </c>
      <c r="P1423" t="s">
        <v>38</v>
      </c>
      <c r="Q1423" t="s">
        <v>38</v>
      </c>
      <c r="R1423" t="s">
        <v>39</v>
      </c>
      <c r="S1423" t="s">
        <v>5542</v>
      </c>
      <c r="T1423" t="s">
        <v>5069</v>
      </c>
      <c r="U1423" t="s">
        <v>5070</v>
      </c>
      <c r="V1423" t="s">
        <v>4556</v>
      </c>
      <c r="W1423" t="s">
        <v>4603</v>
      </c>
      <c r="X1423" t="s">
        <v>46</v>
      </c>
      <c r="AC1423">
        <f>COUNTIF(C:C,QLKV_gui_ket_qua_ra_soat[[#This Row],[Mã điểm bán]])</f>
        <v>1</v>
      </c>
    </row>
    <row r="1424" spans="1:29" x14ac:dyDescent="0.45">
      <c r="A1424" t="s">
        <v>4550</v>
      </c>
      <c r="B1424">
        <v>306</v>
      </c>
      <c r="C1424" t="s">
        <v>5543</v>
      </c>
      <c r="D1424" t="s">
        <v>5544</v>
      </c>
      <c r="F1424" t="s">
        <v>280</v>
      </c>
      <c r="G1424" t="s">
        <v>34</v>
      </c>
      <c r="H1424" t="s">
        <v>100</v>
      </c>
      <c r="I1424" t="s">
        <v>5545</v>
      </c>
      <c r="J1424" t="s">
        <v>38</v>
      </c>
      <c r="K1424" t="s">
        <v>38</v>
      </c>
      <c r="L1424" t="s">
        <v>40</v>
      </c>
      <c r="M1424" t="s">
        <v>38</v>
      </c>
      <c r="N1424" t="s">
        <v>38</v>
      </c>
      <c r="O1424" t="s">
        <v>40</v>
      </c>
      <c r="P1424" t="s">
        <v>38</v>
      </c>
      <c r="Q1424" t="s">
        <v>38</v>
      </c>
      <c r="R1424" t="s">
        <v>40</v>
      </c>
      <c r="S1424" t="s">
        <v>5546</v>
      </c>
      <c r="T1424" t="s">
        <v>4746</v>
      </c>
      <c r="U1424" t="s">
        <v>4747</v>
      </c>
      <c r="V1424" t="s">
        <v>4556</v>
      </c>
      <c r="W1424" t="s">
        <v>4603</v>
      </c>
      <c r="X1424" t="s">
        <v>46</v>
      </c>
      <c r="AC1424">
        <f>COUNTIF(C:C,QLKV_gui_ket_qua_ra_soat[[#This Row],[Mã điểm bán]])</f>
        <v>1</v>
      </c>
    </row>
    <row r="1425" spans="1:29" x14ac:dyDescent="0.45">
      <c r="A1425" t="s">
        <v>4550</v>
      </c>
      <c r="B1425">
        <v>307</v>
      </c>
      <c r="C1425" t="s">
        <v>5547</v>
      </c>
      <c r="D1425" t="s">
        <v>5548</v>
      </c>
      <c r="F1425" t="s">
        <v>401</v>
      </c>
      <c r="G1425" t="s">
        <v>34</v>
      </c>
      <c r="H1425" t="s">
        <v>319</v>
      </c>
      <c r="I1425" t="s">
        <v>5549</v>
      </c>
      <c r="J1425" t="s">
        <v>56</v>
      </c>
      <c r="K1425" t="s">
        <v>56</v>
      </c>
      <c r="L1425" t="s">
        <v>40</v>
      </c>
      <c r="M1425" t="s">
        <v>56</v>
      </c>
      <c r="N1425" t="s">
        <v>56</v>
      </c>
      <c r="O1425" t="s">
        <v>39</v>
      </c>
      <c r="P1425" t="s">
        <v>56</v>
      </c>
      <c r="Q1425" t="s">
        <v>56</v>
      </c>
      <c r="R1425" t="s">
        <v>39</v>
      </c>
      <c r="S1425" t="s">
        <v>5550</v>
      </c>
      <c r="T1425" t="s">
        <v>4746</v>
      </c>
      <c r="U1425" t="s">
        <v>4747</v>
      </c>
      <c r="V1425" t="s">
        <v>4556</v>
      </c>
      <c r="W1425" t="s">
        <v>4603</v>
      </c>
      <c r="X1425" t="s">
        <v>46</v>
      </c>
      <c r="AC1425">
        <f>COUNTIF(C:C,QLKV_gui_ket_qua_ra_soat[[#This Row],[Mã điểm bán]])</f>
        <v>1</v>
      </c>
    </row>
    <row r="1426" spans="1:29" x14ac:dyDescent="0.45">
      <c r="A1426" t="s">
        <v>4550</v>
      </c>
      <c r="B1426">
        <v>308</v>
      </c>
      <c r="C1426" t="s">
        <v>5551</v>
      </c>
      <c r="D1426" t="s">
        <v>5552</v>
      </c>
      <c r="F1426" t="s">
        <v>819</v>
      </c>
      <c r="G1426" t="s">
        <v>34</v>
      </c>
      <c r="H1426" t="s">
        <v>54</v>
      </c>
      <c r="I1426" t="s">
        <v>5553</v>
      </c>
      <c r="J1426" t="s">
        <v>775</v>
      </c>
      <c r="K1426" t="s">
        <v>37</v>
      </c>
      <c r="L1426" t="s">
        <v>40</v>
      </c>
      <c r="M1426" t="s">
        <v>37</v>
      </c>
      <c r="N1426" t="s">
        <v>38</v>
      </c>
      <c r="O1426" t="s">
        <v>40</v>
      </c>
      <c r="P1426" t="s">
        <v>38</v>
      </c>
      <c r="Q1426" t="s">
        <v>38</v>
      </c>
      <c r="R1426" t="s">
        <v>40</v>
      </c>
      <c r="S1426" t="s">
        <v>5554</v>
      </c>
      <c r="T1426" t="s">
        <v>5069</v>
      </c>
      <c r="U1426" t="s">
        <v>5070</v>
      </c>
      <c r="V1426" t="s">
        <v>4556</v>
      </c>
      <c r="W1426" t="s">
        <v>4603</v>
      </c>
      <c r="X1426" t="s">
        <v>46</v>
      </c>
      <c r="AC1426">
        <f>COUNTIF(C:C,QLKV_gui_ket_qua_ra_soat[[#This Row],[Mã điểm bán]])</f>
        <v>1</v>
      </c>
    </row>
    <row r="1427" spans="1:29" x14ac:dyDescent="0.45">
      <c r="A1427" t="s">
        <v>4550</v>
      </c>
      <c r="B1427">
        <v>309</v>
      </c>
      <c r="C1427" t="s">
        <v>5555</v>
      </c>
      <c r="D1427" t="s">
        <v>5556</v>
      </c>
      <c r="F1427" t="s">
        <v>1471</v>
      </c>
      <c r="G1427" t="s">
        <v>150</v>
      </c>
      <c r="H1427" t="s">
        <v>214</v>
      </c>
      <c r="I1427" t="s">
        <v>5557</v>
      </c>
      <c r="J1427" t="s">
        <v>38</v>
      </c>
      <c r="K1427" t="s">
        <v>38</v>
      </c>
      <c r="L1427" t="s">
        <v>40</v>
      </c>
      <c r="M1427" t="s">
        <v>38</v>
      </c>
      <c r="N1427" t="s">
        <v>38</v>
      </c>
      <c r="O1427" t="s">
        <v>40</v>
      </c>
      <c r="P1427" t="s">
        <v>38</v>
      </c>
      <c r="Q1427" t="s">
        <v>38</v>
      </c>
      <c r="R1427" t="s">
        <v>40</v>
      </c>
      <c r="S1427" t="s">
        <v>41</v>
      </c>
      <c r="T1427" t="s">
        <v>4790</v>
      </c>
      <c r="U1427" t="s">
        <v>4566</v>
      </c>
      <c r="V1427" t="s">
        <v>4556</v>
      </c>
      <c r="W1427" t="s">
        <v>4567</v>
      </c>
      <c r="Z1427" t="s">
        <v>46</v>
      </c>
      <c r="AA1427" t="s">
        <v>4575</v>
      </c>
      <c r="AC1427">
        <f>COUNTIF(C:C,QLKV_gui_ket_qua_ra_soat[[#This Row],[Mã điểm bán]])</f>
        <v>1</v>
      </c>
    </row>
    <row r="1428" spans="1:29" x14ac:dyDescent="0.45">
      <c r="A1428" t="s">
        <v>5558</v>
      </c>
      <c r="B1428">
        <v>111</v>
      </c>
      <c r="C1428" t="s">
        <v>5559</v>
      </c>
      <c r="D1428" t="s">
        <v>5560</v>
      </c>
      <c r="E1428" t="s">
        <v>657</v>
      </c>
      <c r="F1428" t="s">
        <v>70</v>
      </c>
      <c r="G1428" t="s">
        <v>34</v>
      </c>
      <c r="H1428" t="s">
        <v>171</v>
      </c>
      <c r="I1428" t="s">
        <v>5561</v>
      </c>
      <c r="J1428" t="s">
        <v>1034</v>
      </c>
      <c r="K1428" t="s">
        <v>775</v>
      </c>
      <c r="L1428" t="s">
        <v>39</v>
      </c>
      <c r="M1428" t="s">
        <v>775</v>
      </c>
      <c r="N1428" t="s">
        <v>56</v>
      </c>
      <c r="O1428" t="s">
        <v>39</v>
      </c>
      <c r="P1428" t="s">
        <v>37</v>
      </c>
      <c r="Q1428" t="s">
        <v>775</v>
      </c>
      <c r="R1428" t="s">
        <v>39</v>
      </c>
      <c r="S1428" t="s">
        <v>41</v>
      </c>
      <c r="T1428" t="s">
        <v>5562</v>
      </c>
      <c r="U1428" t="s">
        <v>5563</v>
      </c>
      <c r="V1428" t="s">
        <v>5564</v>
      </c>
      <c r="W1428" t="s">
        <v>5565</v>
      </c>
      <c r="Z1428" t="s">
        <v>46</v>
      </c>
      <c r="AA1428" t="s">
        <v>5566</v>
      </c>
      <c r="AB1428" t="s">
        <v>3109</v>
      </c>
      <c r="AC1428">
        <f>COUNTIF(C:C,QLKV_gui_ket_qua_ra_soat[[#This Row],[Mã điểm bán]])</f>
        <v>1</v>
      </c>
    </row>
    <row r="1429" spans="1:29" x14ac:dyDescent="0.45">
      <c r="A1429" t="s">
        <v>5558</v>
      </c>
      <c r="B1429">
        <v>330</v>
      </c>
      <c r="C1429" t="s">
        <v>5567</v>
      </c>
      <c r="D1429" t="s">
        <v>5568</v>
      </c>
      <c r="E1429" t="s">
        <v>32</v>
      </c>
      <c r="F1429" t="s">
        <v>5569</v>
      </c>
      <c r="G1429" t="s">
        <v>34</v>
      </c>
      <c r="H1429" t="s">
        <v>2952</v>
      </c>
      <c r="I1429" t="s">
        <v>5570</v>
      </c>
      <c r="J1429" t="s">
        <v>775</v>
      </c>
      <c r="K1429" t="s">
        <v>1034</v>
      </c>
      <c r="L1429" t="s">
        <v>39</v>
      </c>
      <c r="M1429" t="s">
        <v>775</v>
      </c>
      <c r="N1429" t="s">
        <v>775</v>
      </c>
      <c r="O1429" t="s">
        <v>39</v>
      </c>
      <c r="P1429" t="s">
        <v>1034</v>
      </c>
      <c r="Q1429" t="s">
        <v>1034</v>
      </c>
      <c r="R1429" t="s">
        <v>39</v>
      </c>
      <c r="S1429" t="s">
        <v>41</v>
      </c>
      <c r="T1429" t="s">
        <v>5562</v>
      </c>
      <c r="U1429" t="s">
        <v>5563</v>
      </c>
      <c r="V1429" t="s">
        <v>5564</v>
      </c>
      <c r="W1429" t="s">
        <v>5565</v>
      </c>
      <c r="Z1429" t="s">
        <v>46</v>
      </c>
      <c r="AA1429" t="s">
        <v>5566</v>
      </c>
      <c r="AC1429">
        <f>COUNTIF(C:C,QLKV_gui_ket_qua_ra_soat[[#This Row],[Mã điểm bán]])</f>
        <v>1</v>
      </c>
    </row>
    <row r="1430" spans="1:29" x14ac:dyDescent="0.45">
      <c r="A1430" t="s">
        <v>5558</v>
      </c>
      <c r="B1430">
        <v>566</v>
      </c>
      <c r="C1430" t="s">
        <v>5571</v>
      </c>
      <c r="D1430" t="s">
        <v>5572</v>
      </c>
      <c r="E1430" t="s">
        <v>355</v>
      </c>
      <c r="F1430" t="s">
        <v>5573</v>
      </c>
      <c r="G1430" t="s">
        <v>34</v>
      </c>
      <c r="H1430" t="s">
        <v>2952</v>
      </c>
      <c r="J1430" t="s">
        <v>775</v>
      </c>
      <c r="K1430" t="s">
        <v>1034</v>
      </c>
      <c r="L1430" t="s">
        <v>40</v>
      </c>
      <c r="M1430" t="s">
        <v>56</v>
      </c>
      <c r="N1430" t="s">
        <v>56</v>
      </c>
      <c r="O1430" t="s">
        <v>39</v>
      </c>
      <c r="P1430" t="s">
        <v>1034</v>
      </c>
      <c r="Q1430" t="s">
        <v>1034</v>
      </c>
      <c r="R1430" t="s">
        <v>40</v>
      </c>
      <c r="S1430" t="s">
        <v>41</v>
      </c>
      <c r="T1430" t="s">
        <v>5562</v>
      </c>
      <c r="U1430" t="s">
        <v>5563</v>
      </c>
      <c r="V1430" t="s">
        <v>5564</v>
      </c>
      <c r="W1430" t="s">
        <v>5565</v>
      </c>
      <c r="Z1430" t="s">
        <v>46</v>
      </c>
      <c r="AA1430" t="s">
        <v>5566</v>
      </c>
      <c r="AB1430" t="s">
        <v>4223</v>
      </c>
      <c r="AC1430">
        <f>COUNTIF(C:C,QLKV_gui_ket_qua_ra_soat[[#This Row],[Mã điểm bán]])</f>
        <v>1</v>
      </c>
    </row>
    <row r="1431" spans="1:29" x14ac:dyDescent="0.45">
      <c r="A1431" t="s">
        <v>5558</v>
      </c>
      <c r="B1431">
        <v>1917</v>
      </c>
      <c r="C1431" t="s">
        <v>5574</v>
      </c>
      <c r="D1431" t="s">
        <v>5575</v>
      </c>
      <c r="E1431" t="s">
        <v>1610</v>
      </c>
      <c r="F1431" t="s">
        <v>1871</v>
      </c>
      <c r="G1431" t="s">
        <v>34</v>
      </c>
      <c r="H1431" t="s">
        <v>2170</v>
      </c>
      <c r="I1431" t="s">
        <v>5576</v>
      </c>
      <c r="J1431" t="s">
        <v>38</v>
      </c>
      <c r="K1431" t="s">
        <v>38</v>
      </c>
      <c r="L1431" t="s">
        <v>40</v>
      </c>
      <c r="M1431" t="s">
        <v>38</v>
      </c>
      <c r="N1431" t="s">
        <v>38</v>
      </c>
      <c r="O1431" t="s">
        <v>40</v>
      </c>
      <c r="P1431" t="s">
        <v>38</v>
      </c>
      <c r="Q1431" t="s">
        <v>38</v>
      </c>
      <c r="R1431" t="s">
        <v>40</v>
      </c>
      <c r="S1431" t="s">
        <v>41</v>
      </c>
      <c r="T1431" t="s">
        <v>5577</v>
      </c>
      <c r="U1431" t="s">
        <v>5563</v>
      </c>
      <c r="V1431" t="s">
        <v>5564</v>
      </c>
      <c r="W1431" t="s">
        <v>5565</v>
      </c>
      <c r="Z1431" t="s">
        <v>46</v>
      </c>
      <c r="AA1431" t="s">
        <v>5566</v>
      </c>
      <c r="AC1431">
        <f>COUNTIF(C:C,QLKV_gui_ket_qua_ra_soat[[#This Row],[Mã điểm bán]])</f>
        <v>1</v>
      </c>
    </row>
    <row r="1432" spans="1:29" x14ac:dyDescent="0.45">
      <c r="A1432" t="s">
        <v>5578</v>
      </c>
      <c r="B1432">
        <v>11</v>
      </c>
      <c r="C1432" t="s">
        <v>5579</v>
      </c>
      <c r="D1432" t="s">
        <v>5580</v>
      </c>
      <c r="E1432" t="s">
        <v>5581</v>
      </c>
      <c r="F1432" t="s">
        <v>5582</v>
      </c>
      <c r="G1432" t="s">
        <v>34</v>
      </c>
      <c r="H1432" t="s">
        <v>345</v>
      </c>
      <c r="I1432" t="s">
        <v>5583</v>
      </c>
      <c r="J1432" t="s">
        <v>38</v>
      </c>
      <c r="K1432" t="s">
        <v>38</v>
      </c>
      <c r="L1432" t="s">
        <v>40</v>
      </c>
      <c r="M1432" t="s">
        <v>38</v>
      </c>
      <c r="N1432" t="s">
        <v>38</v>
      </c>
      <c r="O1432" t="s">
        <v>40</v>
      </c>
      <c r="P1432" t="s">
        <v>38</v>
      </c>
      <c r="Q1432" t="s">
        <v>38</v>
      </c>
      <c r="R1432" t="s">
        <v>40</v>
      </c>
      <c r="S1432" t="s">
        <v>41</v>
      </c>
      <c r="T1432" t="s">
        <v>5584</v>
      </c>
      <c r="U1432" t="s">
        <v>5585</v>
      </c>
      <c r="V1432" t="s">
        <v>5586</v>
      </c>
      <c r="W1432" t="s">
        <v>5587</v>
      </c>
      <c r="Z1432" t="s">
        <v>46</v>
      </c>
      <c r="AA1432" t="s">
        <v>5588</v>
      </c>
      <c r="AB1432" t="s">
        <v>4223</v>
      </c>
      <c r="AC1432">
        <f>COUNTIF(C:C,QLKV_gui_ket_qua_ra_soat[[#This Row],[Mã điểm bán]])</f>
        <v>1</v>
      </c>
    </row>
    <row r="1433" spans="1:29" x14ac:dyDescent="0.45">
      <c r="A1433" t="s">
        <v>5578</v>
      </c>
      <c r="B1433">
        <v>16</v>
      </c>
      <c r="C1433" t="s">
        <v>5589</v>
      </c>
      <c r="D1433" t="s">
        <v>5590</v>
      </c>
      <c r="E1433" t="s">
        <v>5591</v>
      </c>
      <c r="F1433" t="s">
        <v>2682</v>
      </c>
      <c r="G1433" t="s">
        <v>34</v>
      </c>
      <c r="H1433" t="s">
        <v>658</v>
      </c>
      <c r="I1433" t="s">
        <v>5592</v>
      </c>
      <c r="J1433" t="s">
        <v>38</v>
      </c>
      <c r="K1433" t="s">
        <v>38</v>
      </c>
      <c r="L1433" t="s">
        <v>40</v>
      </c>
      <c r="M1433" t="s">
        <v>56</v>
      </c>
      <c r="N1433" t="s">
        <v>56</v>
      </c>
      <c r="O1433" t="s">
        <v>40</v>
      </c>
      <c r="P1433" t="s">
        <v>38</v>
      </c>
      <c r="Q1433" t="s">
        <v>38</v>
      </c>
      <c r="R1433" t="s">
        <v>40</v>
      </c>
      <c r="S1433" t="s">
        <v>41</v>
      </c>
      <c r="T1433" t="s">
        <v>5584</v>
      </c>
      <c r="U1433" t="s">
        <v>5585</v>
      </c>
      <c r="V1433" t="s">
        <v>5586</v>
      </c>
      <c r="W1433" t="s">
        <v>5587</v>
      </c>
      <c r="Z1433" t="s">
        <v>46</v>
      </c>
      <c r="AA1433" t="s">
        <v>5588</v>
      </c>
      <c r="AB1433" t="s">
        <v>3109</v>
      </c>
      <c r="AC1433">
        <f>COUNTIF(C:C,QLKV_gui_ket_qua_ra_soat[[#This Row],[Mã điểm bán]])</f>
        <v>1</v>
      </c>
    </row>
    <row r="1434" spans="1:29" x14ac:dyDescent="0.45">
      <c r="A1434" t="s">
        <v>5578</v>
      </c>
      <c r="B1434">
        <v>28</v>
      </c>
      <c r="C1434" t="s">
        <v>5593</v>
      </c>
      <c r="D1434" t="s">
        <v>4796</v>
      </c>
      <c r="E1434" t="s">
        <v>455</v>
      </c>
      <c r="F1434" t="s">
        <v>5594</v>
      </c>
      <c r="G1434" t="s">
        <v>177</v>
      </c>
      <c r="H1434" t="s">
        <v>54</v>
      </c>
      <c r="I1434" t="s">
        <v>5595</v>
      </c>
      <c r="J1434" t="s">
        <v>38</v>
      </c>
      <c r="K1434" t="s">
        <v>38</v>
      </c>
      <c r="L1434" t="s">
        <v>39</v>
      </c>
      <c r="M1434" t="s">
        <v>38</v>
      </c>
      <c r="N1434" t="s">
        <v>38</v>
      </c>
      <c r="O1434" t="s">
        <v>39</v>
      </c>
      <c r="P1434" t="s">
        <v>38</v>
      </c>
      <c r="Q1434" t="s">
        <v>38</v>
      </c>
      <c r="R1434" t="s">
        <v>39</v>
      </c>
      <c r="S1434" t="s">
        <v>41</v>
      </c>
      <c r="T1434" t="s">
        <v>5596</v>
      </c>
      <c r="U1434" t="s">
        <v>5597</v>
      </c>
      <c r="V1434" t="s">
        <v>5586</v>
      </c>
      <c r="W1434" t="s">
        <v>5598</v>
      </c>
      <c r="Z1434" t="s">
        <v>46</v>
      </c>
      <c r="AA1434" t="s">
        <v>5599</v>
      </c>
      <c r="AB1434" t="s">
        <v>4223</v>
      </c>
      <c r="AC1434">
        <f>COUNTIF(C:C,QLKV_gui_ket_qua_ra_soat[[#This Row],[Mã điểm bán]])</f>
        <v>1</v>
      </c>
    </row>
    <row r="1435" spans="1:29" x14ac:dyDescent="0.45">
      <c r="A1435" t="s">
        <v>5578</v>
      </c>
      <c r="B1435">
        <v>30</v>
      </c>
      <c r="C1435" t="s">
        <v>5600</v>
      </c>
      <c r="D1435" t="s">
        <v>5601</v>
      </c>
      <c r="E1435" t="s">
        <v>5602</v>
      </c>
      <c r="F1435" t="s">
        <v>5603</v>
      </c>
      <c r="G1435" t="s">
        <v>1624</v>
      </c>
      <c r="H1435" t="s">
        <v>1542</v>
      </c>
      <c r="I1435" t="s">
        <v>5604</v>
      </c>
      <c r="J1435" t="s">
        <v>38</v>
      </c>
      <c r="K1435" t="s">
        <v>38</v>
      </c>
      <c r="L1435" t="s">
        <v>40</v>
      </c>
      <c r="M1435" t="s">
        <v>37</v>
      </c>
      <c r="N1435" t="s">
        <v>38</v>
      </c>
      <c r="O1435" t="s">
        <v>39</v>
      </c>
      <c r="P1435" t="s">
        <v>38</v>
      </c>
      <c r="Q1435" t="s">
        <v>38</v>
      </c>
      <c r="R1435" t="s">
        <v>40</v>
      </c>
      <c r="S1435" t="s">
        <v>41</v>
      </c>
      <c r="T1435" t="s">
        <v>5605</v>
      </c>
      <c r="U1435" t="s">
        <v>5606</v>
      </c>
      <c r="V1435" t="s">
        <v>5586</v>
      </c>
      <c r="W1435" t="s">
        <v>5607</v>
      </c>
      <c r="AC1435">
        <f>COUNTIF(C:C,QLKV_gui_ket_qua_ra_soat[[#This Row],[Mã điểm bán]])</f>
        <v>1</v>
      </c>
    </row>
    <row r="1436" spans="1:29" x14ac:dyDescent="0.45">
      <c r="A1436" t="s">
        <v>5578</v>
      </c>
      <c r="B1436">
        <v>32</v>
      </c>
      <c r="C1436" t="s">
        <v>5608</v>
      </c>
      <c r="D1436" t="s">
        <v>5609</v>
      </c>
      <c r="E1436" t="s">
        <v>421</v>
      </c>
      <c r="F1436" t="s">
        <v>426</v>
      </c>
      <c r="G1436" t="s">
        <v>177</v>
      </c>
      <c r="H1436" t="s">
        <v>54</v>
      </c>
      <c r="I1436" t="s">
        <v>5610</v>
      </c>
      <c r="J1436" t="s">
        <v>38</v>
      </c>
      <c r="K1436" t="s">
        <v>38</v>
      </c>
      <c r="L1436" t="s">
        <v>39</v>
      </c>
      <c r="M1436" t="s">
        <v>38</v>
      </c>
      <c r="N1436" t="s">
        <v>38</v>
      </c>
      <c r="O1436" t="s">
        <v>39</v>
      </c>
      <c r="P1436" t="s">
        <v>38</v>
      </c>
      <c r="Q1436" t="s">
        <v>38</v>
      </c>
      <c r="R1436" t="s">
        <v>39</v>
      </c>
      <c r="S1436" t="s">
        <v>41</v>
      </c>
      <c r="T1436" t="s">
        <v>5596</v>
      </c>
      <c r="U1436" t="s">
        <v>5597</v>
      </c>
      <c r="V1436" t="s">
        <v>5586</v>
      </c>
      <c r="W1436" t="s">
        <v>5598</v>
      </c>
      <c r="AC1436">
        <f>COUNTIF(C:C,QLKV_gui_ket_qua_ra_soat[[#This Row],[Mã điểm bán]])</f>
        <v>1</v>
      </c>
    </row>
    <row r="1437" spans="1:29" x14ac:dyDescent="0.45">
      <c r="A1437" t="s">
        <v>5578</v>
      </c>
      <c r="B1437">
        <v>39</v>
      </c>
      <c r="C1437" t="s">
        <v>5611</v>
      </c>
      <c r="D1437" t="s">
        <v>5612</v>
      </c>
      <c r="E1437" t="s">
        <v>529</v>
      </c>
      <c r="F1437" t="s">
        <v>53</v>
      </c>
      <c r="G1437" t="s">
        <v>34</v>
      </c>
      <c r="H1437" t="s">
        <v>1199</v>
      </c>
      <c r="I1437" t="s">
        <v>5613</v>
      </c>
      <c r="J1437" t="s">
        <v>38</v>
      </c>
      <c r="K1437" t="s">
        <v>38</v>
      </c>
      <c r="L1437" t="s">
        <v>40</v>
      </c>
      <c r="M1437" t="s">
        <v>38</v>
      </c>
      <c r="N1437" t="s">
        <v>38</v>
      </c>
      <c r="O1437" t="s">
        <v>40</v>
      </c>
      <c r="P1437" t="s">
        <v>38</v>
      </c>
      <c r="Q1437" t="s">
        <v>38</v>
      </c>
      <c r="R1437" t="s">
        <v>40</v>
      </c>
      <c r="S1437" t="s">
        <v>41</v>
      </c>
      <c r="T1437" t="s">
        <v>5614</v>
      </c>
      <c r="U1437" t="s">
        <v>5585</v>
      </c>
      <c r="V1437" t="s">
        <v>5586</v>
      </c>
      <c r="W1437" t="s">
        <v>5587</v>
      </c>
      <c r="Z1437" t="s">
        <v>46</v>
      </c>
      <c r="AA1437" t="s">
        <v>5588</v>
      </c>
      <c r="AB1437" t="s">
        <v>3109</v>
      </c>
      <c r="AC1437">
        <f>COUNTIF(C:C,QLKV_gui_ket_qua_ra_soat[[#This Row],[Mã điểm bán]])</f>
        <v>1</v>
      </c>
    </row>
    <row r="1438" spans="1:29" x14ac:dyDescent="0.45">
      <c r="A1438" t="s">
        <v>5578</v>
      </c>
      <c r="B1438">
        <v>41</v>
      </c>
      <c r="C1438" t="s">
        <v>5615</v>
      </c>
      <c r="D1438" t="s">
        <v>5616</v>
      </c>
      <c r="E1438" t="s">
        <v>5617</v>
      </c>
      <c r="F1438" t="s">
        <v>53</v>
      </c>
      <c r="G1438" t="s">
        <v>177</v>
      </c>
      <c r="H1438" t="s">
        <v>2294</v>
      </c>
      <c r="I1438" t="s">
        <v>5618</v>
      </c>
      <c r="J1438" t="s">
        <v>37</v>
      </c>
      <c r="K1438" t="s">
        <v>37</v>
      </c>
      <c r="L1438" t="s">
        <v>39</v>
      </c>
      <c r="M1438" t="s">
        <v>37</v>
      </c>
      <c r="N1438" t="s">
        <v>37</v>
      </c>
      <c r="O1438" t="s">
        <v>39</v>
      </c>
      <c r="P1438" t="s">
        <v>37</v>
      </c>
      <c r="Q1438" t="s">
        <v>37</v>
      </c>
      <c r="R1438" t="s">
        <v>39</v>
      </c>
      <c r="S1438" t="s">
        <v>4751</v>
      </c>
      <c r="T1438" t="s">
        <v>5619</v>
      </c>
      <c r="U1438" t="s">
        <v>5620</v>
      </c>
      <c r="V1438" t="s">
        <v>5586</v>
      </c>
      <c r="W1438" t="s">
        <v>5621</v>
      </c>
      <c r="AC1438">
        <f>COUNTIF(C:C,QLKV_gui_ket_qua_ra_soat[[#This Row],[Mã điểm bán]])</f>
        <v>1</v>
      </c>
    </row>
    <row r="1439" spans="1:29" x14ac:dyDescent="0.45">
      <c r="A1439" t="s">
        <v>5578</v>
      </c>
      <c r="B1439">
        <v>60</v>
      </c>
      <c r="C1439" t="s">
        <v>5622</v>
      </c>
      <c r="D1439" t="s">
        <v>5623</v>
      </c>
      <c r="E1439" t="s">
        <v>857</v>
      </c>
      <c r="F1439" t="s">
        <v>53</v>
      </c>
      <c r="G1439" t="s">
        <v>34</v>
      </c>
      <c r="H1439" t="s">
        <v>171</v>
      </c>
      <c r="I1439" t="s">
        <v>5624</v>
      </c>
      <c r="J1439" t="s">
        <v>38</v>
      </c>
      <c r="K1439" t="s">
        <v>38</v>
      </c>
      <c r="L1439" t="s">
        <v>40</v>
      </c>
      <c r="M1439" t="s">
        <v>38</v>
      </c>
      <c r="N1439" t="s">
        <v>38</v>
      </c>
      <c r="O1439" t="s">
        <v>40</v>
      </c>
      <c r="P1439" t="s">
        <v>38</v>
      </c>
      <c r="Q1439" t="s">
        <v>38</v>
      </c>
      <c r="R1439" t="s">
        <v>40</v>
      </c>
      <c r="S1439" t="s">
        <v>5625</v>
      </c>
      <c r="T1439" t="s">
        <v>5614</v>
      </c>
      <c r="U1439" t="s">
        <v>5585</v>
      </c>
      <c r="V1439" t="s">
        <v>5586</v>
      </c>
      <c r="W1439" t="s">
        <v>5587</v>
      </c>
      <c r="X1439" t="s">
        <v>46</v>
      </c>
      <c r="AC1439">
        <f>COUNTIF(C:C,QLKV_gui_ket_qua_ra_soat[[#This Row],[Mã điểm bán]])</f>
        <v>1</v>
      </c>
    </row>
    <row r="1440" spans="1:29" x14ac:dyDescent="0.45">
      <c r="A1440" t="s">
        <v>5578</v>
      </c>
      <c r="B1440">
        <v>69</v>
      </c>
      <c r="C1440" t="s">
        <v>5626</v>
      </c>
      <c r="D1440" t="s">
        <v>5627</v>
      </c>
      <c r="E1440" t="s">
        <v>5629</v>
      </c>
      <c r="F1440" t="s">
        <v>5630</v>
      </c>
      <c r="G1440" t="s">
        <v>177</v>
      </c>
      <c r="H1440" t="s">
        <v>1924</v>
      </c>
      <c r="I1440" t="s">
        <v>5631</v>
      </c>
      <c r="J1440" t="s">
        <v>56</v>
      </c>
      <c r="K1440" t="s">
        <v>37</v>
      </c>
      <c r="L1440" t="s">
        <v>39</v>
      </c>
      <c r="M1440" t="s">
        <v>37</v>
      </c>
      <c r="N1440" t="s">
        <v>56</v>
      </c>
      <c r="O1440" t="s">
        <v>39</v>
      </c>
      <c r="P1440" t="s">
        <v>56</v>
      </c>
      <c r="Q1440" t="s">
        <v>56</v>
      </c>
      <c r="R1440" t="s">
        <v>40</v>
      </c>
      <c r="S1440" t="s">
        <v>5632</v>
      </c>
      <c r="T1440" t="s">
        <v>5633</v>
      </c>
      <c r="U1440" t="s">
        <v>5620</v>
      </c>
      <c r="V1440" t="s">
        <v>5586</v>
      </c>
      <c r="W1440" t="s">
        <v>5621</v>
      </c>
      <c r="Y1440" t="s">
        <v>46</v>
      </c>
      <c r="AB1440" t="s">
        <v>4223</v>
      </c>
      <c r="AC1440">
        <f>COUNTIF(C:C,QLKV_gui_ket_qua_ra_soat[[#This Row],[Mã điểm bán]])</f>
        <v>1</v>
      </c>
    </row>
    <row r="1441" spans="1:29" x14ac:dyDescent="0.45">
      <c r="A1441" t="s">
        <v>5578</v>
      </c>
      <c r="B1441">
        <v>78</v>
      </c>
      <c r="C1441" t="s">
        <v>5634</v>
      </c>
      <c r="D1441" t="s">
        <v>5635</v>
      </c>
      <c r="E1441" t="s">
        <v>304</v>
      </c>
      <c r="F1441" t="s">
        <v>53</v>
      </c>
      <c r="G1441" t="s">
        <v>34</v>
      </c>
      <c r="H1441" t="s">
        <v>834</v>
      </c>
      <c r="I1441" t="s">
        <v>5636</v>
      </c>
      <c r="J1441" t="s">
        <v>38</v>
      </c>
      <c r="K1441" t="s">
        <v>38</v>
      </c>
      <c r="L1441" t="s">
        <v>40</v>
      </c>
      <c r="M1441" t="s">
        <v>38</v>
      </c>
      <c r="N1441" t="s">
        <v>38</v>
      </c>
      <c r="O1441" t="s">
        <v>40</v>
      </c>
      <c r="P1441" t="s">
        <v>38</v>
      </c>
      <c r="Q1441" t="s">
        <v>38</v>
      </c>
      <c r="R1441" t="s">
        <v>40</v>
      </c>
      <c r="S1441" t="s">
        <v>5625</v>
      </c>
      <c r="T1441" t="s">
        <v>5614</v>
      </c>
      <c r="U1441" t="s">
        <v>5585</v>
      </c>
      <c r="V1441" t="s">
        <v>5586</v>
      </c>
      <c r="W1441" t="s">
        <v>5587</v>
      </c>
      <c r="X1441" t="s">
        <v>46</v>
      </c>
      <c r="AC1441">
        <f>COUNTIF(C:C,QLKV_gui_ket_qua_ra_soat[[#This Row],[Mã điểm bán]])</f>
        <v>1</v>
      </c>
    </row>
    <row r="1442" spans="1:29" x14ac:dyDescent="0.45">
      <c r="A1442" t="s">
        <v>5578</v>
      </c>
      <c r="B1442">
        <v>73</v>
      </c>
      <c r="C1442" t="s">
        <v>5637</v>
      </c>
      <c r="D1442" t="s">
        <v>5638</v>
      </c>
      <c r="E1442" t="s">
        <v>98</v>
      </c>
      <c r="F1442" t="s">
        <v>53</v>
      </c>
      <c r="G1442" t="s">
        <v>34</v>
      </c>
      <c r="H1442" t="s">
        <v>525</v>
      </c>
      <c r="J1442" t="s">
        <v>38</v>
      </c>
      <c r="K1442" t="s">
        <v>38</v>
      </c>
      <c r="L1442" t="s">
        <v>39</v>
      </c>
      <c r="M1442" t="s">
        <v>38</v>
      </c>
      <c r="N1442" t="s">
        <v>38</v>
      </c>
      <c r="O1442" t="s">
        <v>39</v>
      </c>
      <c r="P1442" t="s">
        <v>38</v>
      </c>
      <c r="Q1442" t="s">
        <v>38</v>
      </c>
      <c r="R1442" t="s">
        <v>39</v>
      </c>
      <c r="S1442" t="s">
        <v>41</v>
      </c>
      <c r="T1442" t="s">
        <v>5639</v>
      </c>
      <c r="U1442" t="s">
        <v>5640</v>
      </c>
      <c r="V1442" t="s">
        <v>5586</v>
      </c>
      <c r="W1442" t="s">
        <v>5565</v>
      </c>
      <c r="Z1442" t="s">
        <v>46</v>
      </c>
      <c r="AA1442" t="s">
        <v>5588</v>
      </c>
      <c r="AB1442" t="s">
        <v>3109</v>
      </c>
      <c r="AC1442">
        <f>COUNTIF(C:C,QLKV_gui_ket_qua_ra_soat[[#This Row],[Mã điểm bán]])</f>
        <v>1</v>
      </c>
    </row>
    <row r="1443" spans="1:29" x14ac:dyDescent="0.45">
      <c r="A1443" t="s">
        <v>5578</v>
      </c>
      <c r="B1443">
        <v>84</v>
      </c>
      <c r="C1443" t="s">
        <v>5641</v>
      </c>
      <c r="D1443" t="s">
        <v>5642</v>
      </c>
      <c r="E1443" t="s">
        <v>291</v>
      </c>
      <c r="F1443" t="s">
        <v>115</v>
      </c>
      <c r="G1443" t="s">
        <v>34</v>
      </c>
      <c r="H1443" t="s">
        <v>214</v>
      </c>
      <c r="I1443" t="s">
        <v>5643</v>
      </c>
      <c r="J1443" t="s">
        <v>38</v>
      </c>
      <c r="K1443" t="s">
        <v>38</v>
      </c>
      <c r="L1443" t="s">
        <v>40</v>
      </c>
      <c r="M1443" t="s">
        <v>38</v>
      </c>
      <c r="N1443" t="s">
        <v>38</v>
      </c>
      <c r="O1443" t="s">
        <v>40</v>
      </c>
      <c r="P1443" t="s">
        <v>38</v>
      </c>
      <c r="Q1443" t="s">
        <v>38</v>
      </c>
      <c r="R1443" t="s">
        <v>40</v>
      </c>
      <c r="S1443" t="s">
        <v>4783</v>
      </c>
      <c r="T1443" t="s">
        <v>5614</v>
      </c>
      <c r="U1443" t="s">
        <v>5585</v>
      </c>
      <c r="V1443" t="s">
        <v>5586</v>
      </c>
      <c r="W1443" t="s">
        <v>5587</v>
      </c>
      <c r="Z1443" t="s">
        <v>46</v>
      </c>
      <c r="AA1443" t="s">
        <v>5588</v>
      </c>
      <c r="AB1443" t="s">
        <v>3109</v>
      </c>
      <c r="AC1443">
        <f>COUNTIF(C:C,QLKV_gui_ket_qua_ra_soat[[#This Row],[Mã điểm bán]])</f>
        <v>1</v>
      </c>
    </row>
    <row r="1444" spans="1:29" x14ac:dyDescent="0.45">
      <c r="A1444" t="s">
        <v>5578</v>
      </c>
      <c r="B1444">
        <v>100</v>
      </c>
      <c r="C1444" t="s">
        <v>5644</v>
      </c>
      <c r="D1444" t="s">
        <v>5645</v>
      </c>
      <c r="E1444" t="s">
        <v>1699</v>
      </c>
      <c r="F1444" t="s">
        <v>2569</v>
      </c>
      <c r="G1444" t="s">
        <v>150</v>
      </c>
      <c r="H1444" t="s">
        <v>54</v>
      </c>
      <c r="I1444" t="s">
        <v>5646</v>
      </c>
      <c r="J1444" t="s">
        <v>38</v>
      </c>
      <c r="K1444" t="s">
        <v>38</v>
      </c>
      <c r="L1444" t="s">
        <v>40</v>
      </c>
      <c r="M1444" t="s">
        <v>37</v>
      </c>
      <c r="N1444" t="s">
        <v>38</v>
      </c>
      <c r="O1444" t="s">
        <v>39</v>
      </c>
      <c r="P1444" t="s">
        <v>38</v>
      </c>
      <c r="Q1444" t="s">
        <v>38</v>
      </c>
      <c r="R1444" t="s">
        <v>40</v>
      </c>
      <c r="S1444" t="s">
        <v>41</v>
      </c>
      <c r="T1444" t="s">
        <v>5647</v>
      </c>
      <c r="U1444" t="s">
        <v>5648</v>
      </c>
      <c r="V1444" t="s">
        <v>5586</v>
      </c>
      <c r="W1444" t="s">
        <v>5649</v>
      </c>
      <c r="AC1444">
        <f>COUNTIF(C:C,QLKV_gui_ket_qua_ra_soat[[#This Row],[Mã điểm bán]])</f>
        <v>1</v>
      </c>
    </row>
    <row r="1445" spans="1:29" x14ac:dyDescent="0.45">
      <c r="A1445" t="s">
        <v>5578</v>
      </c>
      <c r="B1445">
        <v>117</v>
      </c>
      <c r="C1445" t="s">
        <v>5650</v>
      </c>
      <c r="D1445" t="s">
        <v>5651</v>
      </c>
      <c r="E1445" t="s">
        <v>138</v>
      </c>
      <c r="F1445" t="s">
        <v>115</v>
      </c>
      <c r="G1445" t="s">
        <v>34</v>
      </c>
      <c r="H1445" t="s">
        <v>2593</v>
      </c>
      <c r="I1445" t="s">
        <v>5613</v>
      </c>
      <c r="J1445" t="s">
        <v>38</v>
      </c>
      <c r="K1445" t="s">
        <v>38</v>
      </c>
      <c r="L1445" t="s">
        <v>40</v>
      </c>
      <c r="M1445" t="s">
        <v>38</v>
      </c>
      <c r="N1445" t="s">
        <v>38</v>
      </c>
      <c r="O1445" t="s">
        <v>39</v>
      </c>
      <c r="P1445" t="s">
        <v>38</v>
      </c>
      <c r="Q1445" t="s">
        <v>38</v>
      </c>
      <c r="R1445" t="s">
        <v>40</v>
      </c>
      <c r="S1445" t="s">
        <v>5625</v>
      </c>
      <c r="T1445" t="s">
        <v>5614</v>
      </c>
      <c r="U1445" t="s">
        <v>5585</v>
      </c>
      <c r="V1445" t="s">
        <v>5586</v>
      </c>
      <c r="W1445" t="s">
        <v>5587</v>
      </c>
      <c r="Z1445" t="s">
        <v>46</v>
      </c>
      <c r="AA1445" t="s">
        <v>5588</v>
      </c>
      <c r="AB1445" t="s">
        <v>3109</v>
      </c>
      <c r="AC1445">
        <f>COUNTIF(C:C,QLKV_gui_ket_qua_ra_soat[[#This Row],[Mã điểm bán]])</f>
        <v>1</v>
      </c>
    </row>
    <row r="1446" spans="1:29" x14ac:dyDescent="0.45">
      <c r="A1446" t="s">
        <v>5578</v>
      </c>
      <c r="B1446">
        <v>118</v>
      </c>
      <c r="C1446" t="s">
        <v>5652</v>
      </c>
      <c r="D1446" t="s">
        <v>5653</v>
      </c>
      <c r="E1446" t="s">
        <v>64</v>
      </c>
      <c r="F1446" t="s">
        <v>70</v>
      </c>
      <c r="G1446" t="s">
        <v>150</v>
      </c>
      <c r="H1446" t="s">
        <v>2459</v>
      </c>
      <c r="I1446" t="s">
        <v>5654</v>
      </c>
      <c r="J1446" t="s">
        <v>38</v>
      </c>
      <c r="K1446" t="s">
        <v>38</v>
      </c>
      <c r="L1446" t="s">
        <v>39</v>
      </c>
      <c r="M1446" t="s">
        <v>38</v>
      </c>
      <c r="N1446" t="s">
        <v>38</v>
      </c>
      <c r="O1446" t="s">
        <v>40</v>
      </c>
      <c r="P1446" t="s">
        <v>38</v>
      </c>
      <c r="Q1446" t="s">
        <v>38</v>
      </c>
      <c r="R1446" t="s">
        <v>39</v>
      </c>
      <c r="S1446" t="s">
        <v>5625</v>
      </c>
      <c r="T1446" t="s">
        <v>5614</v>
      </c>
      <c r="U1446" t="s">
        <v>5585</v>
      </c>
      <c r="V1446" t="s">
        <v>5586</v>
      </c>
      <c r="W1446" t="s">
        <v>5587</v>
      </c>
      <c r="X1446" t="s">
        <v>46</v>
      </c>
      <c r="AC1446">
        <f>COUNTIF(C:C,QLKV_gui_ket_qua_ra_soat[[#This Row],[Mã điểm bán]])</f>
        <v>1</v>
      </c>
    </row>
    <row r="1447" spans="1:29" x14ac:dyDescent="0.45">
      <c r="A1447" t="s">
        <v>5578</v>
      </c>
      <c r="B1447">
        <v>119</v>
      </c>
      <c r="C1447" t="s">
        <v>5655</v>
      </c>
      <c r="D1447" t="s">
        <v>5656</v>
      </c>
      <c r="E1447" t="s">
        <v>31</v>
      </c>
      <c r="F1447" t="s">
        <v>1882</v>
      </c>
      <c r="G1447" t="s">
        <v>34</v>
      </c>
      <c r="H1447" t="s">
        <v>54</v>
      </c>
      <c r="I1447" t="s">
        <v>5657</v>
      </c>
      <c r="J1447" t="s">
        <v>38</v>
      </c>
      <c r="K1447" t="s">
        <v>38</v>
      </c>
      <c r="L1447" t="s">
        <v>40</v>
      </c>
      <c r="M1447" t="s">
        <v>38</v>
      </c>
      <c r="N1447" t="s">
        <v>38</v>
      </c>
      <c r="O1447" t="s">
        <v>40</v>
      </c>
      <c r="P1447" t="s">
        <v>38</v>
      </c>
      <c r="Q1447" t="s">
        <v>38</v>
      </c>
      <c r="R1447" t="s">
        <v>40</v>
      </c>
      <c r="S1447" t="s">
        <v>41</v>
      </c>
      <c r="T1447" t="s">
        <v>5633</v>
      </c>
      <c r="U1447" t="s">
        <v>5620</v>
      </c>
      <c r="V1447" t="s">
        <v>5586</v>
      </c>
      <c r="W1447" t="s">
        <v>5621</v>
      </c>
      <c r="X1447" t="s">
        <v>46</v>
      </c>
      <c r="AB1447" t="s">
        <v>5658</v>
      </c>
      <c r="AC1447">
        <f>COUNTIF(C:C,QLKV_gui_ket_qua_ra_soat[[#This Row],[Mã điểm bán]])</f>
        <v>1</v>
      </c>
    </row>
    <row r="1448" spans="1:29" x14ac:dyDescent="0.45">
      <c r="A1448" t="s">
        <v>5578</v>
      </c>
      <c r="B1448">
        <v>133</v>
      </c>
      <c r="C1448" t="s">
        <v>5659</v>
      </c>
      <c r="D1448" t="s">
        <v>5660</v>
      </c>
      <c r="E1448" t="s">
        <v>657</v>
      </c>
      <c r="F1448" t="s">
        <v>191</v>
      </c>
      <c r="G1448" t="s">
        <v>177</v>
      </c>
      <c r="H1448" t="s">
        <v>54</v>
      </c>
      <c r="I1448" t="s">
        <v>5657</v>
      </c>
      <c r="J1448" t="s">
        <v>37</v>
      </c>
      <c r="K1448" t="s">
        <v>37</v>
      </c>
      <c r="L1448" t="s">
        <v>39</v>
      </c>
      <c r="M1448" t="s">
        <v>38</v>
      </c>
      <c r="N1448" t="s">
        <v>37</v>
      </c>
      <c r="O1448" t="s">
        <v>39</v>
      </c>
      <c r="P1448" t="s">
        <v>38</v>
      </c>
      <c r="Q1448" t="s">
        <v>37</v>
      </c>
      <c r="R1448" t="s">
        <v>39</v>
      </c>
      <c r="S1448" t="s">
        <v>5662</v>
      </c>
      <c r="T1448" t="s">
        <v>5633</v>
      </c>
      <c r="U1448" t="s">
        <v>5620</v>
      </c>
      <c r="V1448" t="s">
        <v>5586</v>
      </c>
      <c r="W1448" t="s">
        <v>5621</v>
      </c>
      <c r="Z1448" t="s">
        <v>46</v>
      </c>
      <c r="AA1448" t="s">
        <v>5599</v>
      </c>
      <c r="AB1448" t="s">
        <v>4223</v>
      </c>
      <c r="AC1448">
        <f>COUNTIF(C:C,QLKV_gui_ket_qua_ra_soat[[#This Row],[Mã điểm bán]])</f>
        <v>1</v>
      </c>
    </row>
    <row r="1449" spans="1:29" x14ac:dyDescent="0.45">
      <c r="A1449" t="s">
        <v>5578</v>
      </c>
      <c r="B1449">
        <v>156</v>
      </c>
      <c r="C1449" t="s">
        <v>5663</v>
      </c>
      <c r="D1449" t="s">
        <v>5664</v>
      </c>
      <c r="E1449" t="s">
        <v>788</v>
      </c>
      <c r="F1449" t="s">
        <v>53</v>
      </c>
      <c r="G1449" t="s">
        <v>34</v>
      </c>
      <c r="H1449" t="s">
        <v>54</v>
      </c>
      <c r="I1449" t="s">
        <v>5665</v>
      </c>
      <c r="J1449" t="s">
        <v>38</v>
      </c>
      <c r="K1449" t="s">
        <v>38</v>
      </c>
      <c r="L1449" t="s">
        <v>40</v>
      </c>
      <c r="M1449" t="s">
        <v>38</v>
      </c>
      <c r="N1449" t="s">
        <v>38</v>
      </c>
      <c r="O1449" t="s">
        <v>40</v>
      </c>
      <c r="P1449" t="s">
        <v>38</v>
      </c>
      <c r="Q1449" t="s">
        <v>38</v>
      </c>
      <c r="R1449" t="s">
        <v>40</v>
      </c>
      <c r="S1449" t="s">
        <v>5666</v>
      </c>
      <c r="T1449" t="s">
        <v>5633</v>
      </c>
      <c r="U1449" t="s">
        <v>5620</v>
      </c>
      <c r="V1449" t="s">
        <v>5586</v>
      </c>
      <c r="W1449" t="s">
        <v>5621</v>
      </c>
      <c r="Z1449" t="s">
        <v>46</v>
      </c>
      <c r="AA1449" t="s">
        <v>5599</v>
      </c>
      <c r="AB1449" t="s">
        <v>5667</v>
      </c>
      <c r="AC1449">
        <f>COUNTIF(C:C,QLKV_gui_ket_qua_ra_soat[[#This Row],[Mã điểm bán]])</f>
        <v>1</v>
      </c>
    </row>
    <row r="1450" spans="1:29" x14ac:dyDescent="0.45">
      <c r="A1450" t="s">
        <v>5578</v>
      </c>
      <c r="B1450">
        <v>160</v>
      </c>
      <c r="C1450" t="s">
        <v>5668</v>
      </c>
      <c r="D1450" t="s">
        <v>5669</v>
      </c>
      <c r="E1450" t="s">
        <v>127</v>
      </c>
      <c r="F1450" t="s">
        <v>1994</v>
      </c>
      <c r="G1450" t="s">
        <v>1458</v>
      </c>
      <c r="H1450" t="s">
        <v>2294</v>
      </c>
      <c r="I1450" t="s">
        <v>5670</v>
      </c>
      <c r="J1450" t="s">
        <v>38</v>
      </c>
      <c r="K1450" t="s">
        <v>37</v>
      </c>
      <c r="L1450" t="s">
        <v>40</v>
      </c>
      <c r="M1450" t="s">
        <v>38</v>
      </c>
      <c r="N1450" t="s">
        <v>38</v>
      </c>
      <c r="O1450" t="s">
        <v>39</v>
      </c>
      <c r="P1450" t="s">
        <v>38</v>
      </c>
      <c r="Q1450" t="s">
        <v>38</v>
      </c>
      <c r="R1450" t="s">
        <v>40</v>
      </c>
      <c r="S1450" t="s">
        <v>41</v>
      </c>
      <c r="T1450" t="s">
        <v>5605</v>
      </c>
      <c r="U1450" t="s">
        <v>5606</v>
      </c>
      <c r="V1450" t="s">
        <v>5586</v>
      </c>
      <c r="W1450" t="s">
        <v>5607</v>
      </c>
      <c r="AC1450">
        <f>COUNTIF(C:C,QLKV_gui_ket_qua_ra_soat[[#This Row],[Mã điểm bán]])</f>
        <v>1</v>
      </c>
    </row>
    <row r="1451" spans="1:29" x14ac:dyDescent="0.45">
      <c r="A1451" t="s">
        <v>5578</v>
      </c>
      <c r="B1451">
        <v>181</v>
      </c>
      <c r="C1451" t="s">
        <v>5671</v>
      </c>
      <c r="D1451" t="s">
        <v>5672</v>
      </c>
      <c r="E1451" t="s">
        <v>157</v>
      </c>
      <c r="F1451" t="s">
        <v>191</v>
      </c>
      <c r="G1451" t="s">
        <v>34</v>
      </c>
      <c r="H1451" t="s">
        <v>332</v>
      </c>
      <c r="I1451" t="s">
        <v>5643</v>
      </c>
      <c r="J1451" t="s">
        <v>38</v>
      </c>
      <c r="K1451" t="s">
        <v>38</v>
      </c>
      <c r="L1451" t="s">
        <v>40</v>
      </c>
      <c r="M1451" t="s">
        <v>38</v>
      </c>
      <c r="N1451" t="s">
        <v>38</v>
      </c>
      <c r="O1451" t="s">
        <v>40</v>
      </c>
      <c r="P1451" t="s">
        <v>38</v>
      </c>
      <c r="Q1451" t="s">
        <v>38</v>
      </c>
      <c r="R1451" t="s">
        <v>40</v>
      </c>
      <c r="S1451" t="s">
        <v>627</v>
      </c>
      <c r="T1451" t="s">
        <v>5614</v>
      </c>
      <c r="U1451" t="s">
        <v>5585</v>
      </c>
      <c r="V1451" t="s">
        <v>5586</v>
      </c>
      <c r="W1451" t="s">
        <v>5587</v>
      </c>
      <c r="X1451" t="s">
        <v>46</v>
      </c>
      <c r="AC1451">
        <f>COUNTIF(C:C,QLKV_gui_ket_qua_ra_soat[[#This Row],[Mã điểm bán]])</f>
        <v>1</v>
      </c>
    </row>
    <row r="1452" spans="1:29" x14ac:dyDescent="0.45">
      <c r="A1452" t="s">
        <v>5578</v>
      </c>
      <c r="B1452">
        <v>188</v>
      </c>
      <c r="C1452" t="s">
        <v>5673</v>
      </c>
      <c r="D1452" t="s">
        <v>5674</v>
      </c>
      <c r="E1452" t="s">
        <v>3826</v>
      </c>
      <c r="F1452" t="s">
        <v>441</v>
      </c>
      <c r="G1452" t="s">
        <v>34</v>
      </c>
      <c r="H1452" t="s">
        <v>565</v>
      </c>
      <c r="I1452" t="s">
        <v>5675</v>
      </c>
      <c r="J1452" t="s">
        <v>775</v>
      </c>
      <c r="K1452" t="s">
        <v>775</v>
      </c>
      <c r="L1452" t="s">
        <v>39</v>
      </c>
      <c r="M1452" t="s">
        <v>56</v>
      </c>
      <c r="N1452" t="s">
        <v>56</v>
      </c>
      <c r="O1452" t="s">
        <v>39</v>
      </c>
      <c r="P1452" t="s">
        <v>37</v>
      </c>
      <c r="Q1452" t="s">
        <v>37</v>
      </c>
      <c r="R1452" t="s">
        <v>39</v>
      </c>
      <c r="S1452" t="s">
        <v>41</v>
      </c>
      <c r="T1452" t="s">
        <v>5676</v>
      </c>
      <c r="U1452" t="s">
        <v>5677</v>
      </c>
      <c r="V1452" t="s">
        <v>5586</v>
      </c>
      <c r="W1452" t="s">
        <v>5607</v>
      </c>
      <c r="Z1452" t="s">
        <v>46</v>
      </c>
      <c r="AA1452" t="s">
        <v>5678</v>
      </c>
      <c r="AB1452" t="s">
        <v>3109</v>
      </c>
      <c r="AC1452">
        <f>COUNTIF(C:C,QLKV_gui_ket_qua_ra_soat[[#This Row],[Mã điểm bán]])</f>
        <v>1</v>
      </c>
    </row>
    <row r="1453" spans="1:29" x14ac:dyDescent="0.45">
      <c r="A1453" t="s">
        <v>5578</v>
      </c>
      <c r="B1453">
        <v>221</v>
      </c>
      <c r="C1453" t="s">
        <v>5679</v>
      </c>
      <c r="D1453" t="s">
        <v>5680</v>
      </c>
      <c r="E1453" t="s">
        <v>448</v>
      </c>
      <c r="F1453" t="s">
        <v>53</v>
      </c>
      <c r="G1453" t="s">
        <v>177</v>
      </c>
      <c r="H1453" t="s">
        <v>1542</v>
      </c>
      <c r="I1453" t="s">
        <v>5681</v>
      </c>
      <c r="J1453" t="s">
        <v>37</v>
      </c>
      <c r="K1453" t="s">
        <v>37</v>
      </c>
      <c r="L1453" t="s">
        <v>39</v>
      </c>
      <c r="M1453" t="s">
        <v>37</v>
      </c>
      <c r="N1453" t="s">
        <v>37</v>
      </c>
      <c r="O1453" t="s">
        <v>39</v>
      </c>
      <c r="P1453" t="s">
        <v>37</v>
      </c>
      <c r="Q1453" t="s">
        <v>37</v>
      </c>
      <c r="R1453" t="s">
        <v>39</v>
      </c>
      <c r="S1453" t="s">
        <v>4751</v>
      </c>
      <c r="T1453" t="s">
        <v>5619</v>
      </c>
      <c r="U1453" t="s">
        <v>5620</v>
      </c>
      <c r="V1453" t="s">
        <v>5586</v>
      </c>
      <c r="W1453" t="s">
        <v>5621</v>
      </c>
      <c r="AC1453">
        <f>COUNTIF(C:C,QLKV_gui_ket_qua_ra_soat[[#This Row],[Mã điểm bán]])</f>
        <v>1</v>
      </c>
    </row>
    <row r="1454" spans="1:29" x14ac:dyDescent="0.45">
      <c r="A1454" t="s">
        <v>5578</v>
      </c>
      <c r="B1454">
        <v>235</v>
      </c>
      <c r="C1454" t="s">
        <v>5682</v>
      </c>
      <c r="D1454" t="s">
        <v>4226</v>
      </c>
      <c r="E1454" t="s">
        <v>344</v>
      </c>
      <c r="F1454" t="s">
        <v>166</v>
      </c>
      <c r="G1454" t="s">
        <v>34</v>
      </c>
      <c r="H1454" t="s">
        <v>356</v>
      </c>
      <c r="I1454" t="s">
        <v>5683</v>
      </c>
      <c r="J1454" t="s">
        <v>38</v>
      </c>
      <c r="K1454" t="s">
        <v>38</v>
      </c>
      <c r="L1454" t="s">
        <v>40</v>
      </c>
      <c r="M1454" t="s">
        <v>38</v>
      </c>
      <c r="N1454" t="s">
        <v>38</v>
      </c>
      <c r="O1454" t="s">
        <v>39</v>
      </c>
      <c r="P1454" t="s">
        <v>38</v>
      </c>
      <c r="Q1454" t="s">
        <v>38</v>
      </c>
      <c r="R1454" t="s">
        <v>40</v>
      </c>
      <c r="S1454" t="s">
        <v>41</v>
      </c>
      <c r="T1454" t="s">
        <v>5614</v>
      </c>
      <c r="U1454" t="s">
        <v>5585</v>
      </c>
      <c r="V1454" t="s">
        <v>5586</v>
      </c>
      <c r="W1454" t="s">
        <v>5587</v>
      </c>
      <c r="X1454" t="s">
        <v>46</v>
      </c>
      <c r="AC1454">
        <f>COUNTIF(C:C,QLKV_gui_ket_qua_ra_soat[[#This Row],[Mã điểm bán]])</f>
        <v>1</v>
      </c>
    </row>
    <row r="1455" spans="1:29" x14ac:dyDescent="0.45">
      <c r="A1455" t="s">
        <v>5578</v>
      </c>
      <c r="B1455">
        <v>238</v>
      </c>
      <c r="C1455" t="s">
        <v>5684</v>
      </c>
      <c r="D1455" t="s">
        <v>5685</v>
      </c>
      <c r="E1455" t="s">
        <v>128</v>
      </c>
      <c r="F1455" t="s">
        <v>115</v>
      </c>
      <c r="G1455" t="s">
        <v>34</v>
      </c>
      <c r="H1455" t="s">
        <v>931</v>
      </c>
      <c r="I1455" t="s">
        <v>5643</v>
      </c>
      <c r="J1455" t="s">
        <v>38</v>
      </c>
      <c r="K1455" t="s">
        <v>38</v>
      </c>
      <c r="L1455" t="s">
        <v>40</v>
      </c>
      <c r="M1455" t="s">
        <v>38</v>
      </c>
      <c r="N1455" t="s">
        <v>38</v>
      </c>
      <c r="O1455" t="s">
        <v>40</v>
      </c>
      <c r="P1455" t="s">
        <v>38</v>
      </c>
      <c r="Q1455" t="s">
        <v>38</v>
      </c>
      <c r="R1455" t="s">
        <v>40</v>
      </c>
      <c r="S1455" t="s">
        <v>4892</v>
      </c>
      <c r="T1455" t="s">
        <v>5614</v>
      </c>
      <c r="U1455" t="s">
        <v>5585</v>
      </c>
      <c r="V1455" t="s">
        <v>5586</v>
      </c>
      <c r="W1455" t="s">
        <v>5587</v>
      </c>
      <c r="X1455" t="s">
        <v>46</v>
      </c>
      <c r="AC1455">
        <f>COUNTIF(C:C,QLKV_gui_ket_qua_ra_soat[[#This Row],[Mã điểm bán]])</f>
        <v>1</v>
      </c>
    </row>
    <row r="1456" spans="1:29" x14ac:dyDescent="0.45">
      <c r="A1456" t="s">
        <v>5578</v>
      </c>
      <c r="B1456">
        <v>242</v>
      </c>
      <c r="C1456" t="s">
        <v>5686</v>
      </c>
      <c r="D1456" t="s">
        <v>5687</v>
      </c>
      <c r="E1456" t="s">
        <v>4270</v>
      </c>
      <c r="F1456" t="s">
        <v>426</v>
      </c>
      <c r="G1456" t="s">
        <v>150</v>
      </c>
      <c r="H1456" t="s">
        <v>2251</v>
      </c>
      <c r="I1456" t="s">
        <v>5688</v>
      </c>
      <c r="J1456" t="s">
        <v>38</v>
      </c>
      <c r="K1456" t="s">
        <v>38</v>
      </c>
      <c r="L1456" t="s">
        <v>39</v>
      </c>
      <c r="M1456" t="s">
        <v>37</v>
      </c>
      <c r="N1456" t="s">
        <v>37</v>
      </c>
      <c r="O1456" t="s">
        <v>39</v>
      </c>
      <c r="P1456" t="s">
        <v>38</v>
      </c>
      <c r="Q1456" t="s">
        <v>38</v>
      </c>
      <c r="R1456" t="s">
        <v>40</v>
      </c>
      <c r="S1456" t="s">
        <v>41</v>
      </c>
      <c r="T1456" t="s">
        <v>5605</v>
      </c>
      <c r="U1456" t="s">
        <v>5606</v>
      </c>
      <c r="V1456" t="s">
        <v>5586</v>
      </c>
      <c r="W1456" t="s">
        <v>5607</v>
      </c>
      <c r="Z1456" t="s">
        <v>46</v>
      </c>
      <c r="AA1456" t="s">
        <v>5678</v>
      </c>
      <c r="AB1456" t="s">
        <v>4223</v>
      </c>
      <c r="AC1456">
        <f>COUNTIF(C:C,QLKV_gui_ket_qua_ra_soat[[#This Row],[Mã điểm bán]])</f>
        <v>1</v>
      </c>
    </row>
    <row r="1457" spans="1:29" x14ac:dyDescent="0.45">
      <c r="A1457" t="s">
        <v>5578</v>
      </c>
      <c r="B1457">
        <v>245</v>
      </c>
      <c r="C1457" t="s">
        <v>5689</v>
      </c>
      <c r="D1457" t="s">
        <v>5690</v>
      </c>
      <c r="E1457" t="s">
        <v>128</v>
      </c>
      <c r="F1457" t="s">
        <v>115</v>
      </c>
      <c r="G1457" t="s">
        <v>34</v>
      </c>
      <c r="H1457" t="s">
        <v>402</v>
      </c>
      <c r="I1457" t="s">
        <v>5613</v>
      </c>
      <c r="J1457" t="s">
        <v>38</v>
      </c>
      <c r="K1457" t="s">
        <v>38</v>
      </c>
      <c r="L1457" t="s">
        <v>40</v>
      </c>
      <c r="M1457" t="s">
        <v>38</v>
      </c>
      <c r="N1457" t="s">
        <v>38</v>
      </c>
      <c r="O1457" t="s">
        <v>40</v>
      </c>
      <c r="P1457" t="s">
        <v>38</v>
      </c>
      <c r="Q1457" t="s">
        <v>38</v>
      </c>
      <c r="R1457" t="s">
        <v>40</v>
      </c>
      <c r="S1457" t="s">
        <v>5691</v>
      </c>
      <c r="T1457" t="s">
        <v>5614</v>
      </c>
      <c r="U1457" t="s">
        <v>5585</v>
      </c>
      <c r="V1457" t="s">
        <v>5586</v>
      </c>
      <c r="W1457" t="s">
        <v>5587</v>
      </c>
      <c r="Z1457" t="s">
        <v>46</v>
      </c>
      <c r="AA1457" t="s">
        <v>5588</v>
      </c>
      <c r="AB1457" t="s">
        <v>4223</v>
      </c>
      <c r="AC1457">
        <f>COUNTIF(C:C,QLKV_gui_ket_qua_ra_soat[[#This Row],[Mã điểm bán]])</f>
        <v>1</v>
      </c>
    </row>
    <row r="1458" spans="1:29" x14ac:dyDescent="0.45">
      <c r="A1458" t="s">
        <v>5578</v>
      </c>
      <c r="B1458">
        <v>265</v>
      </c>
      <c r="C1458" t="s">
        <v>5692</v>
      </c>
      <c r="D1458" t="s">
        <v>5693</v>
      </c>
      <c r="E1458" t="s">
        <v>32</v>
      </c>
      <c r="F1458" t="s">
        <v>53</v>
      </c>
      <c r="G1458" t="s">
        <v>177</v>
      </c>
      <c r="H1458" t="s">
        <v>54</v>
      </c>
      <c r="I1458" t="s">
        <v>5694</v>
      </c>
      <c r="J1458" t="s">
        <v>38</v>
      </c>
      <c r="K1458" t="s">
        <v>38</v>
      </c>
      <c r="L1458" t="s">
        <v>40</v>
      </c>
      <c r="M1458" t="s">
        <v>38</v>
      </c>
      <c r="N1458" t="s">
        <v>38</v>
      </c>
      <c r="O1458" t="s">
        <v>40</v>
      </c>
      <c r="P1458" t="s">
        <v>38</v>
      </c>
      <c r="Q1458" t="s">
        <v>38</v>
      </c>
      <c r="R1458" t="s">
        <v>40</v>
      </c>
      <c r="S1458" t="s">
        <v>5662</v>
      </c>
      <c r="T1458" t="s">
        <v>5633</v>
      </c>
      <c r="U1458" t="s">
        <v>5620</v>
      </c>
      <c r="V1458" t="s">
        <v>5586</v>
      </c>
      <c r="W1458" t="s">
        <v>5621</v>
      </c>
      <c r="Z1458" t="s">
        <v>46</v>
      </c>
      <c r="AA1458" t="s">
        <v>5599</v>
      </c>
      <c r="AB1458" t="s">
        <v>4223</v>
      </c>
      <c r="AC1458">
        <f>COUNTIF(C:C,QLKV_gui_ket_qua_ra_soat[[#This Row],[Mã điểm bán]])</f>
        <v>1</v>
      </c>
    </row>
    <row r="1459" spans="1:29" x14ac:dyDescent="0.45">
      <c r="A1459" t="s">
        <v>5578</v>
      </c>
      <c r="B1459">
        <v>298</v>
      </c>
      <c r="C1459" t="s">
        <v>5695</v>
      </c>
      <c r="D1459" t="s">
        <v>5696</v>
      </c>
      <c r="E1459" t="s">
        <v>5697</v>
      </c>
      <c r="F1459" t="s">
        <v>2365</v>
      </c>
      <c r="G1459" t="s">
        <v>1458</v>
      </c>
      <c r="H1459" t="s">
        <v>1904</v>
      </c>
      <c r="I1459" t="s">
        <v>5698</v>
      </c>
      <c r="J1459" t="s">
        <v>37</v>
      </c>
      <c r="K1459" t="s">
        <v>37</v>
      </c>
      <c r="L1459" t="s">
        <v>39</v>
      </c>
      <c r="M1459" t="s">
        <v>1034</v>
      </c>
      <c r="N1459" t="s">
        <v>38</v>
      </c>
      <c r="O1459" t="s">
        <v>39</v>
      </c>
      <c r="P1459" t="s">
        <v>38</v>
      </c>
      <c r="Q1459" t="s">
        <v>38</v>
      </c>
      <c r="R1459" t="s">
        <v>39</v>
      </c>
      <c r="S1459" t="s">
        <v>5699</v>
      </c>
      <c r="T1459" t="s">
        <v>5647</v>
      </c>
      <c r="U1459" t="s">
        <v>5648</v>
      </c>
      <c r="V1459" t="s">
        <v>5586</v>
      </c>
      <c r="W1459" t="s">
        <v>5649</v>
      </c>
      <c r="Z1459" t="s">
        <v>46</v>
      </c>
      <c r="AA1459" t="s">
        <v>5678</v>
      </c>
      <c r="AB1459" t="s">
        <v>5658</v>
      </c>
      <c r="AC1459">
        <f>COUNTIF(C:C,QLKV_gui_ket_qua_ra_soat[[#This Row],[Mã điểm bán]])</f>
        <v>1</v>
      </c>
    </row>
    <row r="1460" spans="1:29" x14ac:dyDescent="0.45">
      <c r="A1460" t="s">
        <v>5578</v>
      </c>
      <c r="B1460">
        <v>442</v>
      </c>
      <c r="C1460" t="s">
        <v>5700</v>
      </c>
      <c r="D1460" t="s">
        <v>5701</v>
      </c>
      <c r="E1460" t="s">
        <v>5702</v>
      </c>
      <c r="F1460" t="s">
        <v>401</v>
      </c>
      <c r="G1460" t="s">
        <v>177</v>
      </c>
      <c r="H1460" t="s">
        <v>2294</v>
      </c>
      <c r="I1460" t="s">
        <v>5703</v>
      </c>
      <c r="J1460" t="s">
        <v>37</v>
      </c>
      <c r="K1460" t="s">
        <v>37</v>
      </c>
      <c r="L1460" t="s">
        <v>39</v>
      </c>
      <c r="M1460" t="s">
        <v>37</v>
      </c>
      <c r="N1460" t="s">
        <v>37</v>
      </c>
      <c r="O1460" t="s">
        <v>39</v>
      </c>
      <c r="P1460" t="s">
        <v>37</v>
      </c>
      <c r="Q1460" t="s">
        <v>37</v>
      </c>
      <c r="R1460" t="s">
        <v>39</v>
      </c>
      <c r="S1460" t="s">
        <v>4959</v>
      </c>
      <c r="T1460" t="s">
        <v>5619</v>
      </c>
      <c r="U1460" t="s">
        <v>5620</v>
      </c>
      <c r="V1460" t="s">
        <v>5586</v>
      </c>
      <c r="W1460" t="s">
        <v>5621</v>
      </c>
      <c r="AC1460">
        <f>COUNTIF(C:C,QLKV_gui_ket_qua_ra_soat[[#This Row],[Mã điểm bán]])</f>
        <v>1</v>
      </c>
    </row>
    <row r="1461" spans="1:29" x14ac:dyDescent="0.45">
      <c r="A1461" t="s">
        <v>5578</v>
      </c>
      <c r="B1461">
        <v>447</v>
      </c>
      <c r="C1461" t="s">
        <v>5704</v>
      </c>
      <c r="D1461" t="s">
        <v>5705</v>
      </c>
      <c r="E1461" t="s">
        <v>5706</v>
      </c>
      <c r="F1461" t="s">
        <v>401</v>
      </c>
      <c r="G1461" t="s">
        <v>177</v>
      </c>
      <c r="H1461" t="s">
        <v>565</v>
      </c>
      <c r="I1461" t="s">
        <v>5707</v>
      </c>
      <c r="J1461" t="s">
        <v>37</v>
      </c>
      <c r="K1461" t="s">
        <v>37</v>
      </c>
      <c r="L1461" t="s">
        <v>39</v>
      </c>
      <c r="M1461" t="s">
        <v>37</v>
      </c>
      <c r="N1461" t="s">
        <v>37</v>
      </c>
      <c r="O1461" t="s">
        <v>39</v>
      </c>
      <c r="P1461" t="s">
        <v>37</v>
      </c>
      <c r="Q1461" t="s">
        <v>37</v>
      </c>
      <c r="R1461" t="s">
        <v>39</v>
      </c>
      <c r="S1461" t="s">
        <v>4751</v>
      </c>
      <c r="T1461" t="s">
        <v>5619</v>
      </c>
      <c r="U1461" t="s">
        <v>5620</v>
      </c>
      <c r="V1461" t="s">
        <v>5586</v>
      </c>
      <c r="W1461" t="s">
        <v>5621</v>
      </c>
      <c r="AC1461">
        <f>COUNTIF(C:C,QLKV_gui_ket_qua_ra_soat[[#This Row],[Mã điểm bán]])</f>
        <v>1</v>
      </c>
    </row>
    <row r="1462" spans="1:29" x14ac:dyDescent="0.45">
      <c r="A1462" t="s">
        <v>5578</v>
      </c>
      <c r="B1462">
        <v>518</v>
      </c>
      <c r="C1462" t="s">
        <v>5708</v>
      </c>
      <c r="D1462" t="s">
        <v>5709</v>
      </c>
      <c r="E1462" t="s">
        <v>291</v>
      </c>
      <c r="F1462" t="s">
        <v>461</v>
      </c>
      <c r="G1462" t="s">
        <v>34</v>
      </c>
      <c r="H1462" t="s">
        <v>2170</v>
      </c>
      <c r="I1462" t="s">
        <v>5710</v>
      </c>
      <c r="J1462" t="s">
        <v>38</v>
      </c>
      <c r="K1462" t="s">
        <v>38</v>
      </c>
      <c r="L1462" t="s">
        <v>40</v>
      </c>
      <c r="M1462" t="s">
        <v>37</v>
      </c>
      <c r="N1462" t="s">
        <v>37</v>
      </c>
      <c r="O1462" t="s">
        <v>39</v>
      </c>
      <c r="P1462" t="s">
        <v>38</v>
      </c>
      <c r="Q1462" t="s">
        <v>37</v>
      </c>
      <c r="R1462" t="s">
        <v>39</v>
      </c>
      <c r="S1462" t="s">
        <v>41</v>
      </c>
      <c r="T1462" t="s">
        <v>5711</v>
      </c>
      <c r="U1462" t="s">
        <v>5712</v>
      </c>
      <c r="V1462" t="s">
        <v>5586</v>
      </c>
      <c r="W1462" t="s">
        <v>5649</v>
      </c>
      <c r="AC1462">
        <f>COUNTIF(C:C,QLKV_gui_ket_qua_ra_soat[[#This Row],[Mã điểm bán]])</f>
        <v>1</v>
      </c>
    </row>
    <row r="1463" spans="1:29" x14ac:dyDescent="0.45">
      <c r="A1463" t="s">
        <v>5578</v>
      </c>
      <c r="B1463">
        <v>567</v>
      </c>
      <c r="C1463" t="s">
        <v>5713</v>
      </c>
      <c r="D1463" t="s">
        <v>5714</v>
      </c>
      <c r="E1463" t="s">
        <v>91</v>
      </c>
      <c r="F1463" t="s">
        <v>53</v>
      </c>
      <c r="G1463" t="s">
        <v>177</v>
      </c>
      <c r="H1463" t="s">
        <v>1164</v>
      </c>
      <c r="I1463" t="s">
        <v>5715</v>
      </c>
      <c r="J1463" t="s">
        <v>38</v>
      </c>
      <c r="K1463" t="s">
        <v>37</v>
      </c>
      <c r="L1463" t="s">
        <v>39</v>
      </c>
      <c r="M1463" t="s">
        <v>37</v>
      </c>
      <c r="N1463" t="s">
        <v>37</v>
      </c>
      <c r="O1463" t="s">
        <v>39</v>
      </c>
      <c r="P1463" t="s">
        <v>37</v>
      </c>
      <c r="Q1463" t="s">
        <v>37</v>
      </c>
      <c r="R1463" t="s">
        <v>39</v>
      </c>
      <c r="S1463" t="s">
        <v>4751</v>
      </c>
      <c r="T1463" t="s">
        <v>5619</v>
      </c>
      <c r="U1463" t="s">
        <v>5620</v>
      </c>
      <c r="V1463" t="s">
        <v>5586</v>
      </c>
      <c r="W1463" t="s">
        <v>5621</v>
      </c>
      <c r="Z1463" t="s">
        <v>46</v>
      </c>
      <c r="AA1463" t="s">
        <v>5599</v>
      </c>
      <c r="AB1463" t="s">
        <v>4223</v>
      </c>
      <c r="AC1463">
        <f>COUNTIF(C:C,QLKV_gui_ket_qua_ra_soat[[#This Row],[Mã điểm bán]])</f>
        <v>1</v>
      </c>
    </row>
    <row r="1464" spans="1:29" x14ac:dyDescent="0.45">
      <c r="A1464" t="s">
        <v>5578</v>
      </c>
      <c r="B1464">
        <v>579</v>
      </c>
      <c r="C1464" t="s">
        <v>5716</v>
      </c>
      <c r="D1464" t="s">
        <v>5717</v>
      </c>
      <c r="E1464" t="s">
        <v>5718</v>
      </c>
      <c r="F1464" t="s">
        <v>600</v>
      </c>
      <c r="G1464" t="s">
        <v>177</v>
      </c>
      <c r="H1464" t="s">
        <v>133</v>
      </c>
      <c r="I1464" t="s">
        <v>5719</v>
      </c>
      <c r="J1464" t="s">
        <v>37</v>
      </c>
      <c r="K1464" t="s">
        <v>37</v>
      </c>
      <c r="L1464" t="s">
        <v>39</v>
      </c>
      <c r="M1464" t="s">
        <v>37</v>
      </c>
      <c r="N1464" t="s">
        <v>37</v>
      </c>
      <c r="O1464" t="s">
        <v>39</v>
      </c>
      <c r="P1464" t="s">
        <v>37</v>
      </c>
      <c r="Q1464" t="s">
        <v>37</v>
      </c>
      <c r="R1464" t="s">
        <v>39</v>
      </c>
      <c r="S1464" t="s">
        <v>5720</v>
      </c>
      <c r="T1464" t="s">
        <v>5619</v>
      </c>
      <c r="U1464" t="s">
        <v>5620</v>
      </c>
      <c r="V1464" t="s">
        <v>5586</v>
      </c>
      <c r="W1464" t="s">
        <v>5621</v>
      </c>
      <c r="AC1464">
        <f>COUNTIF(C:C,QLKV_gui_ket_qua_ra_soat[[#This Row],[Mã điểm bán]])</f>
        <v>1</v>
      </c>
    </row>
    <row r="1465" spans="1:29" x14ac:dyDescent="0.45">
      <c r="A1465" t="s">
        <v>5578</v>
      </c>
      <c r="B1465">
        <v>591</v>
      </c>
      <c r="C1465" t="s">
        <v>5721</v>
      </c>
      <c r="D1465" t="s">
        <v>5722</v>
      </c>
      <c r="E1465" t="s">
        <v>5723</v>
      </c>
      <c r="F1465" t="s">
        <v>166</v>
      </c>
      <c r="G1465" t="s">
        <v>177</v>
      </c>
      <c r="H1465" t="s">
        <v>133</v>
      </c>
      <c r="I1465" t="s">
        <v>5724</v>
      </c>
      <c r="J1465" t="s">
        <v>37</v>
      </c>
      <c r="K1465" t="s">
        <v>37</v>
      </c>
      <c r="L1465" t="s">
        <v>39</v>
      </c>
      <c r="M1465" t="s">
        <v>37</v>
      </c>
      <c r="N1465" t="s">
        <v>37</v>
      </c>
      <c r="O1465" t="s">
        <v>39</v>
      </c>
      <c r="P1465" t="s">
        <v>37</v>
      </c>
      <c r="Q1465" t="s">
        <v>38</v>
      </c>
      <c r="R1465" t="s">
        <v>39</v>
      </c>
      <c r="S1465" t="s">
        <v>5720</v>
      </c>
      <c r="T1465" t="s">
        <v>5619</v>
      </c>
      <c r="U1465" t="s">
        <v>5620</v>
      </c>
      <c r="V1465" t="s">
        <v>5586</v>
      </c>
      <c r="W1465" t="s">
        <v>5621</v>
      </c>
      <c r="AC1465">
        <f>COUNTIF(C:C,QLKV_gui_ket_qua_ra_soat[[#This Row],[Mã điểm bán]])</f>
        <v>1</v>
      </c>
    </row>
    <row r="1466" spans="1:29" x14ac:dyDescent="0.45">
      <c r="A1466" t="s">
        <v>5578</v>
      </c>
      <c r="B1466">
        <v>595</v>
      </c>
      <c r="C1466" t="s">
        <v>5725</v>
      </c>
      <c r="D1466" t="s">
        <v>5726</v>
      </c>
      <c r="E1466" t="s">
        <v>176</v>
      </c>
      <c r="F1466" t="s">
        <v>53</v>
      </c>
      <c r="G1466" t="s">
        <v>177</v>
      </c>
      <c r="H1466" t="s">
        <v>54</v>
      </c>
      <c r="I1466" t="s">
        <v>5727</v>
      </c>
      <c r="J1466" t="s">
        <v>38</v>
      </c>
      <c r="K1466" t="s">
        <v>38</v>
      </c>
      <c r="L1466" t="s">
        <v>40</v>
      </c>
      <c r="M1466" t="s">
        <v>38</v>
      </c>
      <c r="N1466" t="s">
        <v>38</v>
      </c>
      <c r="O1466" t="s">
        <v>40</v>
      </c>
      <c r="P1466" t="s">
        <v>38</v>
      </c>
      <c r="Q1466" t="s">
        <v>38</v>
      </c>
      <c r="R1466" t="s">
        <v>40</v>
      </c>
      <c r="S1466" t="s">
        <v>5728</v>
      </c>
      <c r="T1466" t="s">
        <v>5633</v>
      </c>
      <c r="U1466" t="s">
        <v>5620</v>
      </c>
      <c r="V1466" t="s">
        <v>5586</v>
      </c>
      <c r="W1466" t="s">
        <v>5621</v>
      </c>
      <c r="X1466" t="s">
        <v>46</v>
      </c>
      <c r="AB1466" t="s">
        <v>3109</v>
      </c>
      <c r="AC1466">
        <f>COUNTIF(C:C,QLKV_gui_ket_qua_ra_soat[[#This Row],[Mã điểm bán]])</f>
        <v>1</v>
      </c>
    </row>
    <row r="1467" spans="1:29" x14ac:dyDescent="0.45">
      <c r="A1467" t="s">
        <v>5578</v>
      </c>
      <c r="B1467">
        <v>647</v>
      </c>
      <c r="C1467" t="s">
        <v>5729</v>
      </c>
      <c r="D1467" t="s">
        <v>3388</v>
      </c>
      <c r="E1467" t="s">
        <v>5730</v>
      </c>
      <c r="F1467" t="s">
        <v>401</v>
      </c>
      <c r="G1467" t="s">
        <v>177</v>
      </c>
      <c r="H1467" t="s">
        <v>171</v>
      </c>
      <c r="I1467" t="s">
        <v>5731</v>
      </c>
      <c r="J1467" t="s">
        <v>37</v>
      </c>
      <c r="K1467" t="s">
        <v>38</v>
      </c>
      <c r="L1467" t="s">
        <v>39</v>
      </c>
      <c r="M1467" t="s">
        <v>37</v>
      </c>
      <c r="N1467" t="s">
        <v>37</v>
      </c>
      <c r="O1467" t="s">
        <v>39</v>
      </c>
      <c r="P1467" t="s">
        <v>37</v>
      </c>
      <c r="Q1467" t="s">
        <v>37</v>
      </c>
      <c r="R1467" t="s">
        <v>39</v>
      </c>
      <c r="S1467" t="s">
        <v>4751</v>
      </c>
      <c r="T1467" t="s">
        <v>5619</v>
      </c>
      <c r="U1467" t="s">
        <v>5620</v>
      </c>
      <c r="V1467" t="s">
        <v>5586</v>
      </c>
      <c r="W1467" t="s">
        <v>5621</v>
      </c>
      <c r="AC1467">
        <f>COUNTIF(C:C,QLKV_gui_ket_qua_ra_soat[[#This Row],[Mã điểm bán]])</f>
        <v>1</v>
      </c>
    </row>
    <row r="1468" spans="1:29" x14ac:dyDescent="0.45">
      <c r="A1468" t="s">
        <v>5578</v>
      </c>
      <c r="B1468">
        <v>695</v>
      </c>
      <c r="C1468" t="s">
        <v>5732</v>
      </c>
      <c r="D1468" t="s">
        <v>5733</v>
      </c>
      <c r="E1468" t="s">
        <v>416</v>
      </c>
      <c r="F1468" t="s">
        <v>53</v>
      </c>
      <c r="G1468" t="s">
        <v>34</v>
      </c>
      <c r="H1468" t="s">
        <v>214</v>
      </c>
      <c r="I1468" t="s">
        <v>5734</v>
      </c>
      <c r="J1468" t="s">
        <v>775</v>
      </c>
      <c r="K1468" t="s">
        <v>775</v>
      </c>
      <c r="L1468" t="s">
        <v>39</v>
      </c>
      <c r="M1468" t="s">
        <v>56</v>
      </c>
      <c r="N1468" t="s">
        <v>56</v>
      </c>
      <c r="O1468" t="s">
        <v>39</v>
      </c>
      <c r="P1468" t="s">
        <v>37</v>
      </c>
      <c r="Q1468" t="s">
        <v>37</v>
      </c>
      <c r="R1468" t="s">
        <v>39</v>
      </c>
      <c r="S1468" t="s">
        <v>41</v>
      </c>
      <c r="T1468" t="s">
        <v>5676</v>
      </c>
      <c r="U1468" t="s">
        <v>5677</v>
      </c>
      <c r="V1468" t="s">
        <v>5586</v>
      </c>
      <c r="W1468" t="s">
        <v>5607</v>
      </c>
      <c r="Z1468" t="s">
        <v>46</v>
      </c>
      <c r="AA1468" t="s">
        <v>5678</v>
      </c>
      <c r="AB1468" t="s">
        <v>117</v>
      </c>
      <c r="AC1468">
        <f>COUNTIF(C:C,QLKV_gui_ket_qua_ra_soat[[#This Row],[Mã điểm bán]])</f>
        <v>1</v>
      </c>
    </row>
    <row r="1469" spans="1:29" x14ac:dyDescent="0.45">
      <c r="A1469" t="s">
        <v>5578</v>
      </c>
      <c r="B1469">
        <v>697</v>
      </c>
      <c r="C1469" t="s">
        <v>5735</v>
      </c>
      <c r="D1469" t="s">
        <v>5736</v>
      </c>
      <c r="E1469" t="s">
        <v>108</v>
      </c>
      <c r="F1469" t="s">
        <v>600</v>
      </c>
      <c r="G1469" t="s">
        <v>1624</v>
      </c>
      <c r="H1469" t="s">
        <v>171</v>
      </c>
      <c r="I1469" t="s">
        <v>5675</v>
      </c>
      <c r="J1469" t="s">
        <v>775</v>
      </c>
      <c r="K1469" t="s">
        <v>775</v>
      </c>
      <c r="L1469" t="s">
        <v>39</v>
      </c>
      <c r="M1469" t="s">
        <v>56</v>
      </c>
      <c r="N1469" t="s">
        <v>56</v>
      </c>
      <c r="O1469" t="s">
        <v>39</v>
      </c>
      <c r="P1469" t="s">
        <v>37</v>
      </c>
      <c r="Q1469" t="s">
        <v>37</v>
      </c>
      <c r="R1469" t="s">
        <v>39</v>
      </c>
      <c r="S1469" t="s">
        <v>41</v>
      </c>
      <c r="T1469" t="s">
        <v>5676</v>
      </c>
      <c r="U1469" t="s">
        <v>5677</v>
      </c>
      <c r="V1469" t="s">
        <v>5586</v>
      </c>
      <c r="W1469" t="s">
        <v>5607</v>
      </c>
      <c r="AC1469">
        <f>COUNTIF(C:C,QLKV_gui_ket_qua_ra_soat[[#This Row],[Mã điểm bán]])</f>
        <v>1</v>
      </c>
    </row>
    <row r="1470" spans="1:29" x14ac:dyDescent="0.45">
      <c r="A1470" t="s">
        <v>5578</v>
      </c>
      <c r="B1470">
        <v>730</v>
      </c>
      <c r="C1470" t="s">
        <v>5737</v>
      </c>
      <c r="D1470" t="s">
        <v>5738</v>
      </c>
      <c r="E1470" t="s">
        <v>989</v>
      </c>
      <c r="F1470" t="s">
        <v>33</v>
      </c>
      <c r="G1470" t="s">
        <v>177</v>
      </c>
      <c r="H1470" t="s">
        <v>54</v>
      </c>
      <c r="I1470" t="s">
        <v>5739</v>
      </c>
      <c r="J1470" t="s">
        <v>38</v>
      </c>
      <c r="K1470" t="s">
        <v>38</v>
      </c>
      <c r="L1470" t="s">
        <v>39</v>
      </c>
      <c r="M1470" t="s">
        <v>38</v>
      </c>
      <c r="N1470" t="s">
        <v>38</v>
      </c>
      <c r="O1470" t="s">
        <v>39</v>
      </c>
      <c r="P1470" t="s">
        <v>38</v>
      </c>
      <c r="Q1470" t="s">
        <v>38</v>
      </c>
      <c r="R1470" t="s">
        <v>39</v>
      </c>
      <c r="S1470" t="s">
        <v>41</v>
      </c>
      <c r="T1470" t="s">
        <v>5596</v>
      </c>
      <c r="U1470" t="s">
        <v>5597</v>
      </c>
      <c r="V1470" t="s">
        <v>5586</v>
      </c>
      <c r="W1470" t="s">
        <v>5598</v>
      </c>
      <c r="AC1470">
        <f>COUNTIF(C:C,QLKV_gui_ket_qua_ra_soat[[#This Row],[Mã điểm bán]])</f>
        <v>1</v>
      </c>
    </row>
    <row r="1471" spans="1:29" x14ac:dyDescent="0.45">
      <c r="A1471" t="s">
        <v>5578</v>
      </c>
      <c r="B1471">
        <v>740</v>
      </c>
      <c r="C1471" t="s">
        <v>5740</v>
      </c>
      <c r="D1471" t="s">
        <v>5741</v>
      </c>
      <c r="E1471" t="s">
        <v>5742</v>
      </c>
      <c r="F1471" t="s">
        <v>53</v>
      </c>
      <c r="G1471" t="s">
        <v>177</v>
      </c>
      <c r="H1471" t="s">
        <v>1483</v>
      </c>
      <c r="I1471" t="s">
        <v>5743</v>
      </c>
      <c r="J1471" t="s">
        <v>37</v>
      </c>
      <c r="K1471" t="s">
        <v>37</v>
      </c>
      <c r="L1471" t="s">
        <v>39</v>
      </c>
      <c r="M1471" t="s">
        <v>37</v>
      </c>
      <c r="N1471" t="s">
        <v>37</v>
      </c>
      <c r="O1471" t="s">
        <v>39</v>
      </c>
      <c r="P1471" t="s">
        <v>37</v>
      </c>
      <c r="Q1471" t="s">
        <v>37</v>
      </c>
      <c r="R1471" t="s">
        <v>39</v>
      </c>
      <c r="S1471" t="s">
        <v>5720</v>
      </c>
      <c r="T1471" t="s">
        <v>5619</v>
      </c>
      <c r="U1471" t="s">
        <v>5620</v>
      </c>
      <c r="V1471" t="s">
        <v>5586</v>
      </c>
      <c r="W1471" t="s">
        <v>5621</v>
      </c>
      <c r="AC1471">
        <f>COUNTIF(C:C,QLKV_gui_ket_qua_ra_soat[[#This Row],[Mã điểm bán]])</f>
        <v>1</v>
      </c>
    </row>
    <row r="1472" spans="1:29" x14ac:dyDescent="0.45">
      <c r="A1472" t="s">
        <v>5578</v>
      </c>
      <c r="B1472">
        <v>771</v>
      </c>
      <c r="C1472" t="s">
        <v>5744</v>
      </c>
      <c r="D1472" t="s">
        <v>5745</v>
      </c>
      <c r="E1472" t="s">
        <v>5746</v>
      </c>
      <c r="F1472" t="s">
        <v>426</v>
      </c>
      <c r="G1472" t="s">
        <v>177</v>
      </c>
      <c r="H1472" t="s">
        <v>171</v>
      </c>
      <c r="I1472" t="s">
        <v>5747</v>
      </c>
      <c r="J1472" t="s">
        <v>37</v>
      </c>
      <c r="K1472" t="s">
        <v>37</v>
      </c>
      <c r="L1472" t="s">
        <v>39</v>
      </c>
      <c r="M1472" t="s">
        <v>37</v>
      </c>
      <c r="N1472" t="s">
        <v>37</v>
      </c>
      <c r="O1472" t="s">
        <v>39</v>
      </c>
      <c r="P1472" t="s">
        <v>37</v>
      </c>
      <c r="Q1472" t="s">
        <v>37</v>
      </c>
      <c r="R1472" t="s">
        <v>39</v>
      </c>
      <c r="S1472" t="s">
        <v>5720</v>
      </c>
      <c r="T1472" t="s">
        <v>5619</v>
      </c>
      <c r="U1472" t="s">
        <v>5620</v>
      </c>
      <c r="V1472" t="s">
        <v>5586</v>
      </c>
      <c r="W1472" t="s">
        <v>5621</v>
      </c>
      <c r="AC1472">
        <f>COUNTIF(C:C,QLKV_gui_ket_qua_ra_soat[[#This Row],[Mã điểm bán]])</f>
        <v>1</v>
      </c>
    </row>
    <row r="1473" spans="1:29" x14ac:dyDescent="0.45">
      <c r="A1473" t="s">
        <v>5578</v>
      </c>
      <c r="B1473">
        <v>774</v>
      </c>
      <c r="C1473" t="s">
        <v>5748</v>
      </c>
      <c r="D1473" t="s">
        <v>5749</v>
      </c>
      <c r="E1473" t="s">
        <v>5750</v>
      </c>
      <c r="F1473" t="s">
        <v>426</v>
      </c>
      <c r="G1473" t="s">
        <v>177</v>
      </c>
      <c r="H1473" t="s">
        <v>697</v>
      </c>
      <c r="I1473" t="s">
        <v>5751</v>
      </c>
      <c r="J1473" t="s">
        <v>37</v>
      </c>
      <c r="K1473" t="s">
        <v>37</v>
      </c>
      <c r="L1473" t="s">
        <v>39</v>
      </c>
      <c r="M1473" t="s">
        <v>37</v>
      </c>
      <c r="N1473" t="s">
        <v>37</v>
      </c>
      <c r="O1473" t="s">
        <v>39</v>
      </c>
      <c r="P1473" t="s">
        <v>37</v>
      </c>
      <c r="Q1473" t="s">
        <v>37</v>
      </c>
      <c r="R1473" t="s">
        <v>39</v>
      </c>
      <c r="S1473" t="s">
        <v>4751</v>
      </c>
      <c r="T1473" t="s">
        <v>5619</v>
      </c>
      <c r="U1473" t="s">
        <v>5620</v>
      </c>
      <c r="V1473" t="s">
        <v>5586</v>
      </c>
      <c r="W1473" t="s">
        <v>5621</v>
      </c>
      <c r="Z1473" t="s">
        <v>46</v>
      </c>
      <c r="AA1473" t="s">
        <v>5599</v>
      </c>
      <c r="AB1473" t="s">
        <v>3109</v>
      </c>
      <c r="AC1473">
        <f>COUNTIF(C:C,QLKV_gui_ket_qua_ra_soat[[#This Row],[Mã điểm bán]])</f>
        <v>1</v>
      </c>
    </row>
    <row r="1474" spans="1:29" x14ac:dyDescent="0.45">
      <c r="A1474" t="s">
        <v>5578</v>
      </c>
      <c r="B1474">
        <v>779</v>
      </c>
      <c r="C1474" t="s">
        <v>5752</v>
      </c>
      <c r="D1474" t="s">
        <v>5753</v>
      </c>
      <c r="E1474" t="s">
        <v>5754</v>
      </c>
      <c r="F1474" t="s">
        <v>401</v>
      </c>
      <c r="G1474" t="s">
        <v>177</v>
      </c>
      <c r="H1474" t="s">
        <v>332</v>
      </c>
      <c r="I1474" t="s">
        <v>5755</v>
      </c>
      <c r="J1474" t="s">
        <v>41</v>
      </c>
      <c r="K1474" t="s">
        <v>41</v>
      </c>
      <c r="L1474" t="s">
        <v>41</v>
      </c>
      <c r="M1474" t="s">
        <v>41</v>
      </c>
      <c r="N1474" t="s">
        <v>41</v>
      </c>
      <c r="O1474" t="s">
        <v>41</v>
      </c>
      <c r="P1474" t="s">
        <v>41</v>
      </c>
      <c r="Q1474" t="s">
        <v>41</v>
      </c>
      <c r="R1474" t="s">
        <v>41</v>
      </c>
      <c r="S1474" t="s">
        <v>41</v>
      </c>
      <c r="T1474" t="s">
        <v>5619</v>
      </c>
      <c r="U1474" t="s">
        <v>5620</v>
      </c>
      <c r="V1474" t="s">
        <v>5586</v>
      </c>
      <c r="W1474" t="s">
        <v>5621</v>
      </c>
      <c r="AC1474">
        <f>COUNTIF(C:C,QLKV_gui_ket_qua_ra_soat[[#This Row],[Mã điểm bán]])</f>
        <v>1</v>
      </c>
    </row>
    <row r="1475" spans="1:29" x14ac:dyDescent="0.45">
      <c r="A1475" t="s">
        <v>5578</v>
      </c>
      <c r="B1475">
        <v>784</v>
      </c>
      <c r="C1475" t="s">
        <v>5756</v>
      </c>
      <c r="D1475" t="s">
        <v>5757</v>
      </c>
      <c r="E1475" t="s">
        <v>448</v>
      </c>
      <c r="F1475" t="s">
        <v>53</v>
      </c>
      <c r="G1475" t="s">
        <v>177</v>
      </c>
      <c r="H1475" t="s">
        <v>565</v>
      </c>
      <c r="I1475" t="s">
        <v>5758</v>
      </c>
      <c r="J1475" t="s">
        <v>37</v>
      </c>
      <c r="K1475" t="s">
        <v>38</v>
      </c>
      <c r="L1475" t="s">
        <v>39</v>
      </c>
      <c r="M1475" t="s">
        <v>37</v>
      </c>
      <c r="N1475" t="s">
        <v>37</v>
      </c>
      <c r="O1475" t="s">
        <v>39</v>
      </c>
      <c r="P1475" t="s">
        <v>38</v>
      </c>
      <c r="Q1475" t="s">
        <v>37</v>
      </c>
      <c r="R1475" t="s">
        <v>39</v>
      </c>
      <c r="S1475" t="s">
        <v>4751</v>
      </c>
      <c r="T1475" t="s">
        <v>5619</v>
      </c>
      <c r="U1475" t="s">
        <v>5620</v>
      </c>
      <c r="V1475" t="s">
        <v>5586</v>
      </c>
      <c r="W1475" t="s">
        <v>5621</v>
      </c>
      <c r="AC1475">
        <f>COUNTIF(C:C,QLKV_gui_ket_qua_ra_soat[[#This Row],[Mã điểm bán]])</f>
        <v>1</v>
      </c>
    </row>
    <row r="1476" spans="1:29" x14ac:dyDescent="0.45">
      <c r="A1476" t="s">
        <v>5578</v>
      </c>
      <c r="B1476">
        <v>788</v>
      </c>
      <c r="C1476" t="s">
        <v>5759</v>
      </c>
      <c r="D1476" t="s">
        <v>5760</v>
      </c>
      <c r="E1476" t="s">
        <v>5761</v>
      </c>
      <c r="F1476" t="s">
        <v>53</v>
      </c>
      <c r="G1476" t="s">
        <v>177</v>
      </c>
      <c r="H1476" t="s">
        <v>171</v>
      </c>
      <c r="I1476" t="s">
        <v>5762</v>
      </c>
      <c r="J1476" t="s">
        <v>37</v>
      </c>
      <c r="K1476" t="s">
        <v>37</v>
      </c>
      <c r="L1476" t="s">
        <v>39</v>
      </c>
      <c r="M1476" t="s">
        <v>37</v>
      </c>
      <c r="N1476" t="s">
        <v>37</v>
      </c>
      <c r="O1476" t="s">
        <v>39</v>
      </c>
      <c r="P1476" t="s">
        <v>37</v>
      </c>
      <c r="Q1476" t="s">
        <v>37</v>
      </c>
      <c r="R1476" t="s">
        <v>39</v>
      </c>
      <c r="S1476" t="s">
        <v>4751</v>
      </c>
      <c r="T1476" t="s">
        <v>5619</v>
      </c>
      <c r="U1476" t="s">
        <v>5620</v>
      </c>
      <c r="V1476" t="s">
        <v>5586</v>
      </c>
      <c r="W1476" t="s">
        <v>5621</v>
      </c>
      <c r="AC1476">
        <f>COUNTIF(C:C,QLKV_gui_ket_qua_ra_soat[[#This Row],[Mã điểm bán]])</f>
        <v>1</v>
      </c>
    </row>
    <row r="1477" spans="1:29" x14ac:dyDescent="0.45">
      <c r="A1477" t="s">
        <v>5578</v>
      </c>
      <c r="B1477">
        <v>789</v>
      </c>
      <c r="C1477" t="s">
        <v>5763</v>
      </c>
      <c r="D1477" t="s">
        <v>5764</v>
      </c>
      <c r="E1477" t="s">
        <v>798</v>
      </c>
      <c r="F1477" t="s">
        <v>600</v>
      </c>
      <c r="G1477" t="s">
        <v>177</v>
      </c>
      <c r="H1477" t="s">
        <v>54</v>
      </c>
      <c r="I1477" t="s">
        <v>5765</v>
      </c>
      <c r="J1477" t="s">
        <v>37</v>
      </c>
      <c r="K1477" t="s">
        <v>38</v>
      </c>
      <c r="L1477" t="s">
        <v>40</v>
      </c>
      <c r="M1477" t="s">
        <v>56</v>
      </c>
      <c r="N1477" t="s">
        <v>56</v>
      </c>
      <c r="O1477" t="s">
        <v>39</v>
      </c>
      <c r="P1477" t="s">
        <v>38</v>
      </c>
      <c r="Q1477" t="s">
        <v>38</v>
      </c>
      <c r="R1477" t="s">
        <v>40</v>
      </c>
      <c r="S1477" t="s">
        <v>41</v>
      </c>
      <c r="T1477" t="s">
        <v>5766</v>
      </c>
      <c r="U1477" t="s">
        <v>5597</v>
      </c>
      <c r="V1477" t="s">
        <v>5586</v>
      </c>
      <c r="W1477" t="s">
        <v>5598</v>
      </c>
      <c r="AC1477">
        <f>COUNTIF(C:C,QLKV_gui_ket_qua_ra_soat[[#This Row],[Mã điểm bán]])</f>
        <v>1</v>
      </c>
    </row>
    <row r="1478" spans="1:29" x14ac:dyDescent="0.45">
      <c r="A1478" t="s">
        <v>5578</v>
      </c>
      <c r="B1478">
        <v>824</v>
      </c>
      <c r="C1478" t="s">
        <v>5767</v>
      </c>
      <c r="D1478" t="s">
        <v>5768</v>
      </c>
      <c r="E1478" t="s">
        <v>407</v>
      </c>
      <c r="F1478" t="s">
        <v>53</v>
      </c>
      <c r="G1478" t="s">
        <v>177</v>
      </c>
      <c r="H1478" t="s">
        <v>2294</v>
      </c>
      <c r="I1478" t="s">
        <v>5769</v>
      </c>
      <c r="J1478" t="s">
        <v>37</v>
      </c>
      <c r="K1478" t="s">
        <v>37</v>
      </c>
      <c r="L1478" t="s">
        <v>39</v>
      </c>
      <c r="M1478" t="s">
        <v>37</v>
      </c>
      <c r="N1478" t="s">
        <v>37</v>
      </c>
      <c r="O1478" t="s">
        <v>39</v>
      </c>
      <c r="P1478" t="s">
        <v>37</v>
      </c>
      <c r="Q1478" t="s">
        <v>37</v>
      </c>
      <c r="R1478" t="s">
        <v>39</v>
      </c>
      <c r="S1478" t="s">
        <v>4751</v>
      </c>
      <c r="T1478" t="s">
        <v>5619</v>
      </c>
      <c r="U1478" t="s">
        <v>5620</v>
      </c>
      <c r="V1478" t="s">
        <v>5586</v>
      </c>
      <c r="W1478" t="s">
        <v>5621</v>
      </c>
      <c r="AC1478">
        <f>COUNTIF(C:C,QLKV_gui_ket_qua_ra_soat[[#This Row],[Mã điểm bán]])</f>
        <v>1</v>
      </c>
    </row>
    <row r="1479" spans="1:29" x14ac:dyDescent="0.45">
      <c r="A1479" t="s">
        <v>5578</v>
      </c>
      <c r="B1479">
        <v>829</v>
      </c>
      <c r="C1479" t="s">
        <v>5770</v>
      </c>
      <c r="D1479" t="s">
        <v>5771</v>
      </c>
      <c r="E1479" t="s">
        <v>91</v>
      </c>
      <c r="F1479" t="s">
        <v>5772</v>
      </c>
      <c r="G1479" t="s">
        <v>177</v>
      </c>
      <c r="H1479" t="s">
        <v>214</v>
      </c>
      <c r="I1479" t="s">
        <v>5773</v>
      </c>
      <c r="J1479" t="s">
        <v>38</v>
      </c>
      <c r="K1479" t="s">
        <v>38</v>
      </c>
      <c r="L1479" t="s">
        <v>39</v>
      </c>
      <c r="M1479" t="s">
        <v>38</v>
      </c>
      <c r="N1479" t="s">
        <v>38</v>
      </c>
      <c r="O1479" t="s">
        <v>39</v>
      </c>
      <c r="P1479" t="s">
        <v>38</v>
      </c>
      <c r="Q1479" t="s">
        <v>38</v>
      </c>
      <c r="R1479" t="s">
        <v>39</v>
      </c>
      <c r="S1479" t="s">
        <v>41</v>
      </c>
      <c r="T1479" t="s">
        <v>5596</v>
      </c>
      <c r="U1479" t="s">
        <v>5597</v>
      </c>
      <c r="V1479" t="s">
        <v>5586</v>
      </c>
      <c r="W1479" t="s">
        <v>5598</v>
      </c>
      <c r="X1479" t="s">
        <v>46</v>
      </c>
      <c r="AB1479" t="s">
        <v>4223</v>
      </c>
      <c r="AC1479">
        <f>COUNTIF(C:C,QLKV_gui_ket_qua_ra_soat[[#This Row],[Mã điểm bán]])</f>
        <v>1</v>
      </c>
    </row>
    <row r="1480" spans="1:29" x14ac:dyDescent="0.45">
      <c r="A1480" t="s">
        <v>5578</v>
      </c>
      <c r="B1480">
        <v>830</v>
      </c>
      <c r="C1480" t="s">
        <v>5774</v>
      </c>
      <c r="D1480" t="s">
        <v>5775</v>
      </c>
      <c r="E1480" t="s">
        <v>157</v>
      </c>
      <c r="F1480" t="s">
        <v>5776</v>
      </c>
      <c r="G1480" t="s">
        <v>177</v>
      </c>
      <c r="H1480" t="s">
        <v>214</v>
      </c>
      <c r="I1480" t="s">
        <v>5777</v>
      </c>
      <c r="J1480" t="s">
        <v>38</v>
      </c>
      <c r="K1480" t="s">
        <v>38</v>
      </c>
      <c r="L1480" t="s">
        <v>39</v>
      </c>
      <c r="M1480" t="s">
        <v>38</v>
      </c>
      <c r="N1480" t="s">
        <v>38</v>
      </c>
      <c r="O1480" t="s">
        <v>39</v>
      </c>
      <c r="P1480" t="s">
        <v>38</v>
      </c>
      <c r="Q1480" t="s">
        <v>38</v>
      </c>
      <c r="R1480" t="s">
        <v>39</v>
      </c>
      <c r="S1480" t="s">
        <v>41</v>
      </c>
      <c r="T1480" t="s">
        <v>5596</v>
      </c>
      <c r="U1480" t="s">
        <v>5597</v>
      </c>
      <c r="V1480" t="s">
        <v>5586</v>
      </c>
      <c r="W1480" t="s">
        <v>5598</v>
      </c>
      <c r="Z1480" t="s">
        <v>46</v>
      </c>
      <c r="AA1480" t="s">
        <v>5599</v>
      </c>
      <c r="AB1480" t="s">
        <v>3109</v>
      </c>
      <c r="AC1480">
        <f>COUNTIF(C:C,QLKV_gui_ket_qua_ra_soat[[#This Row],[Mã điểm bán]])</f>
        <v>1</v>
      </c>
    </row>
    <row r="1481" spans="1:29" x14ac:dyDescent="0.45">
      <c r="A1481" t="s">
        <v>5578</v>
      </c>
      <c r="B1481">
        <v>834</v>
      </c>
      <c r="C1481" t="s">
        <v>5778</v>
      </c>
      <c r="D1481" t="s">
        <v>5779</v>
      </c>
      <c r="E1481" t="s">
        <v>219</v>
      </c>
      <c r="F1481" t="s">
        <v>2196</v>
      </c>
      <c r="G1481" t="s">
        <v>177</v>
      </c>
      <c r="H1481" t="s">
        <v>1188</v>
      </c>
      <c r="I1481" t="s">
        <v>5780</v>
      </c>
      <c r="J1481" t="s">
        <v>38</v>
      </c>
      <c r="K1481" t="s">
        <v>38</v>
      </c>
      <c r="L1481" t="s">
        <v>39</v>
      </c>
      <c r="M1481" t="s">
        <v>38</v>
      </c>
      <c r="N1481" t="s">
        <v>38</v>
      </c>
      <c r="O1481" t="s">
        <v>39</v>
      </c>
      <c r="P1481" t="s">
        <v>38</v>
      </c>
      <c r="Q1481" t="s">
        <v>38</v>
      </c>
      <c r="R1481" t="s">
        <v>39</v>
      </c>
      <c r="S1481" t="s">
        <v>41</v>
      </c>
      <c r="T1481" t="s">
        <v>5596</v>
      </c>
      <c r="U1481" t="s">
        <v>5597</v>
      </c>
      <c r="V1481" t="s">
        <v>5586</v>
      </c>
      <c r="W1481" t="s">
        <v>5598</v>
      </c>
      <c r="X1481" t="s">
        <v>46</v>
      </c>
      <c r="AB1481" t="s">
        <v>4223</v>
      </c>
      <c r="AC1481">
        <f>COUNTIF(C:C,QLKV_gui_ket_qua_ra_soat[[#This Row],[Mã điểm bán]])</f>
        <v>1</v>
      </c>
    </row>
    <row r="1482" spans="1:29" x14ac:dyDescent="0.45">
      <c r="A1482" t="s">
        <v>5578</v>
      </c>
      <c r="B1482">
        <v>835</v>
      </c>
      <c r="C1482" t="s">
        <v>5781</v>
      </c>
      <c r="D1482" t="s">
        <v>5782</v>
      </c>
      <c r="E1482" t="s">
        <v>157</v>
      </c>
      <c r="F1482" t="s">
        <v>426</v>
      </c>
      <c r="G1482" t="s">
        <v>177</v>
      </c>
      <c r="H1482" t="s">
        <v>214</v>
      </c>
      <c r="I1482" t="s">
        <v>5783</v>
      </c>
      <c r="J1482" t="s">
        <v>38</v>
      </c>
      <c r="K1482" t="s">
        <v>38</v>
      </c>
      <c r="L1482" t="s">
        <v>39</v>
      </c>
      <c r="M1482" t="s">
        <v>38</v>
      </c>
      <c r="N1482" t="s">
        <v>38</v>
      </c>
      <c r="O1482" t="s">
        <v>39</v>
      </c>
      <c r="P1482" t="s">
        <v>38</v>
      </c>
      <c r="Q1482" t="s">
        <v>38</v>
      </c>
      <c r="R1482" t="s">
        <v>39</v>
      </c>
      <c r="S1482" t="s">
        <v>41</v>
      </c>
      <c r="T1482" t="s">
        <v>5596</v>
      </c>
      <c r="U1482" t="s">
        <v>5597</v>
      </c>
      <c r="V1482" t="s">
        <v>5586</v>
      </c>
      <c r="W1482" t="s">
        <v>5598</v>
      </c>
      <c r="X1482" t="s">
        <v>46</v>
      </c>
      <c r="AB1482" t="s">
        <v>3109</v>
      </c>
      <c r="AC1482">
        <f>COUNTIF(C:C,QLKV_gui_ket_qua_ra_soat[[#This Row],[Mã điểm bán]])</f>
        <v>1</v>
      </c>
    </row>
    <row r="1483" spans="1:29" x14ac:dyDescent="0.45">
      <c r="A1483" t="s">
        <v>5578</v>
      </c>
      <c r="B1483">
        <v>838</v>
      </c>
      <c r="C1483" t="s">
        <v>5784</v>
      </c>
      <c r="D1483" t="s">
        <v>5785</v>
      </c>
      <c r="E1483" t="s">
        <v>455</v>
      </c>
      <c r="F1483" t="s">
        <v>559</v>
      </c>
      <c r="G1483" t="s">
        <v>177</v>
      </c>
      <c r="H1483" t="s">
        <v>35</v>
      </c>
      <c r="I1483" t="s">
        <v>5786</v>
      </c>
      <c r="J1483" t="s">
        <v>38</v>
      </c>
      <c r="K1483" t="s">
        <v>38</v>
      </c>
      <c r="L1483" t="s">
        <v>39</v>
      </c>
      <c r="M1483" t="s">
        <v>38</v>
      </c>
      <c r="N1483" t="s">
        <v>38</v>
      </c>
      <c r="O1483" t="s">
        <v>39</v>
      </c>
      <c r="P1483" t="s">
        <v>38</v>
      </c>
      <c r="Q1483" t="s">
        <v>38</v>
      </c>
      <c r="R1483" t="s">
        <v>39</v>
      </c>
      <c r="S1483" t="s">
        <v>41</v>
      </c>
      <c r="T1483" t="s">
        <v>5596</v>
      </c>
      <c r="U1483" t="s">
        <v>5597</v>
      </c>
      <c r="V1483" t="s">
        <v>5586</v>
      </c>
      <c r="W1483" t="s">
        <v>5598</v>
      </c>
      <c r="AC1483">
        <f>COUNTIF(C:C,QLKV_gui_ket_qua_ra_soat[[#This Row],[Mã điểm bán]])</f>
        <v>1</v>
      </c>
    </row>
    <row r="1484" spans="1:29" x14ac:dyDescent="0.45">
      <c r="A1484" t="s">
        <v>5578</v>
      </c>
      <c r="B1484">
        <v>856</v>
      </c>
      <c r="C1484" t="s">
        <v>5787</v>
      </c>
      <c r="D1484" t="s">
        <v>5788</v>
      </c>
      <c r="E1484" t="s">
        <v>5789</v>
      </c>
      <c r="F1484" t="s">
        <v>53</v>
      </c>
      <c r="G1484" t="s">
        <v>177</v>
      </c>
      <c r="H1484" t="s">
        <v>1542</v>
      </c>
      <c r="I1484" t="s">
        <v>5790</v>
      </c>
      <c r="J1484" t="s">
        <v>37</v>
      </c>
      <c r="K1484" t="s">
        <v>37</v>
      </c>
      <c r="L1484" t="s">
        <v>39</v>
      </c>
      <c r="M1484" t="s">
        <v>37</v>
      </c>
      <c r="N1484" t="s">
        <v>37</v>
      </c>
      <c r="O1484" t="s">
        <v>39</v>
      </c>
      <c r="P1484" t="s">
        <v>38</v>
      </c>
      <c r="Q1484" t="s">
        <v>37</v>
      </c>
      <c r="R1484" t="s">
        <v>39</v>
      </c>
      <c r="S1484" t="s">
        <v>4959</v>
      </c>
      <c r="T1484" t="s">
        <v>5619</v>
      </c>
      <c r="U1484" t="s">
        <v>5620</v>
      </c>
      <c r="V1484" t="s">
        <v>5586</v>
      </c>
      <c r="W1484" t="s">
        <v>5621</v>
      </c>
      <c r="AC1484">
        <f>COUNTIF(C:C,QLKV_gui_ket_qua_ra_soat[[#This Row],[Mã điểm bán]])</f>
        <v>1</v>
      </c>
    </row>
    <row r="1485" spans="1:29" x14ac:dyDescent="0.45">
      <c r="A1485" t="s">
        <v>5578</v>
      </c>
      <c r="B1485">
        <v>858</v>
      </c>
      <c r="C1485" t="s">
        <v>5791</v>
      </c>
      <c r="D1485" t="s">
        <v>5792</v>
      </c>
      <c r="E1485" t="s">
        <v>857</v>
      </c>
      <c r="F1485" t="s">
        <v>53</v>
      </c>
      <c r="G1485" t="s">
        <v>34</v>
      </c>
      <c r="H1485" t="s">
        <v>54</v>
      </c>
      <c r="I1485" t="s">
        <v>5793</v>
      </c>
      <c r="J1485" t="s">
        <v>38</v>
      </c>
      <c r="K1485" t="s">
        <v>38</v>
      </c>
      <c r="L1485" t="s">
        <v>39</v>
      </c>
      <c r="M1485" t="s">
        <v>38</v>
      </c>
      <c r="N1485" t="s">
        <v>38</v>
      </c>
      <c r="O1485" t="s">
        <v>39</v>
      </c>
      <c r="P1485" t="s">
        <v>38</v>
      </c>
      <c r="Q1485" t="s">
        <v>38</v>
      </c>
      <c r="R1485" t="s">
        <v>39</v>
      </c>
      <c r="S1485" t="s">
        <v>41</v>
      </c>
      <c r="T1485" t="s">
        <v>5596</v>
      </c>
      <c r="U1485" t="s">
        <v>5597</v>
      </c>
      <c r="V1485" t="s">
        <v>5586</v>
      </c>
      <c r="W1485" t="s">
        <v>5598</v>
      </c>
      <c r="AC1485">
        <f>COUNTIF(C:C,QLKV_gui_ket_qua_ra_soat[[#This Row],[Mã điểm bán]])</f>
        <v>1</v>
      </c>
    </row>
    <row r="1486" spans="1:29" x14ac:dyDescent="0.45">
      <c r="A1486" t="s">
        <v>5578</v>
      </c>
      <c r="B1486">
        <v>874</v>
      </c>
      <c r="C1486" t="s">
        <v>5794</v>
      </c>
      <c r="D1486" t="s">
        <v>5795</v>
      </c>
      <c r="E1486" t="s">
        <v>290</v>
      </c>
      <c r="F1486" t="s">
        <v>581</v>
      </c>
      <c r="G1486" t="s">
        <v>34</v>
      </c>
      <c r="H1486" t="s">
        <v>332</v>
      </c>
      <c r="I1486" t="s">
        <v>5796</v>
      </c>
      <c r="J1486" t="s">
        <v>38</v>
      </c>
      <c r="K1486" t="s">
        <v>38</v>
      </c>
      <c r="L1486" t="s">
        <v>40</v>
      </c>
      <c r="M1486" t="s">
        <v>37</v>
      </c>
      <c r="N1486" t="s">
        <v>37</v>
      </c>
      <c r="O1486" t="s">
        <v>39</v>
      </c>
      <c r="P1486" t="s">
        <v>38</v>
      </c>
      <c r="Q1486" t="s">
        <v>37</v>
      </c>
      <c r="R1486" t="s">
        <v>39</v>
      </c>
      <c r="S1486" t="s">
        <v>5797</v>
      </c>
      <c r="T1486" t="s">
        <v>5711</v>
      </c>
      <c r="U1486" t="s">
        <v>5712</v>
      </c>
      <c r="V1486" t="s">
        <v>5586</v>
      </c>
      <c r="W1486" t="s">
        <v>5649</v>
      </c>
      <c r="AC1486">
        <f>COUNTIF(C:C,QLKV_gui_ket_qua_ra_soat[[#This Row],[Mã điểm bán]])</f>
        <v>1</v>
      </c>
    </row>
    <row r="1487" spans="1:29" x14ac:dyDescent="0.45">
      <c r="A1487" t="s">
        <v>5578</v>
      </c>
      <c r="B1487">
        <v>884</v>
      </c>
      <c r="C1487" t="s">
        <v>5798</v>
      </c>
      <c r="D1487" t="s">
        <v>5799</v>
      </c>
      <c r="E1487" t="s">
        <v>138</v>
      </c>
      <c r="F1487" t="s">
        <v>166</v>
      </c>
      <c r="G1487" t="s">
        <v>34</v>
      </c>
      <c r="H1487" t="s">
        <v>332</v>
      </c>
      <c r="I1487" t="s">
        <v>5800</v>
      </c>
      <c r="J1487" t="s">
        <v>38</v>
      </c>
      <c r="K1487" t="s">
        <v>38</v>
      </c>
      <c r="L1487" t="s">
        <v>40</v>
      </c>
      <c r="M1487" t="s">
        <v>37</v>
      </c>
      <c r="N1487" t="s">
        <v>37</v>
      </c>
      <c r="O1487" t="s">
        <v>39</v>
      </c>
      <c r="P1487" t="s">
        <v>38</v>
      </c>
      <c r="Q1487" t="s">
        <v>37</v>
      </c>
      <c r="R1487" t="s">
        <v>39</v>
      </c>
      <c r="S1487" t="s">
        <v>41</v>
      </c>
      <c r="T1487" t="s">
        <v>5711</v>
      </c>
      <c r="U1487" t="s">
        <v>5712</v>
      </c>
      <c r="V1487" t="s">
        <v>5586</v>
      </c>
      <c r="W1487" t="s">
        <v>5649</v>
      </c>
      <c r="AC1487">
        <f>COUNTIF(C:C,QLKV_gui_ket_qua_ra_soat[[#This Row],[Mã điểm bán]])</f>
        <v>1</v>
      </c>
    </row>
    <row r="1488" spans="1:29" x14ac:dyDescent="0.45">
      <c r="A1488" t="s">
        <v>5578</v>
      </c>
      <c r="B1488">
        <v>886</v>
      </c>
      <c r="C1488" t="s">
        <v>5801</v>
      </c>
      <c r="D1488" t="s">
        <v>5802</v>
      </c>
      <c r="E1488" t="s">
        <v>143</v>
      </c>
      <c r="F1488" t="s">
        <v>339</v>
      </c>
      <c r="G1488" t="s">
        <v>34</v>
      </c>
      <c r="H1488" t="s">
        <v>332</v>
      </c>
      <c r="I1488" t="s">
        <v>5803</v>
      </c>
      <c r="J1488" t="s">
        <v>38</v>
      </c>
      <c r="K1488" t="s">
        <v>38</v>
      </c>
      <c r="L1488" t="s">
        <v>40</v>
      </c>
      <c r="M1488" t="s">
        <v>37</v>
      </c>
      <c r="N1488" t="s">
        <v>37</v>
      </c>
      <c r="O1488" t="s">
        <v>39</v>
      </c>
      <c r="P1488" t="s">
        <v>38</v>
      </c>
      <c r="Q1488" t="s">
        <v>37</v>
      </c>
      <c r="R1488" t="s">
        <v>39</v>
      </c>
      <c r="S1488" t="s">
        <v>41</v>
      </c>
      <c r="T1488" t="s">
        <v>5711</v>
      </c>
      <c r="U1488" t="s">
        <v>5712</v>
      </c>
      <c r="V1488" t="s">
        <v>5586</v>
      </c>
      <c r="W1488" t="s">
        <v>5649</v>
      </c>
      <c r="Z1488" t="s">
        <v>46</v>
      </c>
      <c r="AA1488" t="s">
        <v>5678</v>
      </c>
      <c r="AB1488" t="s">
        <v>4223</v>
      </c>
      <c r="AC1488">
        <f>COUNTIF(C:C,QLKV_gui_ket_qua_ra_soat[[#This Row],[Mã điểm bán]])</f>
        <v>1</v>
      </c>
    </row>
    <row r="1489" spans="1:29" x14ac:dyDescent="0.45">
      <c r="A1489" t="s">
        <v>5578</v>
      </c>
      <c r="B1489">
        <v>887</v>
      </c>
      <c r="C1489" t="s">
        <v>5804</v>
      </c>
      <c r="D1489" t="s">
        <v>5805</v>
      </c>
      <c r="E1489" t="s">
        <v>5806</v>
      </c>
      <c r="F1489" t="s">
        <v>426</v>
      </c>
      <c r="G1489" t="s">
        <v>177</v>
      </c>
      <c r="H1489" t="s">
        <v>171</v>
      </c>
      <c r="I1489" t="s">
        <v>5807</v>
      </c>
      <c r="J1489" t="s">
        <v>37</v>
      </c>
      <c r="K1489" t="s">
        <v>37</v>
      </c>
      <c r="L1489" t="s">
        <v>39</v>
      </c>
      <c r="M1489" t="s">
        <v>37</v>
      </c>
      <c r="N1489" t="s">
        <v>37</v>
      </c>
      <c r="O1489" t="s">
        <v>39</v>
      </c>
      <c r="P1489" t="s">
        <v>37</v>
      </c>
      <c r="Q1489" t="s">
        <v>37</v>
      </c>
      <c r="R1489" t="s">
        <v>39</v>
      </c>
      <c r="S1489" t="s">
        <v>4751</v>
      </c>
      <c r="T1489" t="s">
        <v>5619</v>
      </c>
      <c r="U1489" t="s">
        <v>5620</v>
      </c>
      <c r="V1489" t="s">
        <v>5586</v>
      </c>
      <c r="W1489" t="s">
        <v>5621</v>
      </c>
      <c r="AC1489">
        <f>COUNTIF(C:C,QLKV_gui_ket_qua_ra_soat[[#This Row],[Mã điểm bán]])</f>
        <v>1</v>
      </c>
    </row>
    <row r="1490" spans="1:29" x14ac:dyDescent="0.45">
      <c r="A1490" t="s">
        <v>5578</v>
      </c>
      <c r="B1490">
        <v>891</v>
      </c>
      <c r="C1490" t="s">
        <v>5808</v>
      </c>
      <c r="D1490" t="s">
        <v>5809</v>
      </c>
      <c r="E1490" t="s">
        <v>32</v>
      </c>
      <c r="F1490" t="s">
        <v>417</v>
      </c>
      <c r="G1490" t="s">
        <v>34</v>
      </c>
      <c r="H1490" t="s">
        <v>2170</v>
      </c>
      <c r="I1490" t="s">
        <v>5810</v>
      </c>
      <c r="J1490" t="s">
        <v>38</v>
      </c>
      <c r="K1490" t="s">
        <v>38</v>
      </c>
      <c r="L1490" t="s">
        <v>40</v>
      </c>
      <c r="M1490" t="s">
        <v>37</v>
      </c>
      <c r="N1490" t="s">
        <v>37</v>
      </c>
      <c r="O1490" t="s">
        <v>39</v>
      </c>
      <c r="P1490" t="s">
        <v>38</v>
      </c>
      <c r="Q1490" t="s">
        <v>37</v>
      </c>
      <c r="R1490" t="s">
        <v>39</v>
      </c>
      <c r="S1490" t="s">
        <v>41</v>
      </c>
      <c r="T1490" t="s">
        <v>5711</v>
      </c>
      <c r="U1490" t="s">
        <v>5712</v>
      </c>
      <c r="V1490" t="s">
        <v>5586</v>
      </c>
      <c r="W1490" t="s">
        <v>5649</v>
      </c>
      <c r="AC1490">
        <f>COUNTIF(C:C,QLKV_gui_ket_qua_ra_soat[[#This Row],[Mã điểm bán]])</f>
        <v>1</v>
      </c>
    </row>
    <row r="1491" spans="1:29" x14ac:dyDescent="0.45">
      <c r="A1491" t="s">
        <v>5578</v>
      </c>
      <c r="B1491">
        <v>894</v>
      </c>
      <c r="C1491" t="s">
        <v>5811</v>
      </c>
      <c r="D1491" t="s">
        <v>5812</v>
      </c>
      <c r="E1491" t="s">
        <v>5813</v>
      </c>
      <c r="F1491" t="s">
        <v>53</v>
      </c>
      <c r="G1491" t="s">
        <v>177</v>
      </c>
      <c r="H1491" t="s">
        <v>3620</v>
      </c>
      <c r="I1491" t="s">
        <v>5814</v>
      </c>
      <c r="J1491" t="s">
        <v>37</v>
      </c>
      <c r="K1491" t="s">
        <v>37</v>
      </c>
      <c r="L1491" t="s">
        <v>39</v>
      </c>
      <c r="M1491" t="s">
        <v>37</v>
      </c>
      <c r="N1491" t="s">
        <v>37</v>
      </c>
      <c r="O1491" t="s">
        <v>39</v>
      </c>
      <c r="P1491" t="s">
        <v>37</v>
      </c>
      <c r="Q1491" t="s">
        <v>37</v>
      </c>
      <c r="R1491" t="s">
        <v>39</v>
      </c>
      <c r="S1491" t="s">
        <v>5815</v>
      </c>
      <c r="T1491" t="s">
        <v>5619</v>
      </c>
      <c r="U1491" t="s">
        <v>5620</v>
      </c>
      <c r="V1491" t="s">
        <v>5586</v>
      </c>
      <c r="W1491" t="s">
        <v>5621</v>
      </c>
      <c r="AC1491">
        <f>COUNTIF(C:C,QLKV_gui_ket_qua_ra_soat[[#This Row],[Mã điểm bán]])</f>
        <v>1</v>
      </c>
    </row>
    <row r="1492" spans="1:29" x14ac:dyDescent="0.45">
      <c r="A1492" t="s">
        <v>5578</v>
      </c>
      <c r="B1492">
        <v>904</v>
      </c>
      <c r="C1492" t="s">
        <v>5816</v>
      </c>
      <c r="D1492" t="s">
        <v>5817</v>
      </c>
      <c r="E1492" t="s">
        <v>5818</v>
      </c>
      <c r="F1492" t="s">
        <v>70</v>
      </c>
      <c r="G1492" t="s">
        <v>177</v>
      </c>
      <c r="H1492" t="s">
        <v>546</v>
      </c>
      <c r="I1492" t="s">
        <v>5819</v>
      </c>
      <c r="J1492" t="s">
        <v>37</v>
      </c>
      <c r="K1492" t="s">
        <v>38</v>
      </c>
      <c r="L1492" t="s">
        <v>39</v>
      </c>
      <c r="M1492" t="s">
        <v>37</v>
      </c>
      <c r="N1492" t="s">
        <v>37</v>
      </c>
      <c r="O1492" t="s">
        <v>39</v>
      </c>
      <c r="P1492" t="s">
        <v>37</v>
      </c>
      <c r="Q1492" t="s">
        <v>37</v>
      </c>
      <c r="R1492" t="s">
        <v>39</v>
      </c>
      <c r="S1492" t="s">
        <v>4959</v>
      </c>
      <c r="T1492" t="s">
        <v>5619</v>
      </c>
      <c r="U1492" t="s">
        <v>5620</v>
      </c>
      <c r="V1492" t="s">
        <v>5586</v>
      </c>
      <c r="W1492" t="s">
        <v>5621</v>
      </c>
      <c r="AC1492">
        <f>COUNTIF(C:C,QLKV_gui_ket_qua_ra_soat[[#This Row],[Mã điểm bán]])</f>
        <v>1</v>
      </c>
    </row>
    <row r="1493" spans="1:29" x14ac:dyDescent="0.45">
      <c r="A1493" t="s">
        <v>5578</v>
      </c>
      <c r="B1493">
        <v>913</v>
      </c>
      <c r="C1493" t="s">
        <v>5820</v>
      </c>
      <c r="D1493" t="s">
        <v>5785</v>
      </c>
      <c r="E1493" t="s">
        <v>5821</v>
      </c>
      <c r="F1493" t="s">
        <v>2365</v>
      </c>
      <c r="G1493" t="s">
        <v>34</v>
      </c>
      <c r="H1493" t="s">
        <v>1715</v>
      </c>
      <c r="I1493" t="s">
        <v>5822</v>
      </c>
      <c r="J1493" t="s">
        <v>38</v>
      </c>
      <c r="K1493" t="s">
        <v>38</v>
      </c>
      <c r="L1493" t="s">
        <v>39</v>
      </c>
      <c r="M1493" t="s">
        <v>37</v>
      </c>
      <c r="N1493" t="s">
        <v>37</v>
      </c>
      <c r="O1493" t="s">
        <v>39</v>
      </c>
      <c r="P1493" t="s">
        <v>38</v>
      </c>
      <c r="Q1493" t="s">
        <v>38</v>
      </c>
      <c r="R1493" t="s">
        <v>39</v>
      </c>
      <c r="S1493" t="s">
        <v>41</v>
      </c>
      <c r="T1493" t="s">
        <v>5647</v>
      </c>
      <c r="U1493" t="s">
        <v>5648</v>
      </c>
      <c r="V1493" t="s">
        <v>5586</v>
      </c>
      <c r="W1493" t="s">
        <v>5649</v>
      </c>
      <c r="Z1493" t="s">
        <v>46</v>
      </c>
      <c r="AA1493" t="s">
        <v>5678</v>
      </c>
      <c r="AB1493" t="s">
        <v>4223</v>
      </c>
      <c r="AC1493">
        <f>COUNTIF(C:C,QLKV_gui_ket_qua_ra_soat[[#This Row],[Mã điểm bán]])</f>
        <v>1</v>
      </c>
    </row>
    <row r="1494" spans="1:29" x14ac:dyDescent="0.45">
      <c r="A1494" t="s">
        <v>5578</v>
      </c>
      <c r="B1494">
        <v>937</v>
      </c>
      <c r="C1494" t="s">
        <v>5823</v>
      </c>
      <c r="D1494" t="s">
        <v>5824</v>
      </c>
      <c r="E1494" t="s">
        <v>109</v>
      </c>
      <c r="F1494" t="s">
        <v>280</v>
      </c>
      <c r="G1494" t="s">
        <v>177</v>
      </c>
      <c r="H1494" t="s">
        <v>54</v>
      </c>
      <c r="I1494" t="s">
        <v>5825</v>
      </c>
      <c r="J1494" t="s">
        <v>38</v>
      </c>
      <c r="K1494" t="s">
        <v>38</v>
      </c>
      <c r="L1494" t="s">
        <v>39</v>
      </c>
      <c r="M1494" t="s">
        <v>38</v>
      </c>
      <c r="N1494" t="s">
        <v>38</v>
      </c>
      <c r="O1494" t="s">
        <v>39</v>
      </c>
      <c r="P1494" t="s">
        <v>38</v>
      </c>
      <c r="Q1494" t="s">
        <v>38</v>
      </c>
      <c r="R1494" t="s">
        <v>39</v>
      </c>
      <c r="S1494" t="s">
        <v>41</v>
      </c>
      <c r="T1494" t="s">
        <v>5596</v>
      </c>
      <c r="U1494" t="s">
        <v>5597</v>
      </c>
      <c r="V1494" t="s">
        <v>5586</v>
      </c>
      <c r="W1494" t="s">
        <v>5598</v>
      </c>
      <c r="AC1494">
        <f>COUNTIF(C:C,QLKV_gui_ket_qua_ra_soat[[#This Row],[Mã điểm bán]])</f>
        <v>1</v>
      </c>
    </row>
    <row r="1495" spans="1:29" x14ac:dyDescent="0.45">
      <c r="A1495" t="s">
        <v>5578</v>
      </c>
      <c r="B1495">
        <v>939</v>
      </c>
      <c r="C1495" t="s">
        <v>5826</v>
      </c>
      <c r="D1495" t="s">
        <v>5827</v>
      </c>
      <c r="E1495" t="s">
        <v>5828</v>
      </c>
      <c r="F1495" t="s">
        <v>5829</v>
      </c>
      <c r="G1495" t="s">
        <v>177</v>
      </c>
      <c r="H1495" t="s">
        <v>546</v>
      </c>
      <c r="I1495" t="s">
        <v>5830</v>
      </c>
      <c r="J1495" t="s">
        <v>37</v>
      </c>
      <c r="K1495" t="s">
        <v>37</v>
      </c>
      <c r="L1495" t="s">
        <v>39</v>
      </c>
      <c r="M1495" t="s">
        <v>37</v>
      </c>
      <c r="N1495" t="s">
        <v>37</v>
      </c>
      <c r="O1495" t="s">
        <v>39</v>
      </c>
      <c r="P1495" t="s">
        <v>37</v>
      </c>
      <c r="Q1495" t="s">
        <v>37</v>
      </c>
      <c r="R1495" t="s">
        <v>39</v>
      </c>
      <c r="S1495" t="s">
        <v>5831</v>
      </c>
      <c r="T1495" t="s">
        <v>5619</v>
      </c>
      <c r="U1495" t="s">
        <v>5620</v>
      </c>
      <c r="V1495" t="s">
        <v>5586</v>
      </c>
      <c r="W1495" t="s">
        <v>5621</v>
      </c>
      <c r="Z1495" t="s">
        <v>46</v>
      </c>
      <c r="AA1495" t="s">
        <v>5599</v>
      </c>
      <c r="AB1495" t="s">
        <v>3109</v>
      </c>
      <c r="AC1495">
        <f>COUNTIF(C:C,QLKV_gui_ket_qua_ra_soat[[#This Row],[Mã điểm bán]])</f>
        <v>1</v>
      </c>
    </row>
    <row r="1496" spans="1:29" x14ac:dyDescent="0.45">
      <c r="A1496" t="s">
        <v>5578</v>
      </c>
      <c r="B1496">
        <v>941</v>
      </c>
      <c r="C1496" t="s">
        <v>5832</v>
      </c>
      <c r="D1496" t="s">
        <v>5833</v>
      </c>
      <c r="E1496" t="s">
        <v>304</v>
      </c>
      <c r="F1496" t="s">
        <v>53</v>
      </c>
      <c r="G1496" t="s">
        <v>177</v>
      </c>
      <c r="H1496" t="s">
        <v>54</v>
      </c>
      <c r="I1496" t="s">
        <v>5834</v>
      </c>
      <c r="J1496" t="s">
        <v>38</v>
      </c>
      <c r="K1496" t="s">
        <v>38</v>
      </c>
      <c r="L1496" t="s">
        <v>39</v>
      </c>
      <c r="M1496" t="s">
        <v>38</v>
      </c>
      <c r="N1496" t="s">
        <v>38</v>
      </c>
      <c r="O1496" t="s">
        <v>39</v>
      </c>
      <c r="P1496" t="s">
        <v>38</v>
      </c>
      <c r="Q1496" t="s">
        <v>38</v>
      </c>
      <c r="R1496" t="s">
        <v>40</v>
      </c>
      <c r="S1496" t="s">
        <v>41</v>
      </c>
      <c r="T1496" t="s">
        <v>5596</v>
      </c>
      <c r="U1496" t="s">
        <v>5597</v>
      </c>
      <c r="V1496" t="s">
        <v>5586</v>
      </c>
      <c r="W1496" t="s">
        <v>5598</v>
      </c>
      <c r="Z1496" t="s">
        <v>46</v>
      </c>
      <c r="AA1496" t="s">
        <v>5599</v>
      </c>
      <c r="AB1496" t="s">
        <v>3109</v>
      </c>
      <c r="AC1496">
        <f>COUNTIF(C:C,QLKV_gui_ket_qua_ra_soat[[#This Row],[Mã điểm bán]])</f>
        <v>1</v>
      </c>
    </row>
    <row r="1497" spans="1:29" x14ac:dyDescent="0.45">
      <c r="A1497" t="s">
        <v>5578</v>
      </c>
      <c r="B1497">
        <v>946</v>
      </c>
      <c r="C1497" t="s">
        <v>5835</v>
      </c>
      <c r="D1497" t="s">
        <v>5836</v>
      </c>
      <c r="E1497" t="s">
        <v>108</v>
      </c>
      <c r="F1497" t="s">
        <v>426</v>
      </c>
      <c r="G1497" t="s">
        <v>177</v>
      </c>
      <c r="H1497" t="s">
        <v>54</v>
      </c>
      <c r="I1497" t="s">
        <v>5838</v>
      </c>
      <c r="J1497" t="s">
        <v>38</v>
      </c>
      <c r="K1497" t="s">
        <v>38</v>
      </c>
      <c r="L1497" t="s">
        <v>39</v>
      </c>
      <c r="M1497" t="s">
        <v>38</v>
      </c>
      <c r="N1497" t="s">
        <v>38</v>
      </c>
      <c r="O1497" t="s">
        <v>39</v>
      </c>
      <c r="P1497" t="s">
        <v>38</v>
      </c>
      <c r="Q1497" t="s">
        <v>38</v>
      </c>
      <c r="R1497" t="s">
        <v>39</v>
      </c>
      <c r="S1497" t="s">
        <v>41</v>
      </c>
      <c r="T1497" t="s">
        <v>5596</v>
      </c>
      <c r="U1497" t="s">
        <v>5597</v>
      </c>
      <c r="V1497" t="s">
        <v>5586</v>
      </c>
      <c r="W1497" t="s">
        <v>5598</v>
      </c>
      <c r="Z1497" t="s">
        <v>46</v>
      </c>
      <c r="AA1497" t="s">
        <v>5599</v>
      </c>
      <c r="AB1497" t="s">
        <v>3109</v>
      </c>
      <c r="AC1497">
        <f>COUNTIF(C:C,QLKV_gui_ket_qua_ra_soat[[#This Row],[Mã điểm bán]])</f>
        <v>1</v>
      </c>
    </row>
    <row r="1498" spans="1:29" x14ac:dyDescent="0.45">
      <c r="A1498" t="s">
        <v>5578</v>
      </c>
      <c r="B1498">
        <v>948</v>
      </c>
      <c r="C1498" t="s">
        <v>5839</v>
      </c>
      <c r="D1498" t="s">
        <v>5840</v>
      </c>
      <c r="E1498" t="s">
        <v>772</v>
      </c>
      <c r="F1498" t="s">
        <v>53</v>
      </c>
      <c r="G1498" t="s">
        <v>177</v>
      </c>
      <c r="H1498" t="s">
        <v>3620</v>
      </c>
      <c r="I1498" t="s">
        <v>5758</v>
      </c>
      <c r="J1498" t="s">
        <v>38</v>
      </c>
      <c r="K1498" t="s">
        <v>37</v>
      </c>
      <c r="L1498" t="s">
        <v>39</v>
      </c>
      <c r="M1498" t="s">
        <v>37</v>
      </c>
      <c r="N1498" t="s">
        <v>37</v>
      </c>
      <c r="O1498" t="s">
        <v>39</v>
      </c>
      <c r="P1498" t="s">
        <v>38</v>
      </c>
      <c r="Q1498" t="s">
        <v>37</v>
      </c>
      <c r="R1498" t="s">
        <v>39</v>
      </c>
      <c r="S1498" t="s">
        <v>5841</v>
      </c>
      <c r="T1498" t="s">
        <v>5619</v>
      </c>
      <c r="U1498" t="s">
        <v>5620</v>
      </c>
      <c r="V1498" t="s">
        <v>5586</v>
      </c>
      <c r="W1498" t="s">
        <v>5621</v>
      </c>
      <c r="AC1498">
        <f>COUNTIF(C:C,QLKV_gui_ket_qua_ra_soat[[#This Row],[Mã điểm bán]])</f>
        <v>1</v>
      </c>
    </row>
    <row r="1499" spans="1:29" x14ac:dyDescent="0.45">
      <c r="A1499" t="s">
        <v>5578</v>
      </c>
      <c r="B1499">
        <v>898</v>
      </c>
      <c r="C1499" t="s">
        <v>5842</v>
      </c>
      <c r="D1499" t="s">
        <v>5843</v>
      </c>
      <c r="E1499" t="s">
        <v>2812</v>
      </c>
      <c r="F1499" t="s">
        <v>53</v>
      </c>
      <c r="G1499" t="s">
        <v>1624</v>
      </c>
      <c r="H1499" t="s">
        <v>54</v>
      </c>
      <c r="J1499" t="s">
        <v>38</v>
      </c>
      <c r="K1499" t="s">
        <v>38</v>
      </c>
      <c r="L1499" t="s">
        <v>39</v>
      </c>
      <c r="M1499" t="s">
        <v>56</v>
      </c>
      <c r="N1499" t="s">
        <v>37</v>
      </c>
      <c r="O1499" t="s">
        <v>39</v>
      </c>
      <c r="P1499" t="s">
        <v>38</v>
      </c>
      <c r="Q1499" t="s">
        <v>38</v>
      </c>
      <c r="R1499" t="s">
        <v>39</v>
      </c>
      <c r="S1499" t="s">
        <v>41</v>
      </c>
      <c r="T1499" t="s">
        <v>5647</v>
      </c>
      <c r="U1499" t="s">
        <v>5648</v>
      </c>
      <c r="V1499" t="s">
        <v>5586</v>
      </c>
      <c r="W1499" t="s">
        <v>5649</v>
      </c>
      <c r="Z1499" t="s">
        <v>46</v>
      </c>
      <c r="AA1499" t="s">
        <v>5678</v>
      </c>
      <c r="AB1499" t="s">
        <v>3109</v>
      </c>
      <c r="AC1499">
        <f>COUNTIF(C:C,QLKV_gui_ket_qua_ra_soat[[#This Row],[Mã điểm bán]])</f>
        <v>1</v>
      </c>
    </row>
    <row r="1500" spans="1:29" x14ac:dyDescent="0.45">
      <c r="A1500" t="s">
        <v>5578</v>
      </c>
      <c r="B1500">
        <v>990</v>
      </c>
      <c r="C1500" t="s">
        <v>5844</v>
      </c>
      <c r="D1500" t="s">
        <v>5845</v>
      </c>
      <c r="E1500" t="s">
        <v>5789</v>
      </c>
      <c r="F1500" t="s">
        <v>53</v>
      </c>
      <c r="G1500" t="s">
        <v>177</v>
      </c>
      <c r="H1500" t="s">
        <v>54</v>
      </c>
      <c r="I1500" t="s">
        <v>5847</v>
      </c>
      <c r="J1500" t="s">
        <v>37</v>
      </c>
      <c r="K1500" t="s">
        <v>37</v>
      </c>
      <c r="L1500" t="s">
        <v>39</v>
      </c>
      <c r="M1500" t="s">
        <v>37</v>
      </c>
      <c r="N1500" t="s">
        <v>37</v>
      </c>
      <c r="O1500" t="s">
        <v>39</v>
      </c>
      <c r="P1500" t="s">
        <v>37</v>
      </c>
      <c r="Q1500" t="s">
        <v>37</v>
      </c>
      <c r="R1500" t="s">
        <v>39</v>
      </c>
      <c r="S1500" t="s">
        <v>4751</v>
      </c>
      <c r="T1500" t="s">
        <v>5619</v>
      </c>
      <c r="U1500" t="s">
        <v>5620</v>
      </c>
      <c r="V1500" t="s">
        <v>5586</v>
      </c>
      <c r="W1500" t="s">
        <v>5621</v>
      </c>
      <c r="AC1500">
        <f>COUNTIF(C:C,QLKV_gui_ket_qua_ra_soat[[#This Row],[Mã điểm bán]])</f>
        <v>1</v>
      </c>
    </row>
    <row r="1501" spans="1:29" x14ac:dyDescent="0.45">
      <c r="A1501" t="s">
        <v>5578</v>
      </c>
      <c r="B1501">
        <v>992</v>
      </c>
      <c r="C1501" t="s">
        <v>5848</v>
      </c>
      <c r="D1501" t="s">
        <v>5849</v>
      </c>
      <c r="E1501" t="s">
        <v>5850</v>
      </c>
      <c r="F1501" t="s">
        <v>115</v>
      </c>
      <c r="G1501" t="s">
        <v>177</v>
      </c>
      <c r="H1501" t="s">
        <v>565</v>
      </c>
      <c r="I1501" t="s">
        <v>5851</v>
      </c>
      <c r="J1501" t="s">
        <v>37</v>
      </c>
      <c r="K1501" t="s">
        <v>37</v>
      </c>
      <c r="L1501" t="s">
        <v>39</v>
      </c>
      <c r="M1501" t="s">
        <v>37</v>
      </c>
      <c r="N1501" t="s">
        <v>37</v>
      </c>
      <c r="O1501" t="s">
        <v>39</v>
      </c>
      <c r="P1501" t="s">
        <v>37</v>
      </c>
      <c r="Q1501" t="s">
        <v>37</v>
      </c>
      <c r="R1501" t="s">
        <v>39</v>
      </c>
      <c r="S1501" t="s">
        <v>4751</v>
      </c>
      <c r="T1501" t="s">
        <v>5619</v>
      </c>
      <c r="U1501" t="s">
        <v>5620</v>
      </c>
      <c r="V1501" t="s">
        <v>5586</v>
      </c>
      <c r="W1501" t="s">
        <v>5621</v>
      </c>
      <c r="AC1501">
        <f>COUNTIF(C:C,QLKV_gui_ket_qua_ra_soat[[#This Row],[Mã điểm bán]])</f>
        <v>1</v>
      </c>
    </row>
    <row r="1502" spans="1:29" x14ac:dyDescent="0.45">
      <c r="A1502" t="s">
        <v>5578</v>
      </c>
      <c r="B1502">
        <v>1013</v>
      </c>
      <c r="C1502" t="s">
        <v>5852</v>
      </c>
      <c r="D1502" t="s">
        <v>5853</v>
      </c>
      <c r="E1502" t="s">
        <v>190</v>
      </c>
      <c r="F1502" t="s">
        <v>53</v>
      </c>
      <c r="G1502" t="s">
        <v>177</v>
      </c>
      <c r="H1502" t="s">
        <v>54</v>
      </c>
      <c r="I1502" t="s">
        <v>5854</v>
      </c>
      <c r="J1502" t="s">
        <v>37</v>
      </c>
      <c r="K1502" t="s">
        <v>38</v>
      </c>
      <c r="L1502" t="s">
        <v>40</v>
      </c>
      <c r="M1502" t="s">
        <v>56</v>
      </c>
      <c r="N1502" t="s">
        <v>56</v>
      </c>
      <c r="O1502" t="s">
        <v>39</v>
      </c>
      <c r="P1502" t="s">
        <v>38</v>
      </c>
      <c r="Q1502" t="s">
        <v>38</v>
      </c>
      <c r="R1502" t="s">
        <v>40</v>
      </c>
      <c r="S1502" t="s">
        <v>41</v>
      </c>
      <c r="T1502" t="s">
        <v>5766</v>
      </c>
      <c r="U1502" t="s">
        <v>5597</v>
      </c>
      <c r="V1502" t="s">
        <v>5586</v>
      </c>
      <c r="W1502" t="s">
        <v>5598</v>
      </c>
      <c r="AC1502">
        <f>COUNTIF(C:C,QLKV_gui_ket_qua_ra_soat[[#This Row],[Mã điểm bán]])</f>
        <v>1</v>
      </c>
    </row>
    <row r="1503" spans="1:29" x14ac:dyDescent="0.45">
      <c r="A1503" t="s">
        <v>5578</v>
      </c>
      <c r="B1503">
        <v>1034</v>
      </c>
      <c r="C1503" t="s">
        <v>5855</v>
      </c>
      <c r="D1503" t="s">
        <v>5856</v>
      </c>
      <c r="E1503" t="s">
        <v>5602</v>
      </c>
      <c r="F1503" t="s">
        <v>1340</v>
      </c>
      <c r="G1503" t="s">
        <v>177</v>
      </c>
      <c r="H1503" t="s">
        <v>171</v>
      </c>
      <c r="I1503" t="s">
        <v>5857</v>
      </c>
      <c r="J1503" t="s">
        <v>38</v>
      </c>
      <c r="K1503" t="s">
        <v>38</v>
      </c>
      <c r="L1503" t="s">
        <v>40</v>
      </c>
      <c r="M1503" t="s">
        <v>38</v>
      </c>
      <c r="N1503" t="s">
        <v>37</v>
      </c>
      <c r="O1503" t="s">
        <v>40</v>
      </c>
      <c r="P1503" t="s">
        <v>38</v>
      </c>
      <c r="Q1503" t="s">
        <v>38</v>
      </c>
      <c r="R1503" t="s">
        <v>40</v>
      </c>
      <c r="S1503" t="s">
        <v>41</v>
      </c>
      <c r="T1503" t="s">
        <v>5766</v>
      </c>
      <c r="U1503" t="s">
        <v>5597</v>
      </c>
      <c r="V1503" t="s">
        <v>5586</v>
      </c>
      <c r="W1503" t="s">
        <v>5598</v>
      </c>
      <c r="Z1503" t="s">
        <v>46</v>
      </c>
      <c r="AA1503" t="s">
        <v>5599</v>
      </c>
      <c r="AB1503" t="s">
        <v>4223</v>
      </c>
      <c r="AC1503">
        <f>COUNTIF(C:C,QLKV_gui_ket_qua_ra_soat[[#This Row],[Mã điểm bán]])</f>
        <v>1</v>
      </c>
    </row>
    <row r="1504" spans="1:29" x14ac:dyDescent="0.45">
      <c r="A1504" t="s">
        <v>5578</v>
      </c>
      <c r="B1504">
        <v>1053</v>
      </c>
      <c r="C1504" t="s">
        <v>5858</v>
      </c>
      <c r="D1504" t="s">
        <v>5859</v>
      </c>
      <c r="E1504" t="s">
        <v>108</v>
      </c>
      <c r="F1504" t="s">
        <v>53</v>
      </c>
      <c r="G1504" t="s">
        <v>177</v>
      </c>
      <c r="H1504" t="s">
        <v>54</v>
      </c>
      <c r="I1504" t="s">
        <v>5860</v>
      </c>
      <c r="J1504" t="s">
        <v>38</v>
      </c>
      <c r="K1504" t="s">
        <v>38</v>
      </c>
      <c r="L1504" t="s">
        <v>39</v>
      </c>
      <c r="M1504" t="s">
        <v>38</v>
      </c>
      <c r="N1504" t="s">
        <v>38</v>
      </c>
      <c r="O1504" t="s">
        <v>39</v>
      </c>
      <c r="P1504" t="s">
        <v>38</v>
      </c>
      <c r="Q1504" t="s">
        <v>38</v>
      </c>
      <c r="R1504" t="s">
        <v>40</v>
      </c>
      <c r="S1504" t="s">
        <v>41</v>
      </c>
      <c r="T1504" t="s">
        <v>5596</v>
      </c>
      <c r="U1504" t="s">
        <v>5597</v>
      </c>
      <c r="V1504" t="s">
        <v>5586</v>
      </c>
      <c r="W1504" t="s">
        <v>5598</v>
      </c>
      <c r="Z1504" t="s">
        <v>46</v>
      </c>
      <c r="AA1504" t="s">
        <v>5599</v>
      </c>
      <c r="AB1504" t="s">
        <v>4223</v>
      </c>
      <c r="AC1504">
        <f>COUNTIF(C:C,QLKV_gui_ket_qua_ra_soat[[#This Row],[Mã điểm bán]])</f>
        <v>1</v>
      </c>
    </row>
    <row r="1505" spans="1:29" x14ac:dyDescent="0.45">
      <c r="A1505" t="s">
        <v>5578</v>
      </c>
      <c r="B1505">
        <v>1057</v>
      </c>
      <c r="C1505" t="s">
        <v>5861</v>
      </c>
      <c r="D1505" t="s">
        <v>5862</v>
      </c>
      <c r="E1505" t="s">
        <v>64</v>
      </c>
      <c r="F1505" t="s">
        <v>401</v>
      </c>
      <c r="G1505" t="s">
        <v>177</v>
      </c>
      <c r="H1505" t="s">
        <v>54</v>
      </c>
      <c r="I1505" t="s">
        <v>5863</v>
      </c>
      <c r="J1505" t="s">
        <v>38</v>
      </c>
      <c r="K1505" t="s">
        <v>38</v>
      </c>
      <c r="L1505" t="s">
        <v>39</v>
      </c>
      <c r="M1505" t="s">
        <v>38</v>
      </c>
      <c r="N1505" t="s">
        <v>38</v>
      </c>
      <c r="O1505" t="s">
        <v>39</v>
      </c>
      <c r="P1505" t="s">
        <v>38</v>
      </c>
      <c r="Q1505" t="s">
        <v>38</v>
      </c>
      <c r="R1505" t="s">
        <v>39</v>
      </c>
      <c r="S1505" t="s">
        <v>41</v>
      </c>
      <c r="T1505" t="s">
        <v>5596</v>
      </c>
      <c r="U1505" t="s">
        <v>5597</v>
      </c>
      <c r="V1505" t="s">
        <v>5586</v>
      </c>
      <c r="W1505" t="s">
        <v>5598</v>
      </c>
      <c r="AC1505">
        <f>COUNTIF(C:C,QLKV_gui_ket_qua_ra_soat[[#This Row],[Mã điểm bán]])</f>
        <v>1</v>
      </c>
    </row>
    <row r="1506" spans="1:29" x14ac:dyDescent="0.45">
      <c r="A1506" t="s">
        <v>5578</v>
      </c>
      <c r="B1506">
        <v>1058</v>
      </c>
      <c r="C1506" t="s">
        <v>5864</v>
      </c>
      <c r="D1506" t="s">
        <v>5865</v>
      </c>
      <c r="E1506" t="s">
        <v>290</v>
      </c>
      <c r="F1506" t="s">
        <v>426</v>
      </c>
      <c r="G1506" t="s">
        <v>177</v>
      </c>
      <c r="H1506" t="s">
        <v>54</v>
      </c>
      <c r="I1506" t="s">
        <v>5867</v>
      </c>
      <c r="J1506" t="s">
        <v>38</v>
      </c>
      <c r="K1506" t="s">
        <v>38</v>
      </c>
      <c r="L1506" t="s">
        <v>39</v>
      </c>
      <c r="M1506" t="s">
        <v>38</v>
      </c>
      <c r="N1506" t="s">
        <v>38</v>
      </c>
      <c r="O1506" t="s">
        <v>39</v>
      </c>
      <c r="P1506" t="s">
        <v>38</v>
      </c>
      <c r="Q1506" t="s">
        <v>38</v>
      </c>
      <c r="R1506" t="s">
        <v>39</v>
      </c>
      <c r="S1506" t="s">
        <v>41</v>
      </c>
      <c r="T1506" t="s">
        <v>5596</v>
      </c>
      <c r="U1506" t="s">
        <v>5597</v>
      </c>
      <c r="V1506" t="s">
        <v>5586</v>
      </c>
      <c r="W1506" t="s">
        <v>5598</v>
      </c>
      <c r="Z1506" t="s">
        <v>46</v>
      </c>
      <c r="AA1506" t="s">
        <v>5599</v>
      </c>
      <c r="AB1506" t="s">
        <v>4223</v>
      </c>
      <c r="AC1506">
        <f>COUNTIF(C:C,QLKV_gui_ket_qua_ra_soat[[#This Row],[Mã điểm bán]])</f>
        <v>1</v>
      </c>
    </row>
    <row r="1507" spans="1:29" x14ac:dyDescent="0.45">
      <c r="A1507" t="s">
        <v>5578</v>
      </c>
      <c r="B1507">
        <v>1064</v>
      </c>
      <c r="C1507" t="s">
        <v>5868</v>
      </c>
      <c r="D1507" t="s">
        <v>5869</v>
      </c>
      <c r="E1507" t="s">
        <v>304</v>
      </c>
      <c r="F1507" t="s">
        <v>53</v>
      </c>
      <c r="G1507" t="s">
        <v>177</v>
      </c>
      <c r="H1507" t="s">
        <v>54</v>
      </c>
      <c r="I1507" t="s">
        <v>5870</v>
      </c>
      <c r="J1507" t="s">
        <v>38</v>
      </c>
      <c r="K1507" t="s">
        <v>38</v>
      </c>
      <c r="L1507" t="s">
        <v>39</v>
      </c>
      <c r="M1507" t="s">
        <v>38</v>
      </c>
      <c r="N1507" t="s">
        <v>38</v>
      </c>
      <c r="O1507" t="s">
        <v>39</v>
      </c>
      <c r="P1507" t="s">
        <v>38</v>
      </c>
      <c r="Q1507" t="s">
        <v>38</v>
      </c>
      <c r="R1507" t="s">
        <v>39</v>
      </c>
      <c r="S1507" t="s">
        <v>41</v>
      </c>
      <c r="T1507" t="s">
        <v>5596</v>
      </c>
      <c r="U1507" t="s">
        <v>5597</v>
      </c>
      <c r="V1507" t="s">
        <v>5586</v>
      </c>
      <c r="W1507" t="s">
        <v>5598</v>
      </c>
      <c r="Z1507" t="s">
        <v>46</v>
      </c>
      <c r="AA1507" t="s">
        <v>5599</v>
      </c>
      <c r="AB1507" t="s">
        <v>3109</v>
      </c>
      <c r="AC1507">
        <f>COUNTIF(C:C,QLKV_gui_ket_qua_ra_soat[[#This Row],[Mã điểm bán]])</f>
        <v>1</v>
      </c>
    </row>
    <row r="1508" spans="1:29" x14ac:dyDescent="0.45">
      <c r="A1508" t="s">
        <v>5578</v>
      </c>
      <c r="B1508">
        <v>1069</v>
      </c>
      <c r="C1508" t="s">
        <v>5871</v>
      </c>
      <c r="D1508" t="s">
        <v>5872</v>
      </c>
      <c r="E1508" t="s">
        <v>882</v>
      </c>
      <c r="F1508" t="s">
        <v>426</v>
      </c>
      <c r="G1508" t="s">
        <v>177</v>
      </c>
      <c r="H1508" t="s">
        <v>54</v>
      </c>
      <c r="I1508" t="s">
        <v>5873</v>
      </c>
      <c r="J1508" t="s">
        <v>38</v>
      </c>
      <c r="K1508" t="s">
        <v>38</v>
      </c>
      <c r="L1508" t="s">
        <v>39</v>
      </c>
      <c r="M1508" t="s">
        <v>38</v>
      </c>
      <c r="N1508" t="s">
        <v>38</v>
      </c>
      <c r="O1508" t="s">
        <v>39</v>
      </c>
      <c r="P1508" t="s">
        <v>38</v>
      </c>
      <c r="Q1508" t="s">
        <v>38</v>
      </c>
      <c r="R1508" t="s">
        <v>39</v>
      </c>
      <c r="S1508" t="s">
        <v>41</v>
      </c>
      <c r="T1508" t="s">
        <v>5596</v>
      </c>
      <c r="U1508" t="s">
        <v>5597</v>
      </c>
      <c r="V1508" t="s">
        <v>5586</v>
      </c>
      <c r="W1508" t="s">
        <v>5598</v>
      </c>
      <c r="AC1508">
        <f>COUNTIF(C:C,QLKV_gui_ket_qua_ra_soat[[#This Row],[Mã điểm bán]])</f>
        <v>1</v>
      </c>
    </row>
    <row r="1509" spans="1:29" x14ac:dyDescent="0.45">
      <c r="A1509" t="s">
        <v>5578</v>
      </c>
      <c r="B1509">
        <v>1072</v>
      </c>
      <c r="C1509" t="s">
        <v>5874</v>
      </c>
      <c r="D1509" t="s">
        <v>5875</v>
      </c>
      <c r="E1509" t="s">
        <v>407</v>
      </c>
      <c r="F1509" t="s">
        <v>53</v>
      </c>
      <c r="G1509" t="s">
        <v>177</v>
      </c>
      <c r="H1509" t="s">
        <v>54</v>
      </c>
      <c r="I1509" t="s">
        <v>5876</v>
      </c>
      <c r="J1509" t="s">
        <v>37</v>
      </c>
      <c r="K1509" t="s">
        <v>37</v>
      </c>
      <c r="L1509" t="s">
        <v>39</v>
      </c>
      <c r="M1509" t="s">
        <v>37</v>
      </c>
      <c r="N1509" t="s">
        <v>37</v>
      </c>
      <c r="O1509" t="s">
        <v>39</v>
      </c>
      <c r="P1509" t="s">
        <v>37</v>
      </c>
      <c r="Q1509" t="s">
        <v>37</v>
      </c>
      <c r="R1509" t="s">
        <v>39</v>
      </c>
      <c r="S1509" t="s">
        <v>4751</v>
      </c>
      <c r="T1509" t="s">
        <v>5619</v>
      </c>
      <c r="U1509" t="s">
        <v>5620</v>
      </c>
      <c r="V1509" t="s">
        <v>5586</v>
      </c>
      <c r="W1509" t="s">
        <v>5621</v>
      </c>
      <c r="AC1509">
        <f>COUNTIF(C:C,QLKV_gui_ket_qua_ra_soat[[#This Row],[Mã điểm bán]])</f>
        <v>1</v>
      </c>
    </row>
    <row r="1510" spans="1:29" x14ac:dyDescent="0.45">
      <c r="A1510" t="s">
        <v>5578</v>
      </c>
      <c r="B1510">
        <v>1075</v>
      </c>
      <c r="C1510" t="s">
        <v>5877</v>
      </c>
      <c r="D1510" t="s">
        <v>5878</v>
      </c>
      <c r="E1510" t="s">
        <v>304</v>
      </c>
      <c r="F1510" t="s">
        <v>53</v>
      </c>
      <c r="G1510" t="s">
        <v>177</v>
      </c>
      <c r="H1510" t="s">
        <v>54</v>
      </c>
      <c r="I1510" t="s">
        <v>5793</v>
      </c>
      <c r="J1510" t="s">
        <v>38</v>
      </c>
      <c r="K1510" t="s">
        <v>38</v>
      </c>
      <c r="L1510" t="s">
        <v>39</v>
      </c>
      <c r="M1510" t="s">
        <v>38</v>
      </c>
      <c r="N1510" t="s">
        <v>38</v>
      </c>
      <c r="O1510" t="s">
        <v>39</v>
      </c>
      <c r="P1510" t="s">
        <v>38</v>
      </c>
      <c r="Q1510" t="s">
        <v>38</v>
      </c>
      <c r="R1510" t="s">
        <v>39</v>
      </c>
      <c r="S1510" t="s">
        <v>41</v>
      </c>
      <c r="T1510" t="s">
        <v>5596</v>
      </c>
      <c r="U1510" t="s">
        <v>5597</v>
      </c>
      <c r="V1510" t="s">
        <v>5586</v>
      </c>
      <c r="W1510" t="s">
        <v>5598</v>
      </c>
      <c r="AC1510">
        <f>COUNTIF(C:C,QLKV_gui_ket_qua_ra_soat[[#This Row],[Mã điểm bán]])</f>
        <v>1</v>
      </c>
    </row>
    <row r="1511" spans="1:29" x14ac:dyDescent="0.45">
      <c r="A1511" t="s">
        <v>5578</v>
      </c>
      <c r="B1511">
        <v>1078</v>
      </c>
      <c r="C1511" t="s">
        <v>5879</v>
      </c>
      <c r="D1511" t="s">
        <v>5880</v>
      </c>
      <c r="E1511" t="s">
        <v>113</v>
      </c>
      <c r="F1511" t="s">
        <v>53</v>
      </c>
      <c r="G1511" t="s">
        <v>177</v>
      </c>
      <c r="H1511" t="s">
        <v>54</v>
      </c>
      <c r="I1511" t="s">
        <v>5881</v>
      </c>
      <c r="J1511" t="s">
        <v>38</v>
      </c>
      <c r="K1511" t="s">
        <v>38</v>
      </c>
      <c r="L1511" t="s">
        <v>40</v>
      </c>
      <c r="M1511" t="s">
        <v>38</v>
      </c>
      <c r="N1511" t="s">
        <v>38</v>
      </c>
      <c r="O1511" t="s">
        <v>40</v>
      </c>
      <c r="P1511" t="s">
        <v>38</v>
      </c>
      <c r="Q1511" t="s">
        <v>38</v>
      </c>
      <c r="R1511" t="s">
        <v>40</v>
      </c>
      <c r="S1511" t="s">
        <v>5662</v>
      </c>
      <c r="T1511" t="s">
        <v>5633</v>
      </c>
      <c r="U1511" t="s">
        <v>5620</v>
      </c>
      <c r="V1511" t="s">
        <v>5586</v>
      </c>
      <c r="W1511" t="s">
        <v>5621</v>
      </c>
      <c r="Z1511" t="s">
        <v>46</v>
      </c>
      <c r="AA1511" t="s">
        <v>5599</v>
      </c>
      <c r="AB1511" t="s">
        <v>3109</v>
      </c>
      <c r="AC1511">
        <f>COUNTIF(C:C,QLKV_gui_ket_qua_ra_soat[[#This Row],[Mã điểm bán]])</f>
        <v>1</v>
      </c>
    </row>
    <row r="1512" spans="1:29" x14ac:dyDescent="0.45">
      <c r="A1512" t="s">
        <v>5578</v>
      </c>
      <c r="B1512">
        <v>1080</v>
      </c>
      <c r="C1512" t="s">
        <v>5882</v>
      </c>
      <c r="D1512" t="s">
        <v>5883</v>
      </c>
      <c r="E1512" t="s">
        <v>108</v>
      </c>
      <c r="F1512" t="s">
        <v>5885</v>
      </c>
      <c r="G1512" t="s">
        <v>177</v>
      </c>
      <c r="H1512" t="s">
        <v>54</v>
      </c>
      <c r="I1512" t="s">
        <v>5886</v>
      </c>
      <c r="J1512" t="s">
        <v>38</v>
      </c>
      <c r="K1512" t="s">
        <v>38</v>
      </c>
      <c r="L1512" t="s">
        <v>39</v>
      </c>
      <c r="M1512" t="s">
        <v>38</v>
      </c>
      <c r="N1512" t="s">
        <v>38</v>
      </c>
      <c r="O1512" t="s">
        <v>39</v>
      </c>
      <c r="P1512" t="s">
        <v>38</v>
      </c>
      <c r="Q1512" t="s">
        <v>38</v>
      </c>
      <c r="R1512" t="s">
        <v>39</v>
      </c>
      <c r="S1512" t="s">
        <v>41</v>
      </c>
      <c r="T1512" t="s">
        <v>5596</v>
      </c>
      <c r="U1512" t="s">
        <v>5597</v>
      </c>
      <c r="V1512" t="s">
        <v>5586</v>
      </c>
      <c r="W1512" t="s">
        <v>5598</v>
      </c>
      <c r="X1512" t="s">
        <v>46</v>
      </c>
      <c r="AB1512" t="s">
        <v>4223</v>
      </c>
      <c r="AC1512">
        <f>COUNTIF(C:C,QLKV_gui_ket_qua_ra_soat[[#This Row],[Mã điểm bán]])</f>
        <v>1</v>
      </c>
    </row>
    <row r="1513" spans="1:29" x14ac:dyDescent="0.45">
      <c r="A1513" t="s">
        <v>5578</v>
      </c>
      <c r="B1513">
        <v>1088</v>
      </c>
      <c r="C1513" t="s">
        <v>5887</v>
      </c>
      <c r="D1513" t="s">
        <v>5888</v>
      </c>
      <c r="E1513" t="s">
        <v>68</v>
      </c>
      <c r="F1513" t="s">
        <v>401</v>
      </c>
      <c r="G1513" t="s">
        <v>177</v>
      </c>
      <c r="H1513" t="s">
        <v>54</v>
      </c>
      <c r="I1513" t="s">
        <v>5889</v>
      </c>
      <c r="J1513" t="s">
        <v>38</v>
      </c>
      <c r="K1513" t="s">
        <v>38</v>
      </c>
      <c r="L1513" t="s">
        <v>39</v>
      </c>
      <c r="M1513" t="s">
        <v>38</v>
      </c>
      <c r="N1513" t="s">
        <v>38</v>
      </c>
      <c r="O1513" t="s">
        <v>39</v>
      </c>
      <c r="P1513" t="s">
        <v>38</v>
      </c>
      <c r="Q1513" t="s">
        <v>38</v>
      </c>
      <c r="R1513" t="s">
        <v>40</v>
      </c>
      <c r="S1513" t="s">
        <v>41</v>
      </c>
      <c r="T1513" t="s">
        <v>5596</v>
      </c>
      <c r="U1513" t="s">
        <v>5597</v>
      </c>
      <c r="V1513" t="s">
        <v>5586</v>
      </c>
      <c r="W1513" t="s">
        <v>5598</v>
      </c>
      <c r="AC1513">
        <f>COUNTIF(C:C,QLKV_gui_ket_qua_ra_soat[[#This Row],[Mã điểm bán]])</f>
        <v>1</v>
      </c>
    </row>
    <row r="1514" spans="1:29" x14ac:dyDescent="0.45">
      <c r="A1514" t="s">
        <v>5578</v>
      </c>
      <c r="B1514">
        <v>1089</v>
      </c>
      <c r="C1514" t="s">
        <v>5890</v>
      </c>
      <c r="D1514" t="s">
        <v>5891</v>
      </c>
      <c r="E1514" t="s">
        <v>742</v>
      </c>
      <c r="F1514" t="s">
        <v>5892</v>
      </c>
      <c r="G1514" t="s">
        <v>177</v>
      </c>
      <c r="H1514" t="s">
        <v>1280</v>
      </c>
      <c r="I1514" t="s">
        <v>5893</v>
      </c>
      <c r="J1514" t="s">
        <v>38</v>
      </c>
      <c r="K1514" t="s">
        <v>38</v>
      </c>
      <c r="L1514" t="s">
        <v>39</v>
      </c>
      <c r="M1514" t="s">
        <v>38</v>
      </c>
      <c r="N1514" t="s">
        <v>38</v>
      </c>
      <c r="O1514" t="s">
        <v>39</v>
      </c>
      <c r="P1514" t="s">
        <v>38</v>
      </c>
      <c r="Q1514" t="s">
        <v>38</v>
      </c>
      <c r="R1514" t="s">
        <v>39</v>
      </c>
      <c r="S1514" t="s">
        <v>41</v>
      </c>
      <c r="T1514" t="s">
        <v>5596</v>
      </c>
      <c r="U1514" t="s">
        <v>5597</v>
      </c>
      <c r="V1514" t="s">
        <v>5586</v>
      </c>
      <c r="W1514" t="s">
        <v>5598</v>
      </c>
      <c r="Z1514" t="s">
        <v>46</v>
      </c>
      <c r="AA1514" t="s">
        <v>5599</v>
      </c>
      <c r="AB1514" t="s">
        <v>5658</v>
      </c>
      <c r="AC1514">
        <f>COUNTIF(C:C,QLKV_gui_ket_qua_ra_soat[[#This Row],[Mã điểm bán]])</f>
        <v>1</v>
      </c>
    </row>
    <row r="1515" spans="1:29" x14ac:dyDescent="0.45">
      <c r="A1515" t="s">
        <v>5578</v>
      </c>
      <c r="B1515">
        <v>1091</v>
      </c>
      <c r="C1515" t="s">
        <v>5894</v>
      </c>
      <c r="D1515" t="s">
        <v>5895</v>
      </c>
      <c r="E1515" t="s">
        <v>4483</v>
      </c>
      <c r="F1515" t="s">
        <v>5896</v>
      </c>
      <c r="G1515" t="s">
        <v>177</v>
      </c>
      <c r="H1515" t="s">
        <v>54</v>
      </c>
      <c r="I1515" t="s">
        <v>5897</v>
      </c>
      <c r="J1515" t="s">
        <v>38</v>
      </c>
      <c r="K1515" t="s">
        <v>38</v>
      </c>
      <c r="L1515" t="s">
        <v>39</v>
      </c>
      <c r="M1515" t="s">
        <v>38</v>
      </c>
      <c r="N1515" t="s">
        <v>38</v>
      </c>
      <c r="O1515" t="s">
        <v>39</v>
      </c>
      <c r="P1515" t="s">
        <v>38</v>
      </c>
      <c r="Q1515" t="s">
        <v>38</v>
      </c>
      <c r="R1515" t="s">
        <v>39</v>
      </c>
      <c r="S1515" t="s">
        <v>41</v>
      </c>
      <c r="T1515" t="s">
        <v>5596</v>
      </c>
      <c r="U1515" t="s">
        <v>5597</v>
      </c>
      <c r="V1515" t="s">
        <v>5586</v>
      </c>
      <c r="W1515" t="s">
        <v>5598</v>
      </c>
      <c r="X1515" t="s">
        <v>46</v>
      </c>
      <c r="AB1515" t="s">
        <v>5658</v>
      </c>
      <c r="AC1515">
        <f>COUNTIF(C:C,QLKV_gui_ket_qua_ra_soat[[#This Row],[Mã điểm bán]])</f>
        <v>1</v>
      </c>
    </row>
    <row r="1516" spans="1:29" x14ac:dyDescent="0.45">
      <c r="A1516" t="s">
        <v>5578</v>
      </c>
      <c r="B1516">
        <v>1095</v>
      </c>
      <c r="C1516" t="s">
        <v>5898</v>
      </c>
      <c r="D1516" t="s">
        <v>5899</v>
      </c>
      <c r="E1516" t="s">
        <v>882</v>
      </c>
      <c r="F1516" t="s">
        <v>467</v>
      </c>
      <c r="G1516" t="s">
        <v>177</v>
      </c>
      <c r="H1516" t="s">
        <v>54</v>
      </c>
      <c r="I1516" t="s">
        <v>5900</v>
      </c>
      <c r="J1516" t="s">
        <v>37</v>
      </c>
      <c r="K1516" t="s">
        <v>37</v>
      </c>
      <c r="L1516" t="s">
        <v>39</v>
      </c>
      <c r="M1516" t="s">
        <v>38</v>
      </c>
      <c r="N1516" t="s">
        <v>38</v>
      </c>
      <c r="O1516" t="s">
        <v>39</v>
      </c>
      <c r="P1516" t="s">
        <v>38</v>
      </c>
      <c r="Q1516" t="s">
        <v>38</v>
      </c>
      <c r="R1516" t="s">
        <v>40</v>
      </c>
      <c r="S1516" t="s">
        <v>41</v>
      </c>
      <c r="T1516" t="s">
        <v>5596</v>
      </c>
      <c r="U1516" t="s">
        <v>5597</v>
      </c>
      <c r="V1516" t="s">
        <v>5586</v>
      </c>
      <c r="W1516" t="s">
        <v>5598</v>
      </c>
      <c r="AC1516">
        <f>COUNTIF(C:C,QLKV_gui_ket_qua_ra_soat[[#This Row],[Mã điểm bán]])</f>
        <v>1</v>
      </c>
    </row>
    <row r="1517" spans="1:29" x14ac:dyDescent="0.45">
      <c r="A1517" t="s">
        <v>5578</v>
      </c>
      <c r="B1517">
        <v>1113</v>
      </c>
      <c r="C1517" t="s">
        <v>5901</v>
      </c>
      <c r="D1517" t="s">
        <v>5902</v>
      </c>
      <c r="E1517" t="s">
        <v>148</v>
      </c>
      <c r="F1517" t="s">
        <v>426</v>
      </c>
      <c r="G1517" t="s">
        <v>177</v>
      </c>
      <c r="H1517" t="s">
        <v>842</v>
      </c>
      <c r="I1517" t="s">
        <v>5903</v>
      </c>
      <c r="J1517" t="s">
        <v>37</v>
      </c>
      <c r="K1517" t="s">
        <v>37</v>
      </c>
      <c r="L1517" t="s">
        <v>39</v>
      </c>
      <c r="M1517" t="s">
        <v>37</v>
      </c>
      <c r="N1517" t="s">
        <v>37</v>
      </c>
      <c r="O1517" t="s">
        <v>39</v>
      </c>
      <c r="P1517" t="s">
        <v>38</v>
      </c>
      <c r="Q1517" t="s">
        <v>38</v>
      </c>
      <c r="R1517" t="s">
        <v>40</v>
      </c>
      <c r="S1517" t="s">
        <v>41</v>
      </c>
      <c r="T1517" t="s">
        <v>5596</v>
      </c>
      <c r="U1517" t="s">
        <v>5597</v>
      </c>
      <c r="V1517" t="s">
        <v>5586</v>
      </c>
      <c r="W1517" t="s">
        <v>5598</v>
      </c>
      <c r="Z1517" t="s">
        <v>46</v>
      </c>
      <c r="AA1517" t="s">
        <v>5599</v>
      </c>
      <c r="AB1517" t="s">
        <v>3109</v>
      </c>
      <c r="AC1517">
        <f>COUNTIF(C:C,QLKV_gui_ket_qua_ra_soat[[#This Row],[Mã điểm bán]])</f>
        <v>1</v>
      </c>
    </row>
    <row r="1518" spans="1:29" x14ac:dyDescent="0.45">
      <c r="A1518" t="s">
        <v>5578</v>
      </c>
      <c r="B1518">
        <v>1120</v>
      </c>
      <c r="C1518" t="s">
        <v>5904</v>
      </c>
      <c r="D1518" t="s">
        <v>5905</v>
      </c>
      <c r="E1518" t="s">
        <v>371</v>
      </c>
      <c r="F1518" t="s">
        <v>426</v>
      </c>
      <c r="G1518" t="s">
        <v>177</v>
      </c>
      <c r="H1518" t="s">
        <v>54</v>
      </c>
      <c r="I1518" t="s">
        <v>5906</v>
      </c>
      <c r="J1518" t="s">
        <v>38</v>
      </c>
      <c r="K1518" t="s">
        <v>38</v>
      </c>
      <c r="L1518" t="s">
        <v>40</v>
      </c>
      <c r="M1518" t="s">
        <v>37</v>
      </c>
      <c r="N1518" t="s">
        <v>56</v>
      </c>
      <c r="O1518" t="s">
        <v>39</v>
      </c>
      <c r="P1518" t="s">
        <v>38</v>
      </c>
      <c r="Q1518" t="s">
        <v>38</v>
      </c>
      <c r="R1518" t="s">
        <v>40</v>
      </c>
      <c r="S1518" t="s">
        <v>41</v>
      </c>
      <c r="T1518" t="s">
        <v>5766</v>
      </c>
      <c r="U1518" t="s">
        <v>5597</v>
      </c>
      <c r="V1518" t="s">
        <v>5586</v>
      </c>
      <c r="W1518" t="s">
        <v>5598</v>
      </c>
      <c r="X1518" t="s">
        <v>46</v>
      </c>
      <c r="AB1518" t="s">
        <v>3109</v>
      </c>
      <c r="AC1518">
        <f>COUNTIF(C:C,QLKV_gui_ket_qua_ra_soat[[#This Row],[Mã điểm bán]])</f>
        <v>1</v>
      </c>
    </row>
    <row r="1519" spans="1:29" x14ac:dyDescent="0.45">
      <c r="A1519" t="s">
        <v>5578</v>
      </c>
      <c r="B1519">
        <v>1126</v>
      </c>
      <c r="C1519" t="s">
        <v>5907</v>
      </c>
      <c r="D1519" t="s">
        <v>5908</v>
      </c>
      <c r="E1519" t="s">
        <v>5909</v>
      </c>
      <c r="F1519" t="s">
        <v>5594</v>
      </c>
      <c r="G1519" t="s">
        <v>177</v>
      </c>
      <c r="H1519" t="s">
        <v>54</v>
      </c>
      <c r="I1519" t="s">
        <v>5910</v>
      </c>
      <c r="J1519" t="s">
        <v>37</v>
      </c>
      <c r="K1519" t="s">
        <v>38</v>
      </c>
      <c r="L1519" t="s">
        <v>40</v>
      </c>
      <c r="M1519" t="s">
        <v>56</v>
      </c>
      <c r="N1519" t="s">
        <v>56</v>
      </c>
      <c r="O1519" t="s">
        <v>39</v>
      </c>
      <c r="P1519" t="s">
        <v>38</v>
      </c>
      <c r="Q1519" t="s">
        <v>38</v>
      </c>
      <c r="R1519" t="s">
        <v>40</v>
      </c>
      <c r="S1519" t="s">
        <v>41</v>
      </c>
      <c r="T1519" t="s">
        <v>5766</v>
      </c>
      <c r="U1519" t="s">
        <v>5597</v>
      </c>
      <c r="V1519" t="s">
        <v>5586</v>
      </c>
      <c r="W1519" t="s">
        <v>5598</v>
      </c>
      <c r="X1519" t="s">
        <v>46</v>
      </c>
      <c r="AB1519" t="s">
        <v>4223</v>
      </c>
      <c r="AC1519">
        <f>COUNTIF(C:C,QLKV_gui_ket_qua_ra_soat[[#This Row],[Mã điểm bán]])</f>
        <v>1</v>
      </c>
    </row>
    <row r="1520" spans="1:29" x14ac:dyDescent="0.45">
      <c r="A1520" t="s">
        <v>5578</v>
      </c>
      <c r="B1520">
        <v>1135</v>
      </c>
      <c r="C1520" t="s">
        <v>5911</v>
      </c>
      <c r="D1520" t="s">
        <v>5912</v>
      </c>
      <c r="E1520" t="s">
        <v>64</v>
      </c>
      <c r="F1520" t="s">
        <v>426</v>
      </c>
      <c r="G1520" t="s">
        <v>177</v>
      </c>
      <c r="H1520" t="s">
        <v>54</v>
      </c>
      <c r="I1520" t="s">
        <v>5610</v>
      </c>
      <c r="J1520" t="s">
        <v>38</v>
      </c>
      <c r="K1520" t="s">
        <v>38</v>
      </c>
      <c r="L1520" t="s">
        <v>39</v>
      </c>
      <c r="M1520" t="s">
        <v>38</v>
      </c>
      <c r="N1520" t="s">
        <v>38</v>
      </c>
      <c r="O1520" t="s">
        <v>39</v>
      </c>
      <c r="P1520" t="s">
        <v>38</v>
      </c>
      <c r="Q1520" t="s">
        <v>38</v>
      </c>
      <c r="R1520" t="s">
        <v>40</v>
      </c>
      <c r="S1520" t="s">
        <v>41</v>
      </c>
      <c r="T1520" t="s">
        <v>5596</v>
      </c>
      <c r="U1520" t="s">
        <v>5597</v>
      </c>
      <c r="V1520" t="s">
        <v>5586</v>
      </c>
      <c r="W1520" t="s">
        <v>5598</v>
      </c>
      <c r="AC1520">
        <f>COUNTIF(C:C,QLKV_gui_ket_qua_ra_soat[[#This Row],[Mã điểm bán]])</f>
        <v>1</v>
      </c>
    </row>
    <row r="1521" spans="1:29" x14ac:dyDescent="0.45">
      <c r="A1521" t="s">
        <v>5578</v>
      </c>
      <c r="B1521">
        <v>1139</v>
      </c>
      <c r="C1521" t="s">
        <v>5913</v>
      </c>
      <c r="D1521" t="s">
        <v>5914</v>
      </c>
      <c r="E1521" t="s">
        <v>1172</v>
      </c>
      <c r="F1521" t="s">
        <v>1787</v>
      </c>
      <c r="G1521" t="s">
        <v>34</v>
      </c>
      <c r="H1521" t="s">
        <v>2952</v>
      </c>
      <c r="I1521" t="s">
        <v>5915</v>
      </c>
      <c r="J1521" t="s">
        <v>37</v>
      </c>
      <c r="K1521" t="s">
        <v>37</v>
      </c>
      <c r="L1521" t="s">
        <v>39</v>
      </c>
      <c r="M1521" t="s">
        <v>37</v>
      </c>
      <c r="N1521" t="s">
        <v>37</v>
      </c>
      <c r="O1521" t="s">
        <v>39</v>
      </c>
      <c r="P1521" t="s">
        <v>37</v>
      </c>
      <c r="Q1521" t="s">
        <v>37</v>
      </c>
      <c r="R1521" t="s">
        <v>39</v>
      </c>
      <c r="S1521" t="s">
        <v>41</v>
      </c>
      <c r="T1521" t="s">
        <v>5916</v>
      </c>
      <c r="U1521" t="s">
        <v>5917</v>
      </c>
      <c r="V1521" t="s">
        <v>5586</v>
      </c>
      <c r="W1521" t="s">
        <v>5598</v>
      </c>
      <c r="Z1521" t="s">
        <v>46</v>
      </c>
      <c r="AA1521" t="s">
        <v>5599</v>
      </c>
      <c r="AB1521" t="s">
        <v>4223</v>
      </c>
      <c r="AC1521">
        <f>COUNTIF(C:C,QLKV_gui_ket_qua_ra_soat[[#This Row],[Mã điểm bán]])</f>
        <v>1</v>
      </c>
    </row>
    <row r="1522" spans="1:29" x14ac:dyDescent="0.45">
      <c r="A1522" t="s">
        <v>5578</v>
      </c>
      <c r="B1522">
        <v>1186</v>
      </c>
      <c r="C1522" t="s">
        <v>5918</v>
      </c>
      <c r="D1522" t="s">
        <v>5919</v>
      </c>
      <c r="E1522" t="s">
        <v>828</v>
      </c>
      <c r="F1522" t="s">
        <v>5920</v>
      </c>
      <c r="G1522" t="s">
        <v>150</v>
      </c>
      <c r="H1522" t="s">
        <v>54</v>
      </c>
      <c r="I1522" t="s">
        <v>5921</v>
      </c>
      <c r="J1522" t="s">
        <v>37</v>
      </c>
      <c r="K1522" t="s">
        <v>37</v>
      </c>
      <c r="L1522" t="s">
        <v>39</v>
      </c>
      <c r="M1522" t="s">
        <v>1034</v>
      </c>
      <c r="N1522" t="s">
        <v>37</v>
      </c>
      <c r="O1522" t="s">
        <v>39</v>
      </c>
      <c r="P1522" t="s">
        <v>38</v>
      </c>
      <c r="Q1522" t="s">
        <v>38</v>
      </c>
      <c r="R1522" t="s">
        <v>39</v>
      </c>
      <c r="S1522" t="s">
        <v>41</v>
      </c>
      <c r="T1522" t="s">
        <v>5647</v>
      </c>
      <c r="U1522" t="s">
        <v>5648</v>
      </c>
      <c r="V1522" t="s">
        <v>5586</v>
      </c>
      <c r="W1522" t="s">
        <v>5649</v>
      </c>
      <c r="Z1522" t="s">
        <v>46</v>
      </c>
      <c r="AA1522" t="s">
        <v>5678</v>
      </c>
      <c r="AB1522" t="s">
        <v>3109</v>
      </c>
      <c r="AC1522">
        <f>COUNTIF(C:C,QLKV_gui_ket_qua_ra_soat[[#This Row],[Mã điểm bán]])</f>
        <v>1</v>
      </c>
    </row>
    <row r="1523" spans="1:29" x14ac:dyDescent="0.45">
      <c r="A1523" t="s">
        <v>5578</v>
      </c>
      <c r="B1523">
        <v>1231</v>
      </c>
      <c r="C1523" t="s">
        <v>5922</v>
      </c>
      <c r="D1523" t="s">
        <v>5923</v>
      </c>
      <c r="E1523" t="s">
        <v>5925</v>
      </c>
      <c r="F1523" t="s">
        <v>478</v>
      </c>
      <c r="G1523" t="s">
        <v>177</v>
      </c>
      <c r="H1523" t="s">
        <v>54</v>
      </c>
      <c r="I1523" t="s">
        <v>5926</v>
      </c>
      <c r="J1523" t="s">
        <v>37</v>
      </c>
      <c r="K1523" t="s">
        <v>37</v>
      </c>
      <c r="L1523" t="s">
        <v>39</v>
      </c>
      <c r="M1523" t="s">
        <v>37</v>
      </c>
      <c r="N1523" t="s">
        <v>37</v>
      </c>
      <c r="O1523" t="s">
        <v>39</v>
      </c>
      <c r="P1523" t="s">
        <v>38</v>
      </c>
      <c r="Q1523" t="s">
        <v>37</v>
      </c>
      <c r="R1523" t="s">
        <v>39</v>
      </c>
      <c r="S1523" t="s">
        <v>5927</v>
      </c>
      <c r="T1523" t="s">
        <v>5633</v>
      </c>
      <c r="U1523" t="s">
        <v>5620</v>
      </c>
      <c r="V1523" t="s">
        <v>5586</v>
      </c>
      <c r="W1523" t="s">
        <v>5621</v>
      </c>
      <c r="Z1523" t="s">
        <v>46</v>
      </c>
      <c r="AA1523" t="s">
        <v>5599</v>
      </c>
      <c r="AB1523" t="s">
        <v>4223</v>
      </c>
      <c r="AC1523">
        <f>COUNTIF(C:C,QLKV_gui_ket_qua_ra_soat[[#This Row],[Mã điểm bán]])</f>
        <v>1</v>
      </c>
    </row>
    <row r="1524" spans="1:29" x14ac:dyDescent="0.45">
      <c r="A1524" t="s">
        <v>5578</v>
      </c>
      <c r="B1524">
        <v>1232</v>
      </c>
      <c r="C1524" t="s">
        <v>5928</v>
      </c>
      <c r="D1524" t="s">
        <v>5929</v>
      </c>
      <c r="E1524" t="s">
        <v>157</v>
      </c>
      <c r="F1524" t="s">
        <v>166</v>
      </c>
      <c r="G1524" t="s">
        <v>150</v>
      </c>
      <c r="H1524" t="s">
        <v>54</v>
      </c>
      <c r="I1524" t="s">
        <v>5930</v>
      </c>
      <c r="J1524" t="s">
        <v>775</v>
      </c>
      <c r="K1524" t="s">
        <v>775</v>
      </c>
      <c r="L1524" t="s">
        <v>121</v>
      </c>
      <c r="M1524" t="s">
        <v>37</v>
      </c>
      <c r="N1524" t="s">
        <v>37</v>
      </c>
      <c r="O1524" t="s">
        <v>39</v>
      </c>
      <c r="P1524" t="s">
        <v>37</v>
      </c>
      <c r="Q1524" t="s">
        <v>37</v>
      </c>
      <c r="R1524" t="s">
        <v>39</v>
      </c>
      <c r="S1524" t="s">
        <v>41</v>
      </c>
      <c r="T1524" t="s">
        <v>5676</v>
      </c>
      <c r="U1524" t="s">
        <v>5677</v>
      </c>
      <c r="V1524" t="s">
        <v>5586</v>
      </c>
      <c r="W1524" t="s">
        <v>5607</v>
      </c>
      <c r="AC1524">
        <f>COUNTIF(C:C,QLKV_gui_ket_qua_ra_soat[[#This Row],[Mã điểm bán]])</f>
        <v>1</v>
      </c>
    </row>
    <row r="1525" spans="1:29" x14ac:dyDescent="0.45">
      <c r="A1525" t="s">
        <v>5578</v>
      </c>
      <c r="B1525">
        <v>1237</v>
      </c>
      <c r="C1525" t="s">
        <v>5931</v>
      </c>
      <c r="D1525" t="s">
        <v>5932</v>
      </c>
      <c r="E1525" t="s">
        <v>211</v>
      </c>
      <c r="F1525" t="s">
        <v>166</v>
      </c>
      <c r="G1525" t="s">
        <v>177</v>
      </c>
      <c r="H1525" t="s">
        <v>620</v>
      </c>
      <c r="I1525" t="s">
        <v>5933</v>
      </c>
      <c r="J1525" t="s">
        <v>38</v>
      </c>
      <c r="K1525" t="s">
        <v>38</v>
      </c>
      <c r="L1525" t="s">
        <v>39</v>
      </c>
      <c r="M1525" t="s">
        <v>38</v>
      </c>
      <c r="N1525" t="s">
        <v>38</v>
      </c>
      <c r="O1525" t="s">
        <v>39</v>
      </c>
      <c r="P1525" t="s">
        <v>38</v>
      </c>
      <c r="Q1525" t="s">
        <v>38</v>
      </c>
      <c r="R1525" t="s">
        <v>40</v>
      </c>
      <c r="S1525" t="s">
        <v>5927</v>
      </c>
      <c r="T1525" t="s">
        <v>5633</v>
      </c>
      <c r="U1525" t="s">
        <v>5620</v>
      </c>
      <c r="V1525" t="s">
        <v>5586</v>
      </c>
      <c r="W1525" t="s">
        <v>5621</v>
      </c>
      <c r="X1525" t="s">
        <v>46</v>
      </c>
      <c r="AB1525" t="s">
        <v>5658</v>
      </c>
      <c r="AC1525">
        <f>COUNTIF(C:C,QLKV_gui_ket_qua_ra_soat[[#This Row],[Mã điểm bán]])</f>
        <v>1</v>
      </c>
    </row>
    <row r="1526" spans="1:29" x14ac:dyDescent="0.45">
      <c r="A1526" t="s">
        <v>5578</v>
      </c>
      <c r="B1526">
        <v>1240</v>
      </c>
      <c r="C1526" t="s">
        <v>5934</v>
      </c>
      <c r="D1526" t="s">
        <v>5935</v>
      </c>
      <c r="E1526" t="s">
        <v>1964</v>
      </c>
      <c r="F1526" t="s">
        <v>5386</v>
      </c>
      <c r="G1526" t="s">
        <v>1624</v>
      </c>
      <c r="H1526" t="s">
        <v>77</v>
      </c>
      <c r="I1526" t="s">
        <v>5936</v>
      </c>
      <c r="J1526" t="s">
        <v>775</v>
      </c>
      <c r="K1526" t="s">
        <v>775</v>
      </c>
      <c r="L1526" t="s">
        <v>39</v>
      </c>
      <c r="M1526" t="s">
        <v>37</v>
      </c>
      <c r="N1526" t="s">
        <v>37</v>
      </c>
      <c r="O1526" t="s">
        <v>39</v>
      </c>
      <c r="P1526" t="s">
        <v>37</v>
      </c>
      <c r="Q1526" t="s">
        <v>37</v>
      </c>
      <c r="R1526" t="s">
        <v>39</v>
      </c>
      <c r="S1526" t="s">
        <v>41</v>
      </c>
      <c r="T1526" t="s">
        <v>5676</v>
      </c>
      <c r="U1526" t="s">
        <v>5677</v>
      </c>
      <c r="V1526" t="s">
        <v>5586</v>
      </c>
      <c r="W1526" t="s">
        <v>5607</v>
      </c>
      <c r="Z1526" t="s">
        <v>46</v>
      </c>
      <c r="AA1526" t="s">
        <v>5678</v>
      </c>
      <c r="AB1526" t="s">
        <v>4223</v>
      </c>
      <c r="AC1526">
        <f>COUNTIF(C:C,QLKV_gui_ket_qua_ra_soat[[#This Row],[Mã điểm bán]])</f>
        <v>1</v>
      </c>
    </row>
    <row r="1527" spans="1:29" x14ac:dyDescent="0.45">
      <c r="A1527" t="s">
        <v>5578</v>
      </c>
      <c r="B1527">
        <v>1242</v>
      </c>
      <c r="C1527" t="s">
        <v>5937</v>
      </c>
      <c r="D1527" t="s">
        <v>5938</v>
      </c>
      <c r="E1527" t="s">
        <v>1090</v>
      </c>
      <c r="F1527" t="s">
        <v>829</v>
      </c>
      <c r="G1527" t="s">
        <v>177</v>
      </c>
      <c r="H1527" t="s">
        <v>133</v>
      </c>
      <c r="I1527" t="s">
        <v>5939</v>
      </c>
      <c r="J1527" t="s">
        <v>56</v>
      </c>
      <c r="K1527" t="s">
        <v>56</v>
      </c>
      <c r="L1527" t="s">
        <v>121</v>
      </c>
      <c r="M1527" t="s">
        <v>56</v>
      </c>
      <c r="N1527" t="s">
        <v>56</v>
      </c>
      <c r="O1527" t="s">
        <v>121</v>
      </c>
      <c r="P1527" t="s">
        <v>56</v>
      </c>
      <c r="Q1527" t="s">
        <v>56</v>
      </c>
      <c r="R1527" t="s">
        <v>39</v>
      </c>
      <c r="S1527" t="s">
        <v>41</v>
      </c>
      <c r="T1527" t="s">
        <v>5940</v>
      </c>
      <c r="U1527" t="s">
        <v>5640</v>
      </c>
      <c r="V1527" t="s">
        <v>5586</v>
      </c>
      <c r="W1527" t="s">
        <v>5565</v>
      </c>
      <c r="X1527" t="s">
        <v>46</v>
      </c>
      <c r="AC1527">
        <f>COUNTIF(C:C,QLKV_gui_ket_qua_ra_soat[[#This Row],[Mã điểm bán]])</f>
        <v>1</v>
      </c>
    </row>
    <row r="1528" spans="1:29" x14ac:dyDescent="0.45">
      <c r="A1528" t="s">
        <v>5578</v>
      </c>
      <c r="B1528">
        <v>1249</v>
      </c>
      <c r="C1528" t="s">
        <v>5941</v>
      </c>
      <c r="D1528" t="s">
        <v>5942</v>
      </c>
      <c r="E1528" t="s">
        <v>128</v>
      </c>
      <c r="F1528" t="s">
        <v>53</v>
      </c>
      <c r="G1528" t="s">
        <v>177</v>
      </c>
      <c r="H1528" t="s">
        <v>54</v>
      </c>
      <c r="I1528" t="s">
        <v>5943</v>
      </c>
      <c r="J1528" t="s">
        <v>38</v>
      </c>
      <c r="K1528" t="s">
        <v>38</v>
      </c>
      <c r="L1528" t="s">
        <v>40</v>
      </c>
      <c r="M1528" t="s">
        <v>38</v>
      </c>
      <c r="N1528" t="s">
        <v>38</v>
      </c>
      <c r="O1528" t="s">
        <v>40</v>
      </c>
      <c r="P1528" t="s">
        <v>38</v>
      </c>
      <c r="Q1528" t="s">
        <v>38</v>
      </c>
      <c r="R1528" t="s">
        <v>40</v>
      </c>
      <c r="S1528" t="s">
        <v>5944</v>
      </c>
      <c r="T1528" t="s">
        <v>5633</v>
      </c>
      <c r="U1528" t="s">
        <v>5620</v>
      </c>
      <c r="V1528" t="s">
        <v>5586</v>
      </c>
      <c r="W1528" t="s">
        <v>5621</v>
      </c>
      <c r="X1528" t="s">
        <v>46</v>
      </c>
      <c r="AB1528" t="s">
        <v>4223</v>
      </c>
      <c r="AC1528">
        <f>COUNTIF(C:C,QLKV_gui_ket_qua_ra_soat[[#This Row],[Mã điểm bán]])</f>
        <v>1</v>
      </c>
    </row>
    <row r="1529" spans="1:29" x14ac:dyDescent="0.45">
      <c r="A1529" t="s">
        <v>5578</v>
      </c>
      <c r="B1529">
        <v>1284</v>
      </c>
      <c r="C1529" t="s">
        <v>5945</v>
      </c>
      <c r="D1529" t="s">
        <v>5946</v>
      </c>
      <c r="E1529" t="s">
        <v>789</v>
      </c>
      <c r="F1529" t="s">
        <v>298</v>
      </c>
      <c r="G1529" t="s">
        <v>1624</v>
      </c>
      <c r="H1529" t="s">
        <v>2251</v>
      </c>
      <c r="I1529" t="s">
        <v>5947</v>
      </c>
      <c r="J1529" t="s">
        <v>775</v>
      </c>
      <c r="K1529" t="s">
        <v>775</v>
      </c>
      <c r="L1529" t="s">
        <v>39</v>
      </c>
      <c r="M1529" t="s">
        <v>37</v>
      </c>
      <c r="N1529" t="s">
        <v>37</v>
      </c>
      <c r="O1529" t="s">
        <v>39</v>
      </c>
      <c r="P1529" t="s">
        <v>37</v>
      </c>
      <c r="Q1529" t="s">
        <v>37</v>
      </c>
      <c r="R1529" t="s">
        <v>39</v>
      </c>
      <c r="S1529" t="s">
        <v>41</v>
      </c>
      <c r="T1529" t="s">
        <v>5676</v>
      </c>
      <c r="U1529" t="s">
        <v>5677</v>
      </c>
      <c r="V1529" t="s">
        <v>5586</v>
      </c>
      <c r="W1529" t="s">
        <v>5607</v>
      </c>
      <c r="Z1529" t="s">
        <v>46</v>
      </c>
      <c r="AA1529" t="s">
        <v>5678</v>
      </c>
      <c r="AB1529" t="s">
        <v>3109</v>
      </c>
      <c r="AC1529">
        <f>COUNTIF(C:C,QLKV_gui_ket_qua_ra_soat[[#This Row],[Mã điểm bán]])</f>
        <v>1</v>
      </c>
    </row>
    <row r="1530" spans="1:29" x14ac:dyDescent="0.45">
      <c r="A1530" t="s">
        <v>5578</v>
      </c>
      <c r="B1530">
        <v>1291</v>
      </c>
      <c r="C1530" t="s">
        <v>5948</v>
      </c>
      <c r="D1530" t="s">
        <v>5949</v>
      </c>
      <c r="E1530" t="s">
        <v>580</v>
      </c>
      <c r="F1530" t="s">
        <v>5950</v>
      </c>
      <c r="G1530" t="s">
        <v>150</v>
      </c>
      <c r="H1530" t="s">
        <v>5951</v>
      </c>
      <c r="I1530" t="s">
        <v>5952</v>
      </c>
      <c r="J1530" t="s">
        <v>56</v>
      </c>
      <c r="K1530" t="s">
        <v>56</v>
      </c>
      <c r="L1530" t="s">
        <v>39</v>
      </c>
      <c r="M1530" t="s">
        <v>56</v>
      </c>
      <c r="N1530" t="s">
        <v>56</v>
      </c>
      <c r="O1530" t="s">
        <v>39</v>
      </c>
      <c r="P1530" t="s">
        <v>37</v>
      </c>
      <c r="Q1530" t="s">
        <v>37</v>
      </c>
      <c r="R1530" t="s">
        <v>39</v>
      </c>
      <c r="S1530" t="s">
        <v>41</v>
      </c>
      <c r="T1530" t="s">
        <v>5676</v>
      </c>
      <c r="U1530" t="s">
        <v>5677</v>
      </c>
      <c r="V1530" t="s">
        <v>5586</v>
      </c>
      <c r="W1530" t="s">
        <v>5607</v>
      </c>
      <c r="AC1530">
        <f>COUNTIF(C:C,QLKV_gui_ket_qua_ra_soat[[#This Row],[Mã điểm bán]])</f>
        <v>1</v>
      </c>
    </row>
    <row r="1531" spans="1:29" x14ac:dyDescent="0.45">
      <c r="A1531" t="s">
        <v>5578</v>
      </c>
      <c r="B1531">
        <v>1299</v>
      </c>
      <c r="C1531" t="s">
        <v>5953</v>
      </c>
      <c r="D1531" t="s">
        <v>5954</v>
      </c>
      <c r="E1531" t="s">
        <v>5955</v>
      </c>
      <c r="F1531" t="s">
        <v>4655</v>
      </c>
      <c r="G1531" t="s">
        <v>1458</v>
      </c>
      <c r="H1531" t="s">
        <v>54</v>
      </c>
      <c r="I1531" t="s">
        <v>5956</v>
      </c>
      <c r="J1531" t="s">
        <v>38</v>
      </c>
      <c r="K1531" t="s">
        <v>38</v>
      </c>
      <c r="L1531" t="s">
        <v>39</v>
      </c>
      <c r="M1531" t="s">
        <v>1034</v>
      </c>
      <c r="N1531" t="s">
        <v>37</v>
      </c>
      <c r="O1531" t="s">
        <v>121</v>
      </c>
      <c r="P1531" t="s">
        <v>38</v>
      </c>
      <c r="Q1531" t="s">
        <v>38</v>
      </c>
      <c r="R1531" t="s">
        <v>39</v>
      </c>
      <c r="S1531" t="s">
        <v>41</v>
      </c>
      <c r="T1531" t="s">
        <v>5647</v>
      </c>
      <c r="U1531" t="s">
        <v>5648</v>
      </c>
      <c r="V1531" t="s">
        <v>5586</v>
      </c>
      <c r="W1531" t="s">
        <v>5649</v>
      </c>
      <c r="Z1531" t="s">
        <v>46</v>
      </c>
      <c r="AA1531" t="s">
        <v>5678</v>
      </c>
      <c r="AB1531" t="s">
        <v>3109</v>
      </c>
      <c r="AC1531">
        <f>COUNTIF(C:C,QLKV_gui_ket_qua_ra_soat[[#This Row],[Mã điểm bán]])</f>
        <v>1</v>
      </c>
    </row>
    <row r="1532" spans="1:29" x14ac:dyDescent="0.45">
      <c r="A1532" t="s">
        <v>5578</v>
      </c>
      <c r="B1532">
        <v>1301</v>
      </c>
      <c r="C1532" t="s">
        <v>5957</v>
      </c>
      <c r="D1532" t="s">
        <v>5958</v>
      </c>
      <c r="E1532" t="s">
        <v>5884</v>
      </c>
      <c r="F1532" t="s">
        <v>417</v>
      </c>
      <c r="G1532" t="s">
        <v>1624</v>
      </c>
      <c r="H1532" t="s">
        <v>1280</v>
      </c>
      <c r="I1532" t="s">
        <v>5959</v>
      </c>
      <c r="J1532" t="s">
        <v>775</v>
      </c>
      <c r="K1532" t="s">
        <v>775</v>
      </c>
      <c r="L1532" t="s">
        <v>39</v>
      </c>
      <c r="M1532" t="s">
        <v>56</v>
      </c>
      <c r="N1532" t="s">
        <v>56</v>
      </c>
      <c r="O1532" t="s">
        <v>39</v>
      </c>
      <c r="P1532" t="s">
        <v>37</v>
      </c>
      <c r="Q1532" t="s">
        <v>37</v>
      </c>
      <c r="R1532" t="s">
        <v>39</v>
      </c>
      <c r="S1532" t="s">
        <v>41</v>
      </c>
      <c r="T1532" t="s">
        <v>5676</v>
      </c>
      <c r="U1532" t="s">
        <v>5677</v>
      </c>
      <c r="V1532" t="s">
        <v>5586</v>
      </c>
      <c r="W1532" t="s">
        <v>5607</v>
      </c>
      <c r="AC1532">
        <f>COUNTIF(C:C,QLKV_gui_ket_qua_ra_soat[[#This Row],[Mã điểm bán]])</f>
        <v>1</v>
      </c>
    </row>
    <row r="1533" spans="1:29" x14ac:dyDescent="0.45">
      <c r="A1533" t="s">
        <v>5578</v>
      </c>
      <c r="B1533">
        <v>1314</v>
      </c>
      <c r="C1533" t="s">
        <v>5960</v>
      </c>
      <c r="D1533" t="s">
        <v>5961</v>
      </c>
      <c r="E1533" t="s">
        <v>416</v>
      </c>
      <c r="F1533" t="s">
        <v>53</v>
      </c>
      <c r="G1533" t="s">
        <v>177</v>
      </c>
      <c r="H1533" t="s">
        <v>100</v>
      </c>
      <c r="I1533" t="s">
        <v>5962</v>
      </c>
      <c r="J1533" t="s">
        <v>38</v>
      </c>
      <c r="K1533" t="s">
        <v>38</v>
      </c>
      <c r="L1533" t="s">
        <v>40</v>
      </c>
      <c r="M1533" t="s">
        <v>37</v>
      </c>
      <c r="N1533" t="s">
        <v>37</v>
      </c>
      <c r="O1533" t="s">
        <v>39</v>
      </c>
      <c r="P1533" t="s">
        <v>38</v>
      </c>
      <c r="Q1533" t="s">
        <v>38</v>
      </c>
      <c r="R1533" t="s">
        <v>40</v>
      </c>
      <c r="S1533" t="s">
        <v>41</v>
      </c>
      <c r="T1533" t="s">
        <v>5766</v>
      </c>
      <c r="U1533" t="s">
        <v>5597</v>
      </c>
      <c r="V1533" t="s">
        <v>5586</v>
      </c>
      <c r="W1533" t="s">
        <v>5598</v>
      </c>
      <c r="AC1533">
        <f>COUNTIF(C:C,QLKV_gui_ket_qua_ra_soat[[#This Row],[Mã điểm bán]])</f>
        <v>1</v>
      </c>
    </row>
    <row r="1534" spans="1:29" x14ac:dyDescent="0.45">
      <c r="A1534" t="s">
        <v>5578</v>
      </c>
      <c r="B1534">
        <v>1336</v>
      </c>
      <c r="C1534" t="s">
        <v>5963</v>
      </c>
      <c r="D1534" t="s">
        <v>5964</v>
      </c>
      <c r="E1534" t="s">
        <v>206</v>
      </c>
      <c r="F1534" t="s">
        <v>441</v>
      </c>
      <c r="G1534" t="s">
        <v>34</v>
      </c>
      <c r="H1534" t="s">
        <v>54</v>
      </c>
      <c r="I1534" t="s">
        <v>5965</v>
      </c>
      <c r="J1534" t="s">
        <v>38</v>
      </c>
      <c r="K1534" t="s">
        <v>38</v>
      </c>
      <c r="L1534" t="s">
        <v>39</v>
      </c>
      <c r="M1534" t="s">
        <v>38</v>
      </c>
      <c r="N1534" t="s">
        <v>38</v>
      </c>
      <c r="O1534" t="s">
        <v>39</v>
      </c>
      <c r="P1534" t="s">
        <v>38</v>
      </c>
      <c r="Q1534" t="s">
        <v>38</v>
      </c>
      <c r="R1534" t="s">
        <v>40</v>
      </c>
      <c r="S1534" t="s">
        <v>41</v>
      </c>
      <c r="T1534" t="s">
        <v>5596</v>
      </c>
      <c r="U1534" t="s">
        <v>5597</v>
      </c>
      <c r="V1534" t="s">
        <v>5586</v>
      </c>
      <c r="W1534" t="s">
        <v>5598</v>
      </c>
      <c r="Z1534" t="s">
        <v>46</v>
      </c>
      <c r="AA1534" t="s">
        <v>5599</v>
      </c>
      <c r="AB1534" t="s">
        <v>4223</v>
      </c>
      <c r="AC1534">
        <f>COUNTIF(C:C,QLKV_gui_ket_qua_ra_soat[[#This Row],[Mã điểm bán]])</f>
        <v>1</v>
      </c>
    </row>
    <row r="1535" spans="1:29" x14ac:dyDescent="0.45">
      <c r="A1535" t="s">
        <v>5578</v>
      </c>
      <c r="B1535">
        <v>1346</v>
      </c>
      <c r="C1535" t="s">
        <v>5966</v>
      </c>
      <c r="D1535" t="s">
        <v>3715</v>
      </c>
      <c r="E1535" t="s">
        <v>5968</v>
      </c>
      <c r="F1535" t="s">
        <v>5969</v>
      </c>
      <c r="G1535" t="s">
        <v>1458</v>
      </c>
      <c r="H1535" t="s">
        <v>54</v>
      </c>
      <c r="I1535" t="s">
        <v>5970</v>
      </c>
      <c r="J1535" t="s">
        <v>38</v>
      </c>
      <c r="K1535" t="s">
        <v>38</v>
      </c>
      <c r="L1535" t="s">
        <v>39</v>
      </c>
      <c r="M1535" t="s">
        <v>775</v>
      </c>
      <c r="N1535" t="s">
        <v>37</v>
      </c>
      <c r="O1535" t="s">
        <v>121</v>
      </c>
      <c r="P1535" t="s">
        <v>38</v>
      </c>
      <c r="Q1535" t="s">
        <v>38</v>
      </c>
      <c r="R1535" t="s">
        <v>39</v>
      </c>
      <c r="S1535" t="s">
        <v>41</v>
      </c>
      <c r="T1535" t="s">
        <v>5647</v>
      </c>
      <c r="U1535" t="s">
        <v>5648</v>
      </c>
      <c r="V1535" t="s">
        <v>5586</v>
      </c>
      <c r="W1535" t="s">
        <v>5649</v>
      </c>
      <c r="Z1535" t="s">
        <v>46</v>
      </c>
      <c r="AA1535" t="s">
        <v>5678</v>
      </c>
      <c r="AB1535" t="s">
        <v>2999</v>
      </c>
      <c r="AC1535">
        <f>COUNTIF(C:C,QLKV_gui_ket_qua_ra_soat[[#This Row],[Mã điểm bán]])</f>
        <v>1</v>
      </c>
    </row>
    <row r="1536" spans="1:29" x14ac:dyDescent="0.45">
      <c r="A1536" t="s">
        <v>5578</v>
      </c>
      <c r="B1536">
        <v>1351</v>
      </c>
      <c r="C1536" t="s">
        <v>5971</v>
      </c>
      <c r="D1536" t="s">
        <v>5972</v>
      </c>
      <c r="E1536" t="s">
        <v>1043</v>
      </c>
      <c r="F1536" t="s">
        <v>53</v>
      </c>
      <c r="G1536" t="s">
        <v>177</v>
      </c>
      <c r="H1536" t="s">
        <v>54</v>
      </c>
      <c r="I1536" t="s">
        <v>5973</v>
      </c>
      <c r="J1536" t="s">
        <v>38</v>
      </c>
      <c r="K1536" t="s">
        <v>38</v>
      </c>
      <c r="L1536" t="s">
        <v>40</v>
      </c>
      <c r="M1536" t="s">
        <v>38</v>
      </c>
      <c r="N1536" t="s">
        <v>38</v>
      </c>
      <c r="O1536" t="s">
        <v>40</v>
      </c>
      <c r="P1536" t="s">
        <v>38</v>
      </c>
      <c r="Q1536" t="s">
        <v>38</v>
      </c>
      <c r="R1536" t="s">
        <v>40</v>
      </c>
      <c r="S1536" t="s">
        <v>41</v>
      </c>
      <c r="T1536" t="s">
        <v>5596</v>
      </c>
      <c r="U1536" t="s">
        <v>5597</v>
      </c>
      <c r="V1536" t="s">
        <v>5586</v>
      </c>
      <c r="W1536" t="s">
        <v>5598</v>
      </c>
      <c r="AC1536">
        <f>COUNTIF(C:C,QLKV_gui_ket_qua_ra_soat[[#This Row],[Mã điểm bán]])</f>
        <v>1</v>
      </c>
    </row>
    <row r="1537" spans="1:29" x14ac:dyDescent="0.45">
      <c r="A1537" t="s">
        <v>5578</v>
      </c>
      <c r="B1537">
        <v>1355</v>
      </c>
      <c r="C1537" t="s">
        <v>5974</v>
      </c>
      <c r="D1537" t="s">
        <v>5975</v>
      </c>
      <c r="E1537" t="s">
        <v>113</v>
      </c>
      <c r="F1537" t="s">
        <v>5976</v>
      </c>
      <c r="G1537" t="s">
        <v>177</v>
      </c>
      <c r="H1537" t="s">
        <v>54</v>
      </c>
      <c r="I1537" t="s">
        <v>5977</v>
      </c>
      <c r="J1537" t="s">
        <v>37</v>
      </c>
      <c r="K1537" t="s">
        <v>37</v>
      </c>
      <c r="L1537" t="s">
        <v>39</v>
      </c>
      <c r="M1537" t="s">
        <v>37</v>
      </c>
      <c r="N1537" t="s">
        <v>37</v>
      </c>
      <c r="O1537" t="s">
        <v>39</v>
      </c>
      <c r="P1537" t="s">
        <v>38</v>
      </c>
      <c r="Q1537" t="s">
        <v>38</v>
      </c>
      <c r="R1537" t="s">
        <v>39</v>
      </c>
      <c r="S1537" t="s">
        <v>41</v>
      </c>
      <c r="T1537" t="s">
        <v>5596</v>
      </c>
      <c r="U1537" t="s">
        <v>5597</v>
      </c>
      <c r="V1537" t="s">
        <v>5586</v>
      </c>
      <c r="W1537" t="s">
        <v>5598</v>
      </c>
      <c r="X1537" t="s">
        <v>46</v>
      </c>
      <c r="AB1537" t="s">
        <v>3109</v>
      </c>
      <c r="AC1537">
        <f>COUNTIF(C:C,QLKV_gui_ket_qua_ra_soat[[#This Row],[Mã điểm bán]])</f>
        <v>1</v>
      </c>
    </row>
    <row r="1538" spans="1:29" x14ac:dyDescent="0.45">
      <c r="A1538" t="s">
        <v>5578</v>
      </c>
      <c r="B1538">
        <v>1357</v>
      </c>
      <c r="C1538" t="s">
        <v>5978</v>
      </c>
      <c r="D1538" t="s">
        <v>5979</v>
      </c>
      <c r="E1538" t="s">
        <v>290</v>
      </c>
      <c r="F1538" t="s">
        <v>53</v>
      </c>
      <c r="G1538" t="s">
        <v>177</v>
      </c>
      <c r="H1538" t="s">
        <v>54</v>
      </c>
      <c r="I1538" t="s">
        <v>5980</v>
      </c>
      <c r="J1538" t="s">
        <v>38</v>
      </c>
      <c r="K1538" t="s">
        <v>38</v>
      </c>
      <c r="L1538" t="s">
        <v>39</v>
      </c>
      <c r="M1538" t="s">
        <v>38</v>
      </c>
      <c r="N1538" t="s">
        <v>38</v>
      </c>
      <c r="O1538" t="s">
        <v>39</v>
      </c>
      <c r="P1538" t="s">
        <v>38</v>
      </c>
      <c r="Q1538" t="s">
        <v>38</v>
      </c>
      <c r="R1538" t="s">
        <v>40</v>
      </c>
      <c r="S1538" t="s">
        <v>41</v>
      </c>
      <c r="T1538" t="s">
        <v>5596</v>
      </c>
      <c r="U1538" t="s">
        <v>5597</v>
      </c>
      <c r="V1538" t="s">
        <v>5586</v>
      </c>
      <c r="W1538" t="s">
        <v>5598</v>
      </c>
      <c r="Z1538" t="s">
        <v>46</v>
      </c>
      <c r="AA1538" t="s">
        <v>5599</v>
      </c>
      <c r="AB1538" t="s">
        <v>4223</v>
      </c>
      <c r="AC1538">
        <f>COUNTIF(C:C,QLKV_gui_ket_qua_ra_soat[[#This Row],[Mã điểm bán]])</f>
        <v>1</v>
      </c>
    </row>
    <row r="1539" spans="1:29" x14ac:dyDescent="0.45">
      <c r="A1539" t="s">
        <v>5578</v>
      </c>
      <c r="B1539">
        <v>1361</v>
      </c>
      <c r="C1539" t="s">
        <v>5981</v>
      </c>
      <c r="D1539" t="s">
        <v>5982</v>
      </c>
      <c r="E1539" t="s">
        <v>138</v>
      </c>
      <c r="F1539" t="s">
        <v>3244</v>
      </c>
      <c r="G1539" t="s">
        <v>150</v>
      </c>
      <c r="H1539" t="s">
        <v>2454</v>
      </c>
      <c r="I1539" t="s">
        <v>5983</v>
      </c>
      <c r="J1539" t="s">
        <v>56</v>
      </c>
      <c r="K1539" t="s">
        <v>56</v>
      </c>
      <c r="L1539" t="s">
        <v>39</v>
      </c>
      <c r="M1539" t="s">
        <v>37</v>
      </c>
      <c r="N1539" t="s">
        <v>37</v>
      </c>
      <c r="O1539" t="s">
        <v>39</v>
      </c>
      <c r="P1539" t="s">
        <v>37</v>
      </c>
      <c r="Q1539" t="s">
        <v>37</v>
      </c>
      <c r="R1539" t="s">
        <v>39</v>
      </c>
      <c r="S1539" t="s">
        <v>41</v>
      </c>
      <c r="T1539" t="s">
        <v>5676</v>
      </c>
      <c r="U1539" t="s">
        <v>5677</v>
      </c>
      <c r="V1539" t="s">
        <v>5586</v>
      </c>
      <c r="W1539" t="s">
        <v>5607</v>
      </c>
      <c r="AC1539">
        <f>COUNTIF(C:C,QLKV_gui_ket_qua_ra_soat[[#This Row],[Mã điểm bán]])</f>
        <v>1</v>
      </c>
    </row>
    <row r="1540" spans="1:29" x14ac:dyDescent="0.45">
      <c r="A1540" t="s">
        <v>5578</v>
      </c>
      <c r="B1540">
        <v>1363</v>
      </c>
      <c r="C1540" t="s">
        <v>5984</v>
      </c>
      <c r="D1540" t="s">
        <v>4342</v>
      </c>
      <c r="E1540" t="s">
        <v>455</v>
      </c>
      <c r="F1540" t="s">
        <v>166</v>
      </c>
      <c r="G1540" t="s">
        <v>150</v>
      </c>
      <c r="H1540" t="s">
        <v>54</v>
      </c>
      <c r="I1540" t="s">
        <v>5985</v>
      </c>
      <c r="J1540" t="s">
        <v>37</v>
      </c>
      <c r="K1540" t="s">
        <v>37</v>
      </c>
      <c r="L1540" t="s">
        <v>39</v>
      </c>
      <c r="M1540" t="s">
        <v>37</v>
      </c>
      <c r="N1540" t="s">
        <v>37</v>
      </c>
      <c r="O1540" t="s">
        <v>39</v>
      </c>
      <c r="P1540" t="s">
        <v>37</v>
      </c>
      <c r="Q1540" t="s">
        <v>37</v>
      </c>
      <c r="R1540" t="s">
        <v>39</v>
      </c>
      <c r="S1540" t="s">
        <v>41</v>
      </c>
      <c r="T1540" t="s">
        <v>5596</v>
      </c>
      <c r="U1540" t="s">
        <v>5597</v>
      </c>
      <c r="V1540" t="s">
        <v>5586</v>
      </c>
      <c r="W1540" t="s">
        <v>5598</v>
      </c>
      <c r="AB1540" t="s">
        <v>117</v>
      </c>
      <c r="AC1540">
        <f>COUNTIF(C:C,QLKV_gui_ket_qua_ra_soat[[#This Row],[Mã điểm bán]])</f>
        <v>1</v>
      </c>
    </row>
    <row r="1541" spans="1:29" x14ac:dyDescent="0.45">
      <c r="A1541" t="s">
        <v>5578</v>
      </c>
      <c r="B1541">
        <v>1371</v>
      </c>
      <c r="C1541" t="s">
        <v>5986</v>
      </c>
      <c r="D1541" t="s">
        <v>5987</v>
      </c>
      <c r="E1541" t="s">
        <v>5988</v>
      </c>
      <c r="F1541" t="s">
        <v>1423</v>
      </c>
      <c r="G1541" t="s">
        <v>1624</v>
      </c>
      <c r="H1541" t="s">
        <v>1648</v>
      </c>
      <c r="I1541" t="s">
        <v>5989</v>
      </c>
      <c r="J1541" t="s">
        <v>56</v>
      </c>
      <c r="K1541" t="s">
        <v>56</v>
      </c>
      <c r="L1541" t="s">
        <v>39</v>
      </c>
      <c r="M1541" t="s">
        <v>37</v>
      </c>
      <c r="N1541" t="s">
        <v>37</v>
      </c>
      <c r="O1541" t="s">
        <v>39</v>
      </c>
      <c r="P1541" t="s">
        <v>37</v>
      </c>
      <c r="Q1541" t="s">
        <v>37</v>
      </c>
      <c r="R1541" t="s">
        <v>39</v>
      </c>
      <c r="S1541" t="s">
        <v>41</v>
      </c>
      <c r="T1541" t="s">
        <v>5676</v>
      </c>
      <c r="U1541" t="s">
        <v>5677</v>
      </c>
      <c r="V1541" t="s">
        <v>5586</v>
      </c>
      <c r="W1541" t="s">
        <v>5607</v>
      </c>
      <c r="Z1541" t="s">
        <v>46</v>
      </c>
      <c r="AA1541" t="s">
        <v>5678</v>
      </c>
      <c r="AB1541" t="s">
        <v>4223</v>
      </c>
      <c r="AC1541">
        <f>COUNTIF(C:C,QLKV_gui_ket_qua_ra_soat[[#This Row],[Mã điểm bán]])</f>
        <v>1</v>
      </c>
    </row>
    <row r="1542" spans="1:29" x14ac:dyDescent="0.45">
      <c r="A1542" t="s">
        <v>5578</v>
      </c>
      <c r="B1542">
        <v>1397</v>
      </c>
      <c r="C1542" t="s">
        <v>5990</v>
      </c>
      <c r="D1542" t="s">
        <v>5991</v>
      </c>
      <c r="E1542" t="s">
        <v>641</v>
      </c>
      <c r="F1542" t="s">
        <v>441</v>
      </c>
      <c r="G1542" t="s">
        <v>34</v>
      </c>
      <c r="H1542" t="s">
        <v>54</v>
      </c>
      <c r="I1542" t="s">
        <v>5992</v>
      </c>
      <c r="J1542" t="s">
        <v>38</v>
      </c>
      <c r="K1542" t="s">
        <v>38</v>
      </c>
      <c r="L1542" t="s">
        <v>40</v>
      </c>
      <c r="M1542" t="s">
        <v>38</v>
      </c>
      <c r="N1542" t="s">
        <v>38</v>
      </c>
      <c r="O1542" t="s">
        <v>40</v>
      </c>
      <c r="P1542" t="s">
        <v>38</v>
      </c>
      <c r="Q1542" t="s">
        <v>38</v>
      </c>
      <c r="R1542" t="s">
        <v>40</v>
      </c>
      <c r="S1542" t="s">
        <v>41</v>
      </c>
      <c r="T1542" t="s">
        <v>5766</v>
      </c>
      <c r="U1542" t="s">
        <v>5597</v>
      </c>
      <c r="V1542" t="s">
        <v>5586</v>
      </c>
      <c r="W1542" t="s">
        <v>5598</v>
      </c>
      <c r="X1542" t="s">
        <v>46</v>
      </c>
      <c r="AB1542" t="s">
        <v>4223</v>
      </c>
      <c r="AC1542">
        <f>COUNTIF(C:C,QLKV_gui_ket_qua_ra_soat[[#This Row],[Mã điểm bán]])</f>
        <v>1</v>
      </c>
    </row>
    <row r="1543" spans="1:29" x14ac:dyDescent="0.45">
      <c r="A1543" t="s">
        <v>5578</v>
      </c>
      <c r="B1543">
        <v>1426</v>
      </c>
      <c r="C1543" t="s">
        <v>5993</v>
      </c>
      <c r="D1543" t="s">
        <v>5994</v>
      </c>
      <c r="E1543" t="s">
        <v>5995</v>
      </c>
      <c r="F1543" t="s">
        <v>280</v>
      </c>
      <c r="G1543" t="s">
        <v>150</v>
      </c>
      <c r="H1543" t="s">
        <v>319</v>
      </c>
      <c r="I1543" t="s">
        <v>5996</v>
      </c>
      <c r="J1543" t="s">
        <v>1034</v>
      </c>
      <c r="K1543" t="s">
        <v>775</v>
      </c>
      <c r="L1543" t="s">
        <v>39</v>
      </c>
      <c r="M1543" t="s">
        <v>56</v>
      </c>
      <c r="N1543" t="s">
        <v>56</v>
      </c>
      <c r="O1543" t="s">
        <v>39</v>
      </c>
      <c r="P1543" t="s">
        <v>37</v>
      </c>
      <c r="Q1543" t="s">
        <v>37</v>
      </c>
      <c r="R1543" t="s">
        <v>39</v>
      </c>
      <c r="S1543" t="s">
        <v>41</v>
      </c>
      <c r="T1543" t="s">
        <v>5676</v>
      </c>
      <c r="U1543" t="s">
        <v>5677</v>
      </c>
      <c r="V1543" t="s">
        <v>5586</v>
      </c>
      <c r="W1543" t="s">
        <v>5607</v>
      </c>
      <c r="Z1543" t="s">
        <v>46</v>
      </c>
      <c r="AA1543" t="s">
        <v>5678</v>
      </c>
      <c r="AB1543" t="s">
        <v>3109</v>
      </c>
      <c r="AC1543">
        <f>COUNTIF(C:C,QLKV_gui_ket_qua_ra_soat[[#This Row],[Mã điểm bán]])</f>
        <v>1</v>
      </c>
    </row>
    <row r="1544" spans="1:29" x14ac:dyDescent="0.45">
      <c r="A1544" t="s">
        <v>5578</v>
      </c>
      <c r="B1544">
        <v>1470</v>
      </c>
      <c r="C1544" t="s">
        <v>5997</v>
      </c>
      <c r="D1544" t="s">
        <v>5998</v>
      </c>
      <c r="E1544" t="s">
        <v>5999</v>
      </c>
      <c r="F1544" t="s">
        <v>2368</v>
      </c>
      <c r="G1544" t="s">
        <v>1624</v>
      </c>
      <c r="H1544" t="s">
        <v>54</v>
      </c>
      <c r="I1544" t="s">
        <v>6000</v>
      </c>
      <c r="J1544" t="s">
        <v>37</v>
      </c>
      <c r="K1544" t="s">
        <v>38</v>
      </c>
      <c r="L1544" t="s">
        <v>39</v>
      </c>
      <c r="M1544" t="s">
        <v>775</v>
      </c>
      <c r="N1544" t="s">
        <v>37</v>
      </c>
      <c r="O1544" t="s">
        <v>121</v>
      </c>
      <c r="P1544" t="s">
        <v>38</v>
      </c>
      <c r="Q1544" t="s">
        <v>38</v>
      </c>
      <c r="R1544" t="s">
        <v>39</v>
      </c>
      <c r="S1544" t="s">
        <v>41</v>
      </c>
      <c r="T1544" t="s">
        <v>5647</v>
      </c>
      <c r="U1544" t="s">
        <v>5648</v>
      </c>
      <c r="V1544" t="s">
        <v>5586</v>
      </c>
      <c r="W1544" t="s">
        <v>5649</v>
      </c>
      <c r="Z1544" t="s">
        <v>46</v>
      </c>
      <c r="AA1544" t="s">
        <v>5678</v>
      </c>
      <c r="AB1544" t="s">
        <v>3109</v>
      </c>
      <c r="AC1544">
        <f>COUNTIF(C:C,QLKV_gui_ket_qua_ra_soat[[#This Row],[Mã điểm bán]])</f>
        <v>1</v>
      </c>
    </row>
    <row r="1545" spans="1:29" x14ac:dyDescent="0.45">
      <c r="A1545" t="s">
        <v>5578</v>
      </c>
      <c r="B1545">
        <v>1478</v>
      </c>
      <c r="C1545" t="s">
        <v>6001</v>
      </c>
      <c r="D1545" t="s">
        <v>6002</v>
      </c>
      <c r="E1545" t="s">
        <v>128</v>
      </c>
      <c r="F1545" t="s">
        <v>426</v>
      </c>
      <c r="G1545" t="s">
        <v>34</v>
      </c>
      <c r="H1545" t="s">
        <v>133</v>
      </c>
      <c r="I1545" t="s">
        <v>5796</v>
      </c>
      <c r="J1545" t="s">
        <v>38</v>
      </c>
      <c r="K1545" t="s">
        <v>38</v>
      </c>
      <c r="L1545" t="s">
        <v>40</v>
      </c>
      <c r="M1545" t="s">
        <v>37</v>
      </c>
      <c r="N1545" t="s">
        <v>37</v>
      </c>
      <c r="O1545" t="s">
        <v>39</v>
      </c>
      <c r="P1545" t="s">
        <v>38</v>
      </c>
      <c r="Q1545" t="s">
        <v>37</v>
      </c>
      <c r="R1545" t="s">
        <v>39</v>
      </c>
      <c r="S1545" t="s">
        <v>41</v>
      </c>
      <c r="T1545" t="s">
        <v>5711</v>
      </c>
      <c r="U1545" t="s">
        <v>5712</v>
      </c>
      <c r="V1545" t="s">
        <v>5586</v>
      </c>
      <c r="W1545" t="s">
        <v>5649</v>
      </c>
      <c r="AC1545">
        <f>COUNTIF(C:C,QLKV_gui_ket_qua_ra_soat[[#This Row],[Mã điểm bán]])</f>
        <v>1</v>
      </c>
    </row>
    <row r="1546" spans="1:29" x14ac:dyDescent="0.45">
      <c r="A1546" t="s">
        <v>5578</v>
      </c>
      <c r="B1546">
        <v>1498</v>
      </c>
      <c r="C1546" t="s">
        <v>6003</v>
      </c>
      <c r="D1546" t="s">
        <v>6004</v>
      </c>
      <c r="E1546" t="s">
        <v>6005</v>
      </c>
      <c r="F1546" t="s">
        <v>653</v>
      </c>
      <c r="G1546" t="s">
        <v>177</v>
      </c>
      <c r="H1546" t="s">
        <v>54</v>
      </c>
      <c r="I1546" t="s">
        <v>6006</v>
      </c>
      <c r="J1546" t="s">
        <v>38</v>
      </c>
      <c r="K1546" t="s">
        <v>38</v>
      </c>
      <c r="L1546" t="s">
        <v>40</v>
      </c>
      <c r="M1546" t="s">
        <v>37</v>
      </c>
      <c r="N1546" t="s">
        <v>37</v>
      </c>
      <c r="O1546" t="s">
        <v>39</v>
      </c>
      <c r="P1546" t="s">
        <v>38</v>
      </c>
      <c r="Q1546" t="s">
        <v>38</v>
      </c>
      <c r="R1546" t="s">
        <v>40</v>
      </c>
      <c r="S1546" t="s">
        <v>41</v>
      </c>
      <c r="T1546" t="s">
        <v>5766</v>
      </c>
      <c r="U1546" t="s">
        <v>5597</v>
      </c>
      <c r="V1546" t="s">
        <v>5586</v>
      </c>
      <c r="W1546" t="s">
        <v>5598</v>
      </c>
      <c r="X1546" t="s">
        <v>46</v>
      </c>
      <c r="AB1546" t="s">
        <v>3109</v>
      </c>
      <c r="AC1546">
        <f>COUNTIF(C:C,QLKV_gui_ket_qua_ra_soat[[#This Row],[Mã điểm bán]])</f>
        <v>1</v>
      </c>
    </row>
    <row r="1547" spans="1:29" x14ac:dyDescent="0.45">
      <c r="A1547" t="s">
        <v>5578</v>
      </c>
      <c r="B1547">
        <v>1522</v>
      </c>
      <c r="C1547" t="s">
        <v>6007</v>
      </c>
      <c r="D1547" t="s">
        <v>6008</v>
      </c>
      <c r="E1547" t="s">
        <v>291</v>
      </c>
      <c r="F1547" t="s">
        <v>426</v>
      </c>
      <c r="G1547" t="s">
        <v>177</v>
      </c>
      <c r="H1547" t="s">
        <v>54</v>
      </c>
      <c r="I1547" t="s">
        <v>6009</v>
      </c>
      <c r="J1547" t="s">
        <v>38</v>
      </c>
      <c r="K1547" t="s">
        <v>38</v>
      </c>
      <c r="L1547" t="s">
        <v>40</v>
      </c>
      <c r="M1547" t="s">
        <v>37</v>
      </c>
      <c r="N1547" t="s">
        <v>37</v>
      </c>
      <c r="O1547" t="s">
        <v>39</v>
      </c>
      <c r="P1547" t="s">
        <v>38</v>
      </c>
      <c r="Q1547" t="s">
        <v>38</v>
      </c>
      <c r="R1547" t="s">
        <v>40</v>
      </c>
      <c r="S1547" t="s">
        <v>41</v>
      </c>
      <c r="T1547" t="s">
        <v>5766</v>
      </c>
      <c r="U1547" t="s">
        <v>5597</v>
      </c>
      <c r="V1547" t="s">
        <v>5586</v>
      </c>
      <c r="W1547" t="s">
        <v>5598</v>
      </c>
      <c r="AC1547">
        <f>COUNTIF(C:C,QLKV_gui_ket_qua_ra_soat[[#This Row],[Mã điểm bán]])</f>
        <v>1</v>
      </c>
    </row>
    <row r="1548" spans="1:29" x14ac:dyDescent="0.45">
      <c r="A1548" t="s">
        <v>5578</v>
      </c>
      <c r="B1548">
        <v>1545</v>
      </c>
      <c r="C1548" t="s">
        <v>6010</v>
      </c>
      <c r="D1548" t="s">
        <v>6011</v>
      </c>
      <c r="E1548" t="s">
        <v>69</v>
      </c>
      <c r="F1548" t="s">
        <v>53</v>
      </c>
      <c r="G1548" t="s">
        <v>177</v>
      </c>
      <c r="H1548" t="s">
        <v>3620</v>
      </c>
      <c r="I1548" t="s">
        <v>6012</v>
      </c>
      <c r="J1548" t="s">
        <v>37</v>
      </c>
      <c r="K1548" t="s">
        <v>56</v>
      </c>
      <c r="L1548" t="s">
        <v>39</v>
      </c>
      <c r="M1548" t="s">
        <v>37</v>
      </c>
      <c r="N1548" t="s">
        <v>37</v>
      </c>
      <c r="O1548" t="s">
        <v>39</v>
      </c>
      <c r="P1548" t="s">
        <v>37</v>
      </c>
      <c r="Q1548" t="s">
        <v>37</v>
      </c>
      <c r="R1548" t="s">
        <v>39</v>
      </c>
      <c r="S1548" t="s">
        <v>4751</v>
      </c>
      <c r="T1548" t="s">
        <v>5619</v>
      </c>
      <c r="U1548" t="s">
        <v>5620</v>
      </c>
      <c r="V1548" t="s">
        <v>5586</v>
      </c>
      <c r="W1548" t="s">
        <v>5621</v>
      </c>
      <c r="AC1548">
        <f>COUNTIF(C:C,QLKV_gui_ket_qua_ra_soat[[#This Row],[Mã điểm bán]])</f>
        <v>1</v>
      </c>
    </row>
    <row r="1549" spans="1:29" x14ac:dyDescent="0.45">
      <c r="A1549" t="s">
        <v>5578</v>
      </c>
      <c r="B1549">
        <v>1592</v>
      </c>
      <c r="C1549" t="s">
        <v>6013</v>
      </c>
      <c r="D1549" t="s">
        <v>6014</v>
      </c>
      <c r="E1549" t="s">
        <v>6015</v>
      </c>
      <c r="F1549" t="s">
        <v>5772</v>
      </c>
      <c r="G1549" t="s">
        <v>1624</v>
      </c>
      <c r="H1549" t="s">
        <v>54</v>
      </c>
      <c r="I1549" t="s">
        <v>6016</v>
      </c>
      <c r="J1549" t="s">
        <v>37</v>
      </c>
      <c r="K1549" t="s">
        <v>37</v>
      </c>
      <c r="L1549" t="s">
        <v>39</v>
      </c>
      <c r="M1549" t="s">
        <v>1034</v>
      </c>
      <c r="N1549" t="s">
        <v>37</v>
      </c>
      <c r="O1549" t="s">
        <v>121</v>
      </c>
      <c r="P1549" t="s">
        <v>38</v>
      </c>
      <c r="Q1549" t="s">
        <v>38</v>
      </c>
      <c r="R1549" t="s">
        <v>39</v>
      </c>
      <c r="S1549" t="s">
        <v>41</v>
      </c>
      <c r="T1549" t="s">
        <v>5647</v>
      </c>
      <c r="U1549" t="s">
        <v>5648</v>
      </c>
      <c r="V1549" t="s">
        <v>5586</v>
      </c>
      <c r="W1549" t="s">
        <v>5649</v>
      </c>
      <c r="AC1549">
        <f>COUNTIF(C:C,QLKV_gui_ket_qua_ra_soat[[#This Row],[Mã điểm bán]])</f>
        <v>1</v>
      </c>
    </row>
    <row r="1550" spans="1:29" x14ac:dyDescent="0.45">
      <c r="A1550" t="s">
        <v>5578</v>
      </c>
      <c r="B1550">
        <v>1613</v>
      </c>
      <c r="C1550" t="s">
        <v>6017</v>
      </c>
      <c r="D1550" t="s">
        <v>6018</v>
      </c>
      <c r="E1550" t="s">
        <v>772</v>
      </c>
      <c r="F1550" t="s">
        <v>426</v>
      </c>
      <c r="G1550" t="s">
        <v>34</v>
      </c>
      <c r="H1550" t="s">
        <v>54</v>
      </c>
      <c r="I1550" t="s">
        <v>6019</v>
      </c>
      <c r="J1550" t="s">
        <v>38</v>
      </c>
      <c r="K1550" t="s">
        <v>38</v>
      </c>
      <c r="L1550" t="s">
        <v>40</v>
      </c>
      <c r="M1550" t="s">
        <v>38</v>
      </c>
      <c r="N1550" t="s">
        <v>38</v>
      </c>
      <c r="O1550" t="s">
        <v>40</v>
      </c>
      <c r="P1550" t="s">
        <v>38</v>
      </c>
      <c r="Q1550" t="s">
        <v>38</v>
      </c>
      <c r="R1550" t="s">
        <v>40</v>
      </c>
      <c r="S1550" t="s">
        <v>41</v>
      </c>
      <c r="T1550" t="s">
        <v>5766</v>
      </c>
      <c r="U1550" t="s">
        <v>5597</v>
      </c>
      <c r="V1550" t="s">
        <v>5586</v>
      </c>
      <c r="W1550" t="s">
        <v>5598</v>
      </c>
      <c r="AC1550">
        <f>COUNTIF(C:C,QLKV_gui_ket_qua_ra_soat[[#This Row],[Mã điểm bán]])</f>
        <v>1</v>
      </c>
    </row>
    <row r="1551" spans="1:29" x14ac:dyDescent="0.45">
      <c r="A1551" t="s">
        <v>5578</v>
      </c>
      <c r="B1551">
        <v>1630</v>
      </c>
      <c r="C1551" t="s">
        <v>6020</v>
      </c>
      <c r="D1551" t="s">
        <v>6021</v>
      </c>
      <c r="E1551" t="s">
        <v>523</v>
      </c>
      <c r="F1551" t="s">
        <v>426</v>
      </c>
      <c r="G1551" t="s">
        <v>177</v>
      </c>
      <c r="H1551" t="s">
        <v>3620</v>
      </c>
      <c r="I1551" t="s">
        <v>6022</v>
      </c>
      <c r="J1551" t="s">
        <v>37</v>
      </c>
      <c r="K1551" t="s">
        <v>37</v>
      </c>
      <c r="L1551" t="s">
        <v>39</v>
      </c>
      <c r="M1551" t="s">
        <v>38</v>
      </c>
      <c r="N1551" t="s">
        <v>37</v>
      </c>
      <c r="O1551" t="s">
        <v>39</v>
      </c>
      <c r="P1551" t="s">
        <v>37</v>
      </c>
      <c r="Q1551" t="s">
        <v>37</v>
      </c>
      <c r="R1551" t="s">
        <v>39</v>
      </c>
      <c r="S1551" t="s">
        <v>4751</v>
      </c>
      <c r="T1551" t="s">
        <v>5619</v>
      </c>
      <c r="U1551" t="s">
        <v>5620</v>
      </c>
      <c r="V1551" t="s">
        <v>5586</v>
      </c>
      <c r="W1551" t="s">
        <v>5621</v>
      </c>
      <c r="Z1551" t="s">
        <v>46</v>
      </c>
      <c r="AA1551" t="s">
        <v>5599</v>
      </c>
      <c r="AB1551" t="s">
        <v>3109</v>
      </c>
      <c r="AC1551">
        <f>COUNTIF(C:C,QLKV_gui_ket_qua_ra_soat[[#This Row],[Mã điểm bán]])</f>
        <v>1</v>
      </c>
    </row>
    <row r="1552" spans="1:29" x14ac:dyDescent="0.45">
      <c r="A1552" t="s">
        <v>5578</v>
      </c>
      <c r="B1552">
        <v>1636</v>
      </c>
      <c r="C1552" t="s">
        <v>6023</v>
      </c>
      <c r="D1552" t="s">
        <v>6024</v>
      </c>
      <c r="E1552" t="s">
        <v>190</v>
      </c>
      <c r="F1552" t="s">
        <v>70</v>
      </c>
      <c r="G1552" t="s">
        <v>177</v>
      </c>
      <c r="H1552" t="s">
        <v>54</v>
      </c>
      <c r="I1552" t="s">
        <v>6025</v>
      </c>
      <c r="J1552" t="s">
        <v>38</v>
      </c>
      <c r="K1552" t="s">
        <v>38</v>
      </c>
      <c r="L1552" t="s">
        <v>40</v>
      </c>
      <c r="M1552" t="s">
        <v>38</v>
      </c>
      <c r="N1552" t="s">
        <v>38</v>
      </c>
      <c r="O1552" t="s">
        <v>40</v>
      </c>
      <c r="P1552" t="s">
        <v>38</v>
      </c>
      <c r="Q1552" t="s">
        <v>38</v>
      </c>
      <c r="R1552" t="s">
        <v>40</v>
      </c>
      <c r="S1552" t="s">
        <v>41</v>
      </c>
      <c r="T1552" t="s">
        <v>5766</v>
      </c>
      <c r="U1552" t="s">
        <v>5597</v>
      </c>
      <c r="V1552" t="s">
        <v>5586</v>
      </c>
      <c r="W1552" t="s">
        <v>5598</v>
      </c>
      <c r="AC1552">
        <f>COUNTIF(C:C,QLKV_gui_ket_qua_ra_soat[[#This Row],[Mã điểm bán]])</f>
        <v>1</v>
      </c>
    </row>
    <row r="1553" spans="1:29" x14ac:dyDescent="0.45">
      <c r="A1553" t="s">
        <v>5578</v>
      </c>
      <c r="B1553">
        <v>1637</v>
      </c>
      <c r="C1553" t="s">
        <v>6026</v>
      </c>
      <c r="D1553" t="s">
        <v>6027</v>
      </c>
      <c r="E1553" t="s">
        <v>6028</v>
      </c>
      <c r="F1553" t="s">
        <v>3698</v>
      </c>
      <c r="G1553" t="s">
        <v>34</v>
      </c>
      <c r="H1553" t="s">
        <v>2294</v>
      </c>
      <c r="I1553" t="s">
        <v>6029</v>
      </c>
      <c r="J1553" t="s">
        <v>56</v>
      </c>
      <c r="K1553" t="s">
        <v>56</v>
      </c>
      <c r="L1553" t="s">
        <v>121</v>
      </c>
      <c r="M1553" t="s">
        <v>37</v>
      </c>
      <c r="N1553" t="s">
        <v>56</v>
      </c>
      <c r="O1553" t="s">
        <v>121</v>
      </c>
      <c r="P1553" t="s">
        <v>56</v>
      </c>
      <c r="Q1553" t="s">
        <v>37</v>
      </c>
      <c r="R1553" t="s">
        <v>39</v>
      </c>
      <c r="S1553" t="s">
        <v>41</v>
      </c>
      <c r="T1553" t="s">
        <v>5940</v>
      </c>
      <c r="U1553" t="s">
        <v>5640</v>
      </c>
      <c r="V1553" t="s">
        <v>5586</v>
      </c>
      <c r="W1553" t="s">
        <v>5565</v>
      </c>
      <c r="X1553" t="s">
        <v>46</v>
      </c>
      <c r="AC1553">
        <f>COUNTIF(C:C,QLKV_gui_ket_qua_ra_soat[[#This Row],[Mã điểm bán]])</f>
        <v>1</v>
      </c>
    </row>
    <row r="1554" spans="1:29" x14ac:dyDescent="0.45">
      <c r="A1554" t="s">
        <v>5578</v>
      </c>
      <c r="B1554">
        <v>1640</v>
      </c>
      <c r="C1554" t="s">
        <v>6030</v>
      </c>
      <c r="D1554" t="s">
        <v>6031</v>
      </c>
      <c r="E1554" t="s">
        <v>157</v>
      </c>
      <c r="F1554" t="s">
        <v>53</v>
      </c>
      <c r="G1554" t="s">
        <v>177</v>
      </c>
      <c r="H1554" t="s">
        <v>54</v>
      </c>
      <c r="I1554" t="s">
        <v>6032</v>
      </c>
      <c r="J1554" t="s">
        <v>38</v>
      </c>
      <c r="K1554" t="s">
        <v>38</v>
      </c>
      <c r="L1554" t="s">
        <v>40</v>
      </c>
      <c r="M1554" t="s">
        <v>38</v>
      </c>
      <c r="N1554" t="s">
        <v>37</v>
      </c>
      <c r="O1554" t="s">
        <v>40</v>
      </c>
      <c r="P1554" t="s">
        <v>38</v>
      </c>
      <c r="Q1554" t="s">
        <v>38</v>
      </c>
      <c r="R1554" t="s">
        <v>40</v>
      </c>
      <c r="S1554" t="s">
        <v>41</v>
      </c>
      <c r="T1554" t="s">
        <v>5766</v>
      </c>
      <c r="U1554" t="s">
        <v>5597</v>
      </c>
      <c r="V1554" t="s">
        <v>5586</v>
      </c>
      <c r="W1554" t="s">
        <v>5598</v>
      </c>
      <c r="X1554" t="s">
        <v>46</v>
      </c>
      <c r="AB1554" t="s">
        <v>3109</v>
      </c>
      <c r="AC1554">
        <f>COUNTIF(C:C,QLKV_gui_ket_qua_ra_soat[[#This Row],[Mã điểm bán]])</f>
        <v>1</v>
      </c>
    </row>
    <row r="1555" spans="1:29" x14ac:dyDescent="0.45">
      <c r="A1555" t="s">
        <v>5578</v>
      </c>
      <c r="B1555">
        <v>1650</v>
      </c>
      <c r="C1555" t="s">
        <v>6033</v>
      </c>
      <c r="D1555" t="s">
        <v>6034</v>
      </c>
      <c r="E1555" t="s">
        <v>87</v>
      </c>
      <c r="F1555" t="s">
        <v>53</v>
      </c>
      <c r="G1555" t="s">
        <v>177</v>
      </c>
      <c r="H1555" t="s">
        <v>54</v>
      </c>
      <c r="I1555" t="s">
        <v>6035</v>
      </c>
      <c r="J1555" t="s">
        <v>38</v>
      </c>
      <c r="K1555" t="s">
        <v>38</v>
      </c>
      <c r="L1555" t="s">
        <v>40</v>
      </c>
      <c r="M1555" t="s">
        <v>38</v>
      </c>
      <c r="N1555" t="s">
        <v>38</v>
      </c>
      <c r="O1555" t="s">
        <v>40</v>
      </c>
      <c r="P1555" t="s">
        <v>38</v>
      </c>
      <c r="Q1555" t="s">
        <v>37</v>
      </c>
      <c r="R1555" t="s">
        <v>40</v>
      </c>
      <c r="S1555" t="s">
        <v>41</v>
      </c>
      <c r="T1555" t="s">
        <v>5766</v>
      </c>
      <c r="U1555" t="s">
        <v>5597</v>
      </c>
      <c r="V1555" t="s">
        <v>5586</v>
      </c>
      <c r="W1555" t="s">
        <v>5598</v>
      </c>
      <c r="AC1555">
        <f>COUNTIF(C:C,QLKV_gui_ket_qua_ra_soat[[#This Row],[Mã điểm bán]])</f>
        <v>1</v>
      </c>
    </row>
    <row r="1556" spans="1:29" x14ac:dyDescent="0.45">
      <c r="A1556" t="s">
        <v>5578</v>
      </c>
      <c r="B1556">
        <v>1653</v>
      </c>
      <c r="C1556" t="s">
        <v>6036</v>
      </c>
      <c r="D1556" t="s">
        <v>6037</v>
      </c>
      <c r="E1556" t="s">
        <v>6028</v>
      </c>
      <c r="F1556" t="s">
        <v>3698</v>
      </c>
      <c r="G1556" t="s">
        <v>34</v>
      </c>
      <c r="H1556" t="s">
        <v>332</v>
      </c>
      <c r="I1556" t="s">
        <v>6029</v>
      </c>
      <c r="J1556" t="s">
        <v>56</v>
      </c>
      <c r="K1556" t="s">
        <v>56</v>
      </c>
      <c r="L1556" t="s">
        <v>121</v>
      </c>
      <c r="M1556" t="s">
        <v>37</v>
      </c>
      <c r="N1556" t="s">
        <v>775</v>
      </c>
      <c r="O1556" t="s">
        <v>121</v>
      </c>
      <c r="P1556" t="s">
        <v>56</v>
      </c>
      <c r="Q1556" t="s">
        <v>37</v>
      </c>
      <c r="R1556" t="s">
        <v>39</v>
      </c>
      <c r="S1556" t="s">
        <v>41</v>
      </c>
      <c r="T1556" t="s">
        <v>5940</v>
      </c>
      <c r="U1556" t="s">
        <v>5640</v>
      </c>
      <c r="V1556" t="s">
        <v>5586</v>
      </c>
      <c r="W1556" t="s">
        <v>5565</v>
      </c>
      <c r="X1556" t="s">
        <v>46</v>
      </c>
      <c r="AC1556">
        <f>COUNTIF(C:C,QLKV_gui_ket_qua_ra_soat[[#This Row],[Mã điểm bán]])</f>
        <v>1</v>
      </c>
    </row>
    <row r="1557" spans="1:29" x14ac:dyDescent="0.45">
      <c r="A1557" t="s">
        <v>5578</v>
      </c>
      <c r="B1557">
        <v>1668</v>
      </c>
      <c r="C1557" t="s">
        <v>6038</v>
      </c>
      <c r="D1557" t="s">
        <v>6039</v>
      </c>
      <c r="E1557" t="s">
        <v>728</v>
      </c>
      <c r="F1557" t="s">
        <v>666</v>
      </c>
      <c r="G1557" t="s">
        <v>34</v>
      </c>
      <c r="H1557" t="s">
        <v>319</v>
      </c>
      <c r="I1557" t="s">
        <v>6040</v>
      </c>
      <c r="J1557" t="s">
        <v>56</v>
      </c>
      <c r="K1557" t="s">
        <v>56</v>
      </c>
      <c r="L1557" t="s">
        <v>39</v>
      </c>
      <c r="M1557" t="s">
        <v>37</v>
      </c>
      <c r="N1557" t="s">
        <v>37</v>
      </c>
      <c r="O1557" t="s">
        <v>39</v>
      </c>
      <c r="P1557" t="s">
        <v>38</v>
      </c>
      <c r="Q1557" t="s">
        <v>38</v>
      </c>
      <c r="R1557" t="s">
        <v>40</v>
      </c>
      <c r="S1557" t="s">
        <v>41</v>
      </c>
      <c r="T1557" t="s">
        <v>5676</v>
      </c>
      <c r="U1557" t="s">
        <v>5677</v>
      </c>
      <c r="V1557" t="s">
        <v>5586</v>
      </c>
      <c r="W1557" t="s">
        <v>5607</v>
      </c>
      <c r="AC1557">
        <f>COUNTIF(C:C,QLKV_gui_ket_qua_ra_soat[[#This Row],[Mã điểm bán]])</f>
        <v>1</v>
      </c>
    </row>
    <row r="1558" spans="1:29" x14ac:dyDescent="0.45">
      <c r="A1558" t="s">
        <v>5578</v>
      </c>
      <c r="B1558">
        <v>1697</v>
      </c>
      <c r="C1558" t="s">
        <v>6041</v>
      </c>
      <c r="D1558" t="s">
        <v>6042</v>
      </c>
      <c r="E1558" t="s">
        <v>6043</v>
      </c>
      <c r="F1558" t="s">
        <v>115</v>
      </c>
      <c r="G1558" t="s">
        <v>150</v>
      </c>
      <c r="H1558" t="s">
        <v>1746</v>
      </c>
      <c r="I1558" t="s">
        <v>6044</v>
      </c>
      <c r="J1558" t="s">
        <v>37</v>
      </c>
      <c r="K1558" t="s">
        <v>38</v>
      </c>
      <c r="L1558" t="s">
        <v>39</v>
      </c>
      <c r="M1558" t="s">
        <v>775</v>
      </c>
      <c r="N1558" t="s">
        <v>37</v>
      </c>
      <c r="O1558" t="s">
        <v>39</v>
      </c>
      <c r="P1558" t="s">
        <v>38</v>
      </c>
      <c r="Q1558" t="s">
        <v>38</v>
      </c>
      <c r="R1558" t="s">
        <v>40</v>
      </c>
      <c r="S1558" t="s">
        <v>41</v>
      </c>
      <c r="T1558" t="s">
        <v>5605</v>
      </c>
      <c r="U1558" t="s">
        <v>5606</v>
      </c>
      <c r="V1558" t="s">
        <v>5586</v>
      </c>
      <c r="W1558" t="s">
        <v>5607</v>
      </c>
      <c r="AC1558">
        <f>COUNTIF(C:C,QLKV_gui_ket_qua_ra_soat[[#This Row],[Mã điểm bán]])</f>
        <v>1</v>
      </c>
    </row>
    <row r="1559" spans="1:29" x14ac:dyDescent="0.45">
      <c r="A1559" t="s">
        <v>5578</v>
      </c>
      <c r="B1559">
        <v>1711</v>
      </c>
      <c r="C1559" t="s">
        <v>6045</v>
      </c>
      <c r="D1559" t="s">
        <v>6046</v>
      </c>
      <c r="E1559" t="s">
        <v>2630</v>
      </c>
      <c r="F1559" t="s">
        <v>4061</v>
      </c>
      <c r="G1559" t="s">
        <v>34</v>
      </c>
      <c r="H1559" t="s">
        <v>1746</v>
      </c>
      <c r="I1559" t="s">
        <v>6047</v>
      </c>
      <c r="J1559" t="s">
        <v>38</v>
      </c>
      <c r="K1559" t="s">
        <v>38</v>
      </c>
      <c r="L1559" t="s">
        <v>40</v>
      </c>
      <c r="M1559" t="s">
        <v>37</v>
      </c>
      <c r="N1559" t="s">
        <v>37</v>
      </c>
      <c r="O1559" t="s">
        <v>39</v>
      </c>
      <c r="P1559" t="s">
        <v>38</v>
      </c>
      <c r="Q1559" t="s">
        <v>37</v>
      </c>
      <c r="R1559" t="s">
        <v>39</v>
      </c>
      <c r="S1559" t="s">
        <v>41</v>
      </c>
      <c r="T1559" t="s">
        <v>5711</v>
      </c>
      <c r="U1559" t="s">
        <v>5712</v>
      </c>
      <c r="V1559" t="s">
        <v>5586</v>
      </c>
      <c r="W1559" t="s">
        <v>5649</v>
      </c>
      <c r="Z1559" t="s">
        <v>46</v>
      </c>
      <c r="AA1559" t="s">
        <v>5678</v>
      </c>
      <c r="AB1559" t="s">
        <v>3109</v>
      </c>
      <c r="AC1559">
        <f>COUNTIF(C:C,QLKV_gui_ket_qua_ra_soat[[#This Row],[Mã điểm bán]])</f>
        <v>1</v>
      </c>
    </row>
    <row r="1560" spans="1:29" x14ac:dyDescent="0.45">
      <c r="A1560" t="s">
        <v>5578</v>
      </c>
      <c r="B1560">
        <v>1712</v>
      </c>
      <c r="C1560" t="s">
        <v>6048</v>
      </c>
      <c r="D1560" t="s">
        <v>6049</v>
      </c>
      <c r="E1560" t="s">
        <v>370</v>
      </c>
      <c r="F1560" t="s">
        <v>3764</v>
      </c>
      <c r="G1560" t="s">
        <v>34</v>
      </c>
      <c r="H1560" t="s">
        <v>319</v>
      </c>
      <c r="I1560" t="s">
        <v>6050</v>
      </c>
      <c r="J1560" t="s">
        <v>56</v>
      </c>
      <c r="K1560" t="s">
        <v>56</v>
      </c>
      <c r="L1560" t="s">
        <v>39</v>
      </c>
      <c r="M1560" t="s">
        <v>56</v>
      </c>
      <c r="N1560" t="s">
        <v>56</v>
      </c>
      <c r="O1560" t="s">
        <v>39</v>
      </c>
      <c r="P1560" t="s">
        <v>37</v>
      </c>
      <c r="Q1560" t="s">
        <v>37</v>
      </c>
      <c r="R1560" t="s">
        <v>39</v>
      </c>
      <c r="S1560" t="s">
        <v>41</v>
      </c>
      <c r="T1560" t="s">
        <v>5676</v>
      </c>
      <c r="U1560" t="s">
        <v>5677</v>
      </c>
      <c r="V1560" t="s">
        <v>5586</v>
      </c>
      <c r="W1560" t="s">
        <v>5607</v>
      </c>
      <c r="Z1560" t="s">
        <v>46</v>
      </c>
      <c r="AA1560" t="s">
        <v>5678</v>
      </c>
      <c r="AB1560" t="s">
        <v>3109</v>
      </c>
      <c r="AC1560">
        <f>COUNTIF(C:C,QLKV_gui_ket_qua_ra_soat[[#This Row],[Mã điểm bán]])</f>
        <v>1</v>
      </c>
    </row>
    <row r="1561" spans="1:29" x14ac:dyDescent="0.45">
      <c r="A1561" t="s">
        <v>5578</v>
      </c>
      <c r="B1561">
        <v>1714</v>
      </c>
      <c r="C1561" t="s">
        <v>6051</v>
      </c>
      <c r="D1561" t="s">
        <v>6052</v>
      </c>
      <c r="E1561" t="s">
        <v>2490</v>
      </c>
      <c r="F1561" t="s">
        <v>1385</v>
      </c>
      <c r="G1561" t="s">
        <v>177</v>
      </c>
      <c r="H1561" t="s">
        <v>54</v>
      </c>
      <c r="I1561" t="s">
        <v>6053</v>
      </c>
      <c r="J1561" t="s">
        <v>38</v>
      </c>
      <c r="K1561" t="s">
        <v>38</v>
      </c>
      <c r="L1561" t="s">
        <v>40</v>
      </c>
      <c r="M1561" t="s">
        <v>38</v>
      </c>
      <c r="N1561" t="s">
        <v>38</v>
      </c>
      <c r="O1561" t="s">
        <v>40</v>
      </c>
      <c r="P1561" t="s">
        <v>38</v>
      </c>
      <c r="Q1561" t="s">
        <v>38</v>
      </c>
      <c r="R1561" t="s">
        <v>40</v>
      </c>
      <c r="S1561" t="s">
        <v>41</v>
      </c>
      <c r="T1561" t="s">
        <v>5766</v>
      </c>
      <c r="U1561" t="s">
        <v>5597</v>
      </c>
      <c r="V1561" t="s">
        <v>5586</v>
      </c>
      <c r="W1561" t="s">
        <v>5598</v>
      </c>
      <c r="X1561" t="s">
        <v>46</v>
      </c>
      <c r="AB1561" t="s">
        <v>3109</v>
      </c>
      <c r="AC1561">
        <f>COUNTIF(C:C,QLKV_gui_ket_qua_ra_soat[[#This Row],[Mã điểm bán]])</f>
        <v>1</v>
      </c>
    </row>
    <row r="1562" spans="1:29" x14ac:dyDescent="0.45">
      <c r="A1562" t="s">
        <v>5578</v>
      </c>
      <c r="B1562">
        <v>1721</v>
      </c>
      <c r="C1562" t="s">
        <v>6054</v>
      </c>
      <c r="D1562" t="s">
        <v>6055</v>
      </c>
      <c r="E1562" t="s">
        <v>1695</v>
      </c>
      <c r="F1562" t="s">
        <v>3069</v>
      </c>
      <c r="G1562" t="s">
        <v>34</v>
      </c>
      <c r="H1562" t="s">
        <v>842</v>
      </c>
      <c r="I1562" t="s">
        <v>6056</v>
      </c>
      <c r="J1562" t="s">
        <v>38</v>
      </c>
      <c r="K1562" t="s">
        <v>38</v>
      </c>
      <c r="L1562" t="s">
        <v>40</v>
      </c>
      <c r="M1562" t="s">
        <v>37</v>
      </c>
      <c r="N1562" t="s">
        <v>37</v>
      </c>
      <c r="O1562" t="s">
        <v>39</v>
      </c>
      <c r="P1562" t="s">
        <v>38</v>
      </c>
      <c r="Q1562" t="s">
        <v>37</v>
      </c>
      <c r="R1562" t="s">
        <v>39</v>
      </c>
      <c r="S1562" t="s">
        <v>41</v>
      </c>
      <c r="T1562" t="s">
        <v>5711</v>
      </c>
      <c r="U1562" t="s">
        <v>5712</v>
      </c>
      <c r="V1562" t="s">
        <v>5586</v>
      </c>
      <c r="W1562" t="s">
        <v>5649</v>
      </c>
      <c r="Z1562" t="s">
        <v>46</v>
      </c>
      <c r="AA1562" t="s">
        <v>5678</v>
      </c>
      <c r="AB1562" t="s">
        <v>3109</v>
      </c>
      <c r="AC1562">
        <f>COUNTIF(C:C,QLKV_gui_ket_qua_ra_soat[[#This Row],[Mã điểm bán]])</f>
        <v>1</v>
      </c>
    </row>
    <row r="1563" spans="1:29" x14ac:dyDescent="0.45">
      <c r="A1563" t="s">
        <v>5578</v>
      </c>
      <c r="B1563">
        <v>1722</v>
      </c>
      <c r="C1563" t="s">
        <v>6057</v>
      </c>
      <c r="D1563" t="s">
        <v>6058</v>
      </c>
      <c r="E1563" t="s">
        <v>69</v>
      </c>
      <c r="F1563" t="s">
        <v>53</v>
      </c>
      <c r="G1563" t="s">
        <v>177</v>
      </c>
      <c r="H1563" t="s">
        <v>54</v>
      </c>
      <c r="I1563" t="s">
        <v>6059</v>
      </c>
      <c r="J1563" t="s">
        <v>38</v>
      </c>
      <c r="K1563" t="s">
        <v>38</v>
      </c>
      <c r="L1563" t="s">
        <v>40</v>
      </c>
      <c r="M1563" t="s">
        <v>38</v>
      </c>
      <c r="N1563" t="s">
        <v>38</v>
      </c>
      <c r="O1563" t="s">
        <v>40</v>
      </c>
      <c r="P1563" t="s">
        <v>38</v>
      </c>
      <c r="Q1563" t="s">
        <v>38</v>
      </c>
      <c r="R1563" t="s">
        <v>40</v>
      </c>
      <c r="S1563" t="s">
        <v>41</v>
      </c>
      <c r="T1563" t="s">
        <v>5766</v>
      </c>
      <c r="U1563" t="s">
        <v>5597</v>
      </c>
      <c r="V1563" t="s">
        <v>5586</v>
      </c>
      <c r="W1563" t="s">
        <v>5598</v>
      </c>
      <c r="AC1563">
        <f>COUNTIF(C:C,QLKV_gui_ket_qua_ra_soat[[#This Row],[Mã điểm bán]])</f>
        <v>1</v>
      </c>
    </row>
    <row r="1564" spans="1:29" x14ac:dyDescent="0.45">
      <c r="A1564" t="s">
        <v>5578</v>
      </c>
      <c r="B1564">
        <v>1731</v>
      </c>
      <c r="C1564" t="s">
        <v>6060</v>
      </c>
      <c r="D1564" t="s">
        <v>6061</v>
      </c>
      <c r="E1564" t="s">
        <v>291</v>
      </c>
      <c r="F1564" t="s">
        <v>115</v>
      </c>
      <c r="G1564" t="s">
        <v>177</v>
      </c>
      <c r="H1564" t="s">
        <v>54</v>
      </c>
      <c r="I1564" t="s">
        <v>6062</v>
      </c>
      <c r="J1564" t="s">
        <v>38</v>
      </c>
      <c r="K1564" t="s">
        <v>38</v>
      </c>
      <c r="L1564" t="s">
        <v>40</v>
      </c>
      <c r="M1564" t="s">
        <v>37</v>
      </c>
      <c r="N1564" t="s">
        <v>38</v>
      </c>
      <c r="O1564" t="s">
        <v>40</v>
      </c>
      <c r="P1564" t="s">
        <v>38</v>
      </c>
      <c r="Q1564" t="s">
        <v>38</v>
      </c>
      <c r="R1564" t="s">
        <v>40</v>
      </c>
      <c r="S1564" t="s">
        <v>41</v>
      </c>
      <c r="T1564" t="s">
        <v>5766</v>
      </c>
      <c r="U1564" t="s">
        <v>5597</v>
      </c>
      <c r="V1564" t="s">
        <v>5586</v>
      </c>
      <c r="W1564" t="s">
        <v>5598</v>
      </c>
      <c r="X1564" t="s">
        <v>46</v>
      </c>
      <c r="AB1564" t="s">
        <v>3109</v>
      </c>
      <c r="AC1564">
        <f>COUNTIF(C:C,QLKV_gui_ket_qua_ra_soat[[#This Row],[Mã điểm bán]])</f>
        <v>1</v>
      </c>
    </row>
    <row r="1565" spans="1:29" x14ac:dyDescent="0.45">
      <c r="A1565" t="s">
        <v>5578</v>
      </c>
      <c r="B1565">
        <v>1732</v>
      </c>
      <c r="C1565" t="s">
        <v>6063</v>
      </c>
      <c r="D1565" t="s">
        <v>6064</v>
      </c>
      <c r="E1565" t="s">
        <v>297</v>
      </c>
      <c r="F1565" t="s">
        <v>339</v>
      </c>
      <c r="G1565" t="s">
        <v>34</v>
      </c>
      <c r="H1565" t="s">
        <v>1746</v>
      </c>
      <c r="I1565" t="s">
        <v>6065</v>
      </c>
      <c r="J1565" t="s">
        <v>38</v>
      </c>
      <c r="K1565" t="s">
        <v>38</v>
      </c>
      <c r="L1565" t="s">
        <v>40</v>
      </c>
      <c r="M1565" t="s">
        <v>37</v>
      </c>
      <c r="N1565" t="s">
        <v>38</v>
      </c>
      <c r="O1565" t="s">
        <v>39</v>
      </c>
      <c r="P1565" t="s">
        <v>38</v>
      </c>
      <c r="Q1565" t="s">
        <v>37</v>
      </c>
      <c r="R1565" t="s">
        <v>39</v>
      </c>
      <c r="S1565" t="s">
        <v>41</v>
      </c>
      <c r="T1565" t="s">
        <v>5711</v>
      </c>
      <c r="U1565" t="s">
        <v>5712</v>
      </c>
      <c r="V1565" t="s">
        <v>5586</v>
      </c>
      <c r="W1565" t="s">
        <v>5649</v>
      </c>
      <c r="Z1565" t="s">
        <v>46</v>
      </c>
      <c r="AA1565" t="s">
        <v>5678</v>
      </c>
      <c r="AB1565" t="s">
        <v>4223</v>
      </c>
      <c r="AC1565">
        <f>COUNTIF(C:C,QLKV_gui_ket_qua_ra_soat[[#This Row],[Mã điểm bán]])</f>
        <v>1</v>
      </c>
    </row>
    <row r="1566" spans="1:29" x14ac:dyDescent="0.45">
      <c r="A1566" t="s">
        <v>5578</v>
      </c>
      <c r="B1566">
        <v>1741</v>
      </c>
      <c r="C1566" t="s">
        <v>6066</v>
      </c>
      <c r="D1566" t="s">
        <v>6067</v>
      </c>
      <c r="E1566" t="s">
        <v>2789</v>
      </c>
      <c r="F1566" t="s">
        <v>280</v>
      </c>
      <c r="G1566" t="s">
        <v>34</v>
      </c>
      <c r="H1566" t="s">
        <v>214</v>
      </c>
      <c r="I1566" t="s">
        <v>6068</v>
      </c>
      <c r="J1566" t="s">
        <v>37</v>
      </c>
      <c r="K1566" t="s">
        <v>37</v>
      </c>
      <c r="L1566" t="s">
        <v>39</v>
      </c>
      <c r="M1566" t="s">
        <v>37</v>
      </c>
      <c r="N1566" t="s">
        <v>37</v>
      </c>
      <c r="O1566" t="s">
        <v>40</v>
      </c>
      <c r="P1566" t="s">
        <v>38</v>
      </c>
      <c r="Q1566" t="s">
        <v>38</v>
      </c>
      <c r="R1566" t="s">
        <v>40</v>
      </c>
      <c r="S1566" t="s">
        <v>41</v>
      </c>
      <c r="T1566" t="s">
        <v>5766</v>
      </c>
      <c r="U1566" t="s">
        <v>5597</v>
      </c>
      <c r="V1566" t="s">
        <v>5586</v>
      </c>
      <c r="W1566" t="s">
        <v>5598</v>
      </c>
      <c r="X1566" t="s">
        <v>46</v>
      </c>
      <c r="AB1566" t="s">
        <v>4223</v>
      </c>
      <c r="AC1566">
        <f>COUNTIF(C:C,QLKV_gui_ket_qua_ra_soat[[#This Row],[Mã điểm bán]])</f>
        <v>1</v>
      </c>
    </row>
    <row r="1567" spans="1:29" x14ac:dyDescent="0.45">
      <c r="A1567" t="s">
        <v>5578</v>
      </c>
      <c r="B1567">
        <v>1748</v>
      </c>
      <c r="C1567" t="s">
        <v>6069</v>
      </c>
      <c r="D1567" t="s">
        <v>6070</v>
      </c>
      <c r="E1567" t="s">
        <v>223</v>
      </c>
      <c r="F1567" t="s">
        <v>6071</v>
      </c>
      <c r="G1567" t="s">
        <v>34</v>
      </c>
      <c r="H1567" t="s">
        <v>171</v>
      </c>
      <c r="I1567" t="s">
        <v>6072</v>
      </c>
      <c r="J1567" t="s">
        <v>38</v>
      </c>
      <c r="K1567" t="s">
        <v>38</v>
      </c>
      <c r="L1567" t="s">
        <v>40</v>
      </c>
      <c r="M1567" t="s">
        <v>37</v>
      </c>
      <c r="N1567" t="s">
        <v>37</v>
      </c>
      <c r="O1567" t="s">
        <v>40</v>
      </c>
      <c r="P1567" t="s">
        <v>38</v>
      </c>
      <c r="Q1567" t="s">
        <v>38</v>
      </c>
      <c r="R1567" t="s">
        <v>40</v>
      </c>
      <c r="S1567" t="s">
        <v>41</v>
      </c>
      <c r="T1567" t="s">
        <v>5766</v>
      </c>
      <c r="U1567" t="s">
        <v>5597</v>
      </c>
      <c r="V1567" t="s">
        <v>5586</v>
      </c>
      <c r="W1567" t="s">
        <v>5598</v>
      </c>
      <c r="X1567" t="s">
        <v>46</v>
      </c>
      <c r="AB1567" t="s">
        <v>4223</v>
      </c>
      <c r="AC1567">
        <f>COUNTIF(C:C,QLKV_gui_ket_qua_ra_soat[[#This Row],[Mã điểm bán]])</f>
        <v>1</v>
      </c>
    </row>
    <row r="1568" spans="1:29" x14ac:dyDescent="0.45">
      <c r="A1568" t="s">
        <v>5578</v>
      </c>
      <c r="B1568">
        <v>1755</v>
      </c>
      <c r="C1568" t="s">
        <v>6073</v>
      </c>
      <c r="D1568" t="s">
        <v>6074</v>
      </c>
      <c r="E1568" t="s">
        <v>157</v>
      </c>
      <c r="F1568" t="s">
        <v>930</v>
      </c>
      <c r="G1568" t="s">
        <v>34</v>
      </c>
      <c r="H1568" t="s">
        <v>54</v>
      </c>
      <c r="I1568" t="s">
        <v>6075</v>
      </c>
      <c r="J1568" t="s">
        <v>38</v>
      </c>
      <c r="K1568" t="s">
        <v>38</v>
      </c>
      <c r="L1568" t="s">
        <v>39</v>
      </c>
      <c r="M1568" t="s">
        <v>38</v>
      </c>
      <c r="N1568" t="s">
        <v>38</v>
      </c>
      <c r="O1568" t="s">
        <v>39</v>
      </c>
      <c r="P1568" t="s">
        <v>38</v>
      </c>
      <c r="Q1568" t="s">
        <v>38</v>
      </c>
      <c r="R1568" t="s">
        <v>40</v>
      </c>
      <c r="S1568" t="s">
        <v>41</v>
      </c>
      <c r="T1568" t="s">
        <v>5596</v>
      </c>
      <c r="U1568" t="s">
        <v>5597</v>
      </c>
      <c r="V1568" t="s">
        <v>5586</v>
      </c>
      <c r="W1568" t="s">
        <v>5598</v>
      </c>
      <c r="Z1568" t="s">
        <v>46</v>
      </c>
      <c r="AA1568" t="s">
        <v>5599</v>
      </c>
      <c r="AB1568" t="s">
        <v>3109</v>
      </c>
      <c r="AC1568">
        <f>COUNTIF(C:C,QLKV_gui_ket_qua_ra_soat[[#This Row],[Mã điểm bán]])</f>
        <v>1</v>
      </c>
    </row>
    <row r="1569" spans="1:29" x14ac:dyDescent="0.45">
      <c r="A1569" t="s">
        <v>5578</v>
      </c>
      <c r="B1569">
        <v>1759</v>
      </c>
      <c r="C1569" t="s">
        <v>6076</v>
      </c>
      <c r="D1569" t="s">
        <v>6077</v>
      </c>
      <c r="E1569" t="s">
        <v>771</v>
      </c>
      <c r="F1569" t="s">
        <v>3522</v>
      </c>
      <c r="G1569" t="s">
        <v>34</v>
      </c>
      <c r="H1569" t="s">
        <v>214</v>
      </c>
      <c r="I1569" t="s">
        <v>6078</v>
      </c>
      <c r="J1569" t="s">
        <v>38</v>
      </c>
      <c r="K1569" t="s">
        <v>38</v>
      </c>
      <c r="L1569" t="s">
        <v>40</v>
      </c>
      <c r="M1569" t="s">
        <v>38</v>
      </c>
      <c r="N1569" t="s">
        <v>38</v>
      </c>
      <c r="O1569" t="s">
        <v>40</v>
      </c>
      <c r="P1569" t="s">
        <v>38</v>
      </c>
      <c r="Q1569" t="s">
        <v>38</v>
      </c>
      <c r="R1569" t="s">
        <v>40</v>
      </c>
      <c r="S1569" t="s">
        <v>41</v>
      </c>
      <c r="T1569" t="s">
        <v>5766</v>
      </c>
      <c r="U1569" t="s">
        <v>5597</v>
      </c>
      <c r="V1569" t="s">
        <v>5586</v>
      </c>
      <c r="W1569" t="s">
        <v>5598</v>
      </c>
      <c r="Z1569" t="s">
        <v>46</v>
      </c>
      <c r="AA1569" t="s">
        <v>5599</v>
      </c>
      <c r="AB1569" t="s">
        <v>4223</v>
      </c>
      <c r="AC1569">
        <f>COUNTIF(C:C,QLKV_gui_ket_qua_ra_soat[[#This Row],[Mã điểm bán]])</f>
        <v>1</v>
      </c>
    </row>
    <row r="1570" spans="1:29" x14ac:dyDescent="0.45">
      <c r="A1570" t="s">
        <v>5578</v>
      </c>
      <c r="B1570">
        <v>1764</v>
      </c>
      <c r="C1570" t="s">
        <v>6079</v>
      </c>
      <c r="D1570" t="s">
        <v>6080</v>
      </c>
      <c r="E1570" t="s">
        <v>6081</v>
      </c>
      <c r="F1570" t="s">
        <v>6082</v>
      </c>
      <c r="G1570" t="s">
        <v>150</v>
      </c>
      <c r="H1570" t="s">
        <v>54</v>
      </c>
      <c r="I1570" t="s">
        <v>6083</v>
      </c>
      <c r="J1570" t="s">
        <v>38</v>
      </c>
      <c r="K1570" t="s">
        <v>38</v>
      </c>
      <c r="L1570" t="s">
        <v>39</v>
      </c>
      <c r="M1570" t="s">
        <v>56</v>
      </c>
      <c r="N1570" t="s">
        <v>38</v>
      </c>
      <c r="O1570" t="s">
        <v>39</v>
      </c>
      <c r="P1570" t="s">
        <v>38</v>
      </c>
      <c r="Q1570" t="s">
        <v>37</v>
      </c>
      <c r="R1570" t="s">
        <v>39</v>
      </c>
      <c r="S1570" t="s">
        <v>41</v>
      </c>
      <c r="T1570" t="s">
        <v>5647</v>
      </c>
      <c r="U1570" t="s">
        <v>5648</v>
      </c>
      <c r="V1570" t="s">
        <v>5586</v>
      </c>
      <c r="W1570" t="s">
        <v>5649</v>
      </c>
      <c r="AC1570">
        <f>COUNTIF(C:C,QLKV_gui_ket_qua_ra_soat[[#This Row],[Mã điểm bán]])</f>
        <v>1</v>
      </c>
    </row>
    <row r="1571" spans="1:29" x14ac:dyDescent="0.45">
      <c r="A1571" t="s">
        <v>5578</v>
      </c>
      <c r="B1571">
        <v>1771</v>
      </c>
      <c r="C1571" t="s">
        <v>6084</v>
      </c>
      <c r="D1571" t="s">
        <v>6085</v>
      </c>
      <c r="E1571" t="s">
        <v>6086</v>
      </c>
      <c r="F1571" t="s">
        <v>6087</v>
      </c>
      <c r="G1571" t="s">
        <v>1624</v>
      </c>
      <c r="H1571" t="s">
        <v>1188</v>
      </c>
      <c r="I1571" t="s">
        <v>6088</v>
      </c>
      <c r="J1571" t="s">
        <v>56</v>
      </c>
      <c r="K1571" t="s">
        <v>56</v>
      </c>
      <c r="L1571" t="s">
        <v>39</v>
      </c>
      <c r="M1571" t="s">
        <v>37</v>
      </c>
      <c r="N1571" t="s">
        <v>37</v>
      </c>
      <c r="O1571" t="s">
        <v>39</v>
      </c>
      <c r="P1571" t="s">
        <v>38</v>
      </c>
      <c r="Q1571" t="s">
        <v>38</v>
      </c>
      <c r="R1571" t="s">
        <v>40</v>
      </c>
      <c r="S1571" t="s">
        <v>41</v>
      </c>
      <c r="T1571" t="s">
        <v>5676</v>
      </c>
      <c r="U1571" t="s">
        <v>5677</v>
      </c>
      <c r="V1571" t="s">
        <v>5586</v>
      </c>
      <c r="W1571" t="s">
        <v>5607</v>
      </c>
      <c r="Z1571" t="s">
        <v>46</v>
      </c>
      <c r="AA1571" t="s">
        <v>5678</v>
      </c>
      <c r="AB1571" t="s">
        <v>3109</v>
      </c>
      <c r="AC1571">
        <f>COUNTIF(C:C,QLKV_gui_ket_qua_ra_soat[[#This Row],[Mã điểm bán]])</f>
        <v>1</v>
      </c>
    </row>
    <row r="1572" spans="1:29" x14ac:dyDescent="0.45">
      <c r="A1572" t="s">
        <v>5578</v>
      </c>
      <c r="B1572">
        <v>1776</v>
      </c>
      <c r="C1572" t="s">
        <v>6089</v>
      </c>
      <c r="D1572" t="s">
        <v>6090</v>
      </c>
      <c r="E1572" t="s">
        <v>304</v>
      </c>
      <c r="F1572" t="s">
        <v>53</v>
      </c>
      <c r="G1572" t="s">
        <v>177</v>
      </c>
      <c r="H1572" t="s">
        <v>54</v>
      </c>
      <c r="I1572" t="s">
        <v>5973</v>
      </c>
      <c r="J1572" t="s">
        <v>38</v>
      </c>
      <c r="K1572" t="s">
        <v>38</v>
      </c>
      <c r="L1572" t="s">
        <v>39</v>
      </c>
      <c r="M1572" t="s">
        <v>38</v>
      </c>
      <c r="N1572" t="s">
        <v>38</v>
      </c>
      <c r="O1572" t="s">
        <v>39</v>
      </c>
      <c r="P1572" t="s">
        <v>38</v>
      </c>
      <c r="Q1572" t="s">
        <v>38</v>
      </c>
      <c r="R1572" t="s">
        <v>40</v>
      </c>
      <c r="S1572" t="s">
        <v>41</v>
      </c>
      <c r="T1572" t="s">
        <v>5596</v>
      </c>
      <c r="U1572" t="s">
        <v>5597</v>
      </c>
      <c r="V1572" t="s">
        <v>5586</v>
      </c>
      <c r="W1572" t="s">
        <v>5598</v>
      </c>
      <c r="X1572" t="s">
        <v>46</v>
      </c>
      <c r="AB1572" t="s">
        <v>3109</v>
      </c>
      <c r="AC1572">
        <f>COUNTIF(C:C,QLKV_gui_ket_qua_ra_soat[[#This Row],[Mã điểm bán]])</f>
        <v>1</v>
      </c>
    </row>
    <row r="1573" spans="1:29" x14ac:dyDescent="0.45">
      <c r="A1573" t="s">
        <v>5578</v>
      </c>
      <c r="B1573">
        <v>1777</v>
      </c>
      <c r="C1573" t="s">
        <v>6091</v>
      </c>
      <c r="D1573" t="s">
        <v>6092</v>
      </c>
      <c r="E1573" t="s">
        <v>6093</v>
      </c>
      <c r="F1573" t="s">
        <v>5123</v>
      </c>
      <c r="G1573" t="s">
        <v>34</v>
      </c>
      <c r="H1573" t="s">
        <v>1542</v>
      </c>
      <c r="I1573" t="s">
        <v>6094</v>
      </c>
      <c r="J1573" t="s">
        <v>56</v>
      </c>
      <c r="K1573" t="s">
        <v>56</v>
      </c>
      <c r="L1573" t="s">
        <v>39</v>
      </c>
      <c r="M1573" t="s">
        <v>37</v>
      </c>
      <c r="N1573" t="s">
        <v>37</v>
      </c>
      <c r="O1573" t="s">
        <v>39</v>
      </c>
      <c r="P1573" t="s">
        <v>38</v>
      </c>
      <c r="Q1573" t="s">
        <v>38</v>
      </c>
      <c r="R1573" t="s">
        <v>40</v>
      </c>
      <c r="S1573" t="s">
        <v>41</v>
      </c>
      <c r="T1573" t="s">
        <v>5676</v>
      </c>
      <c r="U1573" t="s">
        <v>5677</v>
      </c>
      <c r="V1573" t="s">
        <v>5586</v>
      </c>
      <c r="W1573" t="s">
        <v>5607</v>
      </c>
      <c r="AC1573">
        <f>COUNTIF(C:C,QLKV_gui_ket_qua_ra_soat[[#This Row],[Mã điểm bán]])</f>
        <v>1</v>
      </c>
    </row>
    <row r="1574" spans="1:29" x14ac:dyDescent="0.45">
      <c r="A1574" t="s">
        <v>5578</v>
      </c>
      <c r="B1574">
        <v>1804</v>
      </c>
      <c r="C1574" t="s">
        <v>6095</v>
      </c>
      <c r="D1574" t="s">
        <v>6096</v>
      </c>
      <c r="E1574" t="s">
        <v>128</v>
      </c>
      <c r="F1574" t="s">
        <v>401</v>
      </c>
      <c r="G1574" t="s">
        <v>150</v>
      </c>
      <c r="H1574" t="s">
        <v>1280</v>
      </c>
      <c r="I1574" t="s">
        <v>6097</v>
      </c>
      <c r="J1574" t="s">
        <v>56</v>
      </c>
      <c r="K1574" t="s">
        <v>56</v>
      </c>
      <c r="L1574" t="s">
        <v>39</v>
      </c>
      <c r="M1574" t="s">
        <v>37</v>
      </c>
      <c r="N1574" t="s">
        <v>37</v>
      </c>
      <c r="O1574" t="s">
        <v>39</v>
      </c>
      <c r="P1574" t="s">
        <v>38</v>
      </c>
      <c r="Q1574" t="s">
        <v>38</v>
      </c>
      <c r="R1574" t="s">
        <v>40</v>
      </c>
      <c r="S1574" t="s">
        <v>41</v>
      </c>
      <c r="T1574" t="s">
        <v>5676</v>
      </c>
      <c r="U1574" t="s">
        <v>5677</v>
      </c>
      <c r="V1574" t="s">
        <v>5586</v>
      </c>
      <c r="W1574" t="s">
        <v>5607</v>
      </c>
      <c r="Z1574" t="s">
        <v>46</v>
      </c>
      <c r="AA1574" t="s">
        <v>5678</v>
      </c>
      <c r="AB1574" t="s">
        <v>5658</v>
      </c>
      <c r="AC1574">
        <f>COUNTIF(C:C,QLKV_gui_ket_qua_ra_soat[[#This Row],[Mã điểm bán]])</f>
        <v>1</v>
      </c>
    </row>
    <row r="1575" spans="1:29" x14ac:dyDescent="0.45">
      <c r="A1575" t="s">
        <v>5578</v>
      </c>
      <c r="B1575">
        <v>1813</v>
      </c>
      <c r="C1575" t="s">
        <v>6098</v>
      </c>
      <c r="D1575" t="s">
        <v>6099</v>
      </c>
      <c r="E1575" t="s">
        <v>789</v>
      </c>
      <c r="F1575" t="s">
        <v>2902</v>
      </c>
      <c r="G1575" t="s">
        <v>34</v>
      </c>
      <c r="H1575" t="s">
        <v>54</v>
      </c>
      <c r="I1575" t="s">
        <v>6100</v>
      </c>
      <c r="J1575" t="s">
        <v>38</v>
      </c>
      <c r="K1575" t="s">
        <v>38</v>
      </c>
      <c r="L1575" t="s">
        <v>39</v>
      </c>
      <c r="M1575" t="s">
        <v>38</v>
      </c>
      <c r="N1575" t="s">
        <v>38</v>
      </c>
      <c r="O1575" t="s">
        <v>39</v>
      </c>
      <c r="P1575" t="s">
        <v>38</v>
      </c>
      <c r="Q1575" t="s">
        <v>38</v>
      </c>
      <c r="R1575" t="s">
        <v>39</v>
      </c>
      <c r="S1575" t="s">
        <v>41</v>
      </c>
      <c r="T1575" t="s">
        <v>5596</v>
      </c>
      <c r="U1575" t="s">
        <v>5597</v>
      </c>
      <c r="V1575" t="s">
        <v>5586</v>
      </c>
      <c r="W1575" t="s">
        <v>5598</v>
      </c>
      <c r="X1575" t="s">
        <v>46</v>
      </c>
      <c r="AB1575" t="s">
        <v>4223</v>
      </c>
      <c r="AC1575">
        <f>COUNTIF(C:C,QLKV_gui_ket_qua_ra_soat[[#This Row],[Mã điểm bán]])</f>
        <v>1</v>
      </c>
    </row>
    <row r="1576" spans="1:29" x14ac:dyDescent="0.45">
      <c r="A1576" t="s">
        <v>5578</v>
      </c>
      <c r="B1576">
        <v>1817</v>
      </c>
      <c r="C1576" t="s">
        <v>6101</v>
      </c>
      <c r="D1576" t="s">
        <v>6102</v>
      </c>
      <c r="E1576" t="s">
        <v>113</v>
      </c>
      <c r="F1576" t="s">
        <v>53</v>
      </c>
      <c r="G1576" t="s">
        <v>34</v>
      </c>
      <c r="H1576" t="s">
        <v>171</v>
      </c>
      <c r="I1576" t="s">
        <v>6103</v>
      </c>
      <c r="J1576" t="s">
        <v>38</v>
      </c>
      <c r="K1576" t="s">
        <v>38</v>
      </c>
      <c r="L1576" t="s">
        <v>40</v>
      </c>
      <c r="M1576" t="s">
        <v>37</v>
      </c>
      <c r="N1576" t="s">
        <v>37</v>
      </c>
      <c r="O1576" t="s">
        <v>39</v>
      </c>
      <c r="P1576" t="s">
        <v>38</v>
      </c>
      <c r="Q1576" t="s">
        <v>37</v>
      </c>
      <c r="R1576" t="s">
        <v>39</v>
      </c>
      <c r="S1576" t="s">
        <v>41</v>
      </c>
      <c r="T1576" t="s">
        <v>5711</v>
      </c>
      <c r="U1576" t="s">
        <v>5712</v>
      </c>
      <c r="V1576" t="s">
        <v>5586</v>
      </c>
      <c r="W1576" t="s">
        <v>5649</v>
      </c>
      <c r="AC1576">
        <f>COUNTIF(C:C,QLKV_gui_ket_qua_ra_soat[[#This Row],[Mã điểm bán]])</f>
        <v>1</v>
      </c>
    </row>
    <row r="1577" spans="1:29" x14ac:dyDescent="0.45">
      <c r="A1577" t="s">
        <v>5578</v>
      </c>
      <c r="B1577">
        <v>1821</v>
      </c>
      <c r="C1577" t="s">
        <v>6104</v>
      </c>
      <c r="D1577" t="s">
        <v>6105</v>
      </c>
      <c r="E1577" t="s">
        <v>297</v>
      </c>
      <c r="F1577" t="s">
        <v>401</v>
      </c>
      <c r="G1577" t="s">
        <v>177</v>
      </c>
      <c r="H1577" t="s">
        <v>54</v>
      </c>
      <c r="I1577" t="s">
        <v>6106</v>
      </c>
      <c r="J1577" t="s">
        <v>38</v>
      </c>
      <c r="K1577" t="s">
        <v>38</v>
      </c>
      <c r="L1577" t="s">
        <v>39</v>
      </c>
      <c r="M1577" t="s">
        <v>38</v>
      </c>
      <c r="N1577" t="s">
        <v>38</v>
      </c>
      <c r="O1577" t="s">
        <v>39</v>
      </c>
      <c r="P1577" t="s">
        <v>38</v>
      </c>
      <c r="Q1577" t="s">
        <v>38</v>
      </c>
      <c r="R1577" t="s">
        <v>40</v>
      </c>
      <c r="S1577" t="s">
        <v>41</v>
      </c>
      <c r="T1577" t="s">
        <v>5596</v>
      </c>
      <c r="U1577" t="s">
        <v>5597</v>
      </c>
      <c r="V1577" t="s">
        <v>5586</v>
      </c>
      <c r="W1577" t="s">
        <v>5598</v>
      </c>
      <c r="X1577" t="s">
        <v>46</v>
      </c>
      <c r="AB1577" t="s">
        <v>3109</v>
      </c>
      <c r="AC1577">
        <f>COUNTIF(C:C,QLKV_gui_ket_qua_ra_soat[[#This Row],[Mã điểm bán]])</f>
        <v>1</v>
      </c>
    </row>
    <row r="1578" spans="1:29" x14ac:dyDescent="0.45">
      <c r="A1578" t="s">
        <v>5578</v>
      </c>
      <c r="B1578">
        <v>1830</v>
      </c>
      <c r="C1578" t="s">
        <v>6107</v>
      </c>
      <c r="D1578" t="s">
        <v>6108</v>
      </c>
      <c r="E1578" t="s">
        <v>2011</v>
      </c>
      <c r="F1578" t="s">
        <v>461</v>
      </c>
      <c r="G1578" t="s">
        <v>1624</v>
      </c>
      <c r="H1578" t="s">
        <v>54</v>
      </c>
      <c r="I1578" t="s">
        <v>6109</v>
      </c>
      <c r="J1578" t="s">
        <v>37</v>
      </c>
      <c r="K1578" t="s">
        <v>38</v>
      </c>
      <c r="L1578" t="s">
        <v>39</v>
      </c>
      <c r="M1578" t="s">
        <v>56</v>
      </c>
      <c r="N1578" t="s">
        <v>56</v>
      </c>
      <c r="O1578" t="s">
        <v>121</v>
      </c>
      <c r="P1578" t="s">
        <v>38</v>
      </c>
      <c r="Q1578" t="s">
        <v>38</v>
      </c>
      <c r="R1578" t="s">
        <v>39</v>
      </c>
      <c r="S1578" t="s">
        <v>41</v>
      </c>
      <c r="T1578" t="s">
        <v>5647</v>
      </c>
      <c r="U1578" t="s">
        <v>5648</v>
      </c>
      <c r="V1578" t="s">
        <v>5586</v>
      </c>
      <c r="W1578" t="s">
        <v>5649</v>
      </c>
      <c r="AC1578">
        <f>COUNTIF(C:C,QLKV_gui_ket_qua_ra_soat[[#This Row],[Mã điểm bán]])</f>
        <v>1</v>
      </c>
    </row>
    <row r="1579" spans="1:29" x14ac:dyDescent="0.45">
      <c r="A1579" t="s">
        <v>5578</v>
      </c>
      <c r="B1579">
        <v>1834</v>
      </c>
      <c r="C1579" t="s">
        <v>6110</v>
      </c>
      <c r="D1579" t="s">
        <v>6111</v>
      </c>
      <c r="E1579" t="s">
        <v>92</v>
      </c>
      <c r="F1579" t="s">
        <v>884</v>
      </c>
      <c r="G1579" t="s">
        <v>34</v>
      </c>
      <c r="H1579" t="s">
        <v>863</v>
      </c>
      <c r="I1579" t="s">
        <v>6112</v>
      </c>
      <c r="J1579" t="s">
        <v>38</v>
      </c>
      <c r="K1579" t="s">
        <v>38</v>
      </c>
      <c r="L1579" t="s">
        <v>40</v>
      </c>
      <c r="M1579" t="s">
        <v>37</v>
      </c>
      <c r="N1579" t="s">
        <v>37</v>
      </c>
      <c r="O1579" t="s">
        <v>39</v>
      </c>
      <c r="P1579" t="s">
        <v>38</v>
      </c>
      <c r="Q1579" t="s">
        <v>37</v>
      </c>
      <c r="R1579" t="s">
        <v>40</v>
      </c>
      <c r="S1579" t="s">
        <v>41</v>
      </c>
      <c r="T1579" t="s">
        <v>5711</v>
      </c>
      <c r="U1579" t="s">
        <v>5712</v>
      </c>
      <c r="V1579" t="s">
        <v>5586</v>
      </c>
      <c r="W1579" t="s">
        <v>5649</v>
      </c>
      <c r="AC1579">
        <f>COUNTIF(C:C,QLKV_gui_ket_qua_ra_soat[[#This Row],[Mã điểm bán]])</f>
        <v>1</v>
      </c>
    </row>
    <row r="1580" spans="1:29" x14ac:dyDescent="0.45">
      <c r="A1580" t="s">
        <v>5578</v>
      </c>
      <c r="B1580">
        <v>1846</v>
      </c>
      <c r="C1580" t="s">
        <v>6113</v>
      </c>
      <c r="D1580" t="s">
        <v>3790</v>
      </c>
      <c r="E1580" t="s">
        <v>296</v>
      </c>
      <c r="F1580" t="s">
        <v>292</v>
      </c>
      <c r="G1580" t="s">
        <v>177</v>
      </c>
      <c r="H1580" t="s">
        <v>214</v>
      </c>
      <c r="I1580" t="s">
        <v>6114</v>
      </c>
      <c r="J1580" t="s">
        <v>38</v>
      </c>
      <c r="K1580" t="s">
        <v>38</v>
      </c>
      <c r="L1580" t="s">
        <v>40</v>
      </c>
      <c r="M1580" t="s">
        <v>37</v>
      </c>
      <c r="N1580" t="s">
        <v>37</v>
      </c>
      <c r="O1580" t="s">
        <v>39</v>
      </c>
      <c r="P1580" t="s">
        <v>38</v>
      </c>
      <c r="Q1580" t="s">
        <v>37</v>
      </c>
      <c r="R1580" t="s">
        <v>39</v>
      </c>
      <c r="S1580" t="s">
        <v>41</v>
      </c>
      <c r="T1580" t="s">
        <v>5711</v>
      </c>
      <c r="U1580" t="s">
        <v>5712</v>
      </c>
      <c r="V1580" t="s">
        <v>5586</v>
      </c>
      <c r="W1580" t="s">
        <v>5649</v>
      </c>
      <c r="Z1580" t="s">
        <v>46</v>
      </c>
      <c r="AA1580" t="s">
        <v>5678</v>
      </c>
      <c r="AB1580" t="s">
        <v>3109</v>
      </c>
      <c r="AC1580">
        <f>COUNTIF(C:C,QLKV_gui_ket_qua_ra_soat[[#This Row],[Mã điểm bán]])</f>
        <v>1</v>
      </c>
    </row>
    <row r="1581" spans="1:29" x14ac:dyDescent="0.45">
      <c r="A1581" t="s">
        <v>5578</v>
      </c>
      <c r="B1581">
        <v>1866</v>
      </c>
      <c r="C1581" t="s">
        <v>6115</v>
      </c>
      <c r="D1581" t="s">
        <v>6116</v>
      </c>
      <c r="E1581" t="s">
        <v>6117</v>
      </c>
      <c r="F1581" t="s">
        <v>166</v>
      </c>
      <c r="G1581" t="s">
        <v>34</v>
      </c>
      <c r="H1581" t="s">
        <v>54</v>
      </c>
      <c r="I1581" t="s">
        <v>6118</v>
      </c>
      <c r="J1581" t="s">
        <v>38</v>
      </c>
      <c r="K1581" t="s">
        <v>38</v>
      </c>
      <c r="L1581" t="s">
        <v>40</v>
      </c>
      <c r="M1581" t="s">
        <v>37</v>
      </c>
      <c r="N1581" t="s">
        <v>37</v>
      </c>
      <c r="O1581" t="s">
        <v>39</v>
      </c>
      <c r="P1581" t="s">
        <v>37</v>
      </c>
      <c r="Q1581" t="s">
        <v>37</v>
      </c>
      <c r="R1581" t="s">
        <v>39</v>
      </c>
      <c r="S1581" t="s">
        <v>41</v>
      </c>
      <c r="T1581" t="s">
        <v>5916</v>
      </c>
      <c r="U1581" t="s">
        <v>5917</v>
      </c>
      <c r="V1581" t="s">
        <v>5586</v>
      </c>
      <c r="W1581" t="s">
        <v>5598</v>
      </c>
      <c r="AC1581">
        <f>COUNTIF(C:C,QLKV_gui_ket_qua_ra_soat[[#This Row],[Mã điểm bán]])</f>
        <v>1</v>
      </c>
    </row>
    <row r="1582" spans="1:29" x14ac:dyDescent="0.45">
      <c r="A1582" t="s">
        <v>5578</v>
      </c>
      <c r="B1582">
        <v>1868</v>
      </c>
      <c r="C1582" t="s">
        <v>6119</v>
      </c>
      <c r="D1582" t="s">
        <v>6120</v>
      </c>
      <c r="E1582" t="s">
        <v>68</v>
      </c>
      <c r="F1582" t="s">
        <v>115</v>
      </c>
      <c r="G1582" t="s">
        <v>177</v>
      </c>
      <c r="H1582" t="s">
        <v>54</v>
      </c>
      <c r="I1582" t="s">
        <v>6121</v>
      </c>
      <c r="J1582" t="s">
        <v>38</v>
      </c>
      <c r="K1582" t="s">
        <v>38</v>
      </c>
      <c r="L1582" t="s">
        <v>39</v>
      </c>
      <c r="M1582" t="s">
        <v>38</v>
      </c>
      <c r="N1582" t="s">
        <v>38</v>
      </c>
      <c r="O1582" t="s">
        <v>39</v>
      </c>
      <c r="P1582" t="s">
        <v>38</v>
      </c>
      <c r="Q1582" t="s">
        <v>38</v>
      </c>
      <c r="R1582" t="s">
        <v>40</v>
      </c>
      <c r="S1582" t="s">
        <v>41</v>
      </c>
      <c r="T1582" t="s">
        <v>5596</v>
      </c>
      <c r="U1582" t="s">
        <v>5597</v>
      </c>
      <c r="V1582" t="s">
        <v>5586</v>
      </c>
      <c r="W1582" t="s">
        <v>5598</v>
      </c>
      <c r="X1582" t="s">
        <v>46</v>
      </c>
      <c r="AB1582" t="s">
        <v>3109</v>
      </c>
      <c r="AC1582">
        <f>COUNTIF(C:C,QLKV_gui_ket_qua_ra_soat[[#This Row],[Mã điểm bán]])</f>
        <v>1</v>
      </c>
    </row>
    <row r="1583" spans="1:29" x14ac:dyDescent="0.45">
      <c r="A1583" t="s">
        <v>5578</v>
      </c>
      <c r="B1583">
        <v>1913</v>
      </c>
      <c r="C1583" t="s">
        <v>6122</v>
      </c>
      <c r="D1583" t="s">
        <v>6123</v>
      </c>
      <c r="E1583" t="s">
        <v>6124</v>
      </c>
      <c r="F1583" t="s">
        <v>6125</v>
      </c>
      <c r="G1583" t="s">
        <v>150</v>
      </c>
      <c r="H1583" t="s">
        <v>1280</v>
      </c>
      <c r="I1583" t="s">
        <v>6126</v>
      </c>
      <c r="J1583" t="s">
        <v>56</v>
      </c>
      <c r="K1583" t="s">
        <v>56</v>
      </c>
      <c r="L1583" t="s">
        <v>39</v>
      </c>
      <c r="M1583" t="s">
        <v>37</v>
      </c>
      <c r="N1583" t="s">
        <v>37</v>
      </c>
      <c r="O1583" t="s">
        <v>39</v>
      </c>
      <c r="P1583" t="s">
        <v>38</v>
      </c>
      <c r="Q1583" t="s">
        <v>38</v>
      </c>
      <c r="R1583" t="s">
        <v>40</v>
      </c>
      <c r="S1583" t="s">
        <v>41</v>
      </c>
      <c r="T1583" t="s">
        <v>5676</v>
      </c>
      <c r="U1583" t="s">
        <v>5677</v>
      </c>
      <c r="V1583" t="s">
        <v>5586</v>
      </c>
      <c r="W1583" t="s">
        <v>5607</v>
      </c>
      <c r="Z1583" t="s">
        <v>46</v>
      </c>
      <c r="AA1583" t="s">
        <v>5678</v>
      </c>
      <c r="AB1583" t="s">
        <v>3109</v>
      </c>
      <c r="AC1583">
        <f>COUNTIF(C:C,QLKV_gui_ket_qua_ra_soat[[#This Row],[Mã điểm bán]])</f>
        <v>1</v>
      </c>
    </row>
    <row r="1584" spans="1:29" x14ac:dyDescent="0.45">
      <c r="A1584" t="s">
        <v>5578</v>
      </c>
      <c r="B1584">
        <v>1929</v>
      </c>
      <c r="C1584" t="s">
        <v>6127</v>
      </c>
      <c r="D1584" t="s">
        <v>6128</v>
      </c>
      <c r="E1584" t="s">
        <v>290</v>
      </c>
      <c r="F1584" t="s">
        <v>166</v>
      </c>
      <c r="G1584" t="s">
        <v>34</v>
      </c>
      <c r="H1584" t="s">
        <v>54</v>
      </c>
      <c r="I1584" t="s">
        <v>6129</v>
      </c>
      <c r="J1584" t="s">
        <v>38</v>
      </c>
      <c r="K1584" t="s">
        <v>37</v>
      </c>
      <c r="L1584" t="s">
        <v>40</v>
      </c>
      <c r="M1584" t="s">
        <v>37</v>
      </c>
      <c r="N1584" t="s">
        <v>37</v>
      </c>
      <c r="O1584" t="s">
        <v>39</v>
      </c>
      <c r="P1584" t="s">
        <v>37</v>
      </c>
      <c r="Q1584" t="s">
        <v>37</v>
      </c>
      <c r="R1584" t="s">
        <v>39</v>
      </c>
      <c r="S1584" t="s">
        <v>41</v>
      </c>
      <c r="T1584" t="s">
        <v>5766</v>
      </c>
      <c r="U1584" t="s">
        <v>5597</v>
      </c>
      <c r="V1584" t="s">
        <v>5586</v>
      </c>
      <c r="W1584" t="s">
        <v>5598</v>
      </c>
      <c r="X1584" t="s">
        <v>46</v>
      </c>
      <c r="AB1584" t="s">
        <v>3109</v>
      </c>
      <c r="AC1584">
        <f>COUNTIF(C:C,QLKV_gui_ket_qua_ra_soat[[#This Row],[Mã điểm bán]])</f>
        <v>1</v>
      </c>
    </row>
    <row r="1585" spans="1:29" x14ac:dyDescent="0.45">
      <c r="A1585" t="s">
        <v>5578</v>
      </c>
      <c r="B1585">
        <v>1953</v>
      </c>
      <c r="C1585" t="s">
        <v>6130</v>
      </c>
      <c r="D1585" t="s">
        <v>6131</v>
      </c>
      <c r="E1585" t="s">
        <v>269</v>
      </c>
      <c r="F1585" t="s">
        <v>53</v>
      </c>
      <c r="G1585" t="s">
        <v>177</v>
      </c>
      <c r="H1585" t="s">
        <v>54</v>
      </c>
      <c r="I1585" t="s">
        <v>6132</v>
      </c>
      <c r="J1585" t="s">
        <v>37</v>
      </c>
      <c r="K1585" t="s">
        <v>37</v>
      </c>
      <c r="L1585" t="s">
        <v>39</v>
      </c>
      <c r="M1585" t="s">
        <v>37</v>
      </c>
      <c r="N1585" t="s">
        <v>37</v>
      </c>
      <c r="O1585" t="s">
        <v>39</v>
      </c>
      <c r="P1585" t="s">
        <v>37</v>
      </c>
      <c r="Q1585" t="s">
        <v>37</v>
      </c>
      <c r="R1585" t="s">
        <v>39</v>
      </c>
      <c r="S1585" t="s">
        <v>6133</v>
      </c>
      <c r="T1585" t="s">
        <v>5766</v>
      </c>
      <c r="U1585" t="s">
        <v>5597</v>
      </c>
      <c r="V1585" t="s">
        <v>5586</v>
      </c>
      <c r="W1585" t="s">
        <v>5598</v>
      </c>
      <c r="AC1585">
        <f>COUNTIF(C:C,QLKV_gui_ket_qua_ra_soat[[#This Row],[Mã điểm bán]])</f>
        <v>1</v>
      </c>
    </row>
    <row r="1586" spans="1:29" x14ac:dyDescent="0.45">
      <c r="A1586" t="s">
        <v>5578</v>
      </c>
      <c r="B1586">
        <v>1967</v>
      </c>
      <c r="C1586" t="s">
        <v>6134</v>
      </c>
      <c r="D1586" t="s">
        <v>6135</v>
      </c>
      <c r="E1586" t="s">
        <v>344</v>
      </c>
      <c r="F1586" t="s">
        <v>325</v>
      </c>
      <c r="G1586" t="s">
        <v>150</v>
      </c>
      <c r="H1586" t="s">
        <v>1736</v>
      </c>
      <c r="I1586" t="s">
        <v>6136</v>
      </c>
      <c r="J1586" t="s">
        <v>56</v>
      </c>
      <c r="K1586" t="s">
        <v>56</v>
      </c>
      <c r="L1586" t="s">
        <v>39</v>
      </c>
      <c r="M1586" t="s">
        <v>37</v>
      </c>
      <c r="N1586" t="s">
        <v>37</v>
      </c>
      <c r="O1586" t="s">
        <v>39</v>
      </c>
      <c r="P1586" t="s">
        <v>38</v>
      </c>
      <c r="Q1586" t="s">
        <v>38</v>
      </c>
      <c r="R1586" t="s">
        <v>40</v>
      </c>
      <c r="S1586" t="s">
        <v>41</v>
      </c>
      <c r="T1586" t="s">
        <v>5676</v>
      </c>
      <c r="U1586" t="s">
        <v>5677</v>
      </c>
      <c r="V1586" t="s">
        <v>5586</v>
      </c>
      <c r="W1586" t="s">
        <v>5607</v>
      </c>
      <c r="AC1586">
        <f>COUNTIF(C:C,QLKV_gui_ket_qua_ra_soat[[#This Row],[Mã điểm bán]])</f>
        <v>1</v>
      </c>
    </row>
    <row r="1587" spans="1:29" x14ac:dyDescent="0.45">
      <c r="A1587" t="s">
        <v>5578</v>
      </c>
      <c r="B1587">
        <v>1968</v>
      </c>
      <c r="C1587" t="s">
        <v>6137</v>
      </c>
      <c r="D1587" t="s">
        <v>6138</v>
      </c>
      <c r="E1587" t="s">
        <v>354</v>
      </c>
      <c r="F1587" t="s">
        <v>401</v>
      </c>
      <c r="G1587" t="s">
        <v>177</v>
      </c>
      <c r="H1587" t="s">
        <v>133</v>
      </c>
      <c r="I1587" t="s">
        <v>6139</v>
      </c>
      <c r="J1587" t="s">
        <v>38</v>
      </c>
      <c r="K1587" t="s">
        <v>38</v>
      </c>
      <c r="L1587" t="s">
        <v>40</v>
      </c>
      <c r="M1587" t="s">
        <v>56</v>
      </c>
      <c r="N1587" t="s">
        <v>37</v>
      </c>
      <c r="O1587" t="s">
        <v>39</v>
      </c>
      <c r="P1587" t="s">
        <v>37</v>
      </c>
      <c r="Q1587" t="s">
        <v>37</v>
      </c>
      <c r="R1587" t="s">
        <v>39</v>
      </c>
      <c r="S1587" t="s">
        <v>6140</v>
      </c>
      <c r="T1587" t="s">
        <v>5916</v>
      </c>
      <c r="U1587" t="s">
        <v>5917</v>
      </c>
      <c r="V1587" t="s">
        <v>5586</v>
      </c>
      <c r="W1587" t="s">
        <v>5598</v>
      </c>
      <c r="X1587" t="s">
        <v>46</v>
      </c>
      <c r="AB1587" t="s">
        <v>3109</v>
      </c>
      <c r="AC1587">
        <f>COUNTIF(C:C,QLKV_gui_ket_qua_ra_soat[[#This Row],[Mã điểm bán]])</f>
        <v>1</v>
      </c>
    </row>
    <row r="1588" spans="1:29" x14ac:dyDescent="0.45">
      <c r="A1588" t="s">
        <v>5578</v>
      </c>
      <c r="B1588">
        <v>1975</v>
      </c>
      <c r="C1588" t="s">
        <v>6141</v>
      </c>
      <c r="D1588" t="s">
        <v>5680</v>
      </c>
      <c r="E1588" t="s">
        <v>206</v>
      </c>
      <c r="F1588" t="s">
        <v>325</v>
      </c>
      <c r="G1588" t="s">
        <v>177</v>
      </c>
      <c r="H1588" t="s">
        <v>100</v>
      </c>
      <c r="I1588" t="s">
        <v>6129</v>
      </c>
      <c r="J1588" t="s">
        <v>37</v>
      </c>
      <c r="K1588" t="s">
        <v>37</v>
      </c>
      <c r="L1588" t="s">
        <v>39</v>
      </c>
      <c r="M1588" t="s">
        <v>37</v>
      </c>
      <c r="N1588" t="s">
        <v>37</v>
      </c>
      <c r="O1588" t="s">
        <v>40</v>
      </c>
      <c r="P1588" t="s">
        <v>37</v>
      </c>
      <c r="Q1588" t="s">
        <v>37</v>
      </c>
      <c r="R1588" t="s">
        <v>39</v>
      </c>
      <c r="S1588" t="s">
        <v>6142</v>
      </c>
      <c r="T1588" t="s">
        <v>5766</v>
      </c>
      <c r="U1588" t="s">
        <v>5597</v>
      </c>
      <c r="V1588" t="s">
        <v>5586</v>
      </c>
      <c r="W1588" t="s">
        <v>5598</v>
      </c>
      <c r="AC1588">
        <f>COUNTIF(C:C,QLKV_gui_ket_qua_ra_soat[[#This Row],[Mã điểm bán]])</f>
        <v>1</v>
      </c>
    </row>
    <row r="1589" spans="1:29" x14ac:dyDescent="0.45">
      <c r="A1589" t="s">
        <v>5578</v>
      </c>
      <c r="B1589">
        <v>1984</v>
      </c>
      <c r="C1589" t="s">
        <v>6143</v>
      </c>
      <c r="D1589" t="s">
        <v>6144</v>
      </c>
      <c r="E1589" t="s">
        <v>31</v>
      </c>
      <c r="F1589" t="s">
        <v>401</v>
      </c>
      <c r="G1589" t="s">
        <v>150</v>
      </c>
      <c r="H1589" t="s">
        <v>54</v>
      </c>
      <c r="I1589" t="s">
        <v>6145</v>
      </c>
      <c r="J1589" t="s">
        <v>38</v>
      </c>
      <c r="K1589" t="s">
        <v>38</v>
      </c>
      <c r="L1589" t="s">
        <v>40</v>
      </c>
      <c r="M1589" t="s">
        <v>37</v>
      </c>
      <c r="N1589" t="s">
        <v>37</v>
      </c>
      <c r="O1589" t="s">
        <v>39</v>
      </c>
      <c r="P1589" t="s">
        <v>37</v>
      </c>
      <c r="Q1589" t="s">
        <v>37</v>
      </c>
      <c r="R1589" t="s">
        <v>39</v>
      </c>
      <c r="S1589" t="s">
        <v>41</v>
      </c>
      <c r="T1589" t="s">
        <v>5916</v>
      </c>
      <c r="U1589" t="s">
        <v>5917</v>
      </c>
      <c r="V1589" t="s">
        <v>5586</v>
      </c>
      <c r="W1589" t="s">
        <v>5598</v>
      </c>
      <c r="AC1589">
        <f>COUNTIF(C:C,QLKV_gui_ket_qua_ra_soat[[#This Row],[Mã điểm bán]])</f>
        <v>1</v>
      </c>
    </row>
    <row r="1590" spans="1:29" x14ac:dyDescent="0.45">
      <c r="A1590" t="s">
        <v>5578</v>
      </c>
      <c r="B1590">
        <v>1988</v>
      </c>
      <c r="C1590" t="s">
        <v>6146</v>
      </c>
      <c r="D1590" t="s">
        <v>6147</v>
      </c>
      <c r="E1590" t="s">
        <v>176</v>
      </c>
      <c r="F1590" t="s">
        <v>70</v>
      </c>
      <c r="G1590" t="s">
        <v>177</v>
      </c>
      <c r="H1590" t="s">
        <v>54</v>
      </c>
      <c r="I1590" t="s">
        <v>6148</v>
      </c>
      <c r="J1590" t="s">
        <v>38</v>
      </c>
      <c r="K1590" t="s">
        <v>38</v>
      </c>
      <c r="L1590" t="s">
        <v>40</v>
      </c>
      <c r="M1590" t="s">
        <v>37</v>
      </c>
      <c r="N1590" t="s">
        <v>37</v>
      </c>
      <c r="O1590" t="s">
        <v>39</v>
      </c>
      <c r="P1590" t="s">
        <v>37</v>
      </c>
      <c r="Q1590" t="s">
        <v>37</v>
      </c>
      <c r="R1590" t="s">
        <v>39</v>
      </c>
      <c r="S1590" t="s">
        <v>6149</v>
      </c>
      <c r="T1590" t="s">
        <v>5766</v>
      </c>
      <c r="U1590" t="s">
        <v>5597</v>
      </c>
      <c r="V1590" t="s">
        <v>5586</v>
      </c>
      <c r="W1590" t="s">
        <v>5598</v>
      </c>
      <c r="AC1590">
        <f>COUNTIF(C:C,QLKV_gui_ket_qua_ra_soat[[#This Row],[Mã điểm bán]])</f>
        <v>1</v>
      </c>
    </row>
    <row r="1591" spans="1:29" x14ac:dyDescent="0.45">
      <c r="A1591" t="s">
        <v>5578</v>
      </c>
      <c r="B1591">
        <v>1992</v>
      </c>
      <c r="C1591" t="s">
        <v>6150</v>
      </c>
      <c r="D1591" t="s">
        <v>6151</v>
      </c>
      <c r="E1591" t="s">
        <v>6152</v>
      </c>
      <c r="F1591" t="s">
        <v>478</v>
      </c>
      <c r="G1591" t="s">
        <v>1624</v>
      </c>
      <c r="H1591" t="s">
        <v>54</v>
      </c>
      <c r="I1591" t="s">
        <v>6153</v>
      </c>
      <c r="J1591" t="s">
        <v>38</v>
      </c>
      <c r="K1591" t="s">
        <v>38</v>
      </c>
      <c r="L1591" t="s">
        <v>40</v>
      </c>
      <c r="M1591" t="s">
        <v>775</v>
      </c>
      <c r="N1591" t="s">
        <v>38</v>
      </c>
      <c r="O1591" t="s">
        <v>121</v>
      </c>
      <c r="P1591" t="s">
        <v>38</v>
      </c>
      <c r="Q1591" t="s">
        <v>38</v>
      </c>
      <c r="R1591" t="s">
        <v>39</v>
      </c>
      <c r="S1591" t="s">
        <v>41</v>
      </c>
      <c r="T1591" t="s">
        <v>5647</v>
      </c>
      <c r="U1591" t="s">
        <v>5648</v>
      </c>
      <c r="V1591" t="s">
        <v>5586</v>
      </c>
      <c r="W1591" t="s">
        <v>5649</v>
      </c>
      <c r="AC1591">
        <f>COUNTIF(C:C,QLKV_gui_ket_qua_ra_soat[[#This Row],[Mã điểm bán]])</f>
        <v>1</v>
      </c>
    </row>
    <row r="1592" spans="1:29" x14ac:dyDescent="0.45">
      <c r="A1592" t="s">
        <v>5578</v>
      </c>
      <c r="B1592">
        <v>2002</v>
      </c>
      <c r="C1592" t="s">
        <v>6154</v>
      </c>
      <c r="D1592" t="s">
        <v>6155</v>
      </c>
      <c r="E1592" t="s">
        <v>170</v>
      </c>
      <c r="F1592" t="s">
        <v>478</v>
      </c>
      <c r="G1592" t="s">
        <v>177</v>
      </c>
      <c r="H1592" t="s">
        <v>1483</v>
      </c>
      <c r="I1592" t="s">
        <v>6156</v>
      </c>
      <c r="J1592" t="s">
        <v>38</v>
      </c>
      <c r="K1592" t="s">
        <v>38</v>
      </c>
      <c r="L1592" t="s">
        <v>40</v>
      </c>
      <c r="M1592" t="s">
        <v>37</v>
      </c>
      <c r="N1592" t="s">
        <v>37</v>
      </c>
      <c r="O1592" t="s">
        <v>39</v>
      </c>
      <c r="P1592" t="s">
        <v>37</v>
      </c>
      <c r="Q1592" t="s">
        <v>37</v>
      </c>
      <c r="R1592" t="s">
        <v>40</v>
      </c>
      <c r="S1592" t="s">
        <v>6157</v>
      </c>
      <c r="T1592" t="s">
        <v>5766</v>
      </c>
      <c r="U1592" t="s">
        <v>5597</v>
      </c>
      <c r="V1592" t="s">
        <v>5586</v>
      </c>
      <c r="W1592" t="s">
        <v>5598</v>
      </c>
      <c r="AC1592">
        <f>COUNTIF(C:C,QLKV_gui_ket_qua_ra_soat[[#This Row],[Mã điểm bán]])</f>
        <v>1</v>
      </c>
    </row>
    <row r="1593" spans="1:29" x14ac:dyDescent="0.45">
      <c r="A1593" t="s">
        <v>5578</v>
      </c>
      <c r="B1593">
        <v>2011</v>
      </c>
      <c r="C1593" t="s">
        <v>6158</v>
      </c>
      <c r="D1593" t="s">
        <v>6159</v>
      </c>
      <c r="E1593" t="s">
        <v>2020</v>
      </c>
      <c r="F1593" t="s">
        <v>331</v>
      </c>
      <c r="G1593" t="s">
        <v>150</v>
      </c>
      <c r="H1593" t="s">
        <v>54</v>
      </c>
      <c r="I1593" t="s">
        <v>6160</v>
      </c>
      <c r="J1593" t="s">
        <v>38</v>
      </c>
      <c r="K1593" t="s">
        <v>38</v>
      </c>
      <c r="L1593" t="s">
        <v>39</v>
      </c>
      <c r="M1593" t="s">
        <v>56</v>
      </c>
      <c r="N1593" t="s">
        <v>38</v>
      </c>
      <c r="O1593" t="s">
        <v>121</v>
      </c>
      <c r="P1593" t="s">
        <v>37</v>
      </c>
      <c r="Q1593" t="s">
        <v>37</v>
      </c>
      <c r="R1593" t="s">
        <v>39</v>
      </c>
      <c r="S1593" t="s">
        <v>41</v>
      </c>
      <c r="T1593" t="s">
        <v>5647</v>
      </c>
      <c r="U1593" t="s">
        <v>5648</v>
      </c>
      <c r="V1593" t="s">
        <v>5586</v>
      </c>
      <c r="W1593" t="s">
        <v>5649</v>
      </c>
      <c r="Z1593" t="s">
        <v>46</v>
      </c>
      <c r="AA1593" t="s">
        <v>5678</v>
      </c>
      <c r="AB1593" t="s">
        <v>3109</v>
      </c>
      <c r="AC1593">
        <f>COUNTIF(C:C,QLKV_gui_ket_qua_ra_soat[[#This Row],[Mã điểm bán]])</f>
        <v>1</v>
      </c>
    </row>
    <row r="1594" spans="1:29" x14ac:dyDescent="0.45">
      <c r="A1594" t="s">
        <v>5578</v>
      </c>
      <c r="B1594">
        <v>2020</v>
      </c>
      <c r="C1594" t="s">
        <v>6161</v>
      </c>
      <c r="D1594" t="s">
        <v>6162</v>
      </c>
      <c r="E1594" t="s">
        <v>176</v>
      </c>
      <c r="F1594" t="s">
        <v>53</v>
      </c>
      <c r="G1594" t="s">
        <v>177</v>
      </c>
      <c r="H1594" t="s">
        <v>479</v>
      </c>
      <c r="I1594" t="s">
        <v>3188</v>
      </c>
      <c r="J1594" t="s">
        <v>56</v>
      </c>
      <c r="K1594" t="s">
        <v>37</v>
      </c>
      <c r="L1594" t="s">
        <v>39</v>
      </c>
      <c r="M1594" t="s">
        <v>37</v>
      </c>
      <c r="N1594" t="s">
        <v>37</v>
      </c>
      <c r="O1594" t="s">
        <v>39</v>
      </c>
      <c r="P1594" t="s">
        <v>56</v>
      </c>
      <c r="Q1594" t="s">
        <v>56</v>
      </c>
      <c r="R1594" t="s">
        <v>39</v>
      </c>
      <c r="S1594" t="s">
        <v>6163</v>
      </c>
      <c r="T1594" t="s">
        <v>5766</v>
      </c>
      <c r="U1594" t="s">
        <v>5597</v>
      </c>
      <c r="V1594" t="s">
        <v>5586</v>
      </c>
      <c r="W1594" t="s">
        <v>5598</v>
      </c>
      <c r="AC1594">
        <f>COUNTIF(C:C,QLKV_gui_ket_qua_ra_soat[[#This Row],[Mã điểm bán]])</f>
        <v>1</v>
      </c>
    </row>
    <row r="1595" spans="1:29" x14ac:dyDescent="0.45">
      <c r="A1595" t="s">
        <v>5578</v>
      </c>
      <c r="B1595">
        <v>2026</v>
      </c>
      <c r="C1595" t="s">
        <v>6164</v>
      </c>
      <c r="D1595" t="s">
        <v>2843</v>
      </c>
      <c r="E1595" t="s">
        <v>657</v>
      </c>
      <c r="F1595" t="s">
        <v>115</v>
      </c>
      <c r="G1595" t="s">
        <v>150</v>
      </c>
      <c r="H1595" t="s">
        <v>192</v>
      </c>
      <c r="I1595" t="s">
        <v>6165</v>
      </c>
      <c r="J1595" t="s">
        <v>38</v>
      </c>
      <c r="K1595" t="s">
        <v>37</v>
      </c>
      <c r="L1595" t="s">
        <v>39</v>
      </c>
      <c r="M1595" t="s">
        <v>37</v>
      </c>
      <c r="N1595" t="s">
        <v>37</v>
      </c>
      <c r="O1595" t="s">
        <v>39</v>
      </c>
      <c r="P1595" t="s">
        <v>56</v>
      </c>
      <c r="Q1595" t="s">
        <v>56</v>
      </c>
      <c r="R1595" t="s">
        <v>39</v>
      </c>
      <c r="S1595" t="s">
        <v>41</v>
      </c>
      <c r="T1595" t="s">
        <v>5766</v>
      </c>
      <c r="U1595" t="s">
        <v>5597</v>
      </c>
      <c r="V1595" t="s">
        <v>5586</v>
      </c>
      <c r="W1595" t="s">
        <v>5598</v>
      </c>
      <c r="X1595" t="s">
        <v>46</v>
      </c>
      <c r="AB1595" t="s">
        <v>5658</v>
      </c>
      <c r="AC1595">
        <f>COUNTIF(C:C,QLKV_gui_ket_qua_ra_soat[[#This Row],[Mã điểm bán]])</f>
        <v>1</v>
      </c>
    </row>
    <row r="1596" spans="1:29" x14ac:dyDescent="0.45">
      <c r="A1596" t="s">
        <v>5578</v>
      </c>
      <c r="B1596">
        <v>2037</v>
      </c>
      <c r="C1596" t="s">
        <v>6166</v>
      </c>
      <c r="D1596" t="s">
        <v>6167</v>
      </c>
      <c r="E1596" t="s">
        <v>211</v>
      </c>
      <c r="F1596" t="s">
        <v>401</v>
      </c>
      <c r="G1596" t="s">
        <v>34</v>
      </c>
      <c r="H1596" t="s">
        <v>507</v>
      </c>
      <c r="I1596" t="s">
        <v>6168</v>
      </c>
      <c r="J1596" t="s">
        <v>37</v>
      </c>
      <c r="K1596" t="s">
        <v>37</v>
      </c>
      <c r="L1596" t="s">
        <v>39</v>
      </c>
      <c r="M1596" t="s">
        <v>37</v>
      </c>
      <c r="N1596" t="s">
        <v>37</v>
      </c>
      <c r="O1596" t="s">
        <v>39</v>
      </c>
      <c r="P1596" t="s">
        <v>37</v>
      </c>
      <c r="Q1596" t="s">
        <v>37</v>
      </c>
      <c r="R1596" t="s">
        <v>39</v>
      </c>
      <c r="S1596" t="s">
        <v>41</v>
      </c>
      <c r="T1596" t="s">
        <v>5916</v>
      </c>
      <c r="U1596" t="s">
        <v>5917</v>
      </c>
      <c r="V1596" t="s">
        <v>5586</v>
      </c>
      <c r="W1596" t="s">
        <v>5598</v>
      </c>
      <c r="X1596" t="s">
        <v>46</v>
      </c>
      <c r="AB1596" t="s">
        <v>5658</v>
      </c>
      <c r="AC1596">
        <f>COUNTIF(C:C,QLKV_gui_ket_qua_ra_soat[[#This Row],[Mã điểm bán]])</f>
        <v>1</v>
      </c>
    </row>
    <row r="1597" spans="1:29" x14ac:dyDescent="0.45">
      <c r="A1597" t="s">
        <v>5578</v>
      </c>
      <c r="B1597">
        <v>2041</v>
      </c>
      <c r="C1597" t="s">
        <v>6169</v>
      </c>
      <c r="D1597" t="s">
        <v>6170</v>
      </c>
      <c r="E1597" t="s">
        <v>206</v>
      </c>
      <c r="F1597" t="s">
        <v>115</v>
      </c>
      <c r="G1597" t="s">
        <v>34</v>
      </c>
      <c r="H1597" t="s">
        <v>1199</v>
      </c>
      <c r="I1597" t="s">
        <v>6171</v>
      </c>
      <c r="J1597" t="s">
        <v>37</v>
      </c>
      <c r="K1597" t="s">
        <v>37</v>
      </c>
      <c r="L1597" t="s">
        <v>39</v>
      </c>
      <c r="M1597" t="s">
        <v>37</v>
      </c>
      <c r="N1597" t="s">
        <v>37</v>
      </c>
      <c r="O1597" t="s">
        <v>39</v>
      </c>
      <c r="P1597" t="s">
        <v>37</v>
      </c>
      <c r="Q1597" t="s">
        <v>37</v>
      </c>
      <c r="R1597" t="s">
        <v>39</v>
      </c>
      <c r="S1597" t="s">
        <v>41</v>
      </c>
      <c r="T1597" t="s">
        <v>5766</v>
      </c>
      <c r="U1597" t="s">
        <v>5597</v>
      </c>
      <c r="V1597" t="s">
        <v>5586</v>
      </c>
      <c r="W1597" t="s">
        <v>5598</v>
      </c>
      <c r="X1597" t="s">
        <v>46</v>
      </c>
      <c r="AB1597" t="s">
        <v>3109</v>
      </c>
      <c r="AC1597">
        <f>COUNTIF(C:C,QLKV_gui_ket_qua_ra_soat[[#This Row],[Mã điểm bán]])</f>
        <v>1</v>
      </c>
    </row>
    <row r="1598" spans="1:29" x14ac:dyDescent="0.45">
      <c r="A1598" t="s">
        <v>5578</v>
      </c>
      <c r="B1598">
        <v>2042</v>
      </c>
      <c r="C1598" t="s">
        <v>6172</v>
      </c>
      <c r="D1598" t="s">
        <v>6173</v>
      </c>
      <c r="E1598" t="s">
        <v>176</v>
      </c>
      <c r="F1598" t="s">
        <v>53</v>
      </c>
      <c r="G1598" t="s">
        <v>177</v>
      </c>
      <c r="H1598" t="s">
        <v>54</v>
      </c>
      <c r="I1598" t="s">
        <v>6174</v>
      </c>
      <c r="J1598" t="s">
        <v>38</v>
      </c>
      <c r="K1598" t="s">
        <v>37</v>
      </c>
      <c r="L1598" t="s">
        <v>39</v>
      </c>
      <c r="M1598" t="s">
        <v>37</v>
      </c>
      <c r="N1598" t="s">
        <v>37</v>
      </c>
      <c r="O1598" t="s">
        <v>39</v>
      </c>
      <c r="P1598" t="s">
        <v>37</v>
      </c>
      <c r="Q1598" t="s">
        <v>37</v>
      </c>
      <c r="R1598" t="s">
        <v>39</v>
      </c>
      <c r="S1598" t="s">
        <v>6175</v>
      </c>
      <c r="T1598" t="s">
        <v>5766</v>
      </c>
      <c r="U1598" t="s">
        <v>5597</v>
      </c>
      <c r="V1598" t="s">
        <v>5586</v>
      </c>
      <c r="W1598" t="s">
        <v>5598</v>
      </c>
      <c r="AC1598">
        <f>COUNTIF(C:C,QLKV_gui_ket_qua_ra_soat[[#This Row],[Mã điểm bán]])</f>
        <v>1</v>
      </c>
    </row>
    <row r="1599" spans="1:29" x14ac:dyDescent="0.45">
      <c r="A1599" t="s">
        <v>5578</v>
      </c>
      <c r="B1599">
        <v>2046</v>
      </c>
      <c r="C1599" t="s">
        <v>6176</v>
      </c>
      <c r="D1599" t="s">
        <v>6177</v>
      </c>
      <c r="E1599" t="s">
        <v>2148</v>
      </c>
      <c r="F1599" t="s">
        <v>4431</v>
      </c>
      <c r="G1599" t="s">
        <v>34</v>
      </c>
      <c r="H1599" t="s">
        <v>1750</v>
      </c>
      <c r="I1599" t="s">
        <v>6178</v>
      </c>
      <c r="J1599" t="s">
        <v>38</v>
      </c>
      <c r="K1599" t="s">
        <v>37</v>
      </c>
      <c r="L1599" t="s">
        <v>39</v>
      </c>
      <c r="M1599" t="s">
        <v>37</v>
      </c>
      <c r="N1599" t="s">
        <v>37</v>
      </c>
      <c r="O1599" t="s">
        <v>39</v>
      </c>
      <c r="P1599" t="s">
        <v>56</v>
      </c>
      <c r="Q1599" t="s">
        <v>37</v>
      </c>
      <c r="R1599" t="s">
        <v>39</v>
      </c>
      <c r="S1599" t="s">
        <v>41</v>
      </c>
      <c r="T1599" t="s">
        <v>5766</v>
      </c>
      <c r="U1599" t="s">
        <v>5597</v>
      </c>
      <c r="V1599" t="s">
        <v>5586</v>
      </c>
      <c r="W1599" t="s">
        <v>5598</v>
      </c>
      <c r="AB1599" t="s">
        <v>3101</v>
      </c>
      <c r="AC1599">
        <f>COUNTIF(C:C,QLKV_gui_ket_qua_ra_soat[[#This Row],[Mã điểm bán]])</f>
        <v>1</v>
      </c>
    </row>
    <row r="1600" spans="1:29" x14ac:dyDescent="0.45">
      <c r="A1600" t="s">
        <v>5578</v>
      </c>
      <c r="B1600">
        <v>2068</v>
      </c>
      <c r="C1600" t="s">
        <v>6179</v>
      </c>
      <c r="D1600" t="s">
        <v>6180</v>
      </c>
      <c r="E1600" t="s">
        <v>2148</v>
      </c>
      <c r="F1600" t="s">
        <v>166</v>
      </c>
      <c r="G1600" t="s">
        <v>177</v>
      </c>
      <c r="H1600" t="s">
        <v>3620</v>
      </c>
      <c r="I1600" t="s">
        <v>6181</v>
      </c>
      <c r="J1600" t="s">
        <v>37</v>
      </c>
      <c r="K1600" t="s">
        <v>37</v>
      </c>
      <c r="L1600" t="s">
        <v>39</v>
      </c>
      <c r="M1600" t="s">
        <v>38</v>
      </c>
      <c r="N1600" t="s">
        <v>37</v>
      </c>
      <c r="O1600" t="s">
        <v>39</v>
      </c>
      <c r="P1600" t="s">
        <v>37</v>
      </c>
      <c r="Q1600" t="s">
        <v>37</v>
      </c>
      <c r="R1600" t="s">
        <v>39</v>
      </c>
      <c r="S1600" t="s">
        <v>4959</v>
      </c>
      <c r="T1600" t="s">
        <v>5619</v>
      </c>
      <c r="U1600" t="s">
        <v>5620</v>
      </c>
      <c r="V1600" t="s">
        <v>5586</v>
      </c>
      <c r="W1600" t="s">
        <v>5621</v>
      </c>
      <c r="Z1600" t="s">
        <v>46</v>
      </c>
      <c r="AA1600" t="s">
        <v>5599</v>
      </c>
      <c r="AB1600" t="s">
        <v>3109</v>
      </c>
      <c r="AC1600">
        <f>COUNTIF(C:C,QLKV_gui_ket_qua_ra_soat[[#This Row],[Mã điểm bán]])</f>
        <v>1</v>
      </c>
    </row>
    <row r="1601" spans="1:29" x14ac:dyDescent="0.45">
      <c r="A1601" t="s">
        <v>5578</v>
      </c>
      <c r="B1601">
        <v>2084</v>
      </c>
      <c r="C1601" t="s">
        <v>6182</v>
      </c>
      <c r="D1601" t="s">
        <v>6183</v>
      </c>
      <c r="E1601" t="s">
        <v>284</v>
      </c>
      <c r="F1601" t="s">
        <v>4472</v>
      </c>
      <c r="G1601" t="s">
        <v>1624</v>
      </c>
      <c r="H1601" t="s">
        <v>842</v>
      </c>
      <c r="I1601" t="s">
        <v>6184</v>
      </c>
      <c r="J1601" t="s">
        <v>38</v>
      </c>
      <c r="K1601" t="s">
        <v>38</v>
      </c>
      <c r="L1601" t="s">
        <v>39</v>
      </c>
      <c r="M1601" t="s">
        <v>37</v>
      </c>
      <c r="N1601" t="s">
        <v>37</v>
      </c>
      <c r="O1601" t="s">
        <v>39</v>
      </c>
      <c r="P1601" t="s">
        <v>38</v>
      </c>
      <c r="Q1601" t="s">
        <v>38</v>
      </c>
      <c r="R1601" t="s">
        <v>39</v>
      </c>
      <c r="S1601" t="s">
        <v>41</v>
      </c>
      <c r="T1601" t="s">
        <v>5647</v>
      </c>
      <c r="U1601" t="s">
        <v>5648</v>
      </c>
      <c r="V1601" t="s">
        <v>5586</v>
      </c>
      <c r="W1601" t="s">
        <v>5649</v>
      </c>
      <c r="Z1601" t="s">
        <v>46</v>
      </c>
      <c r="AA1601" t="s">
        <v>5678</v>
      </c>
      <c r="AB1601" t="s">
        <v>4223</v>
      </c>
      <c r="AC1601">
        <f>COUNTIF(C:C,QLKV_gui_ket_qua_ra_soat[[#This Row],[Mã điểm bán]])</f>
        <v>1</v>
      </c>
    </row>
    <row r="1602" spans="1:29" x14ac:dyDescent="0.45">
      <c r="A1602" t="s">
        <v>5578</v>
      </c>
      <c r="B1602">
        <v>2088</v>
      </c>
      <c r="C1602" t="s">
        <v>6185</v>
      </c>
      <c r="D1602" t="s">
        <v>6186</v>
      </c>
      <c r="E1602" t="s">
        <v>51</v>
      </c>
      <c r="F1602" t="s">
        <v>53</v>
      </c>
      <c r="G1602" t="s">
        <v>177</v>
      </c>
      <c r="H1602" t="s">
        <v>54</v>
      </c>
      <c r="I1602" t="s">
        <v>3188</v>
      </c>
      <c r="J1602" t="s">
        <v>38</v>
      </c>
      <c r="K1602" t="s">
        <v>38</v>
      </c>
      <c r="L1602" t="s">
        <v>40</v>
      </c>
      <c r="M1602" t="s">
        <v>38</v>
      </c>
      <c r="N1602" t="s">
        <v>38</v>
      </c>
      <c r="O1602" t="s">
        <v>40</v>
      </c>
      <c r="P1602" t="s">
        <v>38</v>
      </c>
      <c r="Q1602" t="s">
        <v>38</v>
      </c>
      <c r="R1602" t="s">
        <v>40</v>
      </c>
      <c r="S1602" t="s">
        <v>41</v>
      </c>
      <c r="T1602" t="s">
        <v>5766</v>
      </c>
      <c r="U1602" t="s">
        <v>5597</v>
      </c>
      <c r="V1602" t="s">
        <v>5586</v>
      </c>
      <c r="W1602" t="s">
        <v>5598</v>
      </c>
      <c r="AC1602">
        <f>COUNTIF(C:C,QLKV_gui_ket_qua_ra_soat[[#This Row],[Mã điểm bán]])</f>
        <v>1</v>
      </c>
    </row>
    <row r="1603" spans="1:29" x14ac:dyDescent="0.45">
      <c r="A1603" t="s">
        <v>5578</v>
      </c>
      <c r="B1603">
        <v>2099</v>
      </c>
      <c r="C1603" t="s">
        <v>6187</v>
      </c>
      <c r="D1603" t="s">
        <v>6188</v>
      </c>
      <c r="E1603" t="s">
        <v>6189</v>
      </c>
      <c r="F1603" t="s">
        <v>53</v>
      </c>
      <c r="G1603" t="s">
        <v>177</v>
      </c>
      <c r="H1603" t="s">
        <v>1052</v>
      </c>
      <c r="I1603" t="s">
        <v>6190</v>
      </c>
      <c r="J1603" t="s">
        <v>37</v>
      </c>
      <c r="K1603" t="s">
        <v>37</v>
      </c>
      <c r="L1603" t="s">
        <v>39</v>
      </c>
      <c r="M1603" t="s">
        <v>37</v>
      </c>
      <c r="N1603" t="s">
        <v>37</v>
      </c>
      <c r="O1603" t="s">
        <v>39</v>
      </c>
      <c r="P1603" t="s">
        <v>37</v>
      </c>
      <c r="Q1603" t="s">
        <v>37</v>
      </c>
      <c r="R1603" t="s">
        <v>39</v>
      </c>
      <c r="S1603" t="s">
        <v>4959</v>
      </c>
      <c r="T1603" t="s">
        <v>5619</v>
      </c>
      <c r="U1603" t="s">
        <v>5620</v>
      </c>
      <c r="V1603" t="s">
        <v>5586</v>
      </c>
      <c r="W1603" t="s">
        <v>5621</v>
      </c>
      <c r="AC1603">
        <f>COUNTIF(C:C,QLKV_gui_ket_qua_ra_soat[[#This Row],[Mã điểm bán]])</f>
        <v>1</v>
      </c>
    </row>
    <row r="1604" spans="1:29" x14ac:dyDescent="0.45">
      <c r="A1604" t="s">
        <v>5578</v>
      </c>
      <c r="B1604">
        <v>2110</v>
      </c>
      <c r="C1604" t="s">
        <v>6191</v>
      </c>
      <c r="D1604" t="s">
        <v>6192</v>
      </c>
      <c r="E1604" t="s">
        <v>6193</v>
      </c>
      <c r="F1604" t="s">
        <v>426</v>
      </c>
      <c r="G1604" t="s">
        <v>177</v>
      </c>
      <c r="H1604" t="s">
        <v>546</v>
      </c>
      <c r="I1604" t="s">
        <v>6194</v>
      </c>
      <c r="J1604" t="s">
        <v>37</v>
      </c>
      <c r="K1604" t="s">
        <v>37</v>
      </c>
      <c r="L1604" t="s">
        <v>39</v>
      </c>
      <c r="M1604" t="s">
        <v>37</v>
      </c>
      <c r="N1604" t="s">
        <v>37</v>
      </c>
      <c r="O1604" t="s">
        <v>39</v>
      </c>
      <c r="P1604" t="s">
        <v>37</v>
      </c>
      <c r="Q1604" t="s">
        <v>37</v>
      </c>
      <c r="R1604" t="s">
        <v>39</v>
      </c>
      <c r="S1604" t="s">
        <v>4751</v>
      </c>
      <c r="T1604" t="s">
        <v>5619</v>
      </c>
      <c r="U1604" t="s">
        <v>5620</v>
      </c>
      <c r="V1604" t="s">
        <v>5586</v>
      </c>
      <c r="W1604" t="s">
        <v>5621</v>
      </c>
      <c r="Z1604" t="s">
        <v>46</v>
      </c>
      <c r="AA1604" t="s">
        <v>5599</v>
      </c>
      <c r="AB1604" t="s">
        <v>3109</v>
      </c>
      <c r="AC1604">
        <f>COUNTIF(C:C,QLKV_gui_ket_qua_ra_soat[[#This Row],[Mã điểm bán]])</f>
        <v>1</v>
      </c>
    </row>
    <row r="1605" spans="1:29" x14ac:dyDescent="0.45">
      <c r="A1605" t="s">
        <v>5578</v>
      </c>
      <c r="B1605">
        <v>2117</v>
      </c>
      <c r="C1605" t="s">
        <v>6195</v>
      </c>
      <c r="D1605" t="s">
        <v>6196</v>
      </c>
      <c r="E1605" t="s">
        <v>6197</v>
      </c>
      <c r="F1605" t="s">
        <v>426</v>
      </c>
      <c r="G1605" t="s">
        <v>177</v>
      </c>
      <c r="H1605" t="s">
        <v>546</v>
      </c>
      <c r="I1605" t="s">
        <v>6198</v>
      </c>
      <c r="J1605" t="s">
        <v>37</v>
      </c>
      <c r="K1605" t="s">
        <v>37</v>
      </c>
      <c r="L1605" t="s">
        <v>39</v>
      </c>
      <c r="M1605" t="s">
        <v>37</v>
      </c>
      <c r="N1605" t="s">
        <v>37</v>
      </c>
      <c r="O1605" t="s">
        <v>39</v>
      </c>
      <c r="P1605" t="s">
        <v>37</v>
      </c>
      <c r="Q1605" t="s">
        <v>37</v>
      </c>
      <c r="R1605" t="s">
        <v>39</v>
      </c>
      <c r="S1605" t="s">
        <v>4751</v>
      </c>
      <c r="T1605" t="s">
        <v>5619</v>
      </c>
      <c r="U1605" t="s">
        <v>5620</v>
      </c>
      <c r="V1605" t="s">
        <v>5586</v>
      </c>
      <c r="W1605" t="s">
        <v>5621</v>
      </c>
      <c r="AC1605">
        <f>COUNTIF(C:C,QLKV_gui_ket_qua_ra_soat[[#This Row],[Mã điểm bán]])</f>
        <v>1</v>
      </c>
    </row>
    <row r="1606" spans="1:29" x14ac:dyDescent="0.45">
      <c r="A1606" t="s">
        <v>5578</v>
      </c>
      <c r="B1606">
        <v>2120</v>
      </c>
      <c r="C1606" t="s">
        <v>6199</v>
      </c>
      <c r="D1606" t="s">
        <v>6200</v>
      </c>
      <c r="E1606" t="s">
        <v>291</v>
      </c>
      <c r="F1606" t="s">
        <v>401</v>
      </c>
      <c r="G1606" t="s">
        <v>34</v>
      </c>
      <c r="H1606" t="s">
        <v>2170</v>
      </c>
      <c r="I1606" t="s">
        <v>6201</v>
      </c>
      <c r="J1606" t="s">
        <v>38</v>
      </c>
      <c r="K1606" t="s">
        <v>38</v>
      </c>
      <c r="L1606" t="s">
        <v>40</v>
      </c>
      <c r="M1606" t="s">
        <v>37</v>
      </c>
      <c r="N1606" t="s">
        <v>37</v>
      </c>
      <c r="O1606" t="s">
        <v>39</v>
      </c>
      <c r="P1606" t="s">
        <v>38</v>
      </c>
      <c r="Q1606" t="s">
        <v>38</v>
      </c>
      <c r="R1606" t="s">
        <v>40</v>
      </c>
      <c r="S1606" t="s">
        <v>41</v>
      </c>
      <c r="T1606" t="s">
        <v>5711</v>
      </c>
      <c r="U1606" t="s">
        <v>5712</v>
      </c>
      <c r="V1606" t="s">
        <v>5586</v>
      </c>
      <c r="W1606" t="s">
        <v>5649</v>
      </c>
      <c r="AC1606">
        <f>COUNTIF(C:C,QLKV_gui_ket_qua_ra_soat[[#This Row],[Mã điểm bán]])</f>
        <v>1</v>
      </c>
    </row>
    <row r="1607" spans="1:29" x14ac:dyDescent="0.45">
      <c r="A1607" t="s">
        <v>5578</v>
      </c>
      <c r="B1607">
        <v>2138</v>
      </c>
      <c r="C1607" t="s">
        <v>6202</v>
      </c>
      <c r="D1607" t="s">
        <v>6203</v>
      </c>
      <c r="E1607" t="s">
        <v>6204</v>
      </c>
      <c r="F1607" t="s">
        <v>325</v>
      </c>
      <c r="G1607" t="s">
        <v>177</v>
      </c>
      <c r="H1607" t="s">
        <v>697</v>
      </c>
      <c r="I1607" t="s">
        <v>6205</v>
      </c>
      <c r="J1607" t="s">
        <v>37</v>
      </c>
      <c r="K1607" t="s">
        <v>37</v>
      </c>
      <c r="L1607" t="s">
        <v>39</v>
      </c>
      <c r="M1607" t="s">
        <v>38</v>
      </c>
      <c r="N1607" t="s">
        <v>38</v>
      </c>
      <c r="O1607" t="s">
        <v>39</v>
      </c>
      <c r="P1607" t="s">
        <v>37</v>
      </c>
      <c r="Q1607" t="s">
        <v>37</v>
      </c>
      <c r="R1607" t="s">
        <v>39</v>
      </c>
      <c r="S1607" t="s">
        <v>4751</v>
      </c>
      <c r="T1607" t="s">
        <v>5619</v>
      </c>
      <c r="U1607" t="s">
        <v>5620</v>
      </c>
      <c r="V1607" t="s">
        <v>5586</v>
      </c>
      <c r="W1607" t="s">
        <v>5621</v>
      </c>
      <c r="Z1607" t="s">
        <v>46</v>
      </c>
      <c r="AA1607" t="s">
        <v>5599</v>
      </c>
      <c r="AB1607" t="s">
        <v>3109</v>
      </c>
      <c r="AC1607">
        <f>COUNTIF(C:C,QLKV_gui_ket_qua_ra_soat[[#This Row],[Mã điểm bán]])</f>
        <v>1</v>
      </c>
    </row>
    <row r="1608" spans="1:29" x14ac:dyDescent="0.45">
      <c r="A1608" t="s">
        <v>5578</v>
      </c>
      <c r="B1608">
        <v>2150</v>
      </c>
      <c r="C1608" t="s">
        <v>6206</v>
      </c>
      <c r="D1608" t="s">
        <v>6207</v>
      </c>
      <c r="E1608" t="s">
        <v>771</v>
      </c>
      <c r="F1608" t="s">
        <v>191</v>
      </c>
      <c r="G1608" t="s">
        <v>34</v>
      </c>
      <c r="H1608" t="s">
        <v>54</v>
      </c>
      <c r="I1608" t="s">
        <v>6208</v>
      </c>
      <c r="J1608" t="s">
        <v>37</v>
      </c>
      <c r="K1608" t="s">
        <v>37</v>
      </c>
      <c r="L1608" t="s">
        <v>39</v>
      </c>
      <c r="M1608" t="s">
        <v>38</v>
      </c>
      <c r="N1608" t="s">
        <v>37</v>
      </c>
      <c r="O1608" t="s">
        <v>39</v>
      </c>
      <c r="P1608" t="s">
        <v>37</v>
      </c>
      <c r="Q1608" t="s">
        <v>37</v>
      </c>
      <c r="R1608" t="s">
        <v>39</v>
      </c>
      <c r="S1608" t="s">
        <v>41</v>
      </c>
      <c r="T1608" t="s">
        <v>5633</v>
      </c>
      <c r="U1608" t="s">
        <v>5620</v>
      </c>
      <c r="V1608" t="s">
        <v>5586</v>
      </c>
      <c r="W1608" t="s">
        <v>5621</v>
      </c>
      <c r="AC1608">
        <f>COUNTIF(C:C,QLKV_gui_ket_qua_ra_soat[[#This Row],[Mã điểm bán]])</f>
        <v>1</v>
      </c>
    </row>
    <row r="1609" spans="1:29" x14ac:dyDescent="0.45">
      <c r="A1609" t="s">
        <v>5578</v>
      </c>
      <c r="B1609">
        <v>2171</v>
      </c>
      <c r="C1609" t="s">
        <v>6209</v>
      </c>
      <c r="D1609" t="s">
        <v>6210</v>
      </c>
      <c r="E1609" t="s">
        <v>6211</v>
      </c>
      <c r="F1609" t="s">
        <v>1903</v>
      </c>
      <c r="G1609" t="s">
        <v>1624</v>
      </c>
      <c r="H1609" t="s">
        <v>1199</v>
      </c>
      <c r="I1609" t="s">
        <v>6212</v>
      </c>
      <c r="J1609" t="s">
        <v>38</v>
      </c>
      <c r="K1609" t="s">
        <v>38</v>
      </c>
      <c r="L1609" t="s">
        <v>39</v>
      </c>
      <c r="M1609" t="s">
        <v>37</v>
      </c>
      <c r="N1609" t="s">
        <v>38</v>
      </c>
      <c r="O1609" t="s">
        <v>39</v>
      </c>
      <c r="P1609" t="s">
        <v>38</v>
      </c>
      <c r="Q1609" t="s">
        <v>38</v>
      </c>
      <c r="R1609" t="s">
        <v>40</v>
      </c>
      <c r="S1609" t="s">
        <v>41</v>
      </c>
      <c r="T1609" t="s">
        <v>5605</v>
      </c>
      <c r="U1609" t="s">
        <v>5606</v>
      </c>
      <c r="V1609" t="s">
        <v>5586</v>
      </c>
      <c r="W1609" t="s">
        <v>5607</v>
      </c>
      <c r="Z1609" t="s">
        <v>46</v>
      </c>
      <c r="AA1609" t="s">
        <v>5678</v>
      </c>
      <c r="AB1609" t="s">
        <v>3109</v>
      </c>
      <c r="AC1609">
        <f>COUNTIF(C:C,QLKV_gui_ket_qua_ra_soat[[#This Row],[Mã điểm bán]])</f>
        <v>1</v>
      </c>
    </row>
    <row r="1610" spans="1:29" x14ac:dyDescent="0.45">
      <c r="A1610" t="s">
        <v>5578</v>
      </c>
      <c r="B1610">
        <v>2174</v>
      </c>
      <c r="C1610" t="s">
        <v>6213</v>
      </c>
      <c r="D1610" t="s">
        <v>6214</v>
      </c>
      <c r="E1610" t="s">
        <v>162</v>
      </c>
      <c r="F1610" t="s">
        <v>53</v>
      </c>
      <c r="G1610" t="s">
        <v>34</v>
      </c>
      <c r="H1610" t="s">
        <v>54</v>
      </c>
      <c r="I1610" t="s">
        <v>6215</v>
      </c>
      <c r="J1610" t="s">
        <v>37</v>
      </c>
      <c r="K1610" t="s">
        <v>37</v>
      </c>
      <c r="L1610" t="s">
        <v>39</v>
      </c>
      <c r="M1610" t="s">
        <v>37</v>
      </c>
      <c r="N1610" t="s">
        <v>37</v>
      </c>
      <c r="O1610" t="s">
        <v>39</v>
      </c>
      <c r="P1610" t="s">
        <v>37</v>
      </c>
      <c r="Q1610" t="s">
        <v>37</v>
      </c>
      <c r="R1610" t="s">
        <v>39</v>
      </c>
      <c r="S1610" t="s">
        <v>41</v>
      </c>
      <c r="T1610" t="s">
        <v>5647</v>
      </c>
      <c r="U1610" t="s">
        <v>5648</v>
      </c>
      <c r="V1610" t="s">
        <v>5586</v>
      </c>
      <c r="W1610" t="s">
        <v>5649</v>
      </c>
      <c r="Z1610" t="s">
        <v>46</v>
      </c>
      <c r="AA1610" t="s">
        <v>5678</v>
      </c>
      <c r="AB1610" t="s">
        <v>4223</v>
      </c>
      <c r="AC1610">
        <f>COUNTIF(C:C,QLKV_gui_ket_qua_ra_soat[[#This Row],[Mã điểm bán]])</f>
        <v>1</v>
      </c>
    </row>
    <row r="1611" spans="1:29" x14ac:dyDescent="0.45">
      <c r="A1611" t="s">
        <v>5578</v>
      </c>
      <c r="B1611">
        <v>2188</v>
      </c>
      <c r="C1611" t="s">
        <v>6216</v>
      </c>
      <c r="D1611" t="s">
        <v>6217</v>
      </c>
      <c r="E1611" t="s">
        <v>674</v>
      </c>
      <c r="F1611" t="s">
        <v>5772</v>
      </c>
      <c r="G1611" t="s">
        <v>34</v>
      </c>
      <c r="H1611" t="s">
        <v>565</v>
      </c>
      <c r="I1611" t="s">
        <v>6218</v>
      </c>
      <c r="J1611" t="s">
        <v>56</v>
      </c>
      <c r="K1611" t="s">
        <v>56</v>
      </c>
      <c r="L1611" t="s">
        <v>39</v>
      </c>
      <c r="M1611" t="s">
        <v>37</v>
      </c>
      <c r="N1611" t="s">
        <v>37</v>
      </c>
      <c r="O1611" t="s">
        <v>39</v>
      </c>
      <c r="P1611" t="s">
        <v>38</v>
      </c>
      <c r="Q1611" t="s">
        <v>38</v>
      </c>
      <c r="R1611" t="s">
        <v>40</v>
      </c>
      <c r="S1611" t="s">
        <v>41</v>
      </c>
      <c r="T1611" t="s">
        <v>5676</v>
      </c>
      <c r="U1611" t="s">
        <v>5677</v>
      </c>
      <c r="V1611" t="s">
        <v>5586</v>
      </c>
      <c r="W1611" t="s">
        <v>5607</v>
      </c>
      <c r="Z1611" t="s">
        <v>46</v>
      </c>
      <c r="AA1611" t="s">
        <v>5678</v>
      </c>
      <c r="AB1611" t="s">
        <v>3109</v>
      </c>
      <c r="AC1611">
        <f>COUNTIF(C:C,QLKV_gui_ket_qua_ra_soat[[#This Row],[Mã điểm bán]])</f>
        <v>1</v>
      </c>
    </row>
    <row r="1612" spans="1:29" x14ac:dyDescent="0.45">
      <c r="A1612" t="s">
        <v>5578</v>
      </c>
      <c r="B1612">
        <v>2203</v>
      </c>
      <c r="C1612" t="s">
        <v>6219</v>
      </c>
      <c r="D1612" t="s">
        <v>6220</v>
      </c>
      <c r="E1612" t="s">
        <v>296</v>
      </c>
      <c r="F1612" t="s">
        <v>6221</v>
      </c>
      <c r="G1612" t="s">
        <v>150</v>
      </c>
      <c r="H1612" t="s">
        <v>697</v>
      </c>
      <c r="I1612" t="s">
        <v>6222</v>
      </c>
      <c r="J1612" t="s">
        <v>56</v>
      </c>
      <c r="K1612" t="s">
        <v>56</v>
      </c>
      <c r="L1612" t="s">
        <v>39</v>
      </c>
      <c r="M1612" t="s">
        <v>37</v>
      </c>
      <c r="N1612" t="s">
        <v>37</v>
      </c>
      <c r="O1612" t="s">
        <v>39</v>
      </c>
      <c r="P1612" t="s">
        <v>38</v>
      </c>
      <c r="Q1612" t="s">
        <v>38</v>
      </c>
      <c r="R1612" t="s">
        <v>40</v>
      </c>
      <c r="S1612" t="s">
        <v>41</v>
      </c>
      <c r="T1612" t="s">
        <v>5676</v>
      </c>
      <c r="U1612" t="s">
        <v>5677</v>
      </c>
      <c r="V1612" t="s">
        <v>5586</v>
      </c>
      <c r="W1612" t="s">
        <v>5607</v>
      </c>
      <c r="Z1612" t="s">
        <v>46</v>
      </c>
      <c r="AA1612" t="s">
        <v>5678</v>
      </c>
      <c r="AB1612" t="s">
        <v>4223</v>
      </c>
      <c r="AC1612">
        <f>COUNTIF(C:C,QLKV_gui_ket_qua_ra_soat[[#This Row],[Mã điểm bán]])</f>
        <v>1</v>
      </c>
    </row>
    <row r="1613" spans="1:29" x14ac:dyDescent="0.45">
      <c r="A1613" t="s">
        <v>5578</v>
      </c>
      <c r="B1613">
        <v>2220</v>
      </c>
      <c r="C1613" t="s">
        <v>6223</v>
      </c>
      <c r="D1613" t="s">
        <v>5768</v>
      </c>
      <c r="E1613" t="s">
        <v>138</v>
      </c>
      <c r="F1613" t="s">
        <v>70</v>
      </c>
      <c r="G1613" t="s">
        <v>177</v>
      </c>
      <c r="H1613" t="s">
        <v>54</v>
      </c>
      <c r="I1613" t="s">
        <v>6224</v>
      </c>
      <c r="J1613" t="s">
        <v>38</v>
      </c>
      <c r="K1613" t="s">
        <v>38</v>
      </c>
      <c r="L1613" t="s">
        <v>40</v>
      </c>
      <c r="M1613" t="s">
        <v>38</v>
      </c>
      <c r="N1613" t="s">
        <v>38</v>
      </c>
      <c r="O1613" t="s">
        <v>40</v>
      </c>
      <c r="P1613" t="s">
        <v>38</v>
      </c>
      <c r="Q1613" t="s">
        <v>38</v>
      </c>
      <c r="R1613" t="s">
        <v>40</v>
      </c>
      <c r="S1613" t="s">
        <v>41</v>
      </c>
      <c r="T1613" t="s">
        <v>5766</v>
      </c>
      <c r="U1613" t="s">
        <v>5597</v>
      </c>
      <c r="V1613" t="s">
        <v>5586</v>
      </c>
      <c r="W1613" t="s">
        <v>5598</v>
      </c>
      <c r="Z1613" t="s">
        <v>46</v>
      </c>
      <c r="AA1613" t="s">
        <v>5599</v>
      </c>
      <c r="AB1613" t="s">
        <v>3109</v>
      </c>
      <c r="AC1613">
        <f>COUNTIF(C:C,QLKV_gui_ket_qua_ra_soat[[#This Row],[Mã điểm bán]])</f>
        <v>1</v>
      </c>
    </row>
    <row r="1614" spans="1:29" x14ac:dyDescent="0.45">
      <c r="A1614" t="s">
        <v>5578</v>
      </c>
      <c r="B1614">
        <v>2238</v>
      </c>
      <c r="C1614" t="s">
        <v>6225</v>
      </c>
      <c r="D1614" t="s">
        <v>6226</v>
      </c>
      <c r="E1614" t="s">
        <v>6227</v>
      </c>
      <c r="F1614" t="s">
        <v>53</v>
      </c>
      <c r="G1614" t="s">
        <v>34</v>
      </c>
      <c r="H1614" t="s">
        <v>274</v>
      </c>
      <c r="I1614" t="s">
        <v>6228</v>
      </c>
      <c r="J1614" t="s">
        <v>37</v>
      </c>
      <c r="K1614" t="s">
        <v>37</v>
      </c>
      <c r="L1614" t="s">
        <v>39</v>
      </c>
      <c r="M1614" t="s">
        <v>37</v>
      </c>
      <c r="N1614" t="s">
        <v>37</v>
      </c>
      <c r="O1614" t="s">
        <v>39</v>
      </c>
      <c r="P1614" t="s">
        <v>37</v>
      </c>
      <c r="Q1614" t="s">
        <v>37</v>
      </c>
      <c r="R1614" t="s">
        <v>39</v>
      </c>
      <c r="S1614" t="s">
        <v>41</v>
      </c>
      <c r="T1614" t="s">
        <v>5619</v>
      </c>
      <c r="U1614" t="s">
        <v>5620</v>
      </c>
      <c r="V1614" t="s">
        <v>5586</v>
      </c>
      <c r="W1614" t="s">
        <v>5621</v>
      </c>
      <c r="AC1614">
        <f>COUNTIF(C:C,QLKV_gui_ket_qua_ra_soat[[#This Row],[Mã điểm bán]])</f>
        <v>1</v>
      </c>
    </row>
    <row r="1615" spans="1:29" x14ac:dyDescent="0.45">
      <c r="A1615" t="s">
        <v>5578</v>
      </c>
      <c r="B1615">
        <v>2253</v>
      </c>
      <c r="C1615" t="s">
        <v>6229</v>
      </c>
      <c r="D1615" t="s">
        <v>6230</v>
      </c>
      <c r="E1615" t="s">
        <v>529</v>
      </c>
      <c r="F1615" t="s">
        <v>53</v>
      </c>
      <c r="G1615" t="s">
        <v>177</v>
      </c>
      <c r="H1615" t="s">
        <v>54</v>
      </c>
      <c r="I1615" t="s">
        <v>4305</v>
      </c>
      <c r="J1615" t="s">
        <v>38</v>
      </c>
      <c r="K1615" t="s">
        <v>38</v>
      </c>
      <c r="L1615" t="s">
        <v>40</v>
      </c>
      <c r="M1615" t="s">
        <v>38</v>
      </c>
      <c r="N1615" t="s">
        <v>38</v>
      </c>
      <c r="O1615" t="s">
        <v>40</v>
      </c>
      <c r="P1615" t="s">
        <v>38</v>
      </c>
      <c r="Q1615" t="s">
        <v>38</v>
      </c>
      <c r="R1615" t="s">
        <v>40</v>
      </c>
      <c r="S1615" t="s">
        <v>6231</v>
      </c>
      <c r="T1615" t="s">
        <v>5633</v>
      </c>
      <c r="U1615" t="s">
        <v>5620</v>
      </c>
      <c r="V1615" t="s">
        <v>5586</v>
      </c>
      <c r="W1615" t="s">
        <v>5621</v>
      </c>
      <c r="Z1615" t="s">
        <v>46</v>
      </c>
      <c r="AA1615" t="s">
        <v>5599</v>
      </c>
      <c r="AB1615" t="s">
        <v>3109</v>
      </c>
      <c r="AC1615">
        <f>COUNTIF(C:C,QLKV_gui_ket_qua_ra_soat[[#This Row],[Mã điểm bán]])</f>
        <v>1</v>
      </c>
    </row>
    <row r="1616" spans="1:29" x14ac:dyDescent="0.45">
      <c r="A1616" t="s">
        <v>5578</v>
      </c>
      <c r="B1616">
        <v>2268</v>
      </c>
      <c r="C1616" t="s">
        <v>6232</v>
      </c>
      <c r="D1616" t="s">
        <v>6233</v>
      </c>
      <c r="E1616" t="s">
        <v>6234</v>
      </c>
      <c r="F1616" t="s">
        <v>325</v>
      </c>
      <c r="G1616" t="s">
        <v>177</v>
      </c>
      <c r="H1616" t="s">
        <v>3620</v>
      </c>
      <c r="I1616" t="s">
        <v>6235</v>
      </c>
      <c r="J1616" t="s">
        <v>38</v>
      </c>
      <c r="K1616" t="s">
        <v>37</v>
      </c>
      <c r="L1616" t="s">
        <v>39</v>
      </c>
      <c r="M1616" t="s">
        <v>38</v>
      </c>
      <c r="N1616" t="s">
        <v>37</v>
      </c>
      <c r="O1616" t="s">
        <v>39</v>
      </c>
      <c r="P1616" t="s">
        <v>38</v>
      </c>
      <c r="Q1616" t="s">
        <v>37</v>
      </c>
      <c r="R1616" t="s">
        <v>39</v>
      </c>
      <c r="S1616" t="s">
        <v>4751</v>
      </c>
      <c r="T1616" t="s">
        <v>5619</v>
      </c>
      <c r="U1616" t="s">
        <v>5620</v>
      </c>
      <c r="V1616" t="s">
        <v>5586</v>
      </c>
      <c r="W1616" t="s">
        <v>5621</v>
      </c>
      <c r="Z1616" t="s">
        <v>46</v>
      </c>
      <c r="AA1616" t="s">
        <v>5599</v>
      </c>
      <c r="AB1616" t="s">
        <v>3109</v>
      </c>
      <c r="AC1616">
        <f>COUNTIF(C:C,QLKV_gui_ket_qua_ra_soat[[#This Row],[Mã điểm bán]])</f>
        <v>1</v>
      </c>
    </row>
    <row r="1617" spans="1:29" x14ac:dyDescent="0.45">
      <c r="A1617" t="s">
        <v>5578</v>
      </c>
      <c r="B1617">
        <v>2276</v>
      </c>
      <c r="C1617" t="s">
        <v>6236</v>
      </c>
      <c r="D1617" t="s">
        <v>6237</v>
      </c>
      <c r="E1617" t="s">
        <v>529</v>
      </c>
      <c r="F1617" t="s">
        <v>53</v>
      </c>
      <c r="G1617" t="s">
        <v>34</v>
      </c>
      <c r="H1617" t="s">
        <v>54</v>
      </c>
      <c r="I1617" t="s">
        <v>6238</v>
      </c>
      <c r="J1617" t="s">
        <v>38</v>
      </c>
      <c r="K1617" t="s">
        <v>38</v>
      </c>
      <c r="L1617" t="s">
        <v>40</v>
      </c>
      <c r="M1617" t="s">
        <v>38</v>
      </c>
      <c r="N1617" t="s">
        <v>38</v>
      </c>
      <c r="O1617" t="s">
        <v>40</v>
      </c>
      <c r="P1617" t="s">
        <v>38</v>
      </c>
      <c r="Q1617" t="s">
        <v>38</v>
      </c>
      <c r="R1617" t="s">
        <v>40</v>
      </c>
      <c r="S1617" t="s">
        <v>41</v>
      </c>
      <c r="T1617" t="s">
        <v>5633</v>
      </c>
      <c r="U1617" t="s">
        <v>5620</v>
      </c>
      <c r="V1617" t="s">
        <v>5586</v>
      </c>
      <c r="W1617" t="s">
        <v>5621</v>
      </c>
      <c r="Z1617" t="s">
        <v>46</v>
      </c>
      <c r="AA1617" t="s">
        <v>5599</v>
      </c>
      <c r="AB1617" t="s">
        <v>4223</v>
      </c>
      <c r="AC1617">
        <f>COUNTIF(C:C,QLKV_gui_ket_qua_ra_soat[[#This Row],[Mã điểm bán]])</f>
        <v>1</v>
      </c>
    </row>
    <row r="1618" spans="1:29" x14ac:dyDescent="0.45">
      <c r="A1618" t="s">
        <v>5578</v>
      </c>
      <c r="B1618">
        <v>2295</v>
      </c>
      <c r="C1618" t="s">
        <v>6239</v>
      </c>
      <c r="D1618" t="s">
        <v>6240</v>
      </c>
      <c r="E1618" t="s">
        <v>6241</v>
      </c>
      <c r="F1618" t="s">
        <v>70</v>
      </c>
      <c r="G1618" t="s">
        <v>177</v>
      </c>
      <c r="H1618" t="s">
        <v>35</v>
      </c>
      <c r="I1618" t="s">
        <v>6242</v>
      </c>
      <c r="J1618" t="s">
        <v>37</v>
      </c>
      <c r="K1618" t="s">
        <v>37</v>
      </c>
      <c r="L1618" t="s">
        <v>39</v>
      </c>
      <c r="M1618" t="s">
        <v>37</v>
      </c>
      <c r="N1618" t="s">
        <v>37</v>
      </c>
      <c r="O1618" t="s">
        <v>39</v>
      </c>
      <c r="P1618" t="s">
        <v>38</v>
      </c>
      <c r="Q1618" t="s">
        <v>37</v>
      </c>
      <c r="R1618" t="s">
        <v>39</v>
      </c>
      <c r="S1618" t="s">
        <v>4751</v>
      </c>
      <c r="T1618" t="s">
        <v>5619</v>
      </c>
      <c r="U1618" t="s">
        <v>5620</v>
      </c>
      <c r="V1618" t="s">
        <v>5586</v>
      </c>
      <c r="W1618" t="s">
        <v>5621</v>
      </c>
      <c r="AC1618">
        <f>COUNTIF(C:C,QLKV_gui_ket_qua_ra_soat[[#This Row],[Mã điểm bán]])</f>
        <v>1</v>
      </c>
    </row>
    <row r="1619" spans="1:29" x14ac:dyDescent="0.45">
      <c r="A1619" t="s">
        <v>5578</v>
      </c>
      <c r="B1619">
        <v>2303</v>
      </c>
      <c r="C1619" t="s">
        <v>6243</v>
      </c>
      <c r="D1619" t="s">
        <v>6244</v>
      </c>
      <c r="E1619" t="s">
        <v>212</v>
      </c>
      <c r="F1619" t="s">
        <v>166</v>
      </c>
      <c r="G1619" t="s">
        <v>34</v>
      </c>
      <c r="H1619" t="s">
        <v>54</v>
      </c>
      <c r="I1619" t="s">
        <v>4582</v>
      </c>
      <c r="J1619" t="s">
        <v>37</v>
      </c>
      <c r="K1619" t="s">
        <v>37</v>
      </c>
      <c r="L1619" t="s">
        <v>39</v>
      </c>
      <c r="M1619" t="s">
        <v>37</v>
      </c>
      <c r="N1619" t="s">
        <v>37</v>
      </c>
      <c r="O1619" t="s">
        <v>39</v>
      </c>
      <c r="P1619" t="s">
        <v>38</v>
      </c>
      <c r="Q1619" t="s">
        <v>37</v>
      </c>
      <c r="R1619" t="s">
        <v>40</v>
      </c>
      <c r="S1619" t="s">
        <v>41</v>
      </c>
      <c r="T1619" t="s">
        <v>5633</v>
      </c>
      <c r="U1619" t="s">
        <v>5620</v>
      </c>
      <c r="V1619" t="s">
        <v>5586</v>
      </c>
      <c r="W1619" t="s">
        <v>5621</v>
      </c>
      <c r="Z1619" t="s">
        <v>46</v>
      </c>
      <c r="AA1619" t="s">
        <v>5599</v>
      </c>
      <c r="AB1619" t="s">
        <v>4223</v>
      </c>
      <c r="AC1619">
        <f>COUNTIF(C:C,QLKV_gui_ket_qua_ra_soat[[#This Row],[Mã điểm bán]])</f>
        <v>1</v>
      </c>
    </row>
    <row r="1620" spans="1:29" x14ac:dyDescent="0.45">
      <c r="A1620" t="s">
        <v>5578</v>
      </c>
      <c r="B1620">
        <v>2311</v>
      </c>
      <c r="C1620" t="s">
        <v>6245</v>
      </c>
      <c r="D1620" t="s">
        <v>6246</v>
      </c>
      <c r="E1620" t="s">
        <v>75</v>
      </c>
      <c r="F1620" t="s">
        <v>53</v>
      </c>
      <c r="G1620" t="s">
        <v>34</v>
      </c>
      <c r="H1620" t="s">
        <v>54</v>
      </c>
      <c r="I1620" t="s">
        <v>6247</v>
      </c>
      <c r="J1620" t="s">
        <v>38</v>
      </c>
      <c r="K1620" t="s">
        <v>38</v>
      </c>
      <c r="L1620" t="s">
        <v>40</v>
      </c>
      <c r="M1620" t="s">
        <v>38</v>
      </c>
      <c r="N1620" t="s">
        <v>38</v>
      </c>
      <c r="O1620" t="s">
        <v>40</v>
      </c>
      <c r="P1620" t="s">
        <v>38</v>
      </c>
      <c r="Q1620" t="s">
        <v>38</v>
      </c>
      <c r="R1620" t="s">
        <v>40</v>
      </c>
      <c r="S1620" t="s">
        <v>41</v>
      </c>
      <c r="T1620" t="s">
        <v>5633</v>
      </c>
      <c r="U1620" t="s">
        <v>5620</v>
      </c>
      <c r="V1620" t="s">
        <v>5586</v>
      </c>
      <c r="W1620" t="s">
        <v>5621</v>
      </c>
      <c r="Z1620" t="s">
        <v>46</v>
      </c>
      <c r="AA1620" t="s">
        <v>5599</v>
      </c>
      <c r="AB1620" t="s">
        <v>4223</v>
      </c>
      <c r="AC1620">
        <f>COUNTIF(C:C,QLKV_gui_ket_qua_ra_soat[[#This Row],[Mã điểm bán]])</f>
        <v>1</v>
      </c>
    </row>
    <row r="1621" spans="1:29" x14ac:dyDescent="0.45">
      <c r="A1621" t="s">
        <v>5578</v>
      </c>
      <c r="B1621">
        <v>2315</v>
      </c>
      <c r="C1621" t="s">
        <v>6248</v>
      </c>
      <c r="D1621" t="s">
        <v>6249</v>
      </c>
      <c r="E1621" t="s">
        <v>6250</v>
      </c>
      <c r="F1621" t="s">
        <v>426</v>
      </c>
      <c r="G1621" t="s">
        <v>177</v>
      </c>
      <c r="H1621" t="s">
        <v>54</v>
      </c>
      <c r="I1621" t="s">
        <v>6251</v>
      </c>
      <c r="J1621" t="s">
        <v>37</v>
      </c>
      <c r="K1621" t="s">
        <v>37</v>
      </c>
      <c r="L1621" t="s">
        <v>39</v>
      </c>
      <c r="M1621" t="s">
        <v>37</v>
      </c>
      <c r="N1621" t="s">
        <v>37</v>
      </c>
      <c r="O1621" t="s">
        <v>39</v>
      </c>
      <c r="P1621" t="s">
        <v>37</v>
      </c>
      <c r="Q1621" t="s">
        <v>37</v>
      </c>
      <c r="R1621" t="s">
        <v>39</v>
      </c>
      <c r="S1621" t="s">
        <v>4751</v>
      </c>
      <c r="T1621" t="s">
        <v>5619</v>
      </c>
      <c r="U1621" t="s">
        <v>5620</v>
      </c>
      <c r="V1621" t="s">
        <v>5586</v>
      </c>
      <c r="W1621" t="s">
        <v>5621</v>
      </c>
      <c r="AC1621">
        <f>COUNTIF(C:C,QLKV_gui_ket_qua_ra_soat[[#This Row],[Mã điểm bán]])</f>
        <v>1</v>
      </c>
    </row>
    <row r="1622" spans="1:29" x14ac:dyDescent="0.45">
      <c r="A1622" t="s">
        <v>5578</v>
      </c>
      <c r="B1622">
        <v>2370</v>
      </c>
      <c r="C1622" t="s">
        <v>6252</v>
      </c>
      <c r="D1622" t="s">
        <v>6253</v>
      </c>
      <c r="E1622" t="s">
        <v>108</v>
      </c>
      <c r="F1622" t="s">
        <v>53</v>
      </c>
      <c r="G1622" t="s">
        <v>177</v>
      </c>
      <c r="H1622" t="s">
        <v>54</v>
      </c>
      <c r="I1622" t="s">
        <v>6254</v>
      </c>
      <c r="J1622" t="s">
        <v>38</v>
      </c>
      <c r="K1622" t="s">
        <v>37</v>
      </c>
      <c r="L1622" t="s">
        <v>39</v>
      </c>
      <c r="M1622" t="s">
        <v>37</v>
      </c>
      <c r="N1622" t="s">
        <v>37</v>
      </c>
      <c r="O1622" t="s">
        <v>39</v>
      </c>
      <c r="P1622" t="s">
        <v>37</v>
      </c>
      <c r="Q1622" t="s">
        <v>37</v>
      </c>
      <c r="R1622" t="s">
        <v>39</v>
      </c>
      <c r="S1622" t="s">
        <v>4959</v>
      </c>
      <c r="T1622" t="s">
        <v>5619</v>
      </c>
      <c r="U1622" t="s">
        <v>5620</v>
      </c>
      <c r="V1622" t="s">
        <v>5586</v>
      </c>
      <c r="W1622" t="s">
        <v>5621</v>
      </c>
      <c r="AC1622">
        <f>COUNTIF(C:C,QLKV_gui_ket_qua_ra_soat[[#This Row],[Mã điểm bán]])</f>
        <v>1</v>
      </c>
    </row>
    <row r="1623" spans="1:29" x14ac:dyDescent="0.45">
      <c r="A1623" t="s">
        <v>5578</v>
      </c>
      <c r="B1623">
        <v>2385</v>
      </c>
      <c r="C1623" t="s">
        <v>6255</v>
      </c>
      <c r="D1623" t="s">
        <v>6256</v>
      </c>
      <c r="E1623" t="s">
        <v>6257</v>
      </c>
      <c r="F1623" t="s">
        <v>325</v>
      </c>
      <c r="G1623" t="s">
        <v>177</v>
      </c>
      <c r="H1623" t="s">
        <v>54</v>
      </c>
      <c r="I1623" t="s">
        <v>6258</v>
      </c>
      <c r="J1623" t="s">
        <v>37</v>
      </c>
      <c r="K1623" t="s">
        <v>37</v>
      </c>
      <c r="L1623" t="s">
        <v>39</v>
      </c>
      <c r="M1623" t="s">
        <v>37</v>
      </c>
      <c r="N1623" t="s">
        <v>37</v>
      </c>
      <c r="O1623" t="s">
        <v>39</v>
      </c>
      <c r="P1623" t="s">
        <v>37</v>
      </c>
      <c r="Q1623" t="s">
        <v>37</v>
      </c>
      <c r="R1623" t="s">
        <v>39</v>
      </c>
      <c r="S1623" t="s">
        <v>4751</v>
      </c>
      <c r="T1623" t="s">
        <v>5619</v>
      </c>
      <c r="U1623" t="s">
        <v>5620</v>
      </c>
      <c r="V1623" t="s">
        <v>5586</v>
      </c>
      <c r="W1623" t="s">
        <v>5621</v>
      </c>
      <c r="Z1623" t="s">
        <v>46</v>
      </c>
      <c r="AA1623" t="s">
        <v>5599</v>
      </c>
      <c r="AB1623" t="s">
        <v>3109</v>
      </c>
      <c r="AC1623">
        <f>COUNTIF(C:C,QLKV_gui_ket_qua_ra_soat[[#This Row],[Mã điểm bán]])</f>
        <v>1</v>
      </c>
    </row>
    <row r="1624" spans="1:29" x14ac:dyDescent="0.45">
      <c r="A1624" t="s">
        <v>5578</v>
      </c>
      <c r="B1624">
        <v>2451</v>
      </c>
      <c r="C1624" t="s">
        <v>6259</v>
      </c>
      <c r="D1624" t="s">
        <v>6260</v>
      </c>
      <c r="E1624" t="s">
        <v>6261</v>
      </c>
      <c r="F1624" t="s">
        <v>53</v>
      </c>
      <c r="G1624" t="s">
        <v>177</v>
      </c>
      <c r="H1624" t="s">
        <v>54</v>
      </c>
      <c r="I1624" t="s">
        <v>6262</v>
      </c>
      <c r="J1624" t="s">
        <v>37</v>
      </c>
      <c r="K1624" t="s">
        <v>37</v>
      </c>
      <c r="L1624" t="s">
        <v>39</v>
      </c>
      <c r="M1624" t="s">
        <v>37</v>
      </c>
      <c r="N1624" t="s">
        <v>37</v>
      </c>
      <c r="O1624" t="s">
        <v>39</v>
      </c>
      <c r="P1624" t="s">
        <v>37</v>
      </c>
      <c r="Q1624" t="s">
        <v>37</v>
      </c>
      <c r="R1624" t="s">
        <v>39</v>
      </c>
      <c r="S1624" t="s">
        <v>4751</v>
      </c>
      <c r="T1624" t="s">
        <v>5619</v>
      </c>
      <c r="U1624" t="s">
        <v>5620</v>
      </c>
      <c r="V1624" t="s">
        <v>5586</v>
      </c>
      <c r="W1624" t="s">
        <v>5621</v>
      </c>
      <c r="Z1624" t="s">
        <v>46</v>
      </c>
      <c r="AA1624" t="s">
        <v>5599</v>
      </c>
      <c r="AB1624" t="s">
        <v>3109</v>
      </c>
      <c r="AC1624">
        <f>COUNTIF(C:C,QLKV_gui_ket_qua_ra_soat[[#This Row],[Mã điểm bán]])</f>
        <v>1</v>
      </c>
    </row>
    <row r="1625" spans="1:29" x14ac:dyDescent="0.45">
      <c r="A1625" t="s">
        <v>5578</v>
      </c>
      <c r="B1625">
        <v>2479</v>
      </c>
      <c r="C1625" t="s">
        <v>6263</v>
      </c>
      <c r="D1625" t="s">
        <v>6264</v>
      </c>
      <c r="E1625" t="s">
        <v>529</v>
      </c>
      <c r="F1625" t="s">
        <v>417</v>
      </c>
      <c r="G1625" t="s">
        <v>34</v>
      </c>
      <c r="H1625" t="s">
        <v>1184</v>
      </c>
      <c r="I1625" t="s">
        <v>6265</v>
      </c>
      <c r="J1625" t="s">
        <v>38</v>
      </c>
      <c r="K1625" t="s">
        <v>38</v>
      </c>
      <c r="L1625" t="s">
        <v>40</v>
      </c>
      <c r="M1625" t="s">
        <v>37</v>
      </c>
      <c r="N1625" t="s">
        <v>37</v>
      </c>
      <c r="O1625" t="s">
        <v>39</v>
      </c>
      <c r="P1625" t="s">
        <v>38</v>
      </c>
      <c r="Q1625" t="s">
        <v>37</v>
      </c>
      <c r="R1625" t="s">
        <v>39</v>
      </c>
      <c r="S1625" t="s">
        <v>41</v>
      </c>
      <c r="T1625" t="s">
        <v>5711</v>
      </c>
      <c r="U1625" t="s">
        <v>5712</v>
      </c>
      <c r="V1625" t="s">
        <v>5586</v>
      </c>
      <c r="W1625" t="s">
        <v>5649</v>
      </c>
      <c r="AC1625">
        <f>COUNTIF(C:C,QLKV_gui_ket_qua_ra_soat[[#This Row],[Mã điểm bán]])</f>
        <v>1</v>
      </c>
    </row>
    <row r="1626" spans="1:29" x14ac:dyDescent="0.45">
      <c r="A1626" t="s">
        <v>5578</v>
      </c>
      <c r="B1626">
        <v>2482</v>
      </c>
      <c r="C1626" t="s">
        <v>6266</v>
      </c>
      <c r="D1626" t="s">
        <v>6267</v>
      </c>
      <c r="E1626" t="s">
        <v>176</v>
      </c>
      <c r="F1626" t="s">
        <v>426</v>
      </c>
      <c r="G1626" t="s">
        <v>177</v>
      </c>
      <c r="H1626" t="s">
        <v>54</v>
      </c>
      <c r="I1626" t="s">
        <v>6268</v>
      </c>
      <c r="J1626" t="s">
        <v>38</v>
      </c>
      <c r="K1626" t="s">
        <v>38</v>
      </c>
      <c r="L1626" t="s">
        <v>40</v>
      </c>
      <c r="M1626" t="s">
        <v>38</v>
      </c>
      <c r="N1626" t="s">
        <v>38</v>
      </c>
      <c r="O1626" t="s">
        <v>40</v>
      </c>
      <c r="P1626" t="s">
        <v>38</v>
      </c>
      <c r="Q1626" t="s">
        <v>38</v>
      </c>
      <c r="R1626" t="s">
        <v>40</v>
      </c>
      <c r="S1626" t="s">
        <v>41</v>
      </c>
      <c r="T1626" t="s">
        <v>5766</v>
      </c>
      <c r="U1626" t="s">
        <v>5597</v>
      </c>
      <c r="V1626" t="s">
        <v>5586</v>
      </c>
      <c r="W1626" t="s">
        <v>5598</v>
      </c>
      <c r="AC1626">
        <f>COUNTIF(C:C,QLKV_gui_ket_qua_ra_soat[[#This Row],[Mã điểm bán]])</f>
        <v>1</v>
      </c>
    </row>
    <row r="1627" spans="1:29" x14ac:dyDescent="0.45">
      <c r="A1627" t="s">
        <v>5578</v>
      </c>
      <c r="B1627">
        <v>2498</v>
      </c>
      <c r="C1627" t="s">
        <v>6269</v>
      </c>
      <c r="D1627" t="s">
        <v>6270</v>
      </c>
      <c r="E1627" t="s">
        <v>431</v>
      </c>
      <c r="F1627" t="s">
        <v>478</v>
      </c>
      <c r="G1627" t="s">
        <v>150</v>
      </c>
      <c r="H1627" t="s">
        <v>54</v>
      </c>
      <c r="I1627" t="s">
        <v>6271</v>
      </c>
      <c r="J1627" t="s">
        <v>37</v>
      </c>
      <c r="K1627" t="s">
        <v>37</v>
      </c>
      <c r="L1627" t="s">
        <v>39</v>
      </c>
      <c r="M1627" t="s">
        <v>56</v>
      </c>
      <c r="N1627" t="s">
        <v>56</v>
      </c>
      <c r="O1627" t="s">
        <v>121</v>
      </c>
      <c r="P1627" t="s">
        <v>38</v>
      </c>
      <c r="Q1627" t="s">
        <v>38</v>
      </c>
      <c r="R1627" t="s">
        <v>39</v>
      </c>
      <c r="S1627" t="s">
        <v>41</v>
      </c>
      <c r="T1627" t="s">
        <v>5647</v>
      </c>
      <c r="U1627" t="s">
        <v>5648</v>
      </c>
      <c r="V1627" t="s">
        <v>5586</v>
      </c>
      <c r="W1627" t="s">
        <v>5649</v>
      </c>
      <c r="AC1627">
        <f>COUNTIF(C:C,QLKV_gui_ket_qua_ra_soat[[#This Row],[Mã điểm bán]])</f>
        <v>1</v>
      </c>
    </row>
    <row r="1628" spans="1:29" x14ac:dyDescent="0.45">
      <c r="A1628" t="s">
        <v>5578</v>
      </c>
      <c r="B1628">
        <v>2524</v>
      </c>
      <c r="C1628" t="s">
        <v>6272</v>
      </c>
      <c r="D1628" t="s">
        <v>6273</v>
      </c>
      <c r="E1628" t="s">
        <v>108</v>
      </c>
      <c r="F1628" t="s">
        <v>53</v>
      </c>
      <c r="G1628" t="s">
        <v>177</v>
      </c>
      <c r="H1628" t="s">
        <v>54</v>
      </c>
      <c r="I1628" t="s">
        <v>6274</v>
      </c>
      <c r="J1628" t="s">
        <v>37</v>
      </c>
      <c r="K1628" t="s">
        <v>37</v>
      </c>
      <c r="L1628" t="s">
        <v>39</v>
      </c>
      <c r="M1628" t="s">
        <v>37</v>
      </c>
      <c r="N1628" t="s">
        <v>37</v>
      </c>
      <c r="O1628" t="s">
        <v>39</v>
      </c>
      <c r="P1628" t="s">
        <v>37</v>
      </c>
      <c r="Q1628" t="s">
        <v>37</v>
      </c>
      <c r="R1628" t="s">
        <v>39</v>
      </c>
      <c r="S1628" t="s">
        <v>6275</v>
      </c>
      <c r="T1628" t="s">
        <v>5619</v>
      </c>
      <c r="U1628" t="s">
        <v>5620</v>
      </c>
      <c r="V1628" t="s">
        <v>5586</v>
      </c>
      <c r="W1628" t="s">
        <v>5621</v>
      </c>
      <c r="Z1628" t="s">
        <v>46</v>
      </c>
      <c r="AA1628" t="s">
        <v>5599</v>
      </c>
      <c r="AB1628" t="s">
        <v>3109</v>
      </c>
      <c r="AC1628">
        <f>COUNTIF(C:C,QLKV_gui_ket_qua_ra_soat[[#This Row],[Mã điểm bán]])</f>
        <v>1</v>
      </c>
    </row>
    <row r="1629" spans="1:29" x14ac:dyDescent="0.45">
      <c r="A1629" t="s">
        <v>5578</v>
      </c>
      <c r="B1629">
        <v>2529</v>
      </c>
      <c r="C1629" t="s">
        <v>6276</v>
      </c>
      <c r="D1629" t="s">
        <v>6277</v>
      </c>
      <c r="E1629" t="s">
        <v>176</v>
      </c>
      <c r="F1629" t="s">
        <v>53</v>
      </c>
      <c r="G1629" t="s">
        <v>34</v>
      </c>
      <c r="H1629" t="s">
        <v>1746</v>
      </c>
      <c r="I1629" t="s">
        <v>6278</v>
      </c>
      <c r="J1629" t="s">
        <v>38</v>
      </c>
      <c r="K1629" t="s">
        <v>38</v>
      </c>
      <c r="L1629" t="s">
        <v>40</v>
      </c>
      <c r="M1629" t="s">
        <v>37</v>
      </c>
      <c r="N1629" t="s">
        <v>37</v>
      </c>
      <c r="O1629" t="s">
        <v>39</v>
      </c>
      <c r="P1629" t="s">
        <v>38</v>
      </c>
      <c r="Q1629" t="s">
        <v>37</v>
      </c>
      <c r="R1629" t="s">
        <v>39</v>
      </c>
      <c r="S1629" t="s">
        <v>41</v>
      </c>
      <c r="T1629" t="s">
        <v>5711</v>
      </c>
      <c r="U1629" t="s">
        <v>5712</v>
      </c>
      <c r="V1629" t="s">
        <v>5586</v>
      </c>
      <c r="W1629" t="s">
        <v>5649</v>
      </c>
      <c r="AC1629">
        <f>COUNTIF(C:C,QLKV_gui_ket_qua_ra_soat[[#This Row],[Mã điểm bán]])</f>
        <v>1</v>
      </c>
    </row>
    <row r="1630" spans="1:29" x14ac:dyDescent="0.45">
      <c r="A1630" t="s">
        <v>5578</v>
      </c>
      <c r="B1630">
        <v>2530</v>
      </c>
      <c r="C1630" t="s">
        <v>6279</v>
      </c>
      <c r="D1630" t="s">
        <v>6280</v>
      </c>
      <c r="E1630" t="s">
        <v>290</v>
      </c>
      <c r="F1630" t="s">
        <v>426</v>
      </c>
      <c r="G1630" t="s">
        <v>177</v>
      </c>
      <c r="H1630" t="s">
        <v>54</v>
      </c>
      <c r="I1630" t="s">
        <v>6281</v>
      </c>
      <c r="J1630" t="s">
        <v>38</v>
      </c>
      <c r="K1630" t="s">
        <v>38</v>
      </c>
      <c r="L1630" t="s">
        <v>40</v>
      </c>
      <c r="M1630" t="s">
        <v>38</v>
      </c>
      <c r="N1630" t="s">
        <v>38</v>
      </c>
      <c r="O1630" t="s">
        <v>40</v>
      </c>
      <c r="P1630" t="s">
        <v>38</v>
      </c>
      <c r="Q1630" t="s">
        <v>38</v>
      </c>
      <c r="R1630" t="s">
        <v>40</v>
      </c>
      <c r="S1630" t="s">
        <v>41</v>
      </c>
      <c r="T1630" t="s">
        <v>5766</v>
      </c>
      <c r="U1630" t="s">
        <v>5597</v>
      </c>
      <c r="V1630" t="s">
        <v>5586</v>
      </c>
      <c r="W1630" t="s">
        <v>5598</v>
      </c>
      <c r="X1630" t="s">
        <v>46</v>
      </c>
      <c r="AB1630" t="s">
        <v>3109</v>
      </c>
      <c r="AC1630">
        <f>COUNTIF(C:C,QLKV_gui_ket_qua_ra_soat[[#This Row],[Mã điểm bán]])</f>
        <v>1</v>
      </c>
    </row>
    <row r="1631" spans="1:29" x14ac:dyDescent="0.45">
      <c r="A1631" t="s">
        <v>5578</v>
      </c>
      <c r="B1631">
        <v>2546</v>
      </c>
      <c r="C1631" t="s">
        <v>6282</v>
      </c>
      <c r="D1631" t="s">
        <v>6283</v>
      </c>
      <c r="E1631" t="s">
        <v>304</v>
      </c>
      <c r="F1631" t="s">
        <v>53</v>
      </c>
      <c r="G1631" t="s">
        <v>177</v>
      </c>
      <c r="H1631" t="s">
        <v>54</v>
      </c>
      <c r="I1631" t="s">
        <v>6284</v>
      </c>
      <c r="J1631" t="s">
        <v>38</v>
      </c>
      <c r="K1631" t="s">
        <v>37</v>
      </c>
      <c r="L1631" t="s">
        <v>39</v>
      </c>
      <c r="M1631" t="s">
        <v>37</v>
      </c>
      <c r="N1631" t="s">
        <v>37</v>
      </c>
      <c r="O1631" t="s">
        <v>39</v>
      </c>
      <c r="P1631" t="s">
        <v>37</v>
      </c>
      <c r="Q1631" t="s">
        <v>37</v>
      </c>
      <c r="R1631" t="s">
        <v>39</v>
      </c>
      <c r="S1631" t="s">
        <v>4959</v>
      </c>
      <c r="T1631" t="s">
        <v>5619</v>
      </c>
      <c r="U1631" t="s">
        <v>5620</v>
      </c>
      <c r="V1631" t="s">
        <v>5586</v>
      </c>
      <c r="W1631" t="s">
        <v>5621</v>
      </c>
      <c r="AC1631">
        <f>COUNTIF(C:C,QLKV_gui_ket_qua_ra_soat[[#This Row],[Mã điểm bán]])</f>
        <v>1</v>
      </c>
    </row>
    <row r="1632" spans="1:29" x14ac:dyDescent="0.45">
      <c r="A1632" t="s">
        <v>5578</v>
      </c>
      <c r="B1632">
        <v>2560</v>
      </c>
      <c r="C1632" t="s">
        <v>6285</v>
      </c>
      <c r="D1632" t="s">
        <v>6286</v>
      </c>
      <c r="E1632" t="s">
        <v>1182</v>
      </c>
      <c r="F1632" t="s">
        <v>1573</v>
      </c>
      <c r="G1632" t="s">
        <v>34</v>
      </c>
      <c r="H1632" t="s">
        <v>555</v>
      </c>
      <c r="I1632" t="s">
        <v>6287</v>
      </c>
      <c r="J1632" t="s">
        <v>38</v>
      </c>
      <c r="K1632" t="s">
        <v>37</v>
      </c>
      <c r="L1632" t="s">
        <v>40</v>
      </c>
      <c r="M1632" t="s">
        <v>37</v>
      </c>
      <c r="N1632" t="s">
        <v>37</v>
      </c>
      <c r="O1632" t="s">
        <v>39</v>
      </c>
      <c r="P1632" t="s">
        <v>38</v>
      </c>
      <c r="Q1632" t="s">
        <v>37</v>
      </c>
      <c r="R1632" t="s">
        <v>40</v>
      </c>
      <c r="S1632" t="s">
        <v>41</v>
      </c>
      <c r="T1632" t="s">
        <v>5711</v>
      </c>
      <c r="U1632" t="s">
        <v>5712</v>
      </c>
      <c r="V1632" t="s">
        <v>5586</v>
      </c>
      <c r="W1632" t="s">
        <v>5649</v>
      </c>
      <c r="Z1632" t="s">
        <v>46</v>
      </c>
      <c r="AA1632" t="s">
        <v>5678</v>
      </c>
      <c r="AB1632" t="s">
        <v>4223</v>
      </c>
      <c r="AC1632">
        <f>COUNTIF(C:C,QLKV_gui_ket_qua_ra_soat[[#This Row],[Mã điểm bán]])</f>
        <v>1</v>
      </c>
    </row>
    <row r="1633" spans="1:29" x14ac:dyDescent="0.45">
      <c r="A1633" t="s">
        <v>5578</v>
      </c>
      <c r="B1633">
        <v>2568</v>
      </c>
      <c r="C1633" t="s">
        <v>6288</v>
      </c>
      <c r="D1633" t="s">
        <v>6207</v>
      </c>
      <c r="E1633" t="s">
        <v>579</v>
      </c>
      <c r="F1633" t="s">
        <v>426</v>
      </c>
      <c r="G1633" t="s">
        <v>177</v>
      </c>
      <c r="H1633" t="s">
        <v>54</v>
      </c>
      <c r="I1633" t="s">
        <v>6289</v>
      </c>
      <c r="J1633" t="s">
        <v>37</v>
      </c>
      <c r="K1633" t="s">
        <v>37</v>
      </c>
      <c r="L1633" t="s">
        <v>39</v>
      </c>
      <c r="M1633" t="s">
        <v>37</v>
      </c>
      <c r="N1633" t="s">
        <v>37</v>
      </c>
      <c r="O1633" t="s">
        <v>39</v>
      </c>
      <c r="P1633" t="s">
        <v>38</v>
      </c>
      <c r="Q1633" t="s">
        <v>38</v>
      </c>
      <c r="R1633" t="s">
        <v>39</v>
      </c>
      <c r="S1633" t="s">
        <v>6290</v>
      </c>
      <c r="T1633" t="s">
        <v>5916</v>
      </c>
      <c r="U1633" t="s">
        <v>5917</v>
      </c>
      <c r="V1633" t="s">
        <v>5586</v>
      </c>
      <c r="W1633" t="s">
        <v>5598</v>
      </c>
      <c r="AC1633">
        <f>COUNTIF(C:C,QLKV_gui_ket_qua_ra_soat[[#This Row],[Mã điểm bán]])</f>
        <v>1</v>
      </c>
    </row>
    <row r="1634" spans="1:29" x14ac:dyDescent="0.45">
      <c r="A1634" t="s">
        <v>5578</v>
      </c>
      <c r="B1634">
        <v>2586</v>
      </c>
      <c r="C1634" t="s">
        <v>6291</v>
      </c>
      <c r="D1634" t="s">
        <v>6292</v>
      </c>
      <c r="E1634" t="s">
        <v>2630</v>
      </c>
      <c r="F1634" t="s">
        <v>426</v>
      </c>
      <c r="G1634" t="s">
        <v>34</v>
      </c>
      <c r="H1634" t="s">
        <v>171</v>
      </c>
      <c r="I1634" t="s">
        <v>6293</v>
      </c>
      <c r="J1634" t="s">
        <v>37</v>
      </c>
      <c r="K1634" t="s">
        <v>37</v>
      </c>
      <c r="L1634" t="s">
        <v>39</v>
      </c>
      <c r="M1634" t="s">
        <v>37</v>
      </c>
      <c r="N1634" t="s">
        <v>37</v>
      </c>
      <c r="O1634" t="s">
        <v>39</v>
      </c>
      <c r="P1634" t="s">
        <v>37</v>
      </c>
      <c r="Q1634" t="s">
        <v>37</v>
      </c>
      <c r="R1634" t="s">
        <v>39</v>
      </c>
      <c r="S1634" t="s">
        <v>41</v>
      </c>
      <c r="T1634" t="s">
        <v>5916</v>
      </c>
      <c r="U1634" t="s">
        <v>5917</v>
      </c>
      <c r="V1634" t="s">
        <v>5586</v>
      </c>
      <c r="W1634" t="s">
        <v>5598</v>
      </c>
      <c r="AC1634">
        <f>COUNTIF(C:C,QLKV_gui_ket_qua_ra_soat[[#This Row],[Mã điểm bán]])</f>
        <v>1</v>
      </c>
    </row>
    <row r="1635" spans="1:29" x14ac:dyDescent="0.45">
      <c r="A1635" t="s">
        <v>5578</v>
      </c>
      <c r="B1635">
        <v>2590</v>
      </c>
      <c r="C1635" t="s">
        <v>6294</v>
      </c>
      <c r="D1635" t="s">
        <v>6295</v>
      </c>
      <c r="E1635" t="s">
        <v>108</v>
      </c>
      <c r="F1635" t="s">
        <v>53</v>
      </c>
      <c r="G1635" t="s">
        <v>177</v>
      </c>
      <c r="H1635" t="s">
        <v>54</v>
      </c>
      <c r="I1635" t="s">
        <v>6296</v>
      </c>
      <c r="J1635" t="s">
        <v>37</v>
      </c>
      <c r="K1635" t="s">
        <v>37</v>
      </c>
      <c r="L1635" t="s">
        <v>39</v>
      </c>
      <c r="M1635" t="s">
        <v>37</v>
      </c>
      <c r="N1635" t="s">
        <v>37</v>
      </c>
      <c r="O1635" t="s">
        <v>39</v>
      </c>
      <c r="P1635" t="s">
        <v>38</v>
      </c>
      <c r="Q1635" t="s">
        <v>37</v>
      </c>
      <c r="R1635" t="s">
        <v>39</v>
      </c>
      <c r="S1635" t="s">
        <v>4959</v>
      </c>
      <c r="T1635" t="s">
        <v>5619</v>
      </c>
      <c r="U1635" t="s">
        <v>5620</v>
      </c>
      <c r="V1635" t="s">
        <v>5586</v>
      </c>
      <c r="W1635" t="s">
        <v>5621</v>
      </c>
      <c r="AC1635">
        <f>COUNTIF(C:C,QLKV_gui_ket_qua_ra_soat[[#This Row],[Mã điểm bán]])</f>
        <v>1</v>
      </c>
    </row>
    <row r="1636" spans="1:29" x14ac:dyDescent="0.45">
      <c r="A1636" t="s">
        <v>5578</v>
      </c>
      <c r="B1636">
        <v>2613</v>
      </c>
      <c r="C1636" t="s">
        <v>6297</v>
      </c>
      <c r="D1636" t="s">
        <v>6298</v>
      </c>
      <c r="E1636" t="s">
        <v>109</v>
      </c>
      <c r="F1636" t="s">
        <v>53</v>
      </c>
      <c r="G1636" t="s">
        <v>177</v>
      </c>
      <c r="H1636" t="s">
        <v>54</v>
      </c>
      <c r="I1636" t="s">
        <v>6299</v>
      </c>
      <c r="J1636" t="s">
        <v>37</v>
      </c>
      <c r="K1636" t="s">
        <v>37</v>
      </c>
      <c r="L1636" t="s">
        <v>39</v>
      </c>
      <c r="M1636" t="s">
        <v>38</v>
      </c>
      <c r="N1636" t="s">
        <v>37</v>
      </c>
      <c r="O1636" t="s">
        <v>39</v>
      </c>
      <c r="P1636" t="s">
        <v>37</v>
      </c>
      <c r="Q1636" t="s">
        <v>37</v>
      </c>
      <c r="R1636" t="s">
        <v>39</v>
      </c>
      <c r="S1636" t="s">
        <v>5720</v>
      </c>
      <c r="T1636" t="s">
        <v>5619</v>
      </c>
      <c r="U1636" t="s">
        <v>5620</v>
      </c>
      <c r="V1636" t="s">
        <v>5586</v>
      </c>
      <c r="W1636" t="s">
        <v>5621</v>
      </c>
      <c r="AC1636">
        <f>COUNTIF(C:C,QLKV_gui_ket_qua_ra_soat[[#This Row],[Mã điểm bán]])</f>
        <v>1</v>
      </c>
    </row>
    <row r="1637" spans="1:29" x14ac:dyDescent="0.45">
      <c r="A1637" t="s">
        <v>5578</v>
      </c>
      <c r="B1637">
        <v>2646</v>
      </c>
      <c r="C1637" t="s">
        <v>6300</v>
      </c>
      <c r="D1637" t="s">
        <v>6301</v>
      </c>
      <c r="E1637" t="s">
        <v>6302</v>
      </c>
      <c r="F1637" t="s">
        <v>426</v>
      </c>
      <c r="G1637" t="s">
        <v>177</v>
      </c>
      <c r="H1637" t="s">
        <v>54</v>
      </c>
      <c r="I1637" t="s">
        <v>6303</v>
      </c>
      <c r="J1637" t="s">
        <v>38</v>
      </c>
      <c r="K1637" t="s">
        <v>38</v>
      </c>
      <c r="L1637" t="s">
        <v>40</v>
      </c>
      <c r="M1637" t="s">
        <v>38</v>
      </c>
      <c r="N1637" t="s">
        <v>38</v>
      </c>
      <c r="O1637" t="s">
        <v>40</v>
      </c>
      <c r="P1637" t="s">
        <v>38</v>
      </c>
      <c r="Q1637" t="s">
        <v>38</v>
      </c>
      <c r="R1637" t="s">
        <v>40</v>
      </c>
      <c r="S1637" t="s">
        <v>41</v>
      </c>
      <c r="T1637" t="s">
        <v>5766</v>
      </c>
      <c r="U1637" t="s">
        <v>5597</v>
      </c>
      <c r="V1637" t="s">
        <v>5586</v>
      </c>
      <c r="W1637" t="s">
        <v>5598</v>
      </c>
      <c r="AC1637">
        <f>COUNTIF(C:C,QLKV_gui_ket_qua_ra_soat[[#This Row],[Mã điểm bán]])</f>
        <v>1</v>
      </c>
    </row>
    <row r="1638" spans="1:29" x14ac:dyDescent="0.45">
      <c r="A1638" t="s">
        <v>5578</v>
      </c>
      <c r="B1638">
        <v>2657</v>
      </c>
      <c r="C1638" t="s">
        <v>6304</v>
      </c>
      <c r="D1638" t="s">
        <v>6305</v>
      </c>
      <c r="E1638" t="s">
        <v>5846</v>
      </c>
      <c r="F1638" t="s">
        <v>53</v>
      </c>
      <c r="G1638" t="s">
        <v>177</v>
      </c>
      <c r="H1638" t="s">
        <v>54</v>
      </c>
      <c r="I1638" t="s">
        <v>6306</v>
      </c>
      <c r="J1638" t="s">
        <v>37</v>
      </c>
      <c r="K1638" t="s">
        <v>37</v>
      </c>
      <c r="L1638" t="s">
        <v>39</v>
      </c>
      <c r="M1638" t="s">
        <v>37</v>
      </c>
      <c r="N1638" t="s">
        <v>37</v>
      </c>
      <c r="O1638" t="s">
        <v>39</v>
      </c>
      <c r="P1638" t="s">
        <v>38</v>
      </c>
      <c r="Q1638" t="s">
        <v>37</v>
      </c>
      <c r="R1638" t="s">
        <v>39</v>
      </c>
      <c r="S1638" t="s">
        <v>4751</v>
      </c>
      <c r="T1638" t="s">
        <v>5619</v>
      </c>
      <c r="U1638" t="s">
        <v>5620</v>
      </c>
      <c r="V1638" t="s">
        <v>5586</v>
      </c>
      <c r="W1638" t="s">
        <v>5621</v>
      </c>
      <c r="AC1638">
        <f>COUNTIF(C:C,QLKV_gui_ket_qua_ra_soat[[#This Row],[Mã điểm bán]])</f>
        <v>1</v>
      </c>
    </row>
    <row r="1639" spans="1:29" x14ac:dyDescent="0.45">
      <c r="A1639" t="s">
        <v>5578</v>
      </c>
      <c r="B1639">
        <v>2687</v>
      </c>
      <c r="C1639" t="s">
        <v>6307</v>
      </c>
      <c r="D1639" t="s">
        <v>6308</v>
      </c>
      <c r="E1639" t="s">
        <v>6309</v>
      </c>
      <c r="F1639" t="s">
        <v>3693</v>
      </c>
      <c r="G1639" t="s">
        <v>1624</v>
      </c>
      <c r="H1639" t="s">
        <v>54</v>
      </c>
      <c r="I1639" t="s">
        <v>6310</v>
      </c>
      <c r="J1639" t="s">
        <v>56</v>
      </c>
      <c r="K1639" t="s">
        <v>56</v>
      </c>
      <c r="L1639" t="s">
        <v>39</v>
      </c>
      <c r="M1639" t="s">
        <v>37</v>
      </c>
      <c r="N1639" t="s">
        <v>37</v>
      </c>
      <c r="O1639" t="s">
        <v>39</v>
      </c>
      <c r="P1639" t="s">
        <v>38</v>
      </c>
      <c r="Q1639" t="s">
        <v>38</v>
      </c>
      <c r="R1639" t="s">
        <v>40</v>
      </c>
      <c r="S1639" t="s">
        <v>41</v>
      </c>
      <c r="T1639" t="s">
        <v>5676</v>
      </c>
      <c r="U1639" t="s">
        <v>5677</v>
      </c>
      <c r="V1639" t="s">
        <v>5586</v>
      </c>
      <c r="W1639" t="s">
        <v>5607</v>
      </c>
      <c r="AC1639">
        <f>COUNTIF(C:C,QLKV_gui_ket_qua_ra_soat[[#This Row],[Mã điểm bán]])</f>
        <v>1</v>
      </c>
    </row>
    <row r="1640" spans="1:29" x14ac:dyDescent="0.45">
      <c r="A1640" t="s">
        <v>5578</v>
      </c>
      <c r="B1640">
        <v>2713</v>
      </c>
      <c r="C1640" t="s">
        <v>6311</v>
      </c>
      <c r="D1640" t="s">
        <v>6312</v>
      </c>
      <c r="E1640" t="s">
        <v>682</v>
      </c>
      <c r="F1640" t="s">
        <v>280</v>
      </c>
      <c r="G1640" t="s">
        <v>34</v>
      </c>
      <c r="H1640" t="s">
        <v>319</v>
      </c>
      <c r="I1640" t="s">
        <v>6313</v>
      </c>
      <c r="J1640" t="s">
        <v>38</v>
      </c>
      <c r="K1640" t="s">
        <v>37</v>
      </c>
      <c r="L1640" t="s">
        <v>39</v>
      </c>
      <c r="M1640" t="s">
        <v>37</v>
      </c>
      <c r="N1640" t="s">
        <v>37</v>
      </c>
      <c r="O1640" t="s">
        <v>39</v>
      </c>
      <c r="P1640" t="s">
        <v>38</v>
      </c>
      <c r="Q1640" t="s">
        <v>38</v>
      </c>
      <c r="R1640" t="s">
        <v>40</v>
      </c>
      <c r="S1640" t="s">
        <v>41</v>
      </c>
      <c r="T1640" t="s">
        <v>5676</v>
      </c>
      <c r="U1640" t="s">
        <v>5677</v>
      </c>
      <c r="V1640" t="s">
        <v>5586</v>
      </c>
      <c r="W1640" t="s">
        <v>5607</v>
      </c>
      <c r="Z1640" t="s">
        <v>46</v>
      </c>
      <c r="AA1640" t="s">
        <v>5678</v>
      </c>
      <c r="AB1640" t="s">
        <v>4223</v>
      </c>
      <c r="AC1640">
        <f>COUNTIF(C:C,QLKV_gui_ket_qua_ra_soat[[#This Row],[Mã điểm bán]])</f>
        <v>1</v>
      </c>
    </row>
    <row r="1641" spans="1:29" x14ac:dyDescent="0.45">
      <c r="A1641" t="s">
        <v>5578</v>
      </c>
      <c r="B1641">
        <v>2746</v>
      </c>
      <c r="C1641" t="s">
        <v>6314</v>
      </c>
      <c r="D1641" t="s">
        <v>6315</v>
      </c>
      <c r="E1641" t="s">
        <v>5884</v>
      </c>
      <c r="F1641" t="s">
        <v>6317</v>
      </c>
      <c r="G1641" t="s">
        <v>1624</v>
      </c>
      <c r="H1641" t="s">
        <v>319</v>
      </c>
      <c r="I1641" t="s">
        <v>6318</v>
      </c>
      <c r="J1641" t="s">
        <v>37</v>
      </c>
      <c r="K1641" t="s">
        <v>37</v>
      </c>
      <c r="L1641" t="s">
        <v>39</v>
      </c>
      <c r="M1641" t="s">
        <v>37</v>
      </c>
      <c r="N1641" t="s">
        <v>37</v>
      </c>
      <c r="O1641" t="s">
        <v>39</v>
      </c>
      <c r="P1641" t="s">
        <v>38</v>
      </c>
      <c r="Q1641" t="s">
        <v>38</v>
      </c>
      <c r="R1641" t="s">
        <v>40</v>
      </c>
      <c r="S1641" t="s">
        <v>41</v>
      </c>
      <c r="T1641" t="s">
        <v>5676</v>
      </c>
      <c r="U1641" t="s">
        <v>5677</v>
      </c>
      <c r="V1641" t="s">
        <v>5586</v>
      </c>
      <c r="W1641" t="s">
        <v>5607</v>
      </c>
      <c r="AC1641">
        <f>COUNTIF(C:C,QLKV_gui_ket_qua_ra_soat[[#This Row],[Mã điểm bán]])</f>
        <v>1</v>
      </c>
    </row>
    <row r="1642" spans="1:29" x14ac:dyDescent="0.45">
      <c r="A1642" t="s">
        <v>5578</v>
      </c>
      <c r="B1642">
        <v>2784</v>
      </c>
      <c r="C1642" t="s">
        <v>6319</v>
      </c>
      <c r="D1642" t="s">
        <v>6320</v>
      </c>
      <c r="E1642" t="s">
        <v>304</v>
      </c>
      <c r="F1642" t="s">
        <v>53</v>
      </c>
      <c r="G1642" t="s">
        <v>177</v>
      </c>
      <c r="H1642" t="s">
        <v>54</v>
      </c>
      <c r="I1642" t="s">
        <v>6032</v>
      </c>
      <c r="J1642" t="s">
        <v>38</v>
      </c>
      <c r="K1642" t="s">
        <v>38</v>
      </c>
      <c r="L1642" t="s">
        <v>40</v>
      </c>
      <c r="M1642" t="s">
        <v>38</v>
      </c>
      <c r="N1642" t="s">
        <v>38</v>
      </c>
      <c r="O1642" t="s">
        <v>40</v>
      </c>
      <c r="P1642" t="s">
        <v>38</v>
      </c>
      <c r="Q1642" t="s">
        <v>38</v>
      </c>
      <c r="R1642" t="s">
        <v>40</v>
      </c>
      <c r="S1642" t="s">
        <v>41</v>
      </c>
      <c r="T1642" t="s">
        <v>5766</v>
      </c>
      <c r="U1642" t="s">
        <v>5597</v>
      </c>
      <c r="V1642" t="s">
        <v>5586</v>
      </c>
      <c r="W1642" t="s">
        <v>5598</v>
      </c>
      <c r="AC1642">
        <f>COUNTIF(C:C,QLKV_gui_ket_qua_ra_soat[[#This Row],[Mã điểm bán]])</f>
        <v>1</v>
      </c>
    </row>
    <row r="1643" spans="1:29" x14ac:dyDescent="0.45">
      <c r="A1643" t="s">
        <v>5578</v>
      </c>
      <c r="B1643">
        <v>2802</v>
      </c>
      <c r="C1643" t="s">
        <v>6321</v>
      </c>
      <c r="D1643" t="s">
        <v>6322</v>
      </c>
      <c r="E1643" t="s">
        <v>5837</v>
      </c>
      <c r="F1643" t="s">
        <v>441</v>
      </c>
      <c r="G1643" t="s">
        <v>177</v>
      </c>
      <c r="H1643" t="s">
        <v>54</v>
      </c>
      <c r="I1643" t="s">
        <v>6323</v>
      </c>
      <c r="J1643" t="s">
        <v>37</v>
      </c>
      <c r="K1643" t="s">
        <v>37</v>
      </c>
      <c r="L1643" t="s">
        <v>39</v>
      </c>
      <c r="M1643" t="s">
        <v>37</v>
      </c>
      <c r="N1643" t="s">
        <v>37</v>
      </c>
      <c r="O1643" t="s">
        <v>39</v>
      </c>
      <c r="P1643" t="s">
        <v>37</v>
      </c>
      <c r="Q1643" t="s">
        <v>37</v>
      </c>
      <c r="R1643" t="s">
        <v>39</v>
      </c>
      <c r="S1643" t="s">
        <v>4751</v>
      </c>
      <c r="T1643" t="s">
        <v>5619</v>
      </c>
      <c r="U1643" t="s">
        <v>5620</v>
      </c>
      <c r="V1643" t="s">
        <v>5586</v>
      </c>
      <c r="W1643" t="s">
        <v>5621</v>
      </c>
      <c r="X1643" t="s">
        <v>46</v>
      </c>
      <c r="AB1643" t="s">
        <v>3109</v>
      </c>
      <c r="AC1643">
        <f>COUNTIF(C:C,QLKV_gui_ket_qua_ra_soat[[#This Row],[Mã điểm bán]])</f>
        <v>1</v>
      </c>
    </row>
    <row r="1644" spans="1:29" x14ac:dyDescent="0.45">
      <c r="A1644" t="s">
        <v>5578</v>
      </c>
      <c r="B1644">
        <v>2811</v>
      </c>
      <c r="C1644" t="s">
        <v>6324</v>
      </c>
      <c r="D1644" t="s">
        <v>6325</v>
      </c>
      <c r="E1644" t="s">
        <v>91</v>
      </c>
      <c r="F1644" t="s">
        <v>53</v>
      </c>
      <c r="G1644" t="s">
        <v>177</v>
      </c>
      <c r="H1644" t="s">
        <v>54</v>
      </c>
      <c r="I1644" t="s">
        <v>5943</v>
      </c>
      <c r="J1644" t="s">
        <v>37</v>
      </c>
      <c r="K1644" t="s">
        <v>37</v>
      </c>
      <c r="L1644" t="s">
        <v>40</v>
      </c>
      <c r="M1644" t="s">
        <v>38</v>
      </c>
      <c r="N1644" t="s">
        <v>37</v>
      </c>
      <c r="O1644" t="s">
        <v>40</v>
      </c>
      <c r="P1644" t="s">
        <v>38</v>
      </c>
      <c r="Q1644" t="s">
        <v>38</v>
      </c>
      <c r="R1644" t="s">
        <v>40</v>
      </c>
      <c r="S1644" t="s">
        <v>41</v>
      </c>
      <c r="T1644" t="s">
        <v>5633</v>
      </c>
      <c r="U1644" t="s">
        <v>5620</v>
      </c>
      <c r="V1644" t="s">
        <v>5586</v>
      </c>
      <c r="W1644" t="s">
        <v>5621</v>
      </c>
      <c r="Z1644" t="s">
        <v>46</v>
      </c>
      <c r="AA1644" t="s">
        <v>5599</v>
      </c>
      <c r="AB1644" t="s">
        <v>3109</v>
      </c>
      <c r="AC1644">
        <f>COUNTIF(C:C,QLKV_gui_ket_qua_ra_soat[[#This Row],[Mã điểm bán]])</f>
        <v>1</v>
      </c>
    </row>
    <row r="1645" spans="1:29" x14ac:dyDescent="0.45">
      <c r="A1645" t="s">
        <v>5578</v>
      </c>
      <c r="B1645">
        <v>2826</v>
      </c>
      <c r="C1645" t="s">
        <v>6326</v>
      </c>
      <c r="D1645" t="s">
        <v>6327</v>
      </c>
      <c r="E1645" t="s">
        <v>86</v>
      </c>
      <c r="F1645" t="s">
        <v>53</v>
      </c>
      <c r="G1645" t="s">
        <v>177</v>
      </c>
      <c r="H1645" t="s">
        <v>54</v>
      </c>
      <c r="I1645" t="s">
        <v>3188</v>
      </c>
      <c r="J1645" t="s">
        <v>38</v>
      </c>
      <c r="K1645" t="s">
        <v>38</v>
      </c>
      <c r="L1645" t="s">
        <v>40</v>
      </c>
      <c r="M1645" t="s">
        <v>37</v>
      </c>
      <c r="N1645" t="s">
        <v>38</v>
      </c>
      <c r="O1645" t="s">
        <v>40</v>
      </c>
      <c r="P1645" t="s">
        <v>38</v>
      </c>
      <c r="Q1645" t="s">
        <v>37</v>
      </c>
      <c r="R1645" t="s">
        <v>40</v>
      </c>
      <c r="S1645" t="s">
        <v>41</v>
      </c>
      <c r="T1645" t="s">
        <v>5766</v>
      </c>
      <c r="U1645" t="s">
        <v>5597</v>
      </c>
      <c r="V1645" t="s">
        <v>5586</v>
      </c>
      <c r="W1645" t="s">
        <v>5598</v>
      </c>
      <c r="Z1645" t="s">
        <v>46</v>
      </c>
      <c r="AA1645" t="s">
        <v>5599</v>
      </c>
      <c r="AB1645" t="s">
        <v>3109</v>
      </c>
      <c r="AC1645">
        <f>COUNTIF(C:C,QLKV_gui_ket_qua_ra_soat[[#This Row],[Mã điểm bán]])</f>
        <v>1</v>
      </c>
    </row>
    <row r="1646" spans="1:29" x14ac:dyDescent="0.45">
      <c r="A1646" t="s">
        <v>5578</v>
      </c>
      <c r="B1646">
        <v>2850</v>
      </c>
      <c r="C1646" t="s">
        <v>6328</v>
      </c>
      <c r="D1646" t="s">
        <v>6329</v>
      </c>
      <c r="E1646" t="s">
        <v>1015</v>
      </c>
      <c r="F1646" t="s">
        <v>426</v>
      </c>
      <c r="G1646" t="s">
        <v>34</v>
      </c>
      <c r="H1646" t="s">
        <v>1788</v>
      </c>
      <c r="I1646" t="s">
        <v>6331</v>
      </c>
      <c r="J1646" t="s">
        <v>37</v>
      </c>
      <c r="K1646" t="s">
        <v>37</v>
      </c>
      <c r="L1646" t="s">
        <v>39</v>
      </c>
      <c r="M1646" t="s">
        <v>37</v>
      </c>
      <c r="N1646" t="s">
        <v>37</v>
      </c>
      <c r="O1646" t="s">
        <v>39</v>
      </c>
      <c r="P1646" t="s">
        <v>37</v>
      </c>
      <c r="Q1646" t="s">
        <v>37</v>
      </c>
      <c r="R1646" t="s">
        <v>39</v>
      </c>
      <c r="S1646" t="s">
        <v>41</v>
      </c>
      <c r="T1646" t="s">
        <v>5916</v>
      </c>
      <c r="U1646" t="s">
        <v>5917</v>
      </c>
      <c r="V1646" t="s">
        <v>5586</v>
      </c>
      <c r="W1646" t="s">
        <v>5598</v>
      </c>
      <c r="Z1646" t="s">
        <v>46</v>
      </c>
      <c r="AA1646" t="s">
        <v>5599</v>
      </c>
      <c r="AB1646" t="s">
        <v>3109</v>
      </c>
      <c r="AC1646">
        <f>COUNTIF(C:C,QLKV_gui_ket_qua_ra_soat[[#This Row],[Mã điểm bán]])</f>
        <v>1</v>
      </c>
    </row>
    <row r="1647" spans="1:29" x14ac:dyDescent="0.45">
      <c r="A1647" t="s">
        <v>5578</v>
      </c>
      <c r="B1647">
        <v>2864</v>
      </c>
      <c r="C1647" t="s">
        <v>6332</v>
      </c>
      <c r="D1647" t="s">
        <v>6333</v>
      </c>
      <c r="E1647" t="s">
        <v>2390</v>
      </c>
      <c r="F1647" t="s">
        <v>53</v>
      </c>
      <c r="G1647" t="s">
        <v>34</v>
      </c>
      <c r="H1647" t="s">
        <v>2294</v>
      </c>
      <c r="I1647" t="s">
        <v>6334</v>
      </c>
      <c r="J1647" t="s">
        <v>37</v>
      </c>
      <c r="K1647" t="s">
        <v>37</v>
      </c>
      <c r="L1647" t="s">
        <v>40</v>
      </c>
      <c r="M1647" t="s">
        <v>37</v>
      </c>
      <c r="N1647" t="s">
        <v>37</v>
      </c>
      <c r="O1647" t="s">
        <v>39</v>
      </c>
      <c r="P1647" t="s">
        <v>37</v>
      </c>
      <c r="Q1647" t="s">
        <v>37</v>
      </c>
      <c r="R1647" t="s">
        <v>39</v>
      </c>
      <c r="S1647" t="s">
        <v>41</v>
      </c>
      <c r="T1647" t="s">
        <v>5916</v>
      </c>
      <c r="U1647" t="s">
        <v>5917</v>
      </c>
      <c r="V1647" t="s">
        <v>5586</v>
      </c>
      <c r="W1647" t="s">
        <v>5598</v>
      </c>
      <c r="Z1647" t="s">
        <v>46</v>
      </c>
      <c r="AA1647" t="s">
        <v>5599</v>
      </c>
      <c r="AB1647" t="s">
        <v>3109</v>
      </c>
      <c r="AC1647">
        <f>COUNTIF(C:C,QLKV_gui_ket_qua_ra_soat[[#This Row],[Mã điểm bán]])</f>
        <v>1</v>
      </c>
    </row>
    <row r="1648" spans="1:29" x14ac:dyDescent="0.45">
      <c r="A1648" t="s">
        <v>5578</v>
      </c>
      <c r="B1648">
        <v>2872</v>
      </c>
      <c r="C1648" t="s">
        <v>6335</v>
      </c>
      <c r="D1648" t="s">
        <v>6336</v>
      </c>
      <c r="E1648" t="s">
        <v>206</v>
      </c>
      <c r="F1648" t="s">
        <v>53</v>
      </c>
      <c r="G1648" t="s">
        <v>34</v>
      </c>
      <c r="H1648" t="s">
        <v>54</v>
      </c>
      <c r="I1648" t="s">
        <v>6337</v>
      </c>
      <c r="J1648" t="s">
        <v>38</v>
      </c>
      <c r="K1648" t="s">
        <v>37</v>
      </c>
      <c r="L1648" t="s">
        <v>40</v>
      </c>
      <c r="M1648" t="s">
        <v>38</v>
      </c>
      <c r="N1648" t="s">
        <v>37</v>
      </c>
      <c r="O1648" t="s">
        <v>40</v>
      </c>
      <c r="P1648" t="s">
        <v>37</v>
      </c>
      <c r="Q1648" t="s">
        <v>37</v>
      </c>
      <c r="R1648" t="s">
        <v>39</v>
      </c>
      <c r="S1648" t="s">
        <v>41</v>
      </c>
      <c r="T1648" t="s">
        <v>5633</v>
      </c>
      <c r="U1648" t="s">
        <v>5620</v>
      </c>
      <c r="V1648" t="s">
        <v>5586</v>
      </c>
      <c r="W1648" t="s">
        <v>5621</v>
      </c>
      <c r="Z1648" t="s">
        <v>46</v>
      </c>
      <c r="AA1648" t="s">
        <v>5599</v>
      </c>
      <c r="AB1648" t="s">
        <v>3109</v>
      </c>
      <c r="AC1648">
        <f>COUNTIF(C:C,QLKV_gui_ket_qua_ra_soat[[#This Row],[Mã điểm bán]])</f>
        <v>1</v>
      </c>
    </row>
    <row r="1649" spans="1:29" x14ac:dyDescent="0.45">
      <c r="A1649" t="s">
        <v>5578</v>
      </c>
      <c r="B1649">
        <v>2880</v>
      </c>
      <c r="C1649" t="s">
        <v>6338</v>
      </c>
      <c r="D1649" t="s">
        <v>6339</v>
      </c>
      <c r="E1649" t="s">
        <v>522</v>
      </c>
      <c r="F1649" t="s">
        <v>4655</v>
      </c>
      <c r="G1649" t="s">
        <v>34</v>
      </c>
      <c r="H1649" t="s">
        <v>4115</v>
      </c>
      <c r="I1649" t="s">
        <v>6340</v>
      </c>
      <c r="J1649" t="s">
        <v>38</v>
      </c>
      <c r="K1649" t="s">
        <v>37</v>
      </c>
      <c r="L1649" t="s">
        <v>39</v>
      </c>
      <c r="M1649" t="s">
        <v>37</v>
      </c>
      <c r="N1649" t="s">
        <v>37</v>
      </c>
      <c r="O1649" t="s">
        <v>39</v>
      </c>
      <c r="P1649" t="s">
        <v>37</v>
      </c>
      <c r="Q1649" t="s">
        <v>37</v>
      </c>
      <c r="R1649" t="s">
        <v>39</v>
      </c>
      <c r="S1649" t="s">
        <v>41</v>
      </c>
      <c r="T1649" t="s">
        <v>5916</v>
      </c>
      <c r="U1649" t="s">
        <v>5917</v>
      </c>
      <c r="V1649" t="s">
        <v>5586</v>
      </c>
      <c r="W1649" t="s">
        <v>5598</v>
      </c>
      <c r="Z1649" t="s">
        <v>46</v>
      </c>
      <c r="AA1649" t="s">
        <v>5599</v>
      </c>
      <c r="AB1649" t="s">
        <v>3109</v>
      </c>
      <c r="AC1649">
        <f>COUNTIF(C:C,QLKV_gui_ket_qua_ra_soat[[#This Row],[Mã điểm bán]])</f>
        <v>1</v>
      </c>
    </row>
    <row r="1650" spans="1:29" x14ac:dyDescent="0.45">
      <c r="A1650" t="s">
        <v>5578</v>
      </c>
      <c r="B1650">
        <v>2892</v>
      </c>
      <c r="C1650" t="s">
        <v>6341</v>
      </c>
      <c r="D1650" t="s">
        <v>6342</v>
      </c>
      <c r="E1650" t="s">
        <v>1881</v>
      </c>
      <c r="F1650" t="s">
        <v>4655</v>
      </c>
      <c r="G1650" t="s">
        <v>34</v>
      </c>
      <c r="H1650" t="s">
        <v>1746</v>
      </c>
      <c r="I1650" t="s">
        <v>6344</v>
      </c>
      <c r="J1650" t="s">
        <v>37</v>
      </c>
      <c r="K1650" t="s">
        <v>37</v>
      </c>
      <c r="L1650" t="s">
        <v>39</v>
      </c>
      <c r="M1650" t="s">
        <v>38</v>
      </c>
      <c r="N1650" t="s">
        <v>37</v>
      </c>
      <c r="O1650" t="s">
        <v>39</v>
      </c>
      <c r="P1650" t="s">
        <v>37</v>
      </c>
      <c r="Q1650" t="s">
        <v>37</v>
      </c>
      <c r="R1650" t="s">
        <v>39</v>
      </c>
      <c r="S1650" t="s">
        <v>41</v>
      </c>
      <c r="T1650" t="s">
        <v>5633</v>
      </c>
      <c r="U1650" t="s">
        <v>5620</v>
      </c>
      <c r="V1650" t="s">
        <v>5586</v>
      </c>
      <c r="W1650" t="s">
        <v>5621</v>
      </c>
      <c r="X1650" t="s">
        <v>46</v>
      </c>
      <c r="AB1650" t="s">
        <v>5658</v>
      </c>
      <c r="AC1650">
        <f>COUNTIF(C:C,QLKV_gui_ket_qua_ra_soat[[#This Row],[Mã điểm bán]])</f>
        <v>1</v>
      </c>
    </row>
    <row r="1651" spans="1:29" x14ac:dyDescent="0.45">
      <c r="A1651" t="s">
        <v>5578</v>
      </c>
      <c r="B1651">
        <v>2901</v>
      </c>
      <c r="C1651" t="s">
        <v>6345</v>
      </c>
      <c r="D1651" t="s">
        <v>6346</v>
      </c>
      <c r="E1651" t="s">
        <v>6347</v>
      </c>
      <c r="F1651" t="s">
        <v>115</v>
      </c>
      <c r="G1651" t="s">
        <v>177</v>
      </c>
      <c r="H1651" t="s">
        <v>54</v>
      </c>
      <c r="I1651" t="s">
        <v>6348</v>
      </c>
      <c r="J1651" t="s">
        <v>37</v>
      </c>
      <c r="K1651" t="s">
        <v>37</v>
      </c>
      <c r="L1651" t="s">
        <v>39</v>
      </c>
      <c r="M1651" t="s">
        <v>37</v>
      </c>
      <c r="N1651" t="s">
        <v>37</v>
      </c>
      <c r="O1651" t="s">
        <v>39</v>
      </c>
      <c r="P1651" t="s">
        <v>37</v>
      </c>
      <c r="Q1651" t="s">
        <v>37</v>
      </c>
      <c r="R1651" t="s">
        <v>39</v>
      </c>
      <c r="S1651" t="s">
        <v>4751</v>
      </c>
      <c r="T1651" t="s">
        <v>5619</v>
      </c>
      <c r="U1651" t="s">
        <v>5620</v>
      </c>
      <c r="V1651" t="s">
        <v>5586</v>
      </c>
      <c r="W1651" t="s">
        <v>5621</v>
      </c>
      <c r="Z1651" t="s">
        <v>46</v>
      </c>
      <c r="AA1651" t="s">
        <v>5599</v>
      </c>
      <c r="AB1651" t="s">
        <v>3109</v>
      </c>
      <c r="AC1651">
        <f>COUNTIF(C:C,QLKV_gui_ket_qua_ra_soat[[#This Row],[Mã điểm bán]])</f>
        <v>1</v>
      </c>
    </row>
    <row r="1652" spans="1:29" x14ac:dyDescent="0.45">
      <c r="A1652" t="s">
        <v>5578</v>
      </c>
      <c r="B1652">
        <v>2929</v>
      </c>
      <c r="C1652" t="s">
        <v>6349</v>
      </c>
      <c r="D1652" t="s">
        <v>6350</v>
      </c>
      <c r="E1652" t="s">
        <v>466</v>
      </c>
      <c r="F1652" t="s">
        <v>6351</v>
      </c>
      <c r="G1652" t="s">
        <v>177</v>
      </c>
      <c r="H1652" t="s">
        <v>54</v>
      </c>
      <c r="I1652" t="s">
        <v>6352</v>
      </c>
      <c r="J1652" t="s">
        <v>38</v>
      </c>
      <c r="K1652" t="s">
        <v>38</v>
      </c>
      <c r="L1652" t="s">
        <v>40</v>
      </c>
      <c r="M1652" t="s">
        <v>38</v>
      </c>
      <c r="N1652" t="s">
        <v>38</v>
      </c>
      <c r="O1652" t="s">
        <v>40</v>
      </c>
      <c r="P1652" t="s">
        <v>38</v>
      </c>
      <c r="Q1652" t="s">
        <v>38</v>
      </c>
      <c r="R1652" t="s">
        <v>40</v>
      </c>
      <c r="S1652" t="s">
        <v>41</v>
      </c>
      <c r="T1652" t="s">
        <v>5766</v>
      </c>
      <c r="U1652" t="s">
        <v>5597</v>
      </c>
      <c r="V1652" t="s">
        <v>5586</v>
      </c>
      <c r="W1652" t="s">
        <v>5598</v>
      </c>
      <c r="X1652" t="s">
        <v>46</v>
      </c>
      <c r="AB1652" t="s">
        <v>3109</v>
      </c>
      <c r="AC1652">
        <f>COUNTIF(C:C,QLKV_gui_ket_qua_ra_soat[[#This Row],[Mã điểm bán]])</f>
        <v>1</v>
      </c>
    </row>
    <row r="1653" spans="1:29" x14ac:dyDescent="0.45">
      <c r="A1653" t="s">
        <v>5578</v>
      </c>
      <c r="B1653">
        <v>2931</v>
      </c>
      <c r="C1653" t="s">
        <v>6353</v>
      </c>
      <c r="D1653" t="s">
        <v>5244</v>
      </c>
      <c r="E1653" t="s">
        <v>6354</v>
      </c>
      <c r="F1653" t="s">
        <v>53</v>
      </c>
      <c r="G1653" t="s">
        <v>177</v>
      </c>
      <c r="H1653" t="s">
        <v>54</v>
      </c>
      <c r="I1653" t="s">
        <v>6355</v>
      </c>
      <c r="J1653" t="s">
        <v>37</v>
      </c>
      <c r="K1653" t="s">
        <v>37</v>
      </c>
      <c r="L1653" t="s">
        <v>39</v>
      </c>
      <c r="M1653" t="s">
        <v>37</v>
      </c>
      <c r="N1653" t="s">
        <v>37</v>
      </c>
      <c r="O1653" t="s">
        <v>39</v>
      </c>
      <c r="P1653" t="s">
        <v>38</v>
      </c>
      <c r="Q1653" t="s">
        <v>37</v>
      </c>
      <c r="R1653" t="s">
        <v>39</v>
      </c>
      <c r="S1653" t="s">
        <v>4751</v>
      </c>
      <c r="T1653" t="s">
        <v>5619</v>
      </c>
      <c r="U1653" t="s">
        <v>5620</v>
      </c>
      <c r="V1653" t="s">
        <v>5586</v>
      </c>
      <c r="W1653" t="s">
        <v>5621</v>
      </c>
      <c r="Z1653" t="s">
        <v>46</v>
      </c>
      <c r="AA1653" t="s">
        <v>5599</v>
      </c>
      <c r="AB1653" t="s">
        <v>3109</v>
      </c>
      <c r="AC1653">
        <f>COUNTIF(C:C,QLKV_gui_ket_qua_ra_soat[[#This Row],[Mã điểm bán]])</f>
        <v>1</v>
      </c>
    </row>
    <row r="1654" spans="1:29" x14ac:dyDescent="0.45">
      <c r="A1654" t="s">
        <v>5578</v>
      </c>
      <c r="B1654">
        <v>2952</v>
      </c>
      <c r="C1654" t="s">
        <v>6356</v>
      </c>
      <c r="D1654" t="s">
        <v>6357</v>
      </c>
      <c r="E1654" t="s">
        <v>455</v>
      </c>
      <c r="F1654" t="s">
        <v>1676</v>
      </c>
      <c r="G1654" t="s">
        <v>34</v>
      </c>
      <c r="H1654" t="s">
        <v>319</v>
      </c>
      <c r="I1654" t="s">
        <v>6358</v>
      </c>
      <c r="J1654" t="s">
        <v>37</v>
      </c>
      <c r="K1654" t="s">
        <v>37</v>
      </c>
      <c r="L1654" t="s">
        <v>39</v>
      </c>
      <c r="M1654" t="s">
        <v>37</v>
      </c>
      <c r="N1654" t="s">
        <v>37</v>
      </c>
      <c r="O1654" t="s">
        <v>39</v>
      </c>
      <c r="P1654" t="s">
        <v>38</v>
      </c>
      <c r="Q1654" t="s">
        <v>38</v>
      </c>
      <c r="R1654" t="s">
        <v>40</v>
      </c>
      <c r="S1654" t="s">
        <v>41</v>
      </c>
      <c r="T1654" t="s">
        <v>5676</v>
      </c>
      <c r="U1654" t="s">
        <v>5677</v>
      </c>
      <c r="V1654" t="s">
        <v>5586</v>
      </c>
      <c r="W1654" t="s">
        <v>5607</v>
      </c>
      <c r="Z1654" t="s">
        <v>46</v>
      </c>
      <c r="AA1654" t="s">
        <v>5678</v>
      </c>
      <c r="AB1654" t="s">
        <v>3109</v>
      </c>
      <c r="AC1654">
        <f>COUNTIF(C:C,QLKV_gui_ket_qua_ra_soat[[#This Row],[Mã điểm bán]])</f>
        <v>1</v>
      </c>
    </row>
    <row r="1655" spans="1:29" x14ac:dyDescent="0.45">
      <c r="A1655" t="s">
        <v>5578</v>
      </c>
      <c r="B1655">
        <v>2954</v>
      </c>
      <c r="C1655" t="s">
        <v>6359</v>
      </c>
      <c r="D1655" t="s">
        <v>6360</v>
      </c>
      <c r="E1655" t="s">
        <v>989</v>
      </c>
      <c r="F1655" t="s">
        <v>53</v>
      </c>
      <c r="G1655" t="s">
        <v>177</v>
      </c>
      <c r="H1655" t="s">
        <v>54</v>
      </c>
      <c r="I1655" t="s">
        <v>1365</v>
      </c>
      <c r="J1655" t="s">
        <v>37</v>
      </c>
      <c r="K1655" t="s">
        <v>38</v>
      </c>
      <c r="L1655" t="s">
        <v>40</v>
      </c>
      <c r="M1655" t="s">
        <v>38</v>
      </c>
      <c r="N1655" t="s">
        <v>38</v>
      </c>
      <c r="O1655" t="s">
        <v>40</v>
      </c>
      <c r="P1655" t="s">
        <v>38</v>
      </c>
      <c r="Q1655" t="s">
        <v>38</v>
      </c>
      <c r="R1655" t="s">
        <v>40</v>
      </c>
      <c r="S1655" t="s">
        <v>41</v>
      </c>
      <c r="T1655" t="s">
        <v>5766</v>
      </c>
      <c r="U1655" t="s">
        <v>5597</v>
      </c>
      <c r="V1655" t="s">
        <v>5586</v>
      </c>
      <c r="W1655" t="s">
        <v>5598</v>
      </c>
      <c r="AC1655">
        <f>COUNTIF(C:C,QLKV_gui_ket_qua_ra_soat[[#This Row],[Mã điểm bán]])</f>
        <v>1</v>
      </c>
    </row>
    <row r="1656" spans="1:29" x14ac:dyDescent="0.45">
      <c r="A1656" t="s">
        <v>5578</v>
      </c>
      <c r="B1656">
        <v>2959</v>
      </c>
      <c r="C1656" t="s">
        <v>6361</v>
      </c>
      <c r="D1656" t="s">
        <v>6362</v>
      </c>
      <c r="E1656" t="s">
        <v>138</v>
      </c>
      <c r="F1656" t="s">
        <v>166</v>
      </c>
      <c r="G1656" t="s">
        <v>34</v>
      </c>
      <c r="H1656" t="s">
        <v>457</v>
      </c>
      <c r="I1656" t="s">
        <v>6363</v>
      </c>
      <c r="J1656" t="s">
        <v>56</v>
      </c>
      <c r="K1656" t="s">
        <v>56</v>
      </c>
      <c r="L1656" t="s">
        <v>39</v>
      </c>
      <c r="M1656" t="s">
        <v>37</v>
      </c>
      <c r="N1656" t="s">
        <v>37</v>
      </c>
      <c r="O1656" t="s">
        <v>39</v>
      </c>
      <c r="P1656" t="s">
        <v>38</v>
      </c>
      <c r="Q1656" t="s">
        <v>37</v>
      </c>
      <c r="R1656" t="s">
        <v>39</v>
      </c>
      <c r="S1656" t="s">
        <v>41</v>
      </c>
      <c r="T1656" t="s">
        <v>5676</v>
      </c>
      <c r="U1656" t="s">
        <v>5677</v>
      </c>
      <c r="V1656" t="s">
        <v>5586</v>
      </c>
      <c r="W1656" t="s">
        <v>5607</v>
      </c>
      <c r="Z1656" t="s">
        <v>46</v>
      </c>
      <c r="AA1656" t="s">
        <v>5678</v>
      </c>
      <c r="AB1656" t="s">
        <v>3109</v>
      </c>
      <c r="AC1656">
        <f>COUNTIF(C:C,QLKV_gui_ket_qua_ra_soat[[#This Row],[Mã điểm bán]])</f>
        <v>1</v>
      </c>
    </row>
    <row r="1657" spans="1:29" x14ac:dyDescent="0.45">
      <c r="A1657" t="s">
        <v>5578</v>
      </c>
      <c r="B1657">
        <v>3004</v>
      </c>
      <c r="C1657" t="s">
        <v>6364</v>
      </c>
      <c r="D1657" t="s">
        <v>6365</v>
      </c>
      <c r="E1657" t="s">
        <v>6366</v>
      </c>
      <c r="F1657" t="s">
        <v>6367</v>
      </c>
      <c r="G1657" t="s">
        <v>1624</v>
      </c>
      <c r="H1657" t="s">
        <v>54</v>
      </c>
      <c r="I1657" t="s">
        <v>6368</v>
      </c>
      <c r="J1657" t="s">
        <v>37</v>
      </c>
      <c r="K1657" t="s">
        <v>37</v>
      </c>
      <c r="L1657" t="s">
        <v>40</v>
      </c>
      <c r="M1657" t="s">
        <v>37</v>
      </c>
      <c r="N1657" t="s">
        <v>37</v>
      </c>
      <c r="O1657" t="s">
        <v>39</v>
      </c>
      <c r="P1657" t="s">
        <v>38</v>
      </c>
      <c r="Q1657" t="s">
        <v>38</v>
      </c>
      <c r="R1657" t="s">
        <v>40</v>
      </c>
      <c r="S1657" t="s">
        <v>41</v>
      </c>
      <c r="T1657" t="s">
        <v>5605</v>
      </c>
      <c r="U1657" t="s">
        <v>5606</v>
      </c>
      <c r="V1657" t="s">
        <v>5586</v>
      </c>
      <c r="W1657" t="s">
        <v>5607</v>
      </c>
      <c r="AC1657">
        <f>COUNTIF(C:C,QLKV_gui_ket_qua_ra_soat[[#This Row],[Mã điểm bán]])</f>
        <v>1</v>
      </c>
    </row>
    <row r="1658" spans="1:29" x14ac:dyDescent="0.45">
      <c r="A1658" t="s">
        <v>5578</v>
      </c>
      <c r="B1658">
        <v>3016</v>
      </c>
      <c r="C1658" t="s">
        <v>6369</v>
      </c>
      <c r="D1658" t="s">
        <v>6370</v>
      </c>
      <c r="E1658" t="s">
        <v>86</v>
      </c>
      <c r="F1658" t="s">
        <v>4431</v>
      </c>
      <c r="G1658" t="s">
        <v>177</v>
      </c>
      <c r="H1658" t="s">
        <v>54</v>
      </c>
      <c r="I1658" t="s">
        <v>6371</v>
      </c>
      <c r="J1658" t="s">
        <v>37</v>
      </c>
      <c r="K1658" t="s">
        <v>37</v>
      </c>
      <c r="L1658" t="s">
        <v>39</v>
      </c>
      <c r="M1658" t="s">
        <v>37</v>
      </c>
      <c r="N1658" t="s">
        <v>37</v>
      </c>
      <c r="O1658" t="s">
        <v>40</v>
      </c>
      <c r="P1658" t="s">
        <v>38</v>
      </c>
      <c r="Q1658" t="s">
        <v>38</v>
      </c>
      <c r="R1658" t="s">
        <v>39</v>
      </c>
      <c r="S1658" t="s">
        <v>41</v>
      </c>
      <c r="T1658" t="s">
        <v>5596</v>
      </c>
      <c r="U1658" t="s">
        <v>5597</v>
      </c>
      <c r="V1658" t="s">
        <v>5586</v>
      </c>
      <c r="W1658" t="s">
        <v>5598</v>
      </c>
      <c r="AC1658">
        <f>COUNTIF(C:C,QLKV_gui_ket_qua_ra_soat[[#This Row],[Mã điểm bán]])</f>
        <v>1</v>
      </c>
    </row>
    <row r="1659" spans="1:29" x14ac:dyDescent="0.45">
      <c r="A1659" t="s">
        <v>5578</v>
      </c>
      <c r="B1659">
        <v>3030</v>
      </c>
      <c r="C1659" t="s">
        <v>6372</v>
      </c>
      <c r="D1659" t="s">
        <v>6373</v>
      </c>
      <c r="E1659" t="s">
        <v>657</v>
      </c>
      <c r="F1659" t="s">
        <v>1573</v>
      </c>
      <c r="G1659" t="s">
        <v>34</v>
      </c>
      <c r="H1659" t="s">
        <v>402</v>
      </c>
      <c r="I1659" t="s">
        <v>6374</v>
      </c>
      <c r="J1659" t="s">
        <v>38</v>
      </c>
      <c r="K1659" t="s">
        <v>38</v>
      </c>
      <c r="L1659" t="s">
        <v>40</v>
      </c>
      <c r="M1659" t="s">
        <v>37</v>
      </c>
      <c r="N1659" t="s">
        <v>37</v>
      </c>
      <c r="O1659" t="s">
        <v>39</v>
      </c>
      <c r="P1659" t="s">
        <v>37</v>
      </c>
      <c r="Q1659" t="s">
        <v>37</v>
      </c>
      <c r="R1659" t="s">
        <v>40</v>
      </c>
      <c r="S1659" t="s">
        <v>41</v>
      </c>
      <c r="T1659" t="s">
        <v>5711</v>
      </c>
      <c r="U1659" t="s">
        <v>5712</v>
      </c>
      <c r="V1659" t="s">
        <v>5586</v>
      </c>
      <c r="W1659" t="s">
        <v>5649</v>
      </c>
      <c r="Z1659" t="s">
        <v>46</v>
      </c>
      <c r="AA1659" t="s">
        <v>5678</v>
      </c>
      <c r="AB1659" t="s">
        <v>3109</v>
      </c>
      <c r="AC1659">
        <f>COUNTIF(C:C,QLKV_gui_ket_qua_ra_soat[[#This Row],[Mã điểm bán]])</f>
        <v>1</v>
      </c>
    </row>
    <row r="1660" spans="1:29" x14ac:dyDescent="0.45">
      <c r="A1660" t="s">
        <v>5578</v>
      </c>
      <c r="B1660">
        <v>3043</v>
      </c>
      <c r="C1660" t="s">
        <v>6375</v>
      </c>
      <c r="D1660" t="s">
        <v>6376</v>
      </c>
      <c r="E1660" t="s">
        <v>6377</v>
      </c>
      <c r="F1660" t="s">
        <v>6378</v>
      </c>
      <c r="G1660" t="s">
        <v>150</v>
      </c>
      <c r="H1660" t="s">
        <v>685</v>
      </c>
      <c r="I1660" t="s">
        <v>6379</v>
      </c>
      <c r="J1660" t="s">
        <v>37</v>
      </c>
      <c r="K1660" t="s">
        <v>37</v>
      </c>
      <c r="L1660" t="s">
        <v>39</v>
      </c>
      <c r="M1660" t="s">
        <v>37</v>
      </c>
      <c r="N1660" t="s">
        <v>37</v>
      </c>
      <c r="O1660" t="s">
        <v>39</v>
      </c>
      <c r="P1660" t="s">
        <v>38</v>
      </c>
      <c r="Q1660" t="s">
        <v>38</v>
      </c>
      <c r="R1660" t="s">
        <v>40</v>
      </c>
      <c r="S1660" t="s">
        <v>6380</v>
      </c>
      <c r="T1660" t="s">
        <v>5605</v>
      </c>
      <c r="U1660" t="s">
        <v>5606</v>
      </c>
      <c r="V1660" t="s">
        <v>5586</v>
      </c>
      <c r="W1660" t="s">
        <v>5607</v>
      </c>
      <c r="Z1660" t="s">
        <v>46</v>
      </c>
      <c r="AA1660" t="s">
        <v>5678</v>
      </c>
      <c r="AB1660" t="s">
        <v>3109</v>
      </c>
      <c r="AC1660">
        <f>COUNTIF(C:C,QLKV_gui_ket_qua_ra_soat[[#This Row],[Mã điểm bán]])</f>
        <v>1</v>
      </c>
    </row>
    <row r="1661" spans="1:29" x14ac:dyDescent="0.45">
      <c r="A1661" t="s">
        <v>5578</v>
      </c>
      <c r="B1661">
        <v>3054</v>
      </c>
      <c r="C1661" t="s">
        <v>6381</v>
      </c>
      <c r="D1661" t="s">
        <v>6382</v>
      </c>
      <c r="E1661" t="s">
        <v>114</v>
      </c>
      <c r="F1661" t="s">
        <v>441</v>
      </c>
      <c r="G1661" t="s">
        <v>177</v>
      </c>
      <c r="H1661" t="s">
        <v>54</v>
      </c>
      <c r="I1661" t="s">
        <v>6383</v>
      </c>
      <c r="J1661" t="s">
        <v>37</v>
      </c>
      <c r="K1661" t="s">
        <v>38</v>
      </c>
      <c r="L1661" t="s">
        <v>40</v>
      </c>
      <c r="M1661" t="s">
        <v>38</v>
      </c>
      <c r="N1661" t="s">
        <v>38</v>
      </c>
      <c r="O1661" t="s">
        <v>40</v>
      </c>
      <c r="P1661" t="s">
        <v>38</v>
      </c>
      <c r="Q1661" t="s">
        <v>38</v>
      </c>
      <c r="R1661" t="s">
        <v>40</v>
      </c>
      <c r="S1661" t="s">
        <v>41</v>
      </c>
      <c r="T1661" t="s">
        <v>5766</v>
      </c>
      <c r="U1661" t="s">
        <v>5597</v>
      </c>
      <c r="V1661" t="s">
        <v>5586</v>
      </c>
      <c r="W1661" t="s">
        <v>5598</v>
      </c>
      <c r="X1661" t="s">
        <v>46</v>
      </c>
      <c r="AB1661" t="s">
        <v>3109</v>
      </c>
      <c r="AC1661">
        <f>COUNTIF(C:C,QLKV_gui_ket_qua_ra_soat[[#This Row],[Mã điểm bán]])</f>
        <v>1</v>
      </c>
    </row>
    <row r="1662" spans="1:29" x14ac:dyDescent="0.45">
      <c r="A1662" t="s">
        <v>5578</v>
      </c>
      <c r="B1662">
        <v>3055</v>
      </c>
      <c r="C1662" t="s">
        <v>6384</v>
      </c>
      <c r="D1662" t="s">
        <v>6385</v>
      </c>
      <c r="E1662" t="s">
        <v>6386</v>
      </c>
      <c r="F1662" t="s">
        <v>1994</v>
      </c>
      <c r="G1662" t="s">
        <v>177</v>
      </c>
      <c r="H1662" t="s">
        <v>685</v>
      </c>
      <c r="I1662" t="s">
        <v>6387</v>
      </c>
      <c r="J1662" t="s">
        <v>37</v>
      </c>
      <c r="K1662" t="s">
        <v>37</v>
      </c>
      <c r="L1662" t="s">
        <v>39</v>
      </c>
      <c r="M1662" t="s">
        <v>37</v>
      </c>
      <c r="N1662" t="s">
        <v>37</v>
      </c>
      <c r="O1662" t="s">
        <v>39</v>
      </c>
      <c r="P1662" t="s">
        <v>37</v>
      </c>
      <c r="Q1662" t="s">
        <v>37</v>
      </c>
      <c r="R1662" t="s">
        <v>39</v>
      </c>
      <c r="S1662" t="s">
        <v>41</v>
      </c>
      <c r="T1662" t="s">
        <v>5596</v>
      </c>
      <c r="U1662" t="s">
        <v>5597</v>
      </c>
      <c r="V1662" t="s">
        <v>5586</v>
      </c>
      <c r="W1662" t="s">
        <v>5598</v>
      </c>
      <c r="Z1662" t="s">
        <v>46</v>
      </c>
      <c r="AA1662" t="s">
        <v>5599</v>
      </c>
      <c r="AB1662" t="s">
        <v>4223</v>
      </c>
      <c r="AC1662">
        <f>COUNTIF(C:C,QLKV_gui_ket_qua_ra_soat[[#This Row],[Mã điểm bán]])</f>
        <v>1</v>
      </c>
    </row>
    <row r="1663" spans="1:29" x14ac:dyDescent="0.45">
      <c r="A1663" t="s">
        <v>5578</v>
      </c>
      <c r="B1663">
        <v>3082</v>
      </c>
      <c r="C1663" t="s">
        <v>6388</v>
      </c>
      <c r="D1663" t="s">
        <v>6389</v>
      </c>
      <c r="E1663" t="s">
        <v>211</v>
      </c>
      <c r="F1663" t="s">
        <v>1471</v>
      </c>
      <c r="G1663" t="s">
        <v>177</v>
      </c>
      <c r="H1663" t="s">
        <v>2459</v>
      </c>
      <c r="I1663" t="s">
        <v>6390</v>
      </c>
      <c r="J1663" t="s">
        <v>38</v>
      </c>
      <c r="K1663" t="s">
        <v>37</v>
      </c>
      <c r="L1663" t="s">
        <v>40</v>
      </c>
      <c r="M1663" t="s">
        <v>38</v>
      </c>
      <c r="N1663" t="s">
        <v>37</v>
      </c>
      <c r="O1663" t="s">
        <v>39</v>
      </c>
      <c r="P1663" t="s">
        <v>37</v>
      </c>
      <c r="Q1663" t="s">
        <v>37</v>
      </c>
      <c r="R1663" t="s">
        <v>40</v>
      </c>
      <c r="S1663" t="s">
        <v>6231</v>
      </c>
      <c r="T1663" t="s">
        <v>5633</v>
      </c>
      <c r="U1663" t="s">
        <v>5620</v>
      </c>
      <c r="V1663" t="s">
        <v>5586</v>
      </c>
      <c r="W1663" t="s">
        <v>5621</v>
      </c>
      <c r="Z1663" t="s">
        <v>46</v>
      </c>
      <c r="AA1663" t="s">
        <v>5599</v>
      </c>
      <c r="AB1663" t="s">
        <v>4223</v>
      </c>
      <c r="AC1663">
        <f>COUNTIF(C:C,QLKV_gui_ket_qua_ra_soat[[#This Row],[Mã điểm bán]])</f>
        <v>1</v>
      </c>
    </row>
    <row r="1664" spans="1:29" x14ac:dyDescent="0.45">
      <c r="A1664" t="s">
        <v>5578</v>
      </c>
      <c r="B1664">
        <v>3086</v>
      </c>
      <c r="C1664" t="s">
        <v>6391</v>
      </c>
      <c r="D1664" t="s">
        <v>6392</v>
      </c>
      <c r="E1664" t="s">
        <v>2148</v>
      </c>
      <c r="F1664" t="s">
        <v>166</v>
      </c>
      <c r="G1664" t="s">
        <v>177</v>
      </c>
      <c r="H1664" t="s">
        <v>54</v>
      </c>
      <c r="I1664" t="s">
        <v>6393</v>
      </c>
      <c r="J1664" t="s">
        <v>37</v>
      </c>
      <c r="K1664" t="s">
        <v>37</v>
      </c>
      <c r="L1664" t="s">
        <v>39</v>
      </c>
      <c r="M1664" t="s">
        <v>37</v>
      </c>
      <c r="N1664" t="s">
        <v>37</v>
      </c>
      <c r="O1664" t="s">
        <v>39</v>
      </c>
      <c r="P1664" t="s">
        <v>37</v>
      </c>
      <c r="Q1664" t="s">
        <v>37</v>
      </c>
      <c r="R1664" t="s">
        <v>39</v>
      </c>
      <c r="S1664" t="s">
        <v>6394</v>
      </c>
      <c r="T1664" t="s">
        <v>5916</v>
      </c>
      <c r="U1664" t="s">
        <v>5917</v>
      </c>
      <c r="V1664" t="s">
        <v>5586</v>
      </c>
      <c r="W1664" t="s">
        <v>5598</v>
      </c>
      <c r="AC1664">
        <f>COUNTIF(C:C,QLKV_gui_ket_qua_ra_soat[[#This Row],[Mã điểm bán]])</f>
        <v>1</v>
      </c>
    </row>
    <row r="1665" spans="1:29" x14ac:dyDescent="0.45">
      <c r="A1665" t="s">
        <v>5578</v>
      </c>
      <c r="B1665">
        <v>3090</v>
      </c>
      <c r="C1665" t="s">
        <v>6395</v>
      </c>
      <c r="D1665" t="s">
        <v>6396</v>
      </c>
      <c r="E1665" t="s">
        <v>2580</v>
      </c>
      <c r="F1665" t="s">
        <v>6397</v>
      </c>
      <c r="G1665" t="s">
        <v>177</v>
      </c>
      <c r="H1665" t="s">
        <v>133</v>
      </c>
      <c r="I1665" t="s">
        <v>6398</v>
      </c>
      <c r="J1665" t="s">
        <v>37</v>
      </c>
      <c r="K1665" t="s">
        <v>37</v>
      </c>
      <c r="L1665" t="s">
        <v>39</v>
      </c>
      <c r="M1665" t="s">
        <v>37</v>
      </c>
      <c r="N1665" t="s">
        <v>37</v>
      </c>
      <c r="O1665" t="s">
        <v>39</v>
      </c>
      <c r="P1665" t="s">
        <v>37</v>
      </c>
      <c r="Q1665" t="s">
        <v>37</v>
      </c>
      <c r="R1665" t="s">
        <v>39</v>
      </c>
      <c r="S1665" t="s">
        <v>6399</v>
      </c>
      <c r="T1665" t="s">
        <v>5916</v>
      </c>
      <c r="U1665" t="s">
        <v>5917</v>
      </c>
      <c r="V1665" t="s">
        <v>5586</v>
      </c>
      <c r="W1665" t="s">
        <v>5598</v>
      </c>
      <c r="Z1665" t="s">
        <v>46</v>
      </c>
      <c r="AA1665" t="s">
        <v>5599</v>
      </c>
      <c r="AB1665" t="s">
        <v>4223</v>
      </c>
      <c r="AC1665">
        <f>COUNTIF(C:C,QLKV_gui_ket_qua_ra_soat[[#This Row],[Mã điểm bán]])</f>
        <v>1</v>
      </c>
    </row>
    <row r="1666" spans="1:29" x14ac:dyDescent="0.45">
      <c r="A1666" t="s">
        <v>5578</v>
      </c>
      <c r="B1666">
        <v>3094</v>
      </c>
      <c r="C1666" t="s">
        <v>6400</v>
      </c>
      <c r="D1666" t="s">
        <v>6401</v>
      </c>
      <c r="E1666" t="s">
        <v>6402</v>
      </c>
      <c r="F1666" t="s">
        <v>166</v>
      </c>
      <c r="G1666" t="s">
        <v>177</v>
      </c>
      <c r="H1666" t="s">
        <v>54</v>
      </c>
      <c r="I1666" t="s">
        <v>6403</v>
      </c>
      <c r="J1666" t="s">
        <v>37</v>
      </c>
      <c r="K1666" t="s">
        <v>37</v>
      </c>
      <c r="L1666" t="s">
        <v>39</v>
      </c>
      <c r="M1666" t="s">
        <v>37</v>
      </c>
      <c r="N1666" t="s">
        <v>37</v>
      </c>
      <c r="O1666" t="s">
        <v>39</v>
      </c>
      <c r="P1666" t="s">
        <v>38</v>
      </c>
      <c r="Q1666" t="s">
        <v>37</v>
      </c>
      <c r="R1666" t="s">
        <v>39</v>
      </c>
      <c r="S1666" t="s">
        <v>6404</v>
      </c>
      <c r="T1666" t="s">
        <v>5619</v>
      </c>
      <c r="U1666" t="s">
        <v>5620</v>
      </c>
      <c r="V1666" t="s">
        <v>5586</v>
      </c>
      <c r="W1666" t="s">
        <v>5621</v>
      </c>
      <c r="Z1666" t="s">
        <v>46</v>
      </c>
      <c r="AA1666" t="s">
        <v>5599</v>
      </c>
      <c r="AB1666" t="s">
        <v>3109</v>
      </c>
      <c r="AC1666">
        <f>COUNTIF(C:C,QLKV_gui_ket_qua_ra_soat[[#This Row],[Mã điểm bán]])</f>
        <v>1</v>
      </c>
    </row>
    <row r="1667" spans="1:29" x14ac:dyDescent="0.45">
      <c r="A1667" t="s">
        <v>5578</v>
      </c>
      <c r="B1667">
        <v>3095</v>
      </c>
      <c r="C1667" t="s">
        <v>6405</v>
      </c>
      <c r="D1667" t="s">
        <v>6406</v>
      </c>
      <c r="E1667" t="s">
        <v>269</v>
      </c>
      <c r="F1667" t="s">
        <v>53</v>
      </c>
      <c r="G1667" t="s">
        <v>177</v>
      </c>
      <c r="H1667" t="s">
        <v>54</v>
      </c>
      <c r="I1667" t="s">
        <v>6032</v>
      </c>
      <c r="J1667" t="s">
        <v>37</v>
      </c>
      <c r="K1667" t="s">
        <v>38</v>
      </c>
      <c r="L1667" t="s">
        <v>40</v>
      </c>
      <c r="M1667" t="s">
        <v>38</v>
      </c>
      <c r="N1667" t="s">
        <v>38</v>
      </c>
      <c r="O1667" t="s">
        <v>40</v>
      </c>
      <c r="P1667" t="s">
        <v>38</v>
      </c>
      <c r="Q1667" t="s">
        <v>38</v>
      </c>
      <c r="R1667" t="s">
        <v>40</v>
      </c>
      <c r="S1667" t="s">
        <v>41</v>
      </c>
      <c r="T1667" t="s">
        <v>5766</v>
      </c>
      <c r="U1667" t="s">
        <v>5597</v>
      </c>
      <c r="V1667" t="s">
        <v>5586</v>
      </c>
      <c r="W1667" t="s">
        <v>5598</v>
      </c>
      <c r="AC1667">
        <f>COUNTIF(C:C,QLKV_gui_ket_qua_ra_soat[[#This Row],[Mã điểm bán]])</f>
        <v>1</v>
      </c>
    </row>
    <row r="1668" spans="1:29" x14ac:dyDescent="0.45">
      <c r="A1668" t="s">
        <v>5578</v>
      </c>
      <c r="B1668">
        <v>3103</v>
      </c>
      <c r="C1668" t="s">
        <v>6407</v>
      </c>
      <c r="D1668" t="s">
        <v>6408</v>
      </c>
      <c r="E1668" t="s">
        <v>211</v>
      </c>
      <c r="F1668" t="s">
        <v>441</v>
      </c>
      <c r="G1668" t="s">
        <v>34</v>
      </c>
      <c r="H1668" t="s">
        <v>2256</v>
      </c>
      <c r="I1668" t="s">
        <v>6409</v>
      </c>
      <c r="J1668" t="s">
        <v>37</v>
      </c>
      <c r="K1668" t="s">
        <v>37</v>
      </c>
      <c r="L1668" t="s">
        <v>39</v>
      </c>
      <c r="M1668" t="s">
        <v>38</v>
      </c>
      <c r="N1668" t="s">
        <v>37</v>
      </c>
      <c r="O1668" t="s">
        <v>39</v>
      </c>
      <c r="P1668" t="s">
        <v>37</v>
      </c>
      <c r="Q1668" t="s">
        <v>37</v>
      </c>
      <c r="R1668" t="s">
        <v>39</v>
      </c>
      <c r="S1668" t="s">
        <v>41</v>
      </c>
      <c r="T1668" t="s">
        <v>5633</v>
      </c>
      <c r="U1668" t="s">
        <v>5620</v>
      </c>
      <c r="V1668" t="s">
        <v>5586</v>
      </c>
      <c r="W1668" t="s">
        <v>5621</v>
      </c>
      <c r="X1668" t="s">
        <v>46</v>
      </c>
      <c r="AB1668" t="s">
        <v>5658</v>
      </c>
      <c r="AC1668">
        <f>COUNTIF(C:C,QLKV_gui_ket_qua_ra_soat[[#This Row],[Mã điểm bán]])</f>
        <v>1</v>
      </c>
    </row>
    <row r="1669" spans="1:29" x14ac:dyDescent="0.45">
      <c r="A1669" t="s">
        <v>5578</v>
      </c>
      <c r="B1669">
        <v>3108</v>
      </c>
      <c r="C1669" t="s">
        <v>6410</v>
      </c>
      <c r="D1669" t="s">
        <v>6411</v>
      </c>
      <c r="E1669" t="s">
        <v>354</v>
      </c>
      <c r="F1669" t="s">
        <v>4321</v>
      </c>
      <c r="G1669" t="s">
        <v>34</v>
      </c>
      <c r="H1669" t="s">
        <v>1188</v>
      </c>
      <c r="I1669" t="s">
        <v>6412</v>
      </c>
      <c r="J1669" t="s">
        <v>56</v>
      </c>
      <c r="K1669" t="s">
        <v>37</v>
      </c>
      <c r="L1669" t="s">
        <v>39</v>
      </c>
      <c r="M1669" t="s">
        <v>37</v>
      </c>
      <c r="N1669" t="s">
        <v>37</v>
      </c>
      <c r="O1669" t="s">
        <v>39</v>
      </c>
      <c r="P1669" t="s">
        <v>37</v>
      </c>
      <c r="Q1669" t="s">
        <v>37</v>
      </c>
      <c r="R1669" t="s">
        <v>39</v>
      </c>
      <c r="S1669" t="s">
        <v>41</v>
      </c>
      <c r="T1669" t="s">
        <v>5916</v>
      </c>
      <c r="U1669" t="s">
        <v>5917</v>
      </c>
      <c r="V1669" t="s">
        <v>5586</v>
      </c>
      <c r="W1669" t="s">
        <v>5598</v>
      </c>
      <c r="Z1669" t="s">
        <v>46</v>
      </c>
      <c r="AA1669" t="s">
        <v>5599</v>
      </c>
      <c r="AB1669" t="s">
        <v>3109</v>
      </c>
      <c r="AC1669">
        <f>COUNTIF(C:C,QLKV_gui_ket_qua_ra_soat[[#This Row],[Mã điểm bán]])</f>
        <v>1</v>
      </c>
    </row>
    <row r="1670" spans="1:29" x14ac:dyDescent="0.45">
      <c r="A1670" t="s">
        <v>5578</v>
      </c>
      <c r="B1670">
        <v>3118</v>
      </c>
      <c r="C1670" t="s">
        <v>6413</v>
      </c>
      <c r="D1670" t="s">
        <v>6414</v>
      </c>
      <c r="E1670" t="s">
        <v>97</v>
      </c>
      <c r="F1670" t="s">
        <v>53</v>
      </c>
      <c r="G1670" t="s">
        <v>177</v>
      </c>
      <c r="H1670" t="s">
        <v>1574</v>
      </c>
      <c r="I1670" t="s">
        <v>4697</v>
      </c>
      <c r="J1670" t="s">
        <v>37</v>
      </c>
      <c r="K1670" t="s">
        <v>37</v>
      </c>
      <c r="L1670" t="s">
        <v>40</v>
      </c>
      <c r="M1670" t="s">
        <v>38</v>
      </c>
      <c r="N1670" t="s">
        <v>37</v>
      </c>
      <c r="O1670" t="s">
        <v>39</v>
      </c>
      <c r="P1670" t="s">
        <v>37</v>
      </c>
      <c r="Q1670" t="s">
        <v>37</v>
      </c>
      <c r="R1670" t="s">
        <v>39</v>
      </c>
      <c r="S1670" t="s">
        <v>6415</v>
      </c>
      <c r="T1670" t="s">
        <v>5633</v>
      </c>
      <c r="U1670" t="s">
        <v>5620</v>
      </c>
      <c r="V1670" t="s">
        <v>5586</v>
      </c>
      <c r="W1670" t="s">
        <v>5621</v>
      </c>
      <c r="Y1670" t="s">
        <v>46</v>
      </c>
      <c r="AB1670" t="s">
        <v>4223</v>
      </c>
      <c r="AC1670">
        <f>COUNTIF(C:C,QLKV_gui_ket_qua_ra_soat[[#This Row],[Mã điểm bán]])</f>
        <v>1</v>
      </c>
    </row>
    <row r="1671" spans="1:29" x14ac:dyDescent="0.45">
      <c r="A1671" t="s">
        <v>5578</v>
      </c>
      <c r="B1671">
        <v>3158</v>
      </c>
      <c r="C1671" t="s">
        <v>6416</v>
      </c>
      <c r="D1671" t="s">
        <v>6417</v>
      </c>
      <c r="E1671" t="s">
        <v>181</v>
      </c>
      <c r="F1671" t="s">
        <v>166</v>
      </c>
      <c r="G1671" t="s">
        <v>34</v>
      </c>
      <c r="H1671" t="s">
        <v>4115</v>
      </c>
      <c r="I1671" t="s">
        <v>6419</v>
      </c>
      <c r="J1671" t="s">
        <v>37</v>
      </c>
      <c r="K1671" t="s">
        <v>37</v>
      </c>
      <c r="L1671" t="s">
        <v>39</v>
      </c>
      <c r="M1671" t="s">
        <v>37</v>
      </c>
      <c r="N1671" t="s">
        <v>37</v>
      </c>
      <c r="O1671" t="s">
        <v>39</v>
      </c>
      <c r="P1671" t="s">
        <v>37</v>
      </c>
      <c r="Q1671" t="s">
        <v>37</v>
      </c>
      <c r="R1671" t="s">
        <v>39</v>
      </c>
      <c r="S1671" t="s">
        <v>41</v>
      </c>
      <c r="T1671" t="s">
        <v>5916</v>
      </c>
      <c r="U1671" t="s">
        <v>5917</v>
      </c>
      <c r="V1671" t="s">
        <v>5586</v>
      </c>
      <c r="W1671" t="s">
        <v>5598</v>
      </c>
      <c r="Z1671" t="s">
        <v>46</v>
      </c>
      <c r="AA1671" t="s">
        <v>5599</v>
      </c>
      <c r="AB1671" t="s">
        <v>4223</v>
      </c>
      <c r="AC1671">
        <f>COUNTIF(C:C,QLKV_gui_ket_qua_ra_soat[[#This Row],[Mã điểm bán]])</f>
        <v>1</v>
      </c>
    </row>
    <row r="1672" spans="1:29" x14ac:dyDescent="0.45">
      <c r="A1672" t="s">
        <v>5578</v>
      </c>
      <c r="B1672">
        <v>3170</v>
      </c>
      <c r="C1672" t="s">
        <v>6420</v>
      </c>
      <c r="D1672" t="s">
        <v>6421</v>
      </c>
      <c r="E1672" t="s">
        <v>108</v>
      </c>
      <c r="F1672" t="s">
        <v>191</v>
      </c>
      <c r="G1672" t="s">
        <v>177</v>
      </c>
      <c r="H1672" t="s">
        <v>54</v>
      </c>
      <c r="I1672" t="s">
        <v>6422</v>
      </c>
      <c r="J1672" t="s">
        <v>37</v>
      </c>
      <c r="K1672" t="s">
        <v>38</v>
      </c>
      <c r="L1672" t="s">
        <v>40</v>
      </c>
      <c r="M1672" t="s">
        <v>38</v>
      </c>
      <c r="N1672" t="s">
        <v>38</v>
      </c>
      <c r="O1672" t="s">
        <v>40</v>
      </c>
      <c r="P1672" t="s">
        <v>38</v>
      </c>
      <c r="Q1672" t="s">
        <v>38</v>
      </c>
      <c r="R1672" t="s">
        <v>40</v>
      </c>
      <c r="S1672" t="s">
        <v>41</v>
      </c>
      <c r="T1672" t="s">
        <v>5766</v>
      </c>
      <c r="U1672" t="s">
        <v>5597</v>
      </c>
      <c r="V1672" t="s">
        <v>5586</v>
      </c>
      <c r="W1672" t="s">
        <v>5598</v>
      </c>
      <c r="Z1672" t="s">
        <v>46</v>
      </c>
      <c r="AA1672" t="s">
        <v>5599</v>
      </c>
      <c r="AB1672" t="s">
        <v>3109</v>
      </c>
      <c r="AC1672">
        <f>COUNTIF(C:C,QLKV_gui_ket_qua_ra_soat[[#This Row],[Mã điểm bán]])</f>
        <v>1</v>
      </c>
    </row>
    <row r="1673" spans="1:29" x14ac:dyDescent="0.45">
      <c r="A1673" t="s">
        <v>5578</v>
      </c>
      <c r="B1673">
        <v>3176</v>
      </c>
      <c r="C1673" t="s">
        <v>6423</v>
      </c>
      <c r="D1673" t="s">
        <v>6424</v>
      </c>
      <c r="E1673" t="s">
        <v>304</v>
      </c>
      <c r="F1673" t="s">
        <v>53</v>
      </c>
      <c r="G1673" t="s">
        <v>177</v>
      </c>
      <c r="H1673" t="s">
        <v>54</v>
      </c>
      <c r="I1673" t="s">
        <v>6425</v>
      </c>
      <c r="J1673" t="s">
        <v>37</v>
      </c>
      <c r="K1673" t="s">
        <v>37</v>
      </c>
      <c r="L1673" t="s">
        <v>39</v>
      </c>
      <c r="M1673" t="s">
        <v>37</v>
      </c>
      <c r="N1673" t="s">
        <v>37</v>
      </c>
      <c r="O1673" t="s">
        <v>39</v>
      </c>
      <c r="P1673" t="s">
        <v>37</v>
      </c>
      <c r="Q1673" t="s">
        <v>37</v>
      </c>
      <c r="R1673" t="s">
        <v>39</v>
      </c>
      <c r="S1673" t="s">
        <v>41</v>
      </c>
      <c r="T1673" t="s">
        <v>5596</v>
      </c>
      <c r="U1673" t="s">
        <v>5597</v>
      </c>
      <c r="V1673" t="s">
        <v>5586</v>
      </c>
      <c r="W1673" t="s">
        <v>5598</v>
      </c>
      <c r="AC1673">
        <f>COUNTIF(C:C,QLKV_gui_ket_qua_ra_soat[[#This Row],[Mã điểm bán]])</f>
        <v>1</v>
      </c>
    </row>
    <row r="1674" spans="1:29" x14ac:dyDescent="0.45">
      <c r="A1674" t="s">
        <v>5578</v>
      </c>
      <c r="B1674">
        <v>3180</v>
      </c>
      <c r="C1674" t="s">
        <v>6426</v>
      </c>
      <c r="D1674" t="s">
        <v>6427</v>
      </c>
      <c r="E1674" t="s">
        <v>64</v>
      </c>
      <c r="F1674" t="s">
        <v>53</v>
      </c>
      <c r="G1674" t="s">
        <v>177</v>
      </c>
      <c r="H1674" t="s">
        <v>54</v>
      </c>
      <c r="I1674" t="s">
        <v>6425</v>
      </c>
      <c r="J1674" t="s">
        <v>38</v>
      </c>
      <c r="K1674" t="s">
        <v>38</v>
      </c>
      <c r="L1674" t="s">
        <v>40</v>
      </c>
      <c r="M1674" t="s">
        <v>38</v>
      </c>
      <c r="N1674" t="s">
        <v>38</v>
      </c>
      <c r="O1674" t="s">
        <v>40</v>
      </c>
      <c r="P1674" t="s">
        <v>38</v>
      </c>
      <c r="Q1674" t="s">
        <v>38</v>
      </c>
      <c r="R1674" t="s">
        <v>40</v>
      </c>
      <c r="S1674" t="s">
        <v>41</v>
      </c>
      <c r="T1674" t="s">
        <v>5596</v>
      </c>
      <c r="U1674" t="s">
        <v>5597</v>
      </c>
      <c r="V1674" t="s">
        <v>5586</v>
      </c>
      <c r="W1674" t="s">
        <v>5598</v>
      </c>
      <c r="Z1674" t="s">
        <v>46</v>
      </c>
      <c r="AA1674" t="s">
        <v>5599</v>
      </c>
      <c r="AB1674" t="s">
        <v>3109</v>
      </c>
      <c r="AC1674">
        <f>COUNTIF(C:C,QLKV_gui_ket_qua_ra_soat[[#This Row],[Mã điểm bán]])</f>
        <v>1</v>
      </c>
    </row>
    <row r="1675" spans="1:29" x14ac:dyDescent="0.45">
      <c r="A1675" t="s">
        <v>5578</v>
      </c>
      <c r="B1675">
        <v>3195</v>
      </c>
      <c r="C1675" t="s">
        <v>6428</v>
      </c>
      <c r="D1675" t="s">
        <v>6429</v>
      </c>
      <c r="E1675" t="s">
        <v>304</v>
      </c>
      <c r="F1675" t="s">
        <v>53</v>
      </c>
      <c r="G1675" t="s">
        <v>177</v>
      </c>
      <c r="H1675" t="s">
        <v>54</v>
      </c>
      <c r="I1675" t="s">
        <v>6430</v>
      </c>
      <c r="J1675" t="s">
        <v>38</v>
      </c>
      <c r="K1675" t="s">
        <v>38</v>
      </c>
      <c r="L1675" t="s">
        <v>39</v>
      </c>
      <c r="M1675" t="s">
        <v>38</v>
      </c>
      <c r="N1675" t="s">
        <v>38</v>
      </c>
      <c r="O1675" t="s">
        <v>40</v>
      </c>
      <c r="P1675" t="s">
        <v>38</v>
      </c>
      <c r="Q1675" t="s">
        <v>38</v>
      </c>
      <c r="R1675" t="s">
        <v>40</v>
      </c>
      <c r="S1675" t="s">
        <v>41</v>
      </c>
      <c r="T1675" t="s">
        <v>5596</v>
      </c>
      <c r="U1675" t="s">
        <v>5597</v>
      </c>
      <c r="V1675" t="s">
        <v>5586</v>
      </c>
      <c r="W1675" t="s">
        <v>5598</v>
      </c>
      <c r="AC1675">
        <f>COUNTIF(C:C,QLKV_gui_ket_qua_ra_soat[[#This Row],[Mã điểm bán]])</f>
        <v>1</v>
      </c>
    </row>
    <row r="1676" spans="1:29" x14ac:dyDescent="0.45">
      <c r="A1676" t="s">
        <v>5578</v>
      </c>
      <c r="B1676">
        <v>3197</v>
      </c>
      <c r="C1676" t="s">
        <v>6431</v>
      </c>
      <c r="D1676" t="s">
        <v>6432</v>
      </c>
      <c r="E1676" t="s">
        <v>219</v>
      </c>
      <c r="F1676" t="s">
        <v>53</v>
      </c>
      <c r="G1676" t="s">
        <v>34</v>
      </c>
      <c r="H1676" t="s">
        <v>214</v>
      </c>
      <c r="I1676" t="s">
        <v>6433</v>
      </c>
      <c r="J1676" t="s">
        <v>38</v>
      </c>
      <c r="K1676" t="s">
        <v>38</v>
      </c>
      <c r="L1676" t="s">
        <v>40</v>
      </c>
      <c r="M1676" t="s">
        <v>37</v>
      </c>
      <c r="N1676" t="s">
        <v>38</v>
      </c>
      <c r="O1676" t="s">
        <v>40</v>
      </c>
      <c r="P1676" t="s">
        <v>38</v>
      </c>
      <c r="Q1676" t="s">
        <v>38</v>
      </c>
      <c r="R1676" t="s">
        <v>40</v>
      </c>
      <c r="S1676" t="s">
        <v>41</v>
      </c>
      <c r="T1676" t="s">
        <v>5766</v>
      </c>
      <c r="U1676" t="s">
        <v>5597</v>
      </c>
      <c r="V1676" t="s">
        <v>5586</v>
      </c>
      <c r="W1676" t="s">
        <v>5598</v>
      </c>
      <c r="AB1676" t="s">
        <v>3101</v>
      </c>
      <c r="AC1676">
        <f>COUNTIF(C:C,QLKV_gui_ket_qua_ra_soat[[#This Row],[Mã điểm bán]])</f>
        <v>1</v>
      </c>
    </row>
    <row r="1677" spans="1:29" x14ac:dyDescent="0.45">
      <c r="A1677" t="s">
        <v>5578</v>
      </c>
      <c r="B1677">
        <v>3205</v>
      </c>
      <c r="C1677" t="s">
        <v>6434</v>
      </c>
      <c r="D1677" t="s">
        <v>6435</v>
      </c>
      <c r="E1677" t="s">
        <v>197</v>
      </c>
      <c r="F1677" t="s">
        <v>53</v>
      </c>
      <c r="G1677" t="s">
        <v>177</v>
      </c>
      <c r="H1677" t="s">
        <v>54</v>
      </c>
      <c r="I1677" t="s">
        <v>5854</v>
      </c>
      <c r="J1677" t="s">
        <v>38</v>
      </c>
      <c r="K1677" t="s">
        <v>38</v>
      </c>
      <c r="L1677" t="s">
        <v>40</v>
      </c>
      <c r="M1677" t="s">
        <v>37</v>
      </c>
      <c r="N1677" t="s">
        <v>37</v>
      </c>
      <c r="O1677" t="s">
        <v>40</v>
      </c>
      <c r="P1677" t="s">
        <v>38</v>
      </c>
      <c r="Q1677" t="s">
        <v>38</v>
      </c>
      <c r="R1677" t="s">
        <v>40</v>
      </c>
      <c r="S1677" t="s">
        <v>41</v>
      </c>
      <c r="T1677" t="s">
        <v>5766</v>
      </c>
      <c r="U1677" t="s">
        <v>5597</v>
      </c>
      <c r="V1677" t="s">
        <v>5586</v>
      </c>
      <c r="W1677" t="s">
        <v>5598</v>
      </c>
      <c r="AC1677">
        <f>COUNTIF(C:C,QLKV_gui_ket_qua_ra_soat[[#This Row],[Mã điểm bán]])</f>
        <v>1</v>
      </c>
    </row>
    <row r="1678" spans="1:29" x14ac:dyDescent="0.45">
      <c r="A1678" t="s">
        <v>5578</v>
      </c>
      <c r="B1678">
        <v>3207</v>
      </c>
      <c r="C1678" t="s">
        <v>6436</v>
      </c>
      <c r="D1678" t="s">
        <v>5888</v>
      </c>
      <c r="E1678" t="s">
        <v>6117</v>
      </c>
      <c r="F1678" t="s">
        <v>6437</v>
      </c>
      <c r="G1678" t="s">
        <v>34</v>
      </c>
      <c r="H1678" t="s">
        <v>214</v>
      </c>
      <c r="I1678" t="s">
        <v>6438</v>
      </c>
      <c r="J1678" t="s">
        <v>37</v>
      </c>
      <c r="K1678" t="s">
        <v>37</v>
      </c>
      <c r="L1678" t="s">
        <v>39</v>
      </c>
      <c r="M1678" t="s">
        <v>37</v>
      </c>
      <c r="N1678" t="s">
        <v>37</v>
      </c>
      <c r="O1678" t="s">
        <v>39</v>
      </c>
      <c r="P1678" t="s">
        <v>38</v>
      </c>
      <c r="Q1678" t="s">
        <v>37</v>
      </c>
      <c r="R1678" t="s">
        <v>39</v>
      </c>
      <c r="S1678" t="s">
        <v>41</v>
      </c>
      <c r="T1678" t="s">
        <v>5916</v>
      </c>
      <c r="U1678" t="s">
        <v>5917</v>
      </c>
      <c r="V1678" t="s">
        <v>5586</v>
      </c>
      <c r="W1678" t="s">
        <v>5598</v>
      </c>
      <c r="AC1678">
        <f>COUNTIF(C:C,QLKV_gui_ket_qua_ra_soat[[#This Row],[Mã điểm bán]])</f>
        <v>1</v>
      </c>
    </row>
    <row r="1679" spans="1:29" x14ac:dyDescent="0.45">
      <c r="A1679" t="s">
        <v>5578</v>
      </c>
      <c r="B1679">
        <v>3210</v>
      </c>
      <c r="C1679" t="s">
        <v>6439</v>
      </c>
      <c r="D1679" t="s">
        <v>6440</v>
      </c>
      <c r="E1679" t="s">
        <v>6441</v>
      </c>
      <c r="F1679" t="s">
        <v>53</v>
      </c>
      <c r="G1679" t="s">
        <v>34</v>
      </c>
      <c r="H1679" t="s">
        <v>54</v>
      </c>
      <c r="I1679" t="s">
        <v>6442</v>
      </c>
      <c r="J1679" t="s">
        <v>37</v>
      </c>
      <c r="K1679" t="s">
        <v>37</v>
      </c>
      <c r="L1679" t="s">
        <v>39</v>
      </c>
      <c r="M1679" t="s">
        <v>37</v>
      </c>
      <c r="N1679" t="s">
        <v>37</v>
      </c>
      <c r="O1679" t="s">
        <v>39</v>
      </c>
      <c r="P1679" t="s">
        <v>37</v>
      </c>
      <c r="Q1679" t="s">
        <v>37</v>
      </c>
      <c r="R1679" t="s">
        <v>39</v>
      </c>
      <c r="S1679" t="s">
        <v>6443</v>
      </c>
      <c r="T1679" t="s">
        <v>5619</v>
      </c>
      <c r="U1679" t="s">
        <v>5620</v>
      </c>
      <c r="V1679" t="s">
        <v>5586</v>
      </c>
      <c r="W1679" t="s">
        <v>5621</v>
      </c>
      <c r="AC1679">
        <f>COUNTIF(C:C,QLKV_gui_ket_qua_ra_soat[[#This Row],[Mã điểm bán]])</f>
        <v>1</v>
      </c>
    </row>
    <row r="1680" spans="1:29" x14ac:dyDescent="0.45">
      <c r="A1680" t="s">
        <v>6444</v>
      </c>
      <c r="B1680">
        <v>1</v>
      </c>
      <c r="C1680" t="s">
        <v>6445</v>
      </c>
      <c r="D1680" t="s">
        <v>6446</v>
      </c>
      <c r="E1680" t="s">
        <v>91</v>
      </c>
      <c r="F1680" t="s">
        <v>33</v>
      </c>
      <c r="G1680" t="s">
        <v>177</v>
      </c>
      <c r="H1680" t="s">
        <v>546</v>
      </c>
      <c r="I1680" t="s">
        <v>6447</v>
      </c>
      <c r="J1680" t="s">
        <v>38</v>
      </c>
      <c r="K1680" t="s">
        <v>38</v>
      </c>
      <c r="L1680" t="s">
        <v>40</v>
      </c>
      <c r="M1680" t="s">
        <v>38</v>
      </c>
      <c r="N1680" t="s">
        <v>38</v>
      </c>
      <c r="O1680" t="s">
        <v>39</v>
      </c>
      <c r="P1680" t="s">
        <v>38</v>
      </c>
      <c r="Q1680" t="s">
        <v>38</v>
      </c>
      <c r="R1680" t="s">
        <v>39</v>
      </c>
      <c r="S1680" t="s">
        <v>41</v>
      </c>
      <c r="T1680" t="s">
        <v>6448</v>
      </c>
      <c r="U1680" t="s">
        <v>6449</v>
      </c>
      <c r="V1680" t="s">
        <v>6450</v>
      </c>
      <c r="W1680" t="s">
        <v>6451</v>
      </c>
      <c r="X1680" t="s">
        <v>46</v>
      </c>
      <c r="AB1680" t="s">
        <v>3109</v>
      </c>
      <c r="AC1680">
        <f>COUNTIF(C:C,QLKV_gui_ket_qua_ra_soat[[#This Row],[Mã điểm bán]])</f>
        <v>1</v>
      </c>
    </row>
    <row r="1681" spans="1:29" x14ac:dyDescent="0.45">
      <c r="A1681" t="s">
        <v>6444</v>
      </c>
      <c r="B1681">
        <v>2</v>
      </c>
      <c r="C1681" t="s">
        <v>6452</v>
      </c>
      <c r="D1681" t="s">
        <v>6453</v>
      </c>
      <c r="E1681" t="s">
        <v>6454</v>
      </c>
      <c r="F1681" t="s">
        <v>1887</v>
      </c>
      <c r="G1681" t="s">
        <v>1458</v>
      </c>
      <c r="H1681" t="s">
        <v>54</v>
      </c>
      <c r="I1681" t="s">
        <v>6455</v>
      </c>
      <c r="J1681" t="s">
        <v>37</v>
      </c>
      <c r="K1681" t="s">
        <v>38</v>
      </c>
      <c r="L1681" t="s">
        <v>40</v>
      </c>
      <c r="M1681" t="s">
        <v>37</v>
      </c>
      <c r="N1681" t="s">
        <v>37</v>
      </c>
      <c r="O1681" t="s">
        <v>39</v>
      </c>
      <c r="P1681" t="s">
        <v>38</v>
      </c>
      <c r="Q1681" t="s">
        <v>38</v>
      </c>
      <c r="R1681" t="s">
        <v>40</v>
      </c>
      <c r="S1681" t="s">
        <v>41</v>
      </c>
      <c r="T1681" t="s">
        <v>6456</v>
      </c>
      <c r="U1681" t="s">
        <v>6449</v>
      </c>
      <c r="V1681" t="s">
        <v>6450</v>
      </c>
      <c r="W1681" t="s">
        <v>6451</v>
      </c>
      <c r="Z1681" t="s">
        <v>46</v>
      </c>
      <c r="AA1681" t="s">
        <v>6457</v>
      </c>
      <c r="AB1681" t="s">
        <v>3109</v>
      </c>
      <c r="AC1681">
        <f>COUNTIF(C:C,QLKV_gui_ket_qua_ra_soat[[#This Row],[Mã điểm bán]])</f>
        <v>1</v>
      </c>
    </row>
    <row r="1682" spans="1:29" x14ac:dyDescent="0.45">
      <c r="A1682" t="s">
        <v>6444</v>
      </c>
      <c r="B1682">
        <v>3</v>
      </c>
      <c r="C1682" t="s">
        <v>6458</v>
      </c>
      <c r="D1682" t="s">
        <v>6459</v>
      </c>
      <c r="E1682" t="s">
        <v>91</v>
      </c>
      <c r="F1682" t="s">
        <v>417</v>
      </c>
      <c r="G1682" t="s">
        <v>34</v>
      </c>
      <c r="H1682" t="s">
        <v>546</v>
      </c>
      <c r="I1682" t="s">
        <v>6460</v>
      </c>
      <c r="J1682" t="s">
        <v>38</v>
      </c>
      <c r="K1682" t="s">
        <v>38</v>
      </c>
      <c r="L1682" t="s">
        <v>40</v>
      </c>
      <c r="M1682" t="s">
        <v>38</v>
      </c>
      <c r="N1682" t="s">
        <v>38</v>
      </c>
      <c r="O1682" t="s">
        <v>39</v>
      </c>
      <c r="P1682" t="s">
        <v>38</v>
      </c>
      <c r="Q1682" t="s">
        <v>38</v>
      </c>
      <c r="R1682" t="s">
        <v>39</v>
      </c>
      <c r="S1682" t="s">
        <v>41</v>
      </c>
      <c r="T1682" t="s">
        <v>6448</v>
      </c>
      <c r="U1682" t="s">
        <v>6449</v>
      </c>
      <c r="V1682" t="s">
        <v>6450</v>
      </c>
      <c r="W1682" t="s">
        <v>6451</v>
      </c>
      <c r="X1682" t="s">
        <v>46</v>
      </c>
      <c r="AC1682">
        <f>COUNTIF(C:C,QLKV_gui_ket_qua_ra_soat[[#This Row],[Mã điểm bán]])</f>
        <v>1</v>
      </c>
    </row>
    <row r="1683" spans="1:29" x14ac:dyDescent="0.45">
      <c r="A1683" t="s">
        <v>6444</v>
      </c>
      <c r="B1683">
        <v>4</v>
      </c>
      <c r="C1683" t="s">
        <v>6461</v>
      </c>
      <c r="D1683" t="s">
        <v>6462</v>
      </c>
      <c r="E1683" t="s">
        <v>529</v>
      </c>
      <c r="F1683" t="s">
        <v>115</v>
      </c>
      <c r="G1683" t="s">
        <v>34</v>
      </c>
      <c r="H1683" t="s">
        <v>546</v>
      </c>
      <c r="I1683" t="s">
        <v>6460</v>
      </c>
      <c r="J1683" t="s">
        <v>38</v>
      </c>
      <c r="K1683" t="s">
        <v>38</v>
      </c>
      <c r="L1683" t="s">
        <v>40</v>
      </c>
      <c r="M1683" t="s">
        <v>38</v>
      </c>
      <c r="N1683" t="s">
        <v>38</v>
      </c>
      <c r="O1683" t="s">
        <v>40</v>
      </c>
      <c r="P1683" t="s">
        <v>38</v>
      </c>
      <c r="Q1683" t="s">
        <v>38</v>
      </c>
      <c r="R1683" t="s">
        <v>39</v>
      </c>
      <c r="S1683" t="s">
        <v>41</v>
      </c>
      <c r="T1683" t="s">
        <v>6448</v>
      </c>
      <c r="U1683" t="s">
        <v>6449</v>
      </c>
      <c r="V1683" t="s">
        <v>6450</v>
      </c>
      <c r="W1683" t="s">
        <v>6451</v>
      </c>
      <c r="X1683" t="s">
        <v>46</v>
      </c>
      <c r="AB1683" t="s">
        <v>3109</v>
      </c>
      <c r="AC1683">
        <f>COUNTIF(C:C,QLKV_gui_ket_qua_ra_soat[[#This Row],[Mã điểm bán]])</f>
        <v>1</v>
      </c>
    </row>
    <row r="1684" spans="1:29" x14ac:dyDescent="0.45">
      <c r="A1684" t="s">
        <v>6444</v>
      </c>
      <c r="B1684">
        <v>5</v>
      </c>
      <c r="C1684" t="s">
        <v>6463</v>
      </c>
      <c r="D1684" t="s">
        <v>6464</v>
      </c>
      <c r="E1684" t="s">
        <v>113</v>
      </c>
      <c r="F1684" t="s">
        <v>166</v>
      </c>
      <c r="G1684" t="s">
        <v>34</v>
      </c>
      <c r="H1684" t="s">
        <v>507</v>
      </c>
      <c r="I1684" t="s">
        <v>6465</v>
      </c>
      <c r="J1684" t="s">
        <v>38</v>
      </c>
      <c r="K1684" t="s">
        <v>38</v>
      </c>
      <c r="L1684" t="s">
        <v>40</v>
      </c>
      <c r="M1684" t="s">
        <v>38</v>
      </c>
      <c r="N1684" t="s">
        <v>38</v>
      </c>
      <c r="O1684" t="s">
        <v>39</v>
      </c>
      <c r="P1684" t="s">
        <v>38</v>
      </c>
      <c r="Q1684" t="s">
        <v>38</v>
      </c>
      <c r="R1684" t="s">
        <v>39</v>
      </c>
      <c r="S1684" t="s">
        <v>41</v>
      </c>
      <c r="T1684" t="s">
        <v>6448</v>
      </c>
      <c r="U1684" t="s">
        <v>6449</v>
      </c>
      <c r="V1684" t="s">
        <v>6450</v>
      </c>
      <c r="W1684" t="s">
        <v>6451</v>
      </c>
      <c r="X1684" t="s">
        <v>46</v>
      </c>
      <c r="AC1684">
        <f>COUNTIF(C:C,QLKV_gui_ket_qua_ra_soat[[#This Row],[Mã điểm bán]])</f>
        <v>1</v>
      </c>
    </row>
    <row r="1685" spans="1:29" x14ac:dyDescent="0.45">
      <c r="A1685" t="s">
        <v>6444</v>
      </c>
      <c r="B1685">
        <v>6</v>
      </c>
      <c r="C1685" t="s">
        <v>6466</v>
      </c>
      <c r="D1685" t="s">
        <v>6467</v>
      </c>
      <c r="E1685" t="s">
        <v>2580</v>
      </c>
      <c r="F1685" t="s">
        <v>166</v>
      </c>
      <c r="G1685" t="s">
        <v>177</v>
      </c>
      <c r="H1685" t="s">
        <v>54</v>
      </c>
      <c r="I1685" t="s">
        <v>2460</v>
      </c>
      <c r="J1685" t="s">
        <v>38</v>
      </c>
      <c r="K1685" t="s">
        <v>38</v>
      </c>
      <c r="L1685" t="s">
        <v>40</v>
      </c>
      <c r="M1685" t="s">
        <v>38</v>
      </c>
      <c r="N1685" t="s">
        <v>38</v>
      </c>
      <c r="O1685" t="s">
        <v>39</v>
      </c>
      <c r="P1685" t="s">
        <v>38</v>
      </c>
      <c r="Q1685" t="s">
        <v>38</v>
      </c>
      <c r="R1685" t="s">
        <v>40</v>
      </c>
      <c r="S1685" t="s">
        <v>4751</v>
      </c>
      <c r="T1685" t="s">
        <v>6468</v>
      </c>
      <c r="U1685" t="s">
        <v>6469</v>
      </c>
      <c r="V1685" t="s">
        <v>6450</v>
      </c>
      <c r="W1685" t="s">
        <v>6451</v>
      </c>
      <c r="X1685" t="s">
        <v>46</v>
      </c>
      <c r="AC1685">
        <f>COUNTIF(C:C,QLKV_gui_ket_qua_ra_soat[[#This Row],[Mã điểm bán]])</f>
        <v>1</v>
      </c>
    </row>
    <row r="1686" spans="1:29" x14ac:dyDescent="0.45">
      <c r="A1686" t="s">
        <v>6444</v>
      </c>
      <c r="B1686">
        <v>7</v>
      </c>
      <c r="C1686" t="s">
        <v>6470</v>
      </c>
      <c r="D1686" t="s">
        <v>6471</v>
      </c>
      <c r="E1686" t="s">
        <v>108</v>
      </c>
      <c r="F1686" t="s">
        <v>53</v>
      </c>
      <c r="G1686" t="s">
        <v>34</v>
      </c>
      <c r="H1686" t="s">
        <v>54</v>
      </c>
      <c r="I1686" t="s">
        <v>172</v>
      </c>
      <c r="J1686" t="s">
        <v>37</v>
      </c>
      <c r="K1686" t="s">
        <v>37</v>
      </c>
      <c r="L1686" t="s">
        <v>40</v>
      </c>
      <c r="M1686" t="s">
        <v>38</v>
      </c>
      <c r="N1686" t="s">
        <v>56</v>
      </c>
      <c r="O1686" t="s">
        <v>40</v>
      </c>
      <c r="P1686" t="s">
        <v>37</v>
      </c>
      <c r="Q1686" t="s">
        <v>38</v>
      </c>
      <c r="R1686" t="s">
        <v>40</v>
      </c>
      <c r="S1686" t="s">
        <v>41</v>
      </c>
      <c r="T1686" t="s">
        <v>6456</v>
      </c>
      <c r="U1686" t="s">
        <v>6449</v>
      </c>
      <c r="V1686" t="s">
        <v>6450</v>
      </c>
      <c r="W1686" t="s">
        <v>6451</v>
      </c>
      <c r="X1686" t="s">
        <v>46</v>
      </c>
      <c r="AC1686">
        <f>COUNTIF(C:C,QLKV_gui_ket_qua_ra_soat[[#This Row],[Mã điểm bán]])</f>
        <v>1</v>
      </c>
    </row>
    <row r="1687" spans="1:29" x14ac:dyDescent="0.45">
      <c r="A1687" t="s">
        <v>6444</v>
      </c>
      <c r="B1687">
        <v>8</v>
      </c>
      <c r="C1687" t="s">
        <v>6472</v>
      </c>
      <c r="D1687" t="s">
        <v>6473</v>
      </c>
      <c r="E1687" t="s">
        <v>157</v>
      </c>
      <c r="F1687" t="s">
        <v>426</v>
      </c>
      <c r="G1687" t="s">
        <v>177</v>
      </c>
      <c r="H1687" t="s">
        <v>2593</v>
      </c>
      <c r="I1687" t="s">
        <v>6460</v>
      </c>
      <c r="J1687" t="s">
        <v>38</v>
      </c>
      <c r="K1687" t="s">
        <v>38</v>
      </c>
      <c r="L1687" t="s">
        <v>40</v>
      </c>
      <c r="M1687" t="s">
        <v>38</v>
      </c>
      <c r="N1687" t="s">
        <v>38</v>
      </c>
      <c r="O1687" t="s">
        <v>39</v>
      </c>
      <c r="P1687" t="s">
        <v>38</v>
      </c>
      <c r="Q1687" t="s">
        <v>38</v>
      </c>
      <c r="R1687" t="s">
        <v>39</v>
      </c>
      <c r="S1687" t="s">
        <v>41</v>
      </c>
      <c r="T1687" t="s">
        <v>6448</v>
      </c>
      <c r="U1687" t="s">
        <v>6449</v>
      </c>
      <c r="V1687" t="s">
        <v>6450</v>
      </c>
      <c r="W1687" t="s">
        <v>6451</v>
      </c>
      <c r="X1687" t="s">
        <v>46</v>
      </c>
      <c r="AC1687">
        <f>COUNTIF(C:C,QLKV_gui_ket_qua_ra_soat[[#This Row],[Mã điểm bán]])</f>
        <v>1</v>
      </c>
    </row>
    <row r="1688" spans="1:29" x14ac:dyDescent="0.45">
      <c r="A1688" t="s">
        <v>6444</v>
      </c>
      <c r="B1688">
        <v>9</v>
      </c>
      <c r="C1688" t="s">
        <v>6474</v>
      </c>
      <c r="D1688" t="s">
        <v>6475</v>
      </c>
      <c r="E1688" t="s">
        <v>6476</v>
      </c>
      <c r="F1688" t="s">
        <v>5885</v>
      </c>
      <c r="G1688" t="s">
        <v>34</v>
      </c>
      <c r="H1688" t="s">
        <v>356</v>
      </c>
      <c r="I1688" t="s">
        <v>6477</v>
      </c>
      <c r="J1688" t="s">
        <v>37</v>
      </c>
      <c r="K1688" t="s">
        <v>37</v>
      </c>
      <c r="L1688" t="s">
        <v>40</v>
      </c>
      <c r="M1688" t="s">
        <v>37</v>
      </c>
      <c r="N1688" t="s">
        <v>37</v>
      </c>
      <c r="O1688" t="s">
        <v>39</v>
      </c>
      <c r="P1688" t="s">
        <v>37</v>
      </c>
      <c r="Q1688" t="s">
        <v>38</v>
      </c>
      <c r="R1688" t="s">
        <v>40</v>
      </c>
      <c r="S1688" t="s">
        <v>41</v>
      </c>
      <c r="T1688" t="s">
        <v>6456</v>
      </c>
      <c r="U1688" t="s">
        <v>6449</v>
      </c>
      <c r="V1688" t="s">
        <v>6450</v>
      </c>
      <c r="W1688" t="s">
        <v>6451</v>
      </c>
      <c r="Z1688" t="s">
        <v>46</v>
      </c>
      <c r="AA1688" t="s">
        <v>6457</v>
      </c>
      <c r="AC1688">
        <f>COUNTIF(C:C,QLKV_gui_ket_qua_ra_soat[[#This Row],[Mã điểm bán]])</f>
        <v>1</v>
      </c>
    </row>
    <row r="1689" spans="1:29" x14ac:dyDescent="0.45">
      <c r="A1689" t="s">
        <v>6444</v>
      </c>
      <c r="B1689">
        <v>10</v>
      </c>
      <c r="C1689" t="s">
        <v>6478</v>
      </c>
      <c r="D1689" t="s">
        <v>6479</v>
      </c>
      <c r="E1689" t="s">
        <v>6480</v>
      </c>
      <c r="F1689" t="s">
        <v>53</v>
      </c>
      <c r="G1689" t="s">
        <v>34</v>
      </c>
      <c r="H1689" t="s">
        <v>171</v>
      </c>
      <c r="I1689" t="s">
        <v>6477</v>
      </c>
      <c r="J1689" t="s">
        <v>37</v>
      </c>
      <c r="K1689" t="s">
        <v>37</v>
      </c>
      <c r="L1689" t="s">
        <v>40</v>
      </c>
      <c r="M1689" t="s">
        <v>37</v>
      </c>
      <c r="N1689" t="s">
        <v>37</v>
      </c>
      <c r="O1689" t="s">
        <v>40</v>
      </c>
      <c r="P1689" t="s">
        <v>38</v>
      </c>
      <c r="Q1689" t="s">
        <v>38</v>
      </c>
      <c r="R1689" t="s">
        <v>40</v>
      </c>
      <c r="S1689" t="s">
        <v>41</v>
      </c>
      <c r="T1689" t="s">
        <v>6456</v>
      </c>
      <c r="U1689" t="s">
        <v>6449</v>
      </c>
      <c r="V1689" t="s">
        <v>6450</v>
      </c>
      <c r="W1689" t="s">
        <v>6451</v>
      </c>
      <c r="X1689" t="s">
        <v>46</v>
      </c>
      <c r="AC1689">
        <f>COUNTIF(C:C,QLKV_gui_ket_qua_ra_soat[[#This Row],[Mã điểm bán]])</f>
        <v>1</v>
      </c>
    </row>
    <row r="1690" spans="1:29" x14ac:dyDescent="0.45">
      <c r="A1690" t="s">
        <v>6444</v>
      </c>
      <c r="B1690">
        <v>11</v>
      </c>
      <c r="C1690" t="s">
        <v>6481</v>
      </c>
      <c r="D1690" t="s">
        <v>6479</v>
      </c>
      <c r="E1690" t="s">
        <v>32</v>
      </c>
      <c r="F1690" t="s">
        <v>53</v>
      </c>
      <c r="G1690" t="s">
        <v>1458</v>
      </c>
      <c r="H1690" t="s">
        <v>4335</v>
      </c>
      <c r="I1690" t="s">
        <v>6482</v>
      </c>
      <c r="J1690" t="s">
        <v>38</v>
      </c>
      <c r="K1690" t="s">
        <v>38</v>
      </c>
      <c r="L1690" t="s">
        <v>40</v>
      </c>
      <c r="M1690" t="s">
        <v>37</v>
      </c>
      <c r="N1690" t="s">
        <v>37</v>
      </c>
      <c r="O1690" t="s">
        <v>40</v>
      </c>
      <c r="P1690" t="s">
        <v>38</v>
      </c>
      <c r="Q1690" t="s">
        <v>38</v>
      </c>
      <c r="R1690" t="s">
        <v>40</v>
      </c>
      <c r="S1690" t="s">
        <v>41</v>
      </c>
      <c r="T1690" t="s">
        <v>6456</v>
      </c>
      <c r="U1690" t="s">
        <v>6449</v>
      </c>
      <c r="V1690" t="s">
        <v>6450</v>
      </c>
      <c r="W1690" t="s">
        <v>6451</v>
      </c>
      <c r="Z1690" t="s">
        <v>46</v>
      </c>
      <c r="AA1690" t="s">
        <v>6457</v>
      </c>
      <c r="AC1690">
        <f>COUNTIF(C:C,QLKV_gui_ket_qua_ra_soat[[#This Row],[Mã điểm bán]])</f>
        <v>1</v>
      </c>
    </row>
    <row r="1691" spans="1:29" x14ac:dyDescent="0.45">
      <c r="A1691" t="s">
        <v>6444</v>
      </c>
      <c r="B1691">
        <v>12</v>
      </c>
      <c r="C1691" t="s">
        <v>6483</v>
      </c>
      <c r="D1691" t="s">
        <v>6484</v>
      </c>
      <c r="E1691" t="s">
        <v>323</v>
      </c>
      <c r="F1691" t="s">
        <v>2902</v>
      </c>
      <c r="G1691" t="s">
        <v>150</v>
      </c>
      <c r="H1691" t="s">
        <v>402</v>
      </c>
      <c r="I1691" t="s">
        <v>6485</v>
      </c>
      <c r="J1691" t="s">
        <v>37</v>
      </c>
      <c r="K1691" t="s">
        <v>37</v>
      </c>
      <c r="L1691" t="s">
        <v>40</v>
      </c>
      <c r="M1691" t="s">
        <v>37</v>
      </c>
      <c r="N1691" t="s">
        <v>56</v>
      </c>
      <c r="O1691" t="s">
        <v>40</v>
      </c>
      <c r="P1691" t="s">
        <v>37</v>
      </c>
      <c r="Q1691" t="s">
        <v>37</v>
      </c>
      <c r="R1691" t="s">
        <v>40</v>
      </c>
      <c r="S1691" t="s">
        <v>41</v>
      </c>
      <c r="T1691" t="s">
        <v>6456</v>
      </c>
      <c r="U1691" t="s">
        <v>6449</v>
      </c>
      <c r="V1691" t="s">
        <v>6450</v>
      </c>
      <c r="W1691" t="s">
        <v>6451</v>
      </c>
      <c r="Z1691" t="s">
        <v>46</v>
      </c>
      <c r="AA1691" t="s">
        <v>6486</v>
      </c>
      <c r="AB1691" t="s">
        <v>4223</v>
      </c>
      <c r="AC1691">
        <f>COUNTIF(C:C,QLKV_gui_ket_qua_ra_soat[[#This Row],[Mã điểm bán]])</f>
        <v>1</v>
      </c>
    </row>
    <row r="1692" spans="1:29" x14ac:dyDescent="0.45">
      <c r="A1692" t="s">
        <v>6444</v>
      </c>
      <c r="B1692">
        <v>13</v>
      </c>
      <c r="C1692" t="s">
        <v>6487</v>
      </c>
      <c r="D1692" t="s">
        <v>6488</v>
      </c>
      <c r="E1692" t="s">
        <v>219</v>
      </c>
      <c r="F1692" t="s">
        <v>4472</v>
      </c>
      <c r="G1692" t="s">
        <v>34</v>
      </c>
      <c r="H1692" t="s">
        <v>1904</v>
      </c>
      <c r="I1692" t="s">
        <v>6489</v>
      </c>
      <c r="J1692" t="s">
        <v>56</v>
      </c>
      <c r="K1692" t="s">
        <v>38</v>
      </c>
      <c r="L1692" t="s">
        <v>40</v>
      </c>
      <c r="M1692" t="s">
        <v>37</v>
      </c>
      <c r="N1692" t="s">
        <v>37</v>
      </c>
      <c r="O1692" t="s">
        <v>40</v>
      </c>
      <c r="P1692" t="s">
        <v>38</v>
      </c>
      <c r="Q1692" t="s">
        <v>38</v>
      </c>
      <c r="R1692" t="s">
        <v>40</v>
      </c>
      <c r="S1692" t="s">
        <v>41</v>
      </c>
      <c r="T1692" t="s">
        <v>6456</v>
      </c>
      <c r="U1692" t="s">
        <v>6449</v>
      </c>
      <c r="V1692" t="s">
        <v>6450</v>
      </c>
      <c r="W1692" t="s">
        <v>6451</v>
      </c>
      <c r="Z1692" t="s">
        <v>46</v>
      </c>
      <c r="AA1692" t="s">
        <v>6486</v>
      </c>
      <c r="AC1692">
        <f>COUNTIF(C:C,QLKV_gui_ket_qua_ra_soat[[#This Row],[Mã điểm bán]])</f>
        <v>1</v>
      </c>
    </row>
    <row r="1693" spans="1:29" x14ac:dyDescent="0.45">
      <c r="A1693" t="s">
        <v>6444</v>
      </c>
      <c r="B1693">
        <v>14</v>
      </c>
      <c r="C1693" t="s">
        <v>6490</v>
      </c>
      <c r="D1693" t="s">
        <v>6491</v>
      </c>
      <c r="E1693" t="s">
        <v>1610</v>
      </c>
      <c r="F1693" t="s">
        <v>707</v>
      </c>
      <c r="G1693" t="s">
        <v>34</v>
      </c>
      <c r="H1693" t="s">
        <v>1639</v>
      </c>
      <c r="I1693" t="s">
        <v>2834</v>
      </c>
      <c r="J1693" t="s">
        <v>38</v>
      </c>
      <c r="K1693" t="s">
        <v>38</v>
      </c>
      <c r="L1693" t="s">
        <v>40</v>
      </c>
      <c r="M1693" t="s">
        <v>37</v>
      </c>
      <c r="N1693" t="s">
        <v>37</v>
      </c>
      <c r="O1693" t="s">
        <v>40</v>
      </c>
      <c r="P1693" t="s">
        <v>38</v>
      </c>
      <c r="Q1693" t="s">
        <v>38</v>
      </c>
      <c r="R1693" t="s">
        <v>40</v>
      </c>
      <c r="S1693" t="s">
        <v>41</v>
      </c>
      <c r="T1693" t="s">
        <v>6456</v>
      </c>
      <c r="U1693" t="s">
        <v>6449</v>
      </c>
      <c r="V1693" t="s">
        <v>6450</v>
      </c>
      <c r="W1693" t="s">
        <v>6451</v>
      </c>
      <c r="Z1693" t="s">
        <v>46</v>
      </c>
      <c r="AA1693" t="s">
        <v>6457</v>
      </c>
      <c r="AC1693">
        <f>COUNTIF(C:C,QLKV_gui_ket_qua_ra_soat[[#This Row],[Mã điểm bán]])</f>
        <v>1</v>
      </c>
    </row>
    <row r="1694" spans="1:29" x14ac:dyDescent="0.45">
      <c r="A1694" t="s">
        <v>6444</v>
      </c>
      <c r="B1694">
        <v>15</v>
      </c>
      <c r="C1694" t="s">
        <v>6492</v>
      </c>
      <c r="D1694" t="s">
        <v>6493</v>
      </c>
      <c r="E1694" t="s">
        <v>219</v>
      </c>
      <c r="F1694" t="s">
        <v>426</v>
      </c>
      <c r="G1694" t="s">
        <v>34</v>
      </c>
      <c r="H1694" t="s">
        <v>546</v>
      </c>
      <c r="I1694" t="s">
        <v>6460</v>
      </c>
      <c r="J1694" t="s">
        <v>38</v>
      </c>
      <c r="K1694" t="s">
        <v>38</v>
      </c>
      <c r="L1694" t="s">
        <v>40</v>
      </c>
      <c r="M1694" t="s">
        <v>38</v>
      </c>
      <c r="N1694" t="s">
        <v>38</v>
      </c>
      <c r="O1694" t="s">
        <v>39</v>
      </c>
      <c r="P1694" t="s">
        <v>38</v>
      </c>
      <c r="Q1694" t="s">
        <v>38</v>
      </c>
      <c r="R1694" t="s">
        <v>39</v>
      </c>
      <c r="S1694" t="s">
        <v>41</v>
      </c>
      <c r="T1694" t="s">
        <v>6448</v>
      </c>
      <c r="U1694" t="s">
        <v>6449</v>
      </c>
      <c r="V1694" t="s">
        <v>6450</v>
      </c>
      <c r="W1694" t="s">
        <v>6451</v>
      </c>
      <c r="X1694" t="s">
        <v>46</v>
      </c>
      <c r="AB1694" t="s">
        <v>3109</v>
      </c>
      <c r="AC1694">
        <f>COUNTIF(C:C,QLKV_gui_ket_qua_ra_soat[[#This Row],[Mã điểm bán]])</f>
        <v>1</v>
      </c>
    </row>
    <row r="1695" spans="1:29" x14ac:dyDescent="0.45">
      <c r="A1695" t="s">
        <v>6444</v>
      </c>
      <c r="B1695">
        <v>16</v>
      </c>
      <c r="C1695" t="s">
        <v>6494</v>
      </c>
      <c r="D1695" t="s">
        <v>6495</v>
      </c>
      <c r="E1695" t="s">
        <v>307</v>
      </c>
      <c r="F1695" t="s">
        <v>5233</v>
      </c>
      <c r="G1695" t="s">
        <v>34</v>
      </c>
      <c r="H1695" t="s">
        <v>1164</v>
      </c>
      <c r="I1695" t="s">
        <v>6496</v>
      </c>
      <c r="J1695" t="s">
        <v>38</v>
      </c>
      <c r="K1695" t="s">
        <v>38</v>
      </c>
      <c r="L1695" t="s">
        <v>40</v>
      </c>
      <c r="M1695" t="s">
        <v>38</v>
      </c>
      <c r="N1695" t="s">
        <v>38</v>
      </c>
      <c r="O1695" t="s">
        <v>40</v>
      </c>
      <c r="P1695" t="s">
        <v>38</v>
      </c>
      <c r="Q1695" t="s">
        <v>38</v>
      </c>
      <c r="R1695" t="s">
        <v>39</v>
      </c>
      <c r="S1695" t="s">
        <v>41</v>
      </c>
      <c r="T1695" t="s">
        <v>6448</v>
      </c>
      <c r="U1695" t="s">
        <v>6449</v>
      </c>
      <c r="V1695" t="s">
        <v>6450</v>
      </c>
      <c r="W1695" t="s">
        <v>6451</v>
      </c>
      <c r="Z1695" t="s">
        <v>46</v>
      </c>
      <c r="AA1695" t="s">
        <v>6486</v>
      </c>
      <c r="AB1695" t="s">
        <v>4223</v>
      </c>
      <c r="AC1695">
        <f>COUNTIF(C:C,QLKV_gui_ket_qua_ra_soat[[#This Row],[Mã điểm bán]])</f>
        <v>1</v>
      </c>
    </row>
    <row r="1696" spans="1:29" x14ac:dyDescent="0.45">
      <c r="A1696" t="s">
        <v>6444</v>
      </c>
      <c r="B1696">
        <v>17</v>
      </c>
      <c r="C1696" t="s">
        <v>6497</v>
      </c>
      <c r="D1696" t="s">
        <v>6498</v>
      </c>
      <c r="E1696" t="s">
        <v>97</v>
      </c>
      <c r="F1696" t="s">
        <v>53</v>
      </c>
      <c r="G1696" t="s">
        <v>34</v>
      </c>
      <c r="H1696" t="s">
        <v>4182</v>
      </c>
      <c r="I1696" t="s">
        <v>6499</v>
      </c>
      <c r="J1696" t="s">
        <v>37</v>
      </c>
      <c r="K1696" t="s">
        <v>38</v>
      </c>
      <c r="L1696" t="s">
        <v>40</v>
      </c>
      <c r="M1696" t="s">
        <v>37</v>
      </c>
      <c r="N1696" t="s">
        <v>37</v>
      </c>
      <c r="O1696" t="s">
        <v>40</v>
      </c>
      <c r="P1696" t="s">
        <v>38</v>
      </c>
      <c r="Q1696" t="s">
        <v>38</v>
      </c>
      <c r="R1696" t="s">
        <v>40</v>
      </c>
      <c r="S1696" t="s">
        <v>41</v>
      </c>
      <c r="T1696" t="s">
        <v>6456</v>
      </c>
      <c r="U1696" t="s">
        <v>6449</v>
      </c>
      <c r="V1696" t="s">
        <v>6450</v>
      </c>
      <c r="W1696" t="s">
        <v>6451</v>
      </c>
      <c r="Z1696" t="s">
        <v>46</v>
      </c>
      <c r="AA1696" t="s">
        <v>6457</v>
      </c>
      <c r="AB1696" t="s">
        <v>3109</v>
      </c>
      <c r="AC1696">
        <f>COUNTIF(C:C,QLKV_gui_ket_qua_ra_soat[[#This Row],[Mã điểm bán]])</f>
        <v>1</v>
      </c>
    </row>
    <row r="1697" spans="1:29" x14ac:dyDescent="0.45">
      <c r="A1697" t="s">
        <v>6444</v>
      </c>
      <c r="B1697">
        <v>18</v>
      </c>
      <c r="C1697" t="s">
        <v>6500</v>
      </c>
      <c r="D1697" t="s">
        <v>6501</v>
      </c>
      <c r="E1697" t="s">
        <v>1155</v>
      </c>
      <c r="F1697" t="s">
        <v>6502</v>
      </c>
      <c r="G1697" t="s">
        <v>34</v>
      </c>
      <c r="H1697" t="s">
        <v>171</v>
      </c>
      <c r="I1697" t="s">
        <v>346</v>
      </c>
      <c r="J1697" t="s">
        <v>38</v>
      </c>
      <c r="K1697" t="s">
        <v>38</v>
      </c>
      <c r="L1697" t="s">
        <v>40</v>
      </c>
      <c r="M1697" t="s">
        <v>38</v>
      </c>
      <c r="N1697" t="s">
        <v>38</v>
      </c>
      <c r="O1697" t="s">
        <v>39</v>
      </c>
      <c r="P1697" t="s">
        <v>38</v>
      </c>
      <c r="Q1697" t="s">
        <v>38</v>
      </c>
      <c r="R1697" t="s">
        <v>39</v>
      </c>
      <c r="S1697" t="s">
        <v>41</v>
      </c>
      <c r="T1697" t="s">
        <v>6448</v>
      </c>
      <c r="U1697" t="s">
        <v>6449</v>
      </c>
      <c r="V1697" t="s">
        <v>6450</v>
      </c>
      <c r="W1697" t="s">
        <v>6451</v>
      </c>
      <c r="X1697" t="s">
        <v>46</v>
      </c>
      <c r="AC1697">
        <f>COUNTIF(C:C,QLKV_gui_ket_qua_ra_soat[[#This Row],[Mã điểm bán]])</f>
        <v>1</v>
      </c>
    </row>
    <row r="1698" spans="1:29" x14ac:dyDescent="0.45">
      <c r="A1698" t="s">
        <v>6444</v>
      </c>
      <c r="B1698">
        <v>19</v>
      </c>
      <c r="C1698" t="s">
        <v>6503</v>
      </c>
      <c r="D1698" t="s">
        <v>3537</v>
      </c>
      <c r="E1698" t="s">
        <v>455</v>
      </c>
      <c r="F1698" t="s">
        <v>53</v>
      </c>
      <c r="G1698" t="s">
        <v>34</v>
      </c>
      <c r="H1698" t="s">
        <v>54</v>
      </c>
      <c r="I1698" t="s">
        <v>2475</v>
      </c>
      <c r="J1698" t="s">
        <v>38</v>
      </c>
      <c r="K1698" t="s">
        <v>38</v>
      </c>
      <c r="L1698" t="s">
        <v>40</v>
      </c>
      <c r="M1698" t="s">
        <v>56</v>
      </c>
      <c r="N1698" t="s">
        <v>37</v>
      </c>
      <c r="O1698" t="s">
        <v>39</v>
      </c>
      <c r="P1698" t="s">
        <v>38</v>
      </c>
      <c r="Q1698" t="s">
        <v>38</v>
      </c>
      <c r="R1698" t="s">
        <v>40</v>
      </c>
      <c r="S1698" t="s">
        <v>41</v>
      </c>
      <c r="T1698" t="s">
        <v>6504</v>
      </c>
      <c r="U1698" t="s">
        <v>6469</v>
      </c>
      <c r="V1698" t="s">
        <v>6450</v>
      </c>
      <c r="W1698" t="s">
        <v>6451</v>
      </c>
      <c r="X1698" t="s">
        <v>46</v>
      </c>
      <c r="AB1698" t="s">
        <v>2999</v>
      </c>
      <c r="AC1698">
        <f>COUNTIF(C:C,QLKV_gui_ket_qua_ra_soat[[#This Row],[Mã điểm bán]])</f>
        <v>1</v>
      </c>
    </row>
    <row r="1699" spans="1:29" x14ac:dyDescent="0.45">
      <c r="A1699" t="s">
        <v>6444</v>
      </c>
      <c r="B1699">
        <v>20</v>
      </c>
      <c r="C1699" t="s">
        <v>6505</v>
      </c>
      <c r="D1699" t="s">
        <v>6506</v>
      </c>
      <c r="E1699" t="s">
        <v>657</v>
      </c>
      <c r="F1699" t="s">
        <v>4431</v>
      </c>
      <c r="G1699" t="s">
        <v>34</v>
      </c>
      <c r="H1699" t="s">
        <v>546</v>
      </c>
      <c r="I1699" t="s">
        <v>6496</v>
      </c>
      <c r="J1699" t="s">
        <v>38</v>
      </c>
      <c r="K1699" t="s">
        <v>38</v>
      </c>
      <c r="L1699" t="s">
        <v>40</v>
      </c>
      <c r="M1699" t="s">
        <v>38</v>
      </c>
      <c r="N1699" t="s">
        <v>38</v>
      </c>
      <c r="O1699" t="s">
        <v>39</v>
      </c>
      <c r="P1699" t="s">
        <v>38</v>
      </c>
      <c r="Q1699" t="s">
        <v>38</v>
      </c>
      <c r="R1699" t="s">
        <v>39</v>
      </c>
      <c r="S1699" t="s">
        <v>41</v>
      </c>
      <c r="T1699" t="s">
        <v>6448</v>
      </c>
      <c r="U1699" t="s">
        <v>6449</v>
      </c>
      <c r="V1699" t="s">
        <v>6450</v>
      </c>
      <c r="W1699" t="s">
        <v>6451</v>
      </c>
      <c r="Z1699" t="s">
        <v>46</v>
      </c>
      <c r="AA1699" t="s">
        <v>6486</v>
      </c>
      <c r="AB1699" t="s">
        <v>3109</v>
      </c>
      <c r="AC1699">
        <f>COUNTIF(C:C,QLKV_gui_ket_qua_ra_soat[[#This Row],[Mã điểm bán]])</f>
        <v>1</v>
      </c>
    </row>
    <row r="1700" spans="1:29" x14ac:dyDescent="0.45">
      <c r="A1700" t="s">
        <v>6444</v>
      </c>
      <c r="B1700">
        <v>21</v>
      </c>
      <c r="C1700" t="s">
        <v>6507</v>
      </c>
      <c r="D1700" t="s">
        <v>6508</v>
      </c>
      <c r="E1700" t="s">
        <v>91</v>
      </c>
      <c r="F1700" t="s">
        <v>2784</v>
      </c>
      <c r="G1700" t="s">
        <v>34</v>
      </c>
      <c r="H1700" t="s">
        <v>214</v>
      </c>
      <c r="I1700" t="s">
        <v>6509</v>
      </c>
      <c r="J1700" t="s">
        <v>37</v>
      </c>
      <c r="K1700" t="s">
        <v>38</v>
      </c>
      <c r="L1700" t="s">
        <v>40</v>
      </c>
      <c r="M1700" t="s">
        <v>37</v>
      </c>
      <c r="N1700" t="s">
        <v>37</v>
      </c>
      <c r="O1700" t="s">
        <v>40</v>
      </c>
      <c r="P1700" t="s">
        <v>38</v>
      </c>
      <c r="Q1700" t="s">
        <v>38</v>
      </c>
      <c r="R1700" t="s">
        <v>40</v>
      </c>
      <c r="S1700" t="s">
        <v>41</v>
      </c>
      <c r="T1700" t="s">
        <v>6456</v>
      </c>
      <c r="U1700" t="s">
        <v>6449</v>
      </c>
      <c r="V1700" t="s">
        <v>6450</v>
      </c>
      <c r="W1700" t="s">
        <v>6451</v>
      </c>
      <c r="Z1700" t="s">
        <v>46</v>
      </c>
      <c r="AA1700" t="s">
        <v>6457</v>
      </c>
      <c r="AC1700">
        <f>COUNTIF(C:C,QLKV_gui_ket_qua_ra_soat[[#This Row],[Mã điểm bán]])</f>
        <v>1</v>
      </c>
    </row>
    <row r="1701" spans="1:29" x14ac:dyDescent="0.45">
      <c r="A1701" t="s">
        <v>6444</v>
      </c>
      <c r="B1701">
        <v>22</v>
      </c>
      <c r="C1701" t="s">
        <v>6510</v>
      </c>
      <c r="D1701" t="s">
        <v>6511</v>
      </c>
      <c r="E1701" t="s">
        <v>219</v>
      </c>
      <c r="F1701" t="s">
        <v>426</v>
      </c>
      <c r="G1701" t="s">
        <v>34</v>
      </c>
      <c r="H1701" t="s">
        <v>546</v>
      </c>
      <c r="I1701" t="s">
        <v>6460</v>
      </c>
      <c r="J1701" t="s">
        <v>38</v>
      </c>
      <c r="K1701" t="s">
        <v>38</v>
      </c>
      <c r="L1701" t="s">
        <v>40</v>
      </c>
      <c r="M1701" t="s">
        <v>38</v>
      </c>
      <c r="N1701" t="s">
        <v>38</v>
      </c>
      <c r="O1701" t="s">
        <v>39</v>
      </c>
      <c r="P1701" t="s">
        <v>38</v>
      </c>
      <c r="Q1701" t="s">
        <v>38</v>
      </c>
      <c r="R1701" t="s">
        <v>39</v>
      </c>
      <c r="S1701" t="s">
        <v>41</v>
      </c>
      <c r="T1701" t="s">
        <v>6448</v>
      </c>
      <c r="U1701" t="s">
        <v>6449</v>
      </c>
      <c r="V1701" t="s">
        <v>6450</v>
      </c>
      <c r="W1701" t="s">
        <v>6451</v>
      </c>
      <c r="X1701" t="s">
        <v>46</v>
      </c>
      <c r="AB1701" t="s">
        <v>3109</v>
      </c>
      <c r="AC1701">
        <f>COUNTIF(C:C,QLKV_gui_ket_qua_ra_soat[[#This Row],[Mã điểm bán]])</f>
        <v>1</v>
      </c>
    </row>
    <row r="1702" spans="1:29" x14ac:dyDescent="0.45">
      <c r="A1702" t="s">
        <v>6444</v>
      </c>
      <c r="B1702">
        <v>23</v>
      </c>
      <c r="C1702" t="s">
        <v>6512</v>
      </c>
      <c r="D1702" t="s">
        <v>6513</v>
      </c>
      <c r="E1702" t="s">
        <v>212</v>
      </c>
      <c r="F1702" t="s">
        <v>5976</v>
      </c>
      <c r="G1702" t="s">
        <v>34</v>
      </c>
      <c r="H1702" t="s">
        <v>3620</v>
      </c>
      <c r="I1702" t="s">
        <v>6496</v>
      </c>
      <c r="J1702" t="s">
        <v>38</v>
      </c>
      <c r="K1702" t="s">
        <v>38</v>
      </c>
      <c r="L1702" t="s">
        <v>40</v>
      </c>
      <c r="M1702" t="s">
        <v>38</v>
      </c>
      <c r="N1702" t="s">
        <v>38</v>
      </c>
      <c r="O1702" t="s">
        <v>39</v>
      </c>
      <c r="P1702" t="s">
        <v>38</v>
      </c>
      <c r="Q1702" t="s">
        <v>38</v>
      </c>
      <c r="R1702" t="s">
        <v>39</v>
      </c>
      <c r="S1702" t="s">
        <v>41</v>
      </c>
      <c r="T1702" t="s">
        <v>6448</v>
      </c>
      <c r="U1702" t="s">
        <v>6449</v>
      </c>
      <c r="V1702" t="s">
        <v>6450</v>
      </c>
      <c r="W1702" t="s">
        <v>6451</v>
      </c>
      <c r="Z1702" t="s">
        <v>46</v>
      </c>
      <c r="AA1702" t="s">
        <v>6486</v>
      </c>
      <c r="AB1702" t="s">
        <v>4223</v>
      </c>
      <c r="AC1702">
        <f>COUNTIF(C:C,QLKV_gui_ket_qua_ra_soat[[#This Row],[Mã điểm bán]])</f>
        <v>1</v>
      </c>
    </row>
    <row r="1703" spans="1:29" x14ac:dyDescent="0.45">
      <c r="A1703" t="s">
        <v>6444</v>
      </c>
      <c r="B1703">
        <v>24</v>
      </c>
      <c r="C1703" t="s">
        <v>6514</v>
      </c>
      <c r="D1703" t="s">
        <v>6515</v>
      </c>
      <c r="E1703" t="s">
        <v>6516</v>
      </c>
      <c r="F1703" t="s">
        <v>53</v>
      </c>
      <c r="G1703" t="s">
        <v>34</v>
      </c>
      <c r="H1703" t="s">
        <v>697</v>
      </c>
      <c r="I1703" t="s">
        <v>2475</v>
      </c>
      <c r="J1703" t="s">
        <v>38</v>
      </c>
      <c r="K1703" t="s">
        <v>38</v>
      </c>
      <c r="L1703" t="s">
        <v>40</v>
      </c>
      <c r="M1703" t="s">
        <v>38</v>
      </c>
      <c r="N1703" t="s">
        <v>38</v>
      </c>
      <c r="O1703" t="s">
        <v>40</v>
      </c>
      <c r="P1703" t="s">
        <v>38</v>
      </c>
      <c r="Q1703" t="s">
        <v>38</v>
      </c>
      <c r="R1703" t="s">
        <v>40</v>
      </c>
      <c r="S1703" t="s">
        <v>41</v>
      </c>
      <c r="T1703" t="s">
        <v>6504</v>
      </c>
      <c r="U1703" t="s">
        <v>6469</v>
      </c>
      <c r="V1703" t="s">
        <v>6450</v>
      </c>
      <c r="W1703" t="s">
        <v>6451</v>
      </c>
      <c r="X1703" t="s">
        <v>46</v>
      </c>
      <c r="AB1703" t="s">
        <v>5658</v>
      </c>
      <c r="AC1703">
        <f>COUNTIF(C:C,QLKV_gui_ket_qua_ra_soat[[#This Row],[Mã điểm bán]])</f>
        <v>1</v>
      </c>
    </row>
    <row r="1704" spans="1:29" x14ac:dyDescent="0.45">
      <c r="A1704" t="s">
        <v>6444</v>
      </c>
      <c r="B1704">
        <v>25</v>
      </c>
      <c r="C1704" t="s">
        <v>6517</v>
      </c>
      <c r="D1704" t="s">
        <v>4035</v>
      </c>
      <c r="E1704" t="s">
        <v>657</v>
      </c>
      <c r="F1704" t="s">
        <v>5233</v>
      </c>
      <c r="G1704" t="s">
        <v>34</v>
      </c>
      <c r="H1704" t="s">
        <v>1942</v>
      </c>
      <c r="I1704" t="s">
        <v>6518</v>
      </c>
      <c r="J1704" t="s">
        <v>37</v>
      </c>
      <c r="K1704" t="s">
        <v>37</v>
      </c>
      <c r="L1704" t="s">
        <v>40</v>
      </c>
      <c r="M1704" t="s">
        <v>37</v>
      </c>
      <c r="N1704" t="s">
        <v>37</v>
      </c>
      <c r="O1704" t="s">
        <v>39</v>
      </c>
      <c r="P1704" t="s">
        <v>38</v>
      </c>
      <c r="Q1704" t="s">
        <v>38</v>
      </c>
      <c r="R1704" t="s">
        <v>40</v>
      </c>
      <c r="S1704" t="s">
        <v>41</v>
      </c>
      <c r="T1704" t="s">
        <v>6456</v>
      </c>
      <c r="U1704" t="s">
        <v>6449</v>
      </c>
      <c r="V1704" t="s">
        <v>6450</v>
      </c>
      <c r="W1704" t="s">
        <v>6451</v>
      </c>
      <c r="Z1704" t="s">
        <v>46</v>
      </c>
      <c r="AA1704" t="s">
        <v>6486</v>
      </c>
      <c r="AB1704" t="s">
        <v>2999</v>
      </c>
      <c r="AC1704">
        <f>COUNTIF(C:C,QLKV_gui_ket_qua_ra_soat[[#This Row],[Mã điểm bán]])</f>
        <v>1</v>
      </c>
    </row>
    <row r="1705" spans="1:29" x14ac:dyDescent="0.45">
      <c r="A1705" t="s">
        <v>6444</v>
      </c>
      <c r="B1705">
        <v>26</v>
      </c>
      <c r="C1705" t="s">
        <v>6519</v>
      </c>
      <c r="D1705" t="s">
        <v>6520</v>
      </c>
      <c r="E1705" t="s">
        <v>1775</v>
      </c>
      <c r="F1705" t="s">
        <v>4688</v>
      </c>
      <c r="G1705" t="s">
        <v>34</v>
      </c>
      <c r="H1705" t="s">
        <v>171</v>
      </c>
      <c r="I1705" t="s">
        <v>6521</v>
      </c>
      <c r="J1705" t="s">
        <v>38</v>
      </c>
      <c r="K1705" t="s">
        <v>38</v>
      </c>
      <c r="L1705" t="s">
        <v>40</v>
      </c>
      <c r="M1705" t="s">
        <v>38</v>
      </c>
      <c r="N1705" t="s">
        <v>38</v>
      </c>
      <c r="O1705" t="s">
        <v>40</v>
      </c>
      <c r="P1705" t="s">
        <v>38</v>
      </c>
      <c r="Q1705" t="s">
        <v>38</v>
      </c>
      <c r="R1705" t="s">
        <v>40</v>
      </c>
      <c r="S1705" t="s">
        <v>41</v>
      </c>
      <c r="T1705" t="s">
        <v>6504</v>
      </c>
      <c r="U1705" t="s">
        <v>6469</v>
      </c>
      <c r="V1705" t="s">
        <v>6450</v>
      </c>
      <c r="W1705" t="s">
        <v>6451</v>
      </c>
      <c r="Z1705" t="s">
        <v>46</v>
      </c>
      <c r="AA1705" t="s">
        <v>6457</v>
      </c>
      <c r="AB1705" t="s">
        <v>3109</v>
      </c>
      <c r="AC1705">
        <f>COUNTIF(C:C,QLKV_gui_ket_qua_ra_soat[[#This Row],[Mã điểm bán]])</f>
        <v>1</v>
      </c>
    </row>
    <row r="1706" spans="1:29" x14ac:dyDescent="0.45">
      <c r="A1706" t="s">
        <v>6444</v>
      </c>
      <c r="B1706">
        <v>27</v>
      </c>
      <c r="C1706" t="s">
        <v>6522</v>
      </c>
      <c r="D1706" t="s">
        <v>6523</v>
      </c>
      <c r="E1706" t="s">
        <v>6524</v>
      </c>
      <c r="F1706" t="s">
        <v>325</v>
      </c>
      <c r="G1706" t="s">
        <v>177</v>
      </c>
      <c r="H1706" t="s">
        <v>54</v>
      </c>
      <c r="I1706" t="s">
        <v>5162</v>
      </c>
      <c r="J1706" t="s">
        <v>38</v>
      </c>
      <c r="K1706" t="s">
        <v>38</v>
      </c>
      <c r="L1706" t="s">
        <v>39</v>
      </c>
      <c r="M1706" t="s">
        <v>38</v>
      </c>
      <c r="N1706" t="s">
        <v>38</v>
      </c>
      <c r="O1706" t="s">
        <v>39</v>
      </c>
      <c r="P1706" t="s">
        <v>38</v>
      </c>
      <c r="Q1706" t="s">
        <v>38</v>
      </c>
      <c r="R1706" t="s">
        <v>40</v>
      </c>
      <c r="S1706" t="s">
        <v>4751</v>
      </c>
      <c r="T1706" t="s">
        <v>6468</v>
      </c>
      <c r="U1706" t="s">
        <v>6469</v>
      </c>
      <c r="V1706" t="s">
        <v>6450</v>
      </c>
      <c r="W1706" t="s">
        <v>6451</v>
      </c>
      <c r="Z1706" t="s">
        <v>46</v>
      </c>
      <c r="AA1706" t="s">
        <v>6486</v>
      </c>
      <c r="AC1706">
        <f>COUNTIF(C:C,QLKV_gui_ket_qua_ra_soat[[#This Row],[Mã điểm bán]])</f>
        <v>1</v>
      </c>
    </row>
    <row r="1707" spans="1:29" x14ac:dyDescent="0.45">
      <c r="A1707" t="s">
        <v>6444</v>
      </c>
      <c r="B1707">
        <v>28</v>
      </c>
      <c r="C1707" t="s">
        <v>6525</v>
      </c>
      <c r="D1707" t="s">
        <v>6526</v>
      </c>
      <c r="E1707" t="s">
        <v>162</v>
      </c>
      <c r="F1707" t="s">
        <v>115</v>
      </c>
      <c r="G1707" t="s">
        <v>177</v>
      </c>
      <c r="H1707" t="s">
        <v>54</v>
      </c>
      <c r="I1707" t="s">
        <v>5162</v>
      </c>
      <c r="J1707" t="s">
        <v>38</v>
      </c>
      <c r="K1707" t="s">
        <v>38</v>
      </c>
      <c r="L1707" t="s">
        <v>39</v>
      </c>
      <c r="M1707" t="s">
        <v>38</v>
      </c>
      <c r="N1707" t="s">
        <v>38</v>
      </c>
      <c r="O1707" t="s">
        <v>39</v>
      </c>
      <c r="P1707" t="s">
        <v>38</v>
      </c>
      <c r="Q1707" t="s">
        <v>38</v>
      </c>
      <c r="R1707" t="s">
        <v>40</v>
      </c>
      <c r="S1707" t="s">
        <v>6527</v>
      </c>
      <c r="T1707" t="s">
        <v>6468</v>
      </c>
      <c r="U1707" t="s">
        <v>6469</v>
      </c>
      <c r="V1707" t="s">
        <v>6450</v>
      </c>
      <c r="W1707" t="s">
        <v>6451</v>
      </c>
      <c r="Z1707" t="s">
        <v>46</v>
      </c>
      <c r="AA1707" t="s">
        <v>6486</v>
      </c>
      <c r="AB1707" t="s">
        <v>3109</v>
      </c>
      <c r="AC1707">
        <f>COUNTIF(C:C,QLKV_gui_ket_qua_ra_soat[[#This Row],[Mã điểm bán]])</f>
        <v>1</v>
      </c>
    </row>
    <row r="1708" spans="1:29" x14ac:dyDescent="0.45">
      <c r="A1708" t="s">
        <v>6444</v>
      </c>
      <c r="B1708">
        <v>29</v>
      </c>
      <c r="C1708" t="s">
        <v>6528</v>
      </c>
      <c r="D1708" t="s">
        <v>6529</v>
      </c>
      <c r="E1708" t="s">
        <v>6530</v>
      </c>
      <c r="F1708" t="s">
        <v>2425</v>
      </c>
      <c r="G1708" t="s">
        <v>34</v>
      </c>
      <c r="H1708" t="s">
        <v>54</v>
      </c>
      <c r="I1708" t="s">
        <v>6531</v>
      </c>
      <c r="J1708" t="s">
        <v>38</v>
      </c>
      <c r="K1708" t="s">
        <v>38</v>
      </c>
      <c r="L1708" t="s">
        <v>39</v>
      </c>
      <c r="M1708" t="s">
        <v>38</v>
      </c>
      <c r="N1708" t="s">
        <v>38</v>
      </c>
      <c r="O1708" t="s">
        <v>39</v>
      </c>
      <c r="P1708" t="s">
        <v>38</v>
      </c>
      <c r="Q1708" t="s">
        <v>38</v>
      </c>
      <c r="R1708" t="s">
        <v>40</v>
      </c>
      <c r="S1708" t="s">
        <v>41</v>
      </c>
      <c r="T1708" t="s">
        <v>6468</v>
      </c>
      <c r="U1708" t="s">
        <v>6469</v>
      </c>
      <c r="V1708" t="s">
        <v>6450</v>
      </c>
      <c r="W1708" t="s">
        <v>6451</v>
      </c>
      <c r="Z1708" t="s">
        <v>46</v>
      </c>
      <c r="AA1708" t="s">
        <v>6486</v>
      </c>
      <c r="AC1708">
        <f>COUNTIF(C:C,QLKV_gui_ket_qua_ra_soat[[#This Row],[Mã điểm bán]])</f>
        <v>1</v>
      </c>
    </row>
    <row r="1709" spans="1:29" x14ac:dyDescent="0.45">
      <c r="A1709" t="s">
        <v>6444</v>
      </c>
      <c r="B1709">
        <v>30</v>
      </c>
      <c r="C1709" t="s">
        <v>6532</v>
      </c>
      <c r="D1709" t="s">
        <v>6533</v>
      </c>
      <c r="E1709" t="s">
        <v>127</v>
      </c>
      <c r="F1709" t="s">
        <v>53</v>
      </c>
      <c r="G1709" t="s">
        <v>34</v>
      </c>
      <c r="H1709" t="s">
        <v>54</v>
      </c>
      <c r="J1709" t="s">
        <v>38</v>
      </c>
      <c r="K1709" t="s">
        <v>38</v>
      </c>
      <c r="L1709" t="s">
        <v>39</v>
      </c>
      <c r="M1709" t="s">
        <v>38</v>
      </c>
      <c r="N1709" t="s">
        <v>38</v>
      </c>
      <c r="O1709" t="s">
        <v>39</v>
      </c>
      <c r="P1709" t="s">
        <v>38</v>
      </c>
      <c r="Q1709" t="s">
        <v>38</v>
      </c>
      <c r="R1709" t="s">
        <v>40</v>
      </c>
      <c r="S1709" t="s">
        <v>41</v>
      </c>
      <c r="T1709" t="s">
        <v>6468</v>
      </c>
      <c r="U1709" t="s">
        <v>6469</v>
      </c>
      <c r="V1709" t="s">
        <v>6450</v>
      </c>
      <c r="W1709" t="s">
        <v>6451</v>
      </c>
      <c r="X1709" t="s">
        <v>46</v>
      </c>
      <c r="AB1709" t="s">
        <v>4223</v>
      </c>
      <c r="AC1709">
        <f>COUNTIF(C:C,QLKV_gui_ket_qua_ra_soat[[#This Row],[Mã điểm bán]])</f>
        <v>1</v>
      </c>
    </row>
    <row r="1710" spans="1:29" x14ac:dyDescent="0.45">
      <c r="A1710" t="s">
        <v>6444</v>
      </c>
      <c r="B1710">
        <v>31</v>
      </c>
      <c r="C1710" t="s">
        <v>6534</v>
      </c>
      <c r="D1710" t="s">
        <v>6535</v>
      </c>
      <c r="E1710" t="s">
        <v>261</v>
      </c>
      <c r="F1710" t="s">
        <v>76</v>
      </c>
      <c r="G1710" t="s">
        <v>34</v>
      </c>
      <c r="H1710" t="s">
        <v>54</v>
      </c>
      <c r="I1710" t="s">
        <v>6536</v>
      </c>
      <c r="J1710" t="s">
        <v>38</v>
      </c>
      <c r="K1710" t="s">
        <v>38</v>
      </c>
      <c r="L1710" t="s">
        <v>40</v>
      </c>
      <c r="M1710" t="s">
        <v>38</v>
      </c>
      <c r="N1710" t="s">
        <v>38</v>
      </c>
      <c r="O1710" t="s">
        <v>40</v>
      </c>
      <c r="P1710" t="s">
        <v>38</v>
      </c>
      <c r="Q1710" t="s">
        <v>38</v>
      </c>
      <c r="R1710" t="s">
        <v>40</v>
      </c>
      <c r="S1710" t="s">
        <v>41</v>
      </c>
      <c r="T1710" t="s">
        <v>6504</v>
      </c>
      <c r="U1710" t="s">
        <v>6469</v>
      </c>
      <c r="V1710" t="s">
        <v>6450</v>
      </c>
      <c r="W1710" t="s">
        <v>6451</v>
      </c>
      <c r="X1710" t="s">
        <v>46</v>
      </c>
      <c r="AC1710">
        <f>COUNTIF(C:C,QLKV_gui_ket_qua_ra_soat[[#This Row],[Mã điểm bán]])</f>
        <v>1</v>
      </c>
    </row>
    <row r="1711" spans="1:29" x14ac:dyDescent="0.45">
      <c r="A1711" t="s">
        <v>6444</v>
      </c>
      <c r="B1711">
        <v>32</v>
      </c>
      <c r="C1711" t="s">
        <v>6537</v>
      </c>
      <c r="D1711" t="s">
        <v>4069</v>
      </c>
      <c r="E1711" t="s">
        <v>6538</v>
      </c>
      <c r="F1711" t="s">
        <v>325</v>
      </c>
      <c r="G1711" t="s">
        <v>34</v>
      </c>
      <c r="H1711" t="s">
        <v>54</v>
      </c>
      <c r="I1711" t="s">
        <v>2460</v>
      </c>
      <c r="J1711" t="s">
        <v>38</v>
      </c>
      <c r="K1711" t="s">
        <v>38</v>
      </c>
      <c r="L1711" t="s">
        <v>39</v>
      </c>
      <c r="M1711" t="s">
        <v>38</v>
      </c>
      <c r="N1711" t="s">
        <v>38</v>
      </c>
      <c r="O1711" t="s">
        <v>39</v>
      </c>
      <c r="P1711" t="s">
        <v>38</v>
      </c>
      <c r="Q1711" t="s">
        <v>38</v>
      </c>
      <c r="R1711" t="s">
        <v>40</v>
      </c>
      <c r="S1711" t="s">
        <v>41</v>
      </c>
      <c r="T1711" t="s">
        <v>6468</v>
      </c>
      <c r="U1711" t="s">
        <v>6469</v>
      </c>
      <c r="V1711" t="s">
        <v>6450</v>
      </c>
      <c r="W1711" t="s">
        <v>6451</v>
      </c>
      <c r="Z1711" t="s">
        <v>46</v>
      </c>
      <c r="AA1711" t="s">
        <v>6486</v>
      </c>
      <c r="AB1711" t="s">
        <v>3012</v>
      </c>
      <c r="AC1711">
        <f>COUNTIF(C:C,QLKV_gui_ket_qua_ra_soat[[#This Row],[Mã điểm bán]])</f>
        <v>1</v>
      </c>
    </row>
    <row r="1712" spans="1:29" x14ac:dyDescent="0.45">
      <c r="A1712" t="s">
        <v>6444</v>
      </c>
      <c r="B1712">
        <v>33</v>
      </c>
      <c r="C1712" t="s">
        <v>6539</v>
      </c>
      <c r="D1712" t="s">
        <v>6540</v>
      </c>
      <c r="E1712" t="s">
        <v>6541</v>
      </c>
      <c r="F1712" t="s">
        <v>426</v>
      </c>
      <c r="G1712" t="s">
        <v>34</v>
      </c>
      <c r="H1712" t="s">
        <v>54</v>
      </c>
      <c r="I1712" t="s">
        <v>2460</v>
      </c>
      <c r="J1712" t="s">
        <v>38</v>
      </c>
      <c r="K1712" t="s">
        <v>38</v>
      </c>
      <c r="L1712" t="s">
        <v>39</v>
      </c>
      <c r="M1712" t="s">
        <v>38</v>
      </c>
      <c r="N1712" t="s">
        <v>38</v>
      </c>
      <c r="O1712" t="s">
        <v>39</v>
      </c>
      <c r="P1712" t="s">
        <v>38</v>
      </c>
      <c r="Q1712" t="s">
        <v>38</v>
      </c>
      <c r="R1712" t="s">
        <v>40</v>
      </c>
      <c r="S1712" t="s">
        <v>41</v>
      </c>
      <c r="T1712" t="s">
        <v>6468</v>
      </c>
      <c r="U1712" t="s">
        <v>6469</v>
      </c>
      <c r="V1712" t="s">
        <v>6450</v>
      </c>
      <c r="W1712" t="s">
        <v>6451</v>
      </c>
      <c r="Y1712" t="s">
        <v>46</v>
      </c>
      <c r="AB1712" t="s">
        <v>4223</v>
      </c>
      <c r="AC1712">
        <f>COUNTIF(C:C,QLKV_gui_ket_qua_ra_soat[[#This Row],[Mã điểm bán]])</f>
        <v>1</v>
      </c>
    </row>
    <row r="1713" spans="1:29" x14ac:dyDescent="0.45">
      <c r="A1713" t="s">
        <v>6444</v>
      </c>
      <c r="B1713">
        <v>34</v>
      </c>
      <c r="C1713" t="s">
        <v>6542</v>
      </c>
      <c r="D1713" t="s">
        <v>6543</v>
      </c>
      <c r="E1713" t="s">
        <v>742</v>
      </c>
      <c r="F1713" t="s">
        <v>2911</v>
      </c>
      <c r="G1713" t="s">
        <v>34</v>
      </c>
      <c r="H1713" t="s">
        <v>3620</v>
      </c>
      <c r="I1713" t="s">
        <v>6544</v>
      </c>
      <c r="J1713" t="s">
        <v>38</v>
      </c>
      <c r="K1713" t="s">
        <v>38</v>
      </c>
      <c r="L1713" t="s">
        <v>40</v>
      </c>
      <c r="M1713" t="s">
        <v>38</v>
      </c>
      <c r="N1713" t="s">
        <v>38</v>
      </c>
      <c r="O1713" t="s">
        <v>39</v>
      </c>
      <c r="P1713" t="s">
        <v>38</v>
      </c>
      <c r="Q1713" t="s">
        <v>38</v>
      </c>
      <c r="R1713" t="s">
        <v>39</v>
      </c>
      <c r="S1713" t="s">
        <v>41</v>
      </c>
      <c r="T1713" t="s">
        <v>6448</v>
      </c>
      <c r="U1713" t="s">
        <v>6449</v>
      </c>
      <c r="V1713" t="s">
        <v>6450</v>
      </c>
      <c r="W1713" t="s">
        <v>6451</v>
      </c>
      <c r="Z1713" t="s">
        <v>46</v>
      </c>
      <c r="AA1713" t="s">
        <v>6486</v>
      </c>
      <c r="AB1713" t="s">
        <v>4223</v>
      </c>
      <c r="AC1713">
        <f>COUNTIF(C:C,QLKV_gui_ket_qua_ra_soat[[#This Row],[Mã điểm bán]])</f>
        <v>1</v>
      </c>
    </row>
    <row r="1714" spans="1:29" x14ac:dyDescent="0.45">
      <c r="A1714" t="s">
        <v>6444</v>
      </c>
      <c r="B1714">
        <v>35</v>
      </c>
      <c r="C1714" t="s">
        <v>6545</v>
      </c>
      <c r="D1714" t="s">
        <v>6546</v>
      </c>
      <c r="E1714" t="s">
        <v>64</v>
      </c>
      <c r="F1714" t="s">
        <v>33</v>
      </c>
      <c r="G1714" t="s">
        <v>34</v>
      </c>
      <c r="H1714" t="s">
        <v>214</v>
      </c>
      <c r="I1714" t="s">
        <v>6447</v>
      </c>
      <c r="J1714" t="s">
        <v>37</v>
      </c>
      <c r="K1714" t="s">
        <v>37</v>
      </c>
      <c r="L1714" t="s">
        <v>39</v>
      </c>
      <c r="M1714" t="s">
        <v>37</v>
      </c>
      <c r="N1714" t="s">
        <v>37</v>
      </c>
      <c r="O1714" t="s">
        <v>39</v>
      </c>
      <c r="P1714" t="s">
        <v>38</v>
      </c>
      <c r="Q1714" t="s">
        <v>38</v>
      </c>
      <c r="R1714" t="s">
        <v>39</v>
      </c>
      <c r="S1714" t="s">
        <v>41</v>
      </c>
      <c r="T1714" t="s">
        <v>6448</v>
      </c>
      <c r="U1714" t="s">
        <v>6449</v>
      </c>
      <c r="V1714" t="s">
        <v>6450</v>
      </c>
      <c r="W1714" t="s">
        <v>6451</v>
      </c>
      <c r="Z1714" t="s">
        <v>46</v>
      </c>
      <c r="AA1714" t="s">
        <v>6486</v>
      </c>
      <c r="AC1714">
        <f>COUNTIF(C:C,QLKV_gui_ket_qua_ra_soat[[#This Row],[Mã điểm bán]])</f>
        <v>1</v>
      </c>
    </row>
    <row r="1715" spans="1:29" x14ac:dyDescent="0.45">
      <c r="A1715" t="s">
        <v>6444</v>
      </c>
      <c r="B1715">
        <v>36</v>
      </c>
      <c r="C1715" t="s">
        <v>6547</v>
      </c>
      <c r="D1715" t="s">
        <v>6548</v>
      </c>
      <c r="E1715" t="s">
        <v>6549</v>
      </c>
      <c r="F1715" t="s">
        <v>325</v>
      </c>
      <c r="G1715" t="s">
        <v>34</v>
      </c>
      <c r="H1715" t="s">
        <v>54</v>
      </c>
      <c r="I1715" t="s">
        <v>2460</v>
      </c>
      <c r="J1715" t="s">
        <v>38</v>
      </c>
      <c r="K1715" t="s">
        <v>38</v>
      </c>
      <c r="L1715" t="s">
        <v>39</v>
      </c>
      <c r="M1715" t="s">
        <v>38</v>
      </c>
      <c r="N1715" t="s">
        <v>38</v>
      </c>
      <c r="O1715" t="s">
        <v>39</v>
      </c>
      <c r="P1715" t="s">
        <v>38</v>
      </c>
      <c r="Q1715" t="s">
        <v>38</v>
      </c>
      <c r="R1715" t="s">
        <v>40</v>
      </c>
      <c r="S1715" t="s">
        <v>41</v>
      </c>
      <c r="T1715" t="s">
        <v>6468</v>
      </c>
      <c r="U1715" t="s">
        <v>6469</v>
      </c>
      <c r="V1715" t="s">
        <v>6450</v>
      </c>
      <c r="W1715" t="s">
        <v>6451</v>
      </c>
      <c r="X1715" t="s">
        <v>46</v>
      </c>
      <c r="AB1715" t="s">
        <v>4223</v>
      </c>
      <c r="AC1715">
        <f>COUNTIF(C:C,QLKV_gui_ket_qua_ra_soat[[#This Row],[Mã điểm bán]])</f>
        <v>1</v>
      </c>
    </row>
    <row r="1716" spans="1:29" x14ac:dyDescent="0.45">
      <c r="A1716" t="s">
        <v>6444</v>
      </c>
      <c r="B1716">
        <v>37</v>
      </c>
      <c r="C1716" t="s">
        <v>6550</v>
      </c>
      <c r="D1716" t="s">
        <v>6551</v>
      </c>
      <c r="E1716" t="s">
        <v>1832</v>
      </c>
      <c r="F1716" t="s">
        <v>53</v>
      </c>
      <c r="G1716" t="s">
        <v>177</v>
      </c>
      <c r="H1716" t="s">
        <v>214</v>
      </c>
      <c r="I1716" t="s">
        <v>2475</v>
      </c>
      <c r="J1716" t="s">
        <v>38</v>
      </c>
      <c r="K1716" t="s">
        <v>38</v>
      </c>
      <c r="L1716" t="s">
        <v>40</v>
      </c>
      <c r="M1716" t="s">
        <v>38</v>
      </c>
      <c r="N1716" t="s">
        <v>38</v>
      </c>
      <c r="O1716" t="s">
        <v>40</v>
      </c>
      <c r="P1716" t="s">
        <v>38</v>
      </c>
      <c r="Q1716" t="s">
        <v>38</v>
      </c>
      <c r="R1716" t="s">
        <v>40</v>
      </c>
      <c r="S1716" t="s">
        <v>6552</v>
      </c>
      <c r="T1716" t="s">
        <v>6504</v>
      </c>
      <c r="U1716" t="s">
        <v>6469</v>
      </c>
      <c r="V1716" t="s">
        <v>6450</v>
      </c>
      <c r="W1716" t="s">
        <v>6451</v>
      </c>
      <c r="X1716" t="s">
        <v>46</v>
      </c>
      <c r="AC1716">
        <f>COUNTIF(C:C,QLKV_gui_ket_qua_ra_soat[[#This Row],[Mã điểm bán]])</f>
        <v>1</v>
      </c>
    </row>
    <row r="1717" spans="1:29" x14ac:dyDescent="0.45">
      <c r="A1717" t="s">
        <v>6444</v>
      </c>
      <c r="B1717">
        <v>38</v>
      </c>
      <c r="C1717" t="s">
        <v>6553</v>
      </c>
      <c r="D1717" t="s">
        <v>6554</v>
      </c>
      <c r="E1717" t="s">
        <v>641</v>
      </c>
      <c r="F1717" t="s">
        <v>417</v>
      </c>
      <c r="G1717" t="s">
        <v>34</v>
      </c>
      <c r="H1717" t="s">
        <v>697</v>
      </c>
      <c r="I1717" t="s">
        <v>6460</v>
      </c>
      <c r="J1717" t="s">
        <v>37</v>
      </c>
      <c r="K1717" t="s">
        <v>37</v>
      </c>
      <c r="L1717" t="s">
        <v>39</v>
      </c>
      <c r="M1717" t="s">
        <v>37</v>
      </c>
      <c r="N1717" t="s">
        <v>37</v>
      </c>
      <c r="O1717" t="s">
        <v>39</v>
      </c>
      <c r="P1717" t="s">
        <v>37</v>
      </c>
      <c r="Q1717" t="s">
        <v>38</v>
      </c>
      <c r="R1717" t="s">
        <v>39</v>
      </c>
      <c r="S1717" t="s">
        <v>41</v>
      </c>
      <c r="T1717" t="s">
        <v>6448</v>
      </c>
      <c r="U1717" t="s">
        <v>6449</v>
      </c>
      <c r="V1717" t="s">
        <v>6450</v>
      </c>
      <c r="W1717" t="s">
        <v>6451</v>
      </c>
      <c r="Z1717" t="s">
        <v>46</v>
      </c>
      <c r="AA1717" t="s">
        <v>6486</v>
      </c>
      <c r="AC1717">
        <f>COUNTIF(C:C,QLKV_gui_ket_qua_ra_soat[[#This Row],[Mã điểm bán]])</f>
        <v>1</v>
      </c>
    </row>
    <row r="1718" spans="1:29" x14ac:dyDescent="0.45">
      <c r="A1718" t="s">
        <v>6444</v>
      </c>
      <c r="B1718">
        <v>39</v>
      </c>
      <c r="C1718" t="s">
        <v>6555</v>
      </c>
      <c r="D1718" t="s">
        <v>6556</v>
      </c>
      <c r="E1718" t="s">
        <v>323</v>
      </c>
      <c r="F1718" t="s">
        <v>6557</v>
      </c>
      <c r="G1718" t="s">
        <v>34</v>
      </c>
      <c r="H1718" t="s">
        <v>1736</v>
      </c>
      <c r="I1718" t="s">
        <v>6558</v>
      </c>
      <c r="J1718" t="s">
        <v>37</v>
      </c>
      <c r="K1718" t="s">
        <v>37</v>
      </c>
      <c r="L1718" t="s">
        <v>40</v>
      </c>
      <c r="M1718" t="s">
        <v>37</v>
      </c>
      <c r="N1718" t="s">
        <v>37</v>
      </c>
      <c r="O1718" t="s">
        <v>40</v>
      </c>
      <c r="P1718" t="s">
        <v>37</v>
      </c>
      <c r="Q1718" t="s">
        <v>38</v>
      </c>
      <c r="R1718" t="s">
        <v>40</v>
      </c>
      <c r="S1718" t="s">
        <v>41</v>
      </c>
      <c r="T1718" t="s">
        <v>6456</v>
      </c>
      <c r="U1718" t="s">
        <v>6449</v>
      </c>
      <c r="V1718" t="s">
        <v>6450</v>
      </c>
      <c r="W1718" t="s">
        <v>6451</v>
      </c>
      <c r="Z1718" t="s">
        <v>46</v>
      </c>
      <c r="AA1718" t="s">
        <v>6457</v>
      </c>
      <c r="AB1718" t="s">
        <v>4223</v>
      </c>
      <c r="AC1718">
        <f>COUNTIF(C:C,QLKV_gui_ket_qua_ra_soat[[#This Row],[Mã điểm bán]])</f>
        <v>1</v>
      </c>
    </row>
    <row r="1719" spans="1:29" x14ac:dyDescent="0.45">
      <c r="A1719" t="s">
        <v>6444</v>
      </c>
      <c r="B1719">
        <v>40</v>
      </c>
      <c r="C1719" t="s">
        <v>6559</v>
      </c>
      <c r="D1719" t="s">
        <v>6560</v>
      </c>
      <c r="E1719" t="s">
        <v>1695</v>
      </c>
      <c r="F1719" t="s">
        <v>6561</v>
      </c>
      <c r="G1719" t="s">
        <v>34</v>
      </c>
      <c r="H1719" t="s">
        <v>1188</v>
      </c>
      <c r="I1719" t="s">
        <v>6562</v>
      </c>
      <c r="J1719" t="s">
        <v>37</v>
      </c>
      <c r="K1719" t="s">
        <v>38</v>
      </c>
      <c r="L1719" t="s">
        <v>40</v>
      </c>
      <c r="M1719" t="s">
        <v>37</v>
      </c>
      <c r="N1719" t="s">
        <v>37</v>
      </c>
      <c r="O1719" t="s">
        <v>39</v>
      </c>
      <c r="P1719" t="s">
        <v>38</v>
      </c>
      <c r="Q1719" t="s">
        <v>38</v>
      </c>
      <c r="R1719" t="s">
        <v>40</v>
      </c>
      <c r="S1719" t="s">
        <v>41</v>
      </c>
      <c r="T1719" t="s">
        <v>6456</v>
      </c>
      <c r="U1719" t="s">
        <v>6449</v>
      </c>
      <c r="V1719" t="s">
        <v>6450</v>
      </c>
      <c r="W1719" t="s">
        <v>6451</v>
      </c>
      <c r="Z1719" t="s">
        <v>46</v>
      </c>
      <c r="AA1719" t="s">
        <v>6457</v>
      </c>
      <c r="AB1719" t="s">
        <v>3109</v>
      </c>
      <c r="AC1719">
        <f>COUNTIF(C:C,QLKV_gui_ket_qua_ra_soat[[#This Row],[Mã điểm bán]])</f>
        <v>1</v>
      </c>
    </row>
    <row r="1720" spans="1:29" x14ac:dyDescent="0.45">
      <c r="A1720" t="s">
        <v>6444</v>
      </c>
      <c r="B1720">
        <v>41</v>
      </c>
      <c r="C1720" t="s">
        <v>6563</v>
      </c>
      <c r="D1720" t="s">
        <v>6564</v>
      </c>
      <c r="E1720" t="s">
        <v>1182</v>
      </c>
      <c r="F1720" t="s">
        <v>53</v>
      </c>
      <c r="G1720" t="s">
        <v>177</v>
      </c>
      <c r="H1720" t="s">
        <v>54</v>
      </c>
      <c r="I1720" t="s">
        <v>6565</v>
      </c>
      <c r="J1720" t="s">
        <v>38</v>
      </c>
      <c r="K1720" t="s">
        <v>38</v>
      </c>
      <c r="L1720" t="s">
        <v>40</v>
      </c>
      <c r="M1720" t="s">
        <v>38</v>
      </c>
      <c r="N1720" t="s">
        <v>38</v>
      </c>
      <c r="O1720" t="s">
        <v>39</v>
      </c>
      <c r="P1720" t="s">
        <v>38</v>
      </c>
      <c r="Q1720" t="s">
        <v>38</v>
      </c>
      <c r="R1720" t="s">
        <v>40</v>
      </c>
      <c r="S1720" t="s">
        <v>6566</v>
      </c>
      <c r="T1720" t="s">
        <v>6504</v>
      </c>
      <c r="U1720" t="s">
        <v>6469</v>
      </c>
      <c r="V1720" t="s">
        <v>6450</v>
      </c>
      <c r="W1720" t="s">
        <v>6451</v>
      </c>
      <c r="X1720" t="s">
        <v>46</v>
      </c>
      <c r="AB1720" t="s">
        <v>3109</v>
      </c>
      <c r="AC1720">
        <f>COUNTIF(C:C,QLKV_gui_ket_qua_ra_soat[[#This Row],[Mã điểm bán]])</f>
        <v>1</v>
      </c>
    </row>
    <row r="1721" spans="1:29" x14ac:dyDescent="0.45">
      <c r="A1721" t="s">
        <v>6444</v>
      </c>
      <c r="B1721">
        <v>42</v>
      </c>
      <c r="C1721" t="s">
        <v>6567</v>
      </c>
      <c r="D1721" t="s">
        <v>3048</v>
      </c>
      <c r="E1721" t="s">
        <v>3918</v>
      </c>
      <c r="F1721" t="s">
        <v>325</v>
      </c>
      <c r="G1721" t="s">
        <v>177</v>
      </c>
      <c r="H1721" t="s">
        <v>54</v>
      </c>
      <c r="I1721" t="s">
        <v>2460</v>
      </c>
      <c r="J1721" t="s">
        <v>38</v>
      </c>
      <c r="K1721" t="s">
        <v>38</v>
      </c>
      <c r="L1721" t="s">
        <v>39</v>
      </c>
      <c r="M1721" t="s">
        <v>38</v>
      </c>
      <c r="N1721" t="s">
        <v>38</v>
      </c>
      <c r="O1721" t="s">
        <v>39</v>
      </c>
      <c r="P1721" t="s">
        <v>38</v>
      </c>
      <c r="Q1721" t="s">
        <v>38</v>
      </c>
      <c r="R1721" t="s">
        <v>40</v>
      </c>
      <c r="S1721" t="s">
        <v>6527</v>
      </c>
      <c r="T1721" t="s">
        <v>6468</v>
      </c>
      <c r="U1721" t="s">
        <v>6469</v>
      </c>
      <c r="V1721" t="s">
        <v>6450</v>
      </c>
      <c r="W1721" t="s">
        <v>6451</v>
      </c>
      <c r="X1721" t="s">
        <v>46</v>
      </c>
      <c r="AB1721" t="s">
        <v>3012</v>
      </c>
      <c r="AC1721">
        <f>COUNTIF(C:C,QLKV_gui_ket_qua_ra_soat[[#This Row],[Mã điểm bán]])</f>
        <v>1</v>
      </c>
    </row>
    <row r="1722" spans="1:29" x14ac:dyDescent="0.45">
      <c r="A1722" t="s">
        <v>6444</v>
      </c>
      <c r="B1722">
        <v>43</v>
      </c>
      <c r="C1722" t="s">
        <v>6568</v>
      </c>
      <c r="D1722" t="s">
        <v>6569</v>
      </c>
      <c r="E1722" t="s">
        <v>4274</v>
      </c>
      <c r="F1722" t="s">
        <v>6570</v>
      </c>
      <c r="G1722" t="s">
        <v>177</v>
      </c>
      <c r="H1722" t="s">
        <v>214</v>
      </c>
      <c r="I1722" t="s">
        <v>6571</v>
      </c>
      <c r="J1722" t="s">
        <v>38</v>
      </c>
      <c r="K1722" t="s">
        <v>38</v>
      </c>
      <c r="L1722" t="s">
        <v>40</v>
      </c>
      <c r="M1722" t="s">
        <v>37</v>
      </c>
      <c r="N1722" t="s">
        <v>37</v>
      </c>
      <c r="O1722" t="s">
        <v>39</v>
      </c>
      <c r="P1722" t="s">
        <v>38</v>
      </c>
      <c r="Q1722" t="s">
        <v>38</v>
      </c>
      <c r="R1722" t="s">
        <v>40</v>
      </c>
      <c r="S1722" t="s">
        <v>6572</v>
      </c>
      <c r="T1722" t="s">
        <v>6504</v>
      </c>
      <c r="U1722" t="s">
        <v>6469</v>
      </c>
      <c r="V1722" t="s">
        <v>6450</v>
      </c>
      <c r="W1722" t="s">
        <v>6451</v>
      </c>
      <c r="Z1722" t="s">
        <v>46</v>
      </c>
      <c r="AA1722" t="s">
        <v>6457</v>
      </c>
      <c r="AB1722" t="s">
        <v>3109</v>
      </c>
      <c r="AC1722">
        <f>COUNTIF(C:C,QLKV_gui_ket_qua_ra_soat[[#This Row],[Mã điểm bán]])</f>
        <v>1</v>
      </c>
    </row>
    <row r="1723" spans="1:29" x14ac:dyDescent="0.45">
      <c r="A1723" t="s">
        <v>6444</v>
      </c>
      <c r="B1723">
        <v>44</v>
      </c>
      <c r="C1723" t="s">
        <v>6573</v>
      </c>
      <c r="D1723" t="s">
        <v>6574</v>
      </c>
      <c r="E1723" t="s">
        <v>1664</v>
      </c>
      <c r="F1723" t="s">
        <v>53</v>
      </c>
      <c r="G1723" t="s">
        <v>177</v>
      </c>
      <c r="H1723" t="s">
        <v>214</v>
      </c>
      <c r="I1723" t="s">
        <v>6575</v>
      </c>
      <c r="J1723" t="s">
        <v>38</v>
      </c>
      <c r="K1723" t="s">
        <v>38</v>
      </c>
      <c r="L1723" t="s">
        <v>40</v>
      </c>
      <c r="M1723" t="s">
        <v>37</v>
      </c>
      <c r="N1723" t="s">
        <v>37</v>
      </c>
      <c r="O1723" t="s">
        <v>39</v>
      </c>
      <c r="P1723" t="s">
        <v>38</v>
      </c>
      <c r="Q1723" t="s">
        <v>38</v>
      </c>
      <c r="R1723" t="s">
        <v>40</v>
      </c>
      <c r="S1723" t="s">
        <v>6576</v>
      </c>
      <c r="T1723" t="s">
        <v>6504</v>
      </c>
      <c r="U1723" t="s">
        <v>6469</v>
      </c>
      <c r="V1723" t="s">
        <v>6450</v>
      </c>
      <c r="W1723" t="s">
        <v>6451</v>
      </c>
      <c r="X1723" t="s">
        <v>46</v>
      </c>
      <c r="AB1723" t="s">
        <v>3109</v>
      </c>
      <c r="AC1723">
        <f>COUNTIF(C:C,QLKV_gui_ket_qua_ra_soat[[#This Row],[Mã điểm bán]])</f>
        <v>1</v>
      </c>
    </row>
    <row r="1724" spans="1:29" x14ac:dyDescent="0.45">
      <c r="A1724" t="s">
        <v>6444</v>
      </c>
      <c r="B1724">
        <v>45</v>
      </c>
      <c r="C1724" t="s">
        <v>6577</v>
      </c>
      <c r="D1724" t="s">
        <v>6578</v>
      </c>
      <c r="E1724" t="s">
        <v>6579</v>
      </c>
      <c r="F1724" t="s">
        <v>53</v>
      </c>
      <c r="G1724" t="s">
        <v>34</v>
      </c>
      <c r="H1724" t="s">
        <v>54</v>
      </c>
      <c r="I1724" t="s">
        <v>2475</v>
      </c>
      <c r="J1724" t="s">
        <v>38</v>
      </c>
      <c r="K1724" t="s">
        <v>38</v>
      </c>
      <c r="L1724" t="s">
        <v>40</v>
      </c>
      <c r="M1724" t="s">
        <v>38</v>
      </c>
      <c r="N1724" t="s">
        <v>38</v>
      </c>
      <c r="O1724" t="s">
        <v>39</v>
      </c>
      <c r="P1724" t="s">
        <v>38</v>
      </c>
      <c r="Q1724" t="s">
        <v>38</v>
      </c>
      <c r="R1724" t="s">
        <v>40</v>
      </c>
      <c r="S1724" t="s">
        <v>41</v>
      </c>
      <c r="T1724" t="s">
        <v>6468</v>
      </c>
      <c r="U1724" t="s">
        <v>6469</v>
      </c>
      <c r="V1724" t="s">
        <v>6450</v>
      </c>
      <c r="W1724" t="s">
        <v>6451</v>
      </c>
      <c r="X1724" t="s">
        <v>46</v>
      </c>
      <c r="AB1724" t="s">
        <v>5658</v>
      </c>
      <c r="AC1724">
        <f>COUNTIF(C:C,QLKV_gui_ket_qua_ra_soat[[#This Row],[Mã điểm bán]])</f>
        <v>1</v>
      </c>
    </row>
    <row r="1725" spans="1:29" x14ac:dyDescent="0.45">
      <c r="A1725" t="s">
        <v>6444</v>
      </c>
      <c r="B1725">
        <v>46</v>
      </c>
      <c r="C1725" t="s">
        <v>6580</v>
      </c>
      <c r="D1725" t="s">
        <v>6581</v>
      </c>
      <c r="E1725" t="s">
        <v>2630</v>
      </c>
      <c r="F1725" t="s">
        <v>512</v>
      </c>
      <c r="G1725" t="s">
        <v>34</v>
      </c>
      <c r="H1725" t="s">
        <v>546</v>
      </c>
      <c r="I1725" t="s">
        <v>6582</v>
      </c>
      <c r="J1725" t="s">
        <v>38</v>
      </c>
      <c r="K1725" t="s">
        <v>38</v>
      </c>
      <c r="L1725" t="s">
        <v>39</v>
      </c>
      <c r="M1725" t="s">
        <v>38</v>
      </c>
      <c r="N1725" t="s">
        <v>37</v>
      </c>
      <c r="O1725" t="s">
        <v>39</v>
      </c>
      <c r="P1725" t="s">
        <v>38</v>
      </c>
      <c r="Q1725" t="s">
        <v>38</v>
      </c>
      <c r="R1725" t="s">
        <v>40</v>
      </c>
      <c r="S1725" t="s">
        <v>41</v>
      </c>
      <c r="T1725" t="s">
        <v>6448</v>
      </c>
      <c r="U1725" t="s">
        <v>6449</v>
      </c>
      <c r="V1725" t="s">
        <v>6450</v>
      </c>
      <c r="W1725" t="s">
        <v>6451</v>
      </c>
      <c r="X1725" t="s">
        <v>46</v>
      </c>
      <c r="AB1725" t="s">
        <v>4223</v>
      </c>
      <c r="AC1725">
        <f>COUNTIF(C:C,QLKV_gui_ket_qua_ra_soat[[#This Row],[Mã điểm bán]])</f>
        <v>1</v>
      </c>
    </row>
    <row r="1726" spans="1:29" x14ac:dyDescent="0.45">
      <c r="A1726" t="s">
        <v>6444</v>
      </c>
      <c r="B1726">
        <v>47</v>
      </c>
      <c r="C1726" t="s">
        <v>6583</v>
      </c>
      <c r="D1726" t="s">
        <v>6584</v>
      </c>
      <c r="E1726" t="s">
        <v>97</v>
      </c>
      <c r="F1726" t="s">
        <v>53</v>
      </c>
      <c r="G1726" t="s">
        <v>150</v>
      </c>
      <c r="H1726" t="s">
        <v>685</v>
      </c>
      <c r="I1726" t="s">
        <v>6585</v>
      </c>
      <c r="J1726" t="s">
        <v>38</v>
      </c>
      <c r="K1726" t="s">
        <v>38</v>
      </c>
      <c r="L1726" t="s">
        <v>40</v>
      </c>
      <c r="M1726" t="s">
        <v>38</v>
      </c>
      <c r="N1726" t="s">
        <v>38</v>
      </c>
      <c r="O1726" t="s">
        <v>40</v>
      </c>
      <c r="P1726" t="s">
        <v>38</v>
      </c>
      <c r="Q1726" t="s">
        <v>38</v>
      </c>
      <c r="R1726" t="s">
        <v>40</v>
      </c>
      <c r="S1726" t="s">
        <v>41</v>
      </c>
      <c r="T1726" t="s">
        <v>6456</v>
      </c>
      <c r="U1726" t="s">
        <v>6449</v>
      </c>
      <c r="V1726" t="s">
        <v>6450</v>
      </c>
      <c r="W1726" t="s">
        <v>6451</v>
      </c>
      <c r="Y1726" t="s">
        <v>46</v>
      </c>
      <c r="AB1726" t="s">
        <v>4223</v>
      </c>
      <c r="AC1726">
        <f>COUNTIF(C:C,QLKV_gui_ket_qua_ra_soat[[#This Row],[Mã điểm bán]])</f>
        <v>1</v>
      </c>
    </row>
    <row r="1727" spans="1:29" x14ac:dyDescent="0.45">
      <c r="A1727" t="s">
        <v>6444</v>
      </c>
      <c r="B1727">
        <v>48</v>
      </c>
      <c r="C1727" t="s">
        <v>6586</v>
      </c>
      <c r="D1727" t="s">
        <v>6587</v>
      </c>
      <c r="E1727" t="s">
        <v>6588</v>
      </c>
      <c r="F1727" t="s">
        <v>6589</v>
      </c>
      <c r="G1727" t="s">
        <v>177</v>
      </c>
      <c r="H1727" t="s">
        <v>1188</v>
      </c>
      <c r="I1727" t="s">
        <v>6590</v>
      </c>
      <c r="J1727" t="s">
        <v>37</v>
      </c>
      <c r="K1727" t="s">
        <v>37</v>
      </c>
      <c r="L1727" t="s">
        <v>39</v>
      </c>
      <c r="M1727" t="s">
        <v>37</v>
      </c>
      <c r="N1727" t="s">
        <v>37</v>
      </c>
      <c r="O1727" t="s">
        <v>39</v>
      </c>
      <c r="P1727" t="s">
        <v>38</v>
      </c>
      <c r="Q1727" t="s">
        <v>38</v>
      </c>
      <c r="R1727" t="s">
        <v>39</v>
      </c>
      <c r="S1727" t="s">
        <v>6572</v>
      </c>
      <c r="T1727" t="s">
        <v>6504</v>
      </c>
      <c r="U1727" t="s">
        <v>6469</v>
      </c>
      <c r="V1727" t="s">
        <v>6450</v>
      </c>
      <c r="W1727" t="s">
        <v>6451</v>
      </c>
      <c r="Z1727" t="s">
        <v>46</v>
      </c>
      <c r="AA1727" t="s">
        <v>6457</v>
      </c>
      <c r="AB1727" t="s">
        <v>4223</v>
      </c>
      <c r="AC1727">
        <f>COUNTIF(C:C,QLKV_gui_ket_qua_ra_soat[[#This Row],[Mã điểm bán]])</f>
        <v>1</v>
      </c>
    </row>
    <row r="1728" spans="1:29" x14ac:dyDescent="0.45">
      <c r="A1728" t="s">
        <v>6444</v>
      </c>
      <c r="B1728">
        <v>49</v>
      </c>
      <c r="C1728" t="s">
        <v>6591</v>
      </c>
      <c r="D1728" t="s">
        <v>6592</v>
      </c>
      <c r="E1728" t="s">
        <v>1823</v>
      </c>
      <c r="F1728" t="s">
        <v>6594</v>
      </c>
      <c r="G1728" t="s">
        <v>177</v>
      </c>
      <c r="H1728" t="s">
        <v>1188</v>
      </c>
      <c r="I1728" t="s">
        <v>2460</v>
      </c>
      <c r="J1728" t="s">
        <v>37</v>
      </c>
      <c r="K1728" t="s">
        <v>37</v>
      </c>
      <c r="L1728" t="s">
        <v>39</v>
      </c>
      <c r="M1728" t="s">
        <v>37</v>
      </c>
      <c r="N1728" t="s">
        <v>37</v>
      </c>
      <c r="O1728" t="s">
        <v>39</v>
      </c>
      <c r="P1728" t="s">
        <v>38</v>
      </c>
      <c r="Q1728" t="s">
        <v>38</v>
      </c>
      <c r="R1728" t="s">
        <v>39</v>
      </c>
      <c r="S1728" t="s">
        <v>6572</v>
      </c>
      <c r="T1728" t="s">
        <v>6504</v>
      </c>
      <c r="U1728" t="s">
        <v>6469</v>
      </c>
      <c r="V1728" t="s">
        <v>6450</v>
      </c>
      <c r="W1728" t="s">
        <v>6451</v>
      </c>
      <c r="X1728" t="s">
        <v>46</v>
      </c>
      <c r="AB1728" t="s">
        <v>3109</v>
      </c>
      <c r="AC1728">
        <f>COUNTIF(C:C,QLKV_gui_ket_qua_ra_soat[[#This Row],[Mã điểm bán]])</f>
        <v>1</v>
      </c>
    </row>
    <row r="1729" spans="1:29" x14ac:dyDescent="0.45">
      <c r="A1729" t="s">
        <v>6444</v>
      </c>
      <c r="B1729">
        <v>50</v>
      </c>
      <c r="C1729" t="s">
        <v>6595</v>
      </c>
      <c r="D1729" t="s">
        <v>6596</v>
      </c>
      <c r="E1729" t="s">
        <v>176</v>
      </c>
      <c r="F1729" t="s">
        <v>6597</v>
      </c>
      <c r="G1729" t="s">
        <v>34</v>
      </c>
      <c r="H1729" t="s">
        <v>54</v>
      </c>
      <c r="I1729" t="s">
        <v>6598</v>
      </c>
      <c r="J1729" t="s">
        <v>38</v>
      </c>
      <c r="K1729" t="s">
        <v>38</v>
      </c>
      <c r="L1729" t="s">
        <v>40</v>
      </c>
      <c r="M1729" t="s">
        <v>37</v>
      </c>
      <c r="N1729" t="s">
        <v>37</v>
      </c>
      <c r="O1729" t="s">
        <v>39</v>
      </c>
      <c r="P1729" t="s">
        <v>38</v>
      </c>
      <c r="Q1729" t="s">
        <v>38</v>
      </c>
      <c r="R1729" t="s">
        <v>39</v>
      </c>
      <c r="S1729" t="s">
        <v>41</v>
      </c>
      <c r="T1729" t="s">
        <v>6448</v>
      </c>
      <c r="U1729" t="s">
        <v>6449</v>
      </c>
      <c r="V1729" t="s">
        <v>6450</v>
      </c>
      <c r="W1729" t="s">
        <v>6451</v>
      </c>
      <c r="X1729" t="s">
        <v>46</v>
      </c>
      <c r="AC1729">
        <f>COUNTIF(C:C,QLKV_gui_ket_qua_ra_soat[[#This Row],[Mã điểm bán]])</f>
        <v>1</v>
      </c>
    </row>
    <row r="1730" spans="1:29" x14ac:dyDescent="0.45">
      <c r="A1730" t="s">
        <v>6444</v>
      </c>
      <c r="B1730">
        <v>51</v>
      </c>
      <c r="C1730" t="s">
        <v>6599</v>
      </c>
      <c r="D1730" t="s">
        <v>6600</v>
      </c>
      <c r="E1730" t="s">
        <v>6601</v>
      </c>
      <c r="F1730" t="s">
        <v>325</v>
      </c>
      <c r="G1730" t="s">
        <v>177</v>
      </c>
      <c r="H1730" t="s">
        <v>54</v>
      </c>
      <c r="I1730" t="s">
        <v>2460</v>
      </c>
      <c r="J1730" t="s">
        <v>38</v>
      </c>
      <c r="K1730" t="s">
        <v>38</v>
      </c>
      <c r="L1730" t="s">
        <v>39</v>
      </c>
      <c r="M1730" t="s">
        <v>38</v>
      </c>
      <c r="N1730" t="s">
        <v>38</v>
      </c>
      <c r="O1730" t="s">
        <v>39</v>
      </c>
      <c r="P1730" t="s">
        <v>38</v>
      </c>
      <c r="Q1730" t="s">
        <v>38</v>
      </c>
      <c r="R1730" t="s">
        <v>40</v>
      </c>
      <c r="S1730" t="s">
        <v>6602</v>
      </c>
      <c r="T1730" t="s">
        <v>6468</v>
      </c>
      <c r="U1730" t="s">
        <v>6469</v>
      </c>
      <c r="V1730" t="s">
        <v>6450</v>
      </c>
      <c r="W1730" t="s">
        <v>6451</v>
      </c>
      <c r="Z1730" t="s">
        <v>46</v>
      </c>
      <c r="AA1730" t="s">
        <v>6486</v>
      </c>
      <c r="AB1730" t="s">
        <v>3109</v>
      </c>
      <c r="AC1730">
        <f>COUNTIF(C:C,QLKV_gui_ket_qua_ra_soat[[#This Row],[Mã điểm bán]])</f>
        <v>1</v>
      </c>
    </row>
    <row r="1731" spans="1:29" x14ac:dyDescent="0.45">
      <c r="A1731" t="s">
        <v>6444</v>
      </c>
      <c r="B1731">
        <v>52</v>
      </c>
      <c r="C1731" t="s">
        <v>6603</v>
      </c>
      <c r="D1731" t="s">
        <v>6604</v>
      </c>
      <c r="E1731" t="s">
        <v>6605</v>
      </c>
      <c r="F1731" t="s">
        <v>4688</v>
      </c>
      <c r="G1731" t="s">
        <v>34</v>
      </c>
      <c r="H1731" t="s">
        <v>54</v>
      </c>
      <c r="I1731" t="s">
        <v>6606</v>
      </c>
      <c r="J1731" t="s">
        <v>38</v>
      </c>
      <c r="K1731" t="s">
        <v>38</v>
      </c>
      <c r="L1731" t="s">
        <v>39</v>
      </c>
      <c r="M1731" t="s">
        <v>38</v>
      </c>
      <c r="N1731" t="s">
        <v>38</v>
      </c>
      <c r="O1731" t="s">
        <v>39</v>
      </c>
      <c r="P1731" t="s">
        <v>38</v>
      </c>
      <c r="Q1731" t="s">
        <v>38</v>
      </c>
      <c r="R1731" t="s">
        <v>40</v>
      </c>
      <c r="S1731" t="s">
        <v>41</v>
      </c>
      <c r="T1731" t="s">
        <v>6468</v>
      </c>
      <c r="U1731" t="s">
        <v>6469</v>
      </c>
      <c r="V1731" t="s">
        <v>6450</v>
      </c>
      <c r="W1731" t="s">
        <v>6451</v>
      </c>
      <c r="X1731" t="s">
        <v>46</v>
      </c>
      <c r="AC1731">
        <f>COUNTIF(C:C,QLKV_gui_ket_qua_ra_soat[[#This Row],[Mã điểm bán]])</f>
        <v>1</v>
      </c>
    </row>
    <row r="1732" spans="1:29" x14ac:dyDescent="0.45">
      <c r="A1732" t="s">
        <v>6444</v>
      </c>
      <c r="B1732">
        <v>53</v>
      </c>
      <c r="C1732" t="s">
        <v>6607</v>
      </c>
      <c r="D1732" t="s">
        <v>6608</v>
      </c>
      <c r="E1732" t="s">
        <v>6609</v>
      </c>
      <c r="F1732" t="s">
        <v>559</v>
      </c>
      <c r="G1732" t="s">
        <v>150</v>
      </c>
      <c r="H1732" t="s">
        <v>1971</v>
      </c>
      <c r="I1732" t="s">
        <v>6610</v>
      </c>
      <c r="J1732" t="s">
        <v>37</v>
      </c>
      <c r="K1732" t="s">
        <v>38</v>
      </c>
      <c r="L1732" t="s">
        <v>40</v>
      </c>
      <c r="M1732" t="s">
        <v>37</v>
      </c>
      <c r="N1732" t="s">
        <v>37</v>
      </c>
      <c r="O1732" t="s">
        <v>40</v>
      </c>
      <c r="P1732" t="s">
        <v>38</v>
      </c>
      <c r="Q1732" t="s">
        <v>38</v>
      </c>
      <c r="R1732" t="s">
        <v>40</v>
      </c>
      <c r="S1732" t="s">
        <v>41</v>
      </c>
      <c r="T1732" t="s">
        <v>6456</v>
      </c>
      <c r="U1732" t="s">
        <v>6449</v>
      </c>
      <c r="V1732" t="s">
        <v>6450</v>
      </c>
      <c r="W1732" t="s">
        <v>6451</v>
      </c>
      <c r="Z1732" t="s">
        <v>46</v>
      </c>
      <c r="AA1732" t="s">
        <v>6457</v>
      </c>
      <c r="AC1732">
        <f>COUNTIF(C:C,QLKV_gui_ket_qua_ra_soat[[#This Row],[Mã điểm bán]])</f>
        <v>1</v>
      </c>
    </row>
    <row r="1733" spans="1:29" x14ac:dyDescent="0.45">
      <c r="A1733" t="s">
        <v>6444</v>
      </c>
      <c r="B1733">
        <v>54</v>
      </c>
      <c r="C1733" t="s">
        <v>6611</v>
      </c>
      <c r="D1733" t="s">
        <v>6612</v>
      </c>
      <c r="E1733" t="s">
        <v>6613</v>
      </c>
      <c r="F1733" t="s">
        <v>6614</v>
      </c>
      <c r="G1733" t="s">
        <v>34</v>
      </c>
      <c r="H1733" t="s">
        <v>54</v>
      </c>
      <c r="I1733" t="s">
        <v>6615</v>
      </c>
      <c r="J1733" t="s">
        <v>38</v>
      </c>
      <c r="K1733" t="s">
        <v>38</v>
      </c>
      <c r="L1733" t="s">
        <v>40</v>
      </c>
      <c r="M1733" t="s">
        <v>38</v>
      </c>
      <c r="N1733" t="s">
        <v>38</v>
      </c>
      <c r="O1733" t="s">
        <v>40</v>
      </c>
      <c r="P1733" t="s">
        <v>38</v>
      </c>
      <c r="Q1733" t="s">
        <v>38</v>
      </c>
      <c r="R1733" t="s">
        <v>40</v>
      </c>
      <c r="S1733" t="s">
        <v>6616</v>
      </c>
      <c r="T1733" t="s">
        <v>6504</v>
      </c>
      <c r="U1733" t="s">
        <v>6469</v>
      </c>
      <c r="V1733" t="s">
        <v>6450</v>
      </c>
      <c r="W1733" t="s">
        <v>6451</v>
      </c>
      <c r="Z1733" t="s">
        <v>46</v>
      </c>
      <c r="AA1733" t="s">
        <v>6457</v>
      </c>
      <c r="AB1733" t="s">
        <v>4223</v>
      </c>
      <c r="AC1733">
        <f>COUNTIF(C:C,QLKV_gui_ket_qua_ra_soat[[#This Row],[Mã điểm bán]])</f>
        <v>1</v>
      </c>
    </row>
    <row r="1734" spans="1:29" x14ac:dyDescent="0.45">
      <c r="A1734" t="s">
        <v>6444</v>
      </c>
      <c r="B1734">
        <v>55</v>
      </c>
      <c r="C1734" t="s">
        <v>6617</v>
      </c>
      <c r="D1734" t="s">
        <v>6618</v>
      </c>
      <c r="E1734" t="s">
        <v>97</v>
      </c>
      <c r="F1734" t="s">
        <v>559</v>
      </c>
      <c r="G1734" t="s">
        <v>150</v>
      </c>
      <c r="H1734" t="s">
        <v>2593</v>
      </c>
      <c r="I1734" t="s">
        <v>6619</v>
      </c>
      <c r="J1734" t="s">
        <v>37</v>
      </c>
      <c r="K1734" t="s">
        <v>37</v>
      </c>
      <c r="L1734" t="s">
        <v>40</v>
      </c>
      <c r="M1734" t="s">
        <v>37</v>
      </c>
      <c r="N1734" t="s">
        <v>37</v>
      </c>
      <c r="O1734" t="s">
        <v>39</v>
      </c>
      <c r="P1734" t="s">
        <v>37</v>
      </c>
      <c r="Q1734" t="s">
        <v>38</v>
      </c>
      <c r="R1734" t="s">
        <v>40</v>
      </c>
      <c r="S1734" t="s">
        <v>41</v>
      </c>
      <c r="T1734" t="s">
        <v>6456</v>
      </c>
      <c r="U1734" t="s">
        <v>6449</v>
      </c>
      <c r="V1734" t="s">
        <v>6450</v>
      </c>
      <c r="W1734" t="s">
        <v>6451</v>
      </c>
      <c r="X1734" t="s">
        <v>46</v>
      </c>
      <c r="AB1734" t="s">
        <v>3109</v>
      </c>
      <c r="AC1734">
        <f>COUNTIF(C:C,QLKV_gui_ket_qua_ra_soat[[#This Row],[Mã điểm bán]])</f>
        <v>1</v>
      </c>
    </row>
    <row r="1735" spans="1:29" x14ac:dyDescent="0.45">
      <c r="A1735" t="s">
        <v>6444</v>
      </c>
      <c r="B1735">
        <v>56</v>
      </c>
      <c r="C1735" t="s">
        <v>6620</v>
      </c>
      <c r="D1735" t="s">
        <v>6621</v>
      </c>
      <c r="E1735" t="s">
        <v>1663</v>
      </c>
      <c r="F1735" t="s">
        <v>6622</v>
      </c>
      <c r="G1735" t="s">
        <v>150</v>
      </c>
      <c r="H1735" t="s">
        <v>842</v>
      </c>
      <c r="I1735" t="s">
        <v>6623</v>
      </c>
      <c r="J1735" t="s">
        <v>37</v>
      </c>
      <c r="K1735" t="s">
        <v>37</v>
      </c>
      <c r="L1735" t="s">
        <v>39</v>
      </c>
      <c r="M1735" t="s">
        <v>37</v>
      </c>
      <c r="N1735" t="s">
        <v>37</v>
      </c>
      <c r="O1735" t="s">
        <v>39</v>
      </c>
      <c r="P1735" t="s">
        <v>37</v>
      </c>
      <c r="Q1735" t="s">
        <v>37</v>
      </c>
      <c r="R1735" t="s">
        <v>40</v>
      </c>
      <c r="S1735" t="s">
        <v>41</v>
      </c>
      <c r="T1735" t="s">
        <v>6456</v>
      </c>
      <c r="U1735" t="s">
        <v>6449</v>
      </c>
      <c r="V1735" t="s">
        <v>6450</v>
      </c>
      <c r="W1735" t="s">
        <v>6451</v>
      </c>
      <c r="Z1735" t="s">
        <v>46</v>
      </c>
      <c r="AA1735" t="s">
        <v>6486</v>
      </c>
      <c r="AB1735" t="s">
        <v>3109</v>
      </c>
      <c r="AC1735">
        <f>COUNTIF(C:C,QLKV_gui_ket_qua_ra_soat[[#This Row],[Mã điểm bán]])</f>
        <v>1</v>
      </c>
    </row>
    <row r="1736" spans="1:29" x14ac:dyDescent="0.45">
      <c r="A1736" t="s">
        <v>6444</v>
      </c>
      <c r="B1736">
        <v>57</v>
      </c>
      <c r="C1736" t="s">
        <v>6624</v>
      </c>
      <c r="D1736" t="s">
        <v>6625</v>
      </c>
      <c r="E1736" t="s">
        <v>1695</v>
      </c>
      <c r="F1736" t="s">
        <v>6626</v>
      </c>
      <c r="G1736" t="s">
        <v>34</v>
      </c>
      <c r="H1736" t="s">
        <v>842</v>
      </c>
      <c r="I1736" t="s">
        <v>6627</v>
      </c>
      <c r="J1736" t="s">
        <v>37</v>
      </c>
      <c r="K1736" t="s">
        <v>56</v>
      </c>
      <c r="L1736" t="s">
        <v>39</v>
      </c>
      <c r="M1736" t="s">
        <v>37</v>
      </c>
      <c r="N1736" t="s">
        <v>56</v>
      </c>
      <c r="O1736" t="s">
        <v>39</v>
      </c>
      <c r="P1736" t="s">
        <v>37</v>
      </c>
      <c r="Q1736" t="s">
        <v>38</v>
      </c>
      <c r="R1736" t="s">
        <v>39</v>
      </c>
      <c r="S1736" t="s">
        <v>41</v>
      </c>
      <c r="T1736" t="s">
        <v>6456</v>
      </c>
      <c r="U1736" t="s">
        <v>6449</v>
      </c>
      <c r="V1736" t="s">
        <v>6450</v>
      </c>
      <c r="W1736" t="s">
        <v>6451</v>
      </c>
      <c r="Z1736" t="s">
        <v>46</v>
      </c>
      <c r="AA1736" t="s">
        <v>6457</v>
      </c>
      <c r="AB1736" t="s">
        <v>5658</v>
      </c>
      <c r="AC1736">
        <f>COUNTIF(C:C,QLKV_gui_ket_qua_ra_soat[[#This Row],[Mã điểm bán]])</f>
        <v>1</v>
      </c>
    </row>
    <row r="1737" spans="1:29" x14ac:dyDescent="0.45">
      <c r="A1737" t="s">
        <v>6444</v>
      </c>
      <c r="B1737">
        <v>58</v>
      </c>
      <c r="C1737" t="s">
        <v>6628</v>
      </c>
      <c r="D1737" t="s">
        <v>6629</v>
      </c>
      <c r="E1737" t="s">
        <v>91</v>
      </c>
      <c r="F1737" t="s">
        <v>2365</v>
      </c>
      <c r="G1737" t="s">
        <v>34</v>
      </c>
      <c r="H1737" t="s">
        <v>54</v>
      </c>
      <c r="I1737" t="s">
        <v>6630</v>
      </c>
      <c r="J1737" t="s">
        <v>38</v>
      </c>
      <c r="K1737" t="s">
        <v>38</v>
      </c>
      <c r="L1737" t="s">
        <v>40</v>
      </c>
      <c r="M1737" t="s">
        <v>37</v>
      </c>
      <c r="N1737" t="s">
        <v>37</v>
      </c>
      <c r="O1737" t="s">
        <v>39</v>
      </c>
      <c r="P1737" t="s">
        <v>38</v>
      </c>
      <c r="Q1737" t="s">
        <v>38</v>
      </c>
      <c r="R1737" t="s">
        <v>40</v>
      </c>
      <c r="S1737" t="s">
        <v>41</v>
      </c>
      <c r="T1737" t="s">
        <v>6504</v>
      </c>
      <c r="U1737" t="s">
        <v>6469</v>
      </c>
      <c r="V1737" t="s">
        <v>6450</v>
      </c>
      <c r="W1737" t="s">
        <v>6451</v>
      </c>
      <c r="X1737" t="s">
        <v>46</v>
      </c>
      <c r="AC1737">
        <f>COUNTIF(C:C,QLKV_gui_ket_qua_ra_soat[[#This Row],[Mã điểm bán]])</f>
        <v>1</v>
      </c>
    </row>
    <row r="1738" spans="1:29" x14ac:dyDescent="0.45">
      <c r="A1738" t="s">
        <v>6444</v>
      </c>
      <c r="B1738">
        <v>59</v>
      </c>
      <c r="C1738" t="s">
        <v>6631</v>
      </c>
      <c r="D1738" t="s">
        <v>1740</v>
      </c>
      <c r="E1738" t="s">
        <v>127</v>
      </c>
      <c r="F1738" t="s">
        <v>559</v>
      </c>
      <c r="G1738" t="s">
        <v>34</v>
      </c>
      <c r="H1738" t="s">
        <v>917</v>
      </c>
      <c r="I1738" t="s">
        <v>6632</v>
      </c>
      <c r="J1738" t="s">
        <v>56</v>
      </c>
      <c r="K1738" t="s">
        <v>37</v>
      </c>
      <c r="L1738" t="s">
        <v>39</v>
      </c>
      <c r="M1738" t="s">
        <v>56</v>
      </c>
      <c r="N1738" t="s">
        <v>56</v>
      </c>
      <c r="O1738" t="s">
        <v>39</v>
      </c>
      <c r="P1738" t="s">
        <v>37</v>
      </c>
      <c r="Q1738" t="s">
        <v>37</v>
      </c>
      <c r="R1738" t="s">
        <v>39</v>
      </c>
      <c r="S1738" t="s">
        <v>41</v>
      </c>
      <c r="T1738" t="s">
        <v>6456</v>
      </c>
      <c r="U1738" t="s">
        <v>6449</v>
      </c>
      <c r="V1738" t="s">
        <v>6450</v>
      </c>
      <c r="W1738" t="s">
        <v>6451</v>
      </c>
      <c r="Z1738" t="s">
        <v>46</v>
      </c>
      <c r="AA1738" t="s">
        <v>6457</v>
      </c>
      <c r="AB1738" t="s">
        <v>4223</v>
      </c>
      <c r="AC1738">
        <f>COUNTIF(C:C,QLKV_gui_ket_qua_ra_soat[[#This Row],[Mã điểm bán]])</f>
        <v>1</v>
      </c>
    </row>
    <row r="1739" spans="1:29" x14ac:dyDescent="0.45">
      <c r="A1739" t="s">
        <v>6444</v>
      </c>
      <c r="B1739">
        <v>60</v>
      </c>
      <c r="C1739" t="s">
        <v>6633</v>
      </c>
      <c r="D1739" t="s">
        <v>6634</v>
      </c>
      <c r="E1739" t="s">
        <v>4274</v>
      </c>
      <c r="F1739" t="s">
        <v>166</v>
      </c>
      <c r="G1739" t="s">
        <v>177</v>
      </c>
      <c r="H1739" t="s">
        <v>214</v>
      </c>
      <c r="I1739" t="s">
        <v>4322</v>
      </c>
      <c r="J1739" t="s">
        <v>38</v>
      </c>
      <c r="K1739" t="s">
        <v>38</v>
      </c>
      <c r="L1739" t="s">
        <v>40</v>
      </c>
      <c r="M1739" t="s">
        <v>38</v>
      </c>
      <c r="N1739" t="s">
        <v>38</v>
      </c>
      <c r="O1739" t="s">
        <v>39</v>
      </c>
      <c r="P1739" t="s">
        <v>38</v>
      </c>
      <c r="Q1739" t="s">
        <v>38</v>
      </c>
      <c r="R1739" t="s">
        <v>40</v>
      </c>
      <c r="S1739" t="s">
        <v>6635</v>
      </c>
      <c r="T1739" t="s">
        <v>6504</v>
      </c>
      <c r="U1739" t="s">
        <v>6469</v>
      </c>
      <c r="V1739" t="s">
        <v>6450</v>
      </c>
      <c r="W1739" t="s">
        <v>6451</v>
      </c>
      <c r="Z1739" t="s">
        <v>46</v>
      </c>
      <c r="AA1739" t="s">
        <v>6486</v>
      </c>
      <c r="AB1739" t="s">
        <v>3109</v>
      </c>
      <c r="AC1739">
        <f>COUNTIF(C:C,QLKV_gui_ket_qua_ra_soat[[#This Row],[Mã điểm bán]])</f>
        <v>1</v>
      </c>
    </row>
    <row r="1740" spans="1:29" x14ac:dyDescent="0.45">
      <c r="A1740" t="s">
        <v>6444</v>
      </c>
      <c r="B1740">
        <v>61</v>
      </c>
      <c r="C1740" t="s">
        <v>6636</v>
      </c>
      <c r="D1740" t="s">
        <v>6637</v>
      </c>
      <c r="E1740" t="s">
        <v>6638</v>
      </c>
      <c r="F1740" t="s">
        <v>2784</v>
      </c>
      <c r="G1740" t="s">
        <v>34</v>
      </c>
      <c r="H1740" t="s">
        <v>54</v>
      </c>
      <c r="I1740" t="s">
        <v>2460</v>
      </c>
      <c r="J1740" t="s">
        <v>38</v>
      </c>
      <c r="K1740" t="s">
        <v>38</v>
      </c>
      <c r="L1740" t="s">
        <v>39</v>
      </c>
      <c r="M1740" t="s">
        <v>38</v>
      </c>
      <c r="N1740" t="s">
        <v>38</v>
      </c>
      <c r="O1740" t="s">
        <v>39</v>
      </c>
      <c r="P1740" t="s">
        <v>38</v>
      </c>
      <c r="Q1740" t="s">
        <v>38</v>
      </c>
      <c r="R1740" t="s">
        <v>40</v>
      </c>
      <c r="S1740" t="s">
        <v>41</v>
      </c>
      <c r="T1740" t="s">
        <v>6468</v>
      </c>
      <c r="U1740" t="s">
        <v>6469</v>
      </c>
      <c r="V1740" t="s">
        <v>6450</v>
      </c>
      <c r="W1740" t="s">
        <v>6451</v>
      </c>
      <c r="X1740" t="s">
        <v>46</v>
      </c>
      <c r="AC1740">
        <f>COUNTIF(C:C,QLKV_gui_ket_qua_ra_soat[[#This Row],[Mã điểm bán]])</f>
        <v>1</v>
      </c>
    </row>
    <row r="1741" spans="1:29" x14ac:dyDescent="0.45">
      <c r="A1741" t="s">
        <v>6444</v>
      </c>
      <c r="B1741">
        <v>62</v>
      </c>
      <c r="C1741" t="s">
        <v>6639</v>
      </c>
      <c r="D1741" t="s">
        <v>6640</v>
      </c>
      <c r="E1741" t="s">
        <v>2229</v>
      </c>
      <c r="F1741" t="s">
        <v>166</v>
      </c>
      <c r="G1741" t="s">
        <v>34</v>
      </c>
      <c r="H1741" t="s">
        <v>54</v>
      </c>
      <c r="I1741" t="s">
        <v>2460</v>
      </c>
      <c r="J1741" t="s">
        <v>38</v>
      </c>
      <c r="K1741" t="s">
        <v>38</v>
      </c>
      <c r="L1741" t="s">
        <v>39</v>
      </c>
      <c r="M1741" t="s">
        <v>38</v>
      </c>
      <c r="N1741" t="s">
        <v>38</v>
      </c>
      <c r="O1741" t="s">
        <v>39</v>
      </c>
      <c r="P1741" t="s">
        <v>38</v>
      </c>
      <c r="Q1741" t="s">
        <v>38</v>
      </c>
      <c r="R1741" t="s">
        <v>40</v>
      </c>
      <c r="S1741" t="s">
        <v>41</v>
      </c>
      <c r="T1741" t="s">
        <v>6468</v>
      </c>
      <c r="U1741" t="s">
        <v>6469</v>
      </c>
      <c r="V1741" t="s">
        <v>6450</v>
      </c>
      <c r="W1741" t="s">
        <v>6451</v>
      </c>
      <c r="X1741" t="s">
        <v>46</v>
      </c>
      <c r="AC1741">
        <f>COUNTIF(C:C,QLKV_gui_ket_qua_ra_soat[[#This Row],[Mã điểm bán]])</f>
        <v>1</v>
      </c>
    </row>
    <row r="1742" spans="1:29" x14ac:dyDescent="0.45">
      <c r="A1742" t="s">
        <v>6444</v>
      </c>
      <c r="B1742">
        <v>63</v>
      </c>
      <c r="C1742" t="s">
        <v>6641</v>
      </c>
      <c r="D1742" t="s">
        <v>6642</v>
      </c>
      <c r="E1742" t="s">
        <v>338</v>
      </c>
      <c r="F1742" t="s">
        <v>4431</v>
      </c>
      <c r="G1742" t="s">
        <v>150</v>
      </c>
      <c r="H1742" t="s">
        <v>1280</v>
      </c>
      <c r="I1742" t="s">
        <v>6643</v>
      </c>
      <c r="J1742" t="s">
        <v>56</v>
      </c>
      <c r="K1742" t="s">
        <v>37</v>
      </c>
      <c r="L1742" t="s">
        <v>39</v>
      </c>
      <c r="M1742" t="s">
        <v>56</v>
      </c>
      <c r="N1742" t="s">
        <v>56</v>
      </c>
      <c r="O1742" t="s">
        <v>39</v>
      </c>
      <c r="P1742" t="s">
        <v>37</v>
      </c>
      <c r="Q1742" t="s">
        <v>37</v>
      </c>
      <c r="R1742" t="s">
        <v>39</v>
      </c>
      <c r="S1742" t="s">
        <v>41</v>
      </c>
      <c r="T1742" t="s">
        <v>6456</v>
      </c>
      <c r="U1742" t="s">
        <v>6449</v>
      </c>
      <c r="V1742" t="s">
        <v>6450</v>
      </c>
      <c r="W1742" t="s">
        <v>6451</v>
      </c>
      <c r="Z1742" t="s">
        <v>46</v>
      </c>
      <c r="AA1742" t="s">
        <v>6486</v>
      </c>
      <c r="AC1742">
        <f>COUNTIF(C:C,QLKV_gui_ket_qua_ra_soat[[#This Row],[Mã điểm bán]])</f>
        <v>1</v>
      </c>
    </row>
    <row r="1743" spans="1:29" x14ac:dyDescent="0.45">
      <c r="A1743" t="s">
        <v>6444</v>
      </c>
      <c r="B1743">
        <v>64</v>
      </c>
      <c r="C1743" t="s">
        <v>6644</v>
      </c>
      <c r="D1743" t="s">
        <v>6645</v>
      </c>
      <c r="E1743" t="s">
        <v>338</v>
      </c>
      <c r="F1743" t="s">
        <v>115</v>
      </c>
      <c r="G1743" t="s">
        <v>34</v>
      </c>
      <c r="H1743" t="s">
        <v>77</v>
      </c>
      <c r="I1743" t="s">
        <v>144</v>
      </c>
      <c r="J1743" t="s">
        <v>37</v>
      </c>
      <c r="K1743" t="s">
        <v>37</v>
      </c>
      <c r="L1743" t="s">
        <v>39</v>
      </c>
      <c r="M1743" t="s">
        <v>37</v>
      </c>
      <c r="N1743" t="s">
        <v>37</v>
      </c>
      <c r="O1743" t="s">
        <v>39</v>
      </c>
      <c r="P1743" t="s">
        <v>37</v>
      </c>
      <c r="Q1743" t="s">
        <v>37</v>
      </c>
      <c r="R1743" t="s">
        <v>40</v>
      </c>
      <c r="S1743" t="s">
        <v>41</v>
      </c>
      <c r="T1743" t="s">
        <v>6456</v>
      </c>
      <c r="U1743" t="s">
        <v>6449</v>
      </c>
      <c r="V1743" t="s">
        <v>6450</v>
      </c>
      <c r="W1743" t="s">
        <v>6451</v>
      </c>
      <c r="Z1743" t="s">
        <v>46</v>
      </c>
      <c r="AA1743" t="s">
        <v>6486</v>
      </c>
      <c r="AB1743" t="s">
        <v>4223</v>
      </c>
      <c r="AC1743">
        <f>COUNTIF(C:C,QLKV_gui_ket_qua_ra_soat[[#This Row],[Mã điểm bán]])</f>
        <v>1</v>
      </c>
    </row>
    <row r="1744" spans="1:29" x14ac:dyDescent="0.45">
      <c r="A1744" t="s">
        <v>6444</v>
      </c>
      <c r="B1744">
        <v>65</v>
      </c>
      <c r="C1744" t="s">
        <v>6646</v>
      </c>
      <c r="D1744" t="s">
        <v>6647</v>
      </c>
      <c r="E1744" t="s">
        <v>823</v>
      </c>
      <c r="F1744" t="s">
        <v>1676</v>
      </c>
      <c r="G1744" t="s">
        <v>34</v>
      </c>
      <c r="H1744" t="s">
        <v>54</v>
      </c>
      <c r="I1744" t="s">
        <v>6648</v>
      </c>
      <c r="J1744" t="s">
        <v>38</v>
      </c>
      <c r="K1744" t="s">
        <v>38</v>
      </c>
      <c r="L1744" t="s">
        <v>39</v>
      </c>
      <c r="M1744" t="s">
        <v>38</v>
      </c>
      <c r="N1744" t="s">
        <v>38</v>
      </c>
      <c r="O1744" t="s">
        <v>39</v>
      </c>
      <c r="P1744" t="s">
        <v>38</v>
      </c>
      <c r="Q1744" t="s">
        <v>38</v>
      </c>
      <c r="R1744" t="s">
        <v>40</v>
      </c>
      <c r="S1744" t="s">
        <v>41</v>
      </c>
      <c r="T1744" t="s">
        <v>6468</v>
      </c>
      <c r="U1744" t="s">
        <v>6469</v>
      </c>
      <c r="V1744" t="s">
        <v>6450</v>
      </c>
      <c r="W1744" t="s">
        <v>6451</v>
      </c>
      <c r="Z1744" t="s">
        <v>46</v>
      </c>
      <c r="AA1744" t="s">
        <v>6486</v>
      </c>
      <c r="AB1744" t="s">
        <v>3109</v>
      </c>
      <c r="AC1744">
        <f>COUNTIF(C:C,QLKV_gui_ket_qua_ra_soat[[#This Row],[Mã điểm bán]])</f>
        <v>1</v>
      </c>
    </row>
    <row r="1745" spans="1:29" x14ac:dyDescent="0.45">
      <c r="A1745" t="s">
        <v>6444</v>
      </c>
      <c r="B1745">
        <v>66</v>
      </c>
      <c r="C1745" t="s">
        <v>6649</v>
      </c>
      <c r="D1745" t="s">
        <v>2019</v>
      </c>
      <c r="E1745" t="s">
        <v>5967</v>
      </c>
      <c r="F1745" t="s">
        <v>325</v>
      </c>
      <c r="G1745" t="s">
        <v>177</v>
      </c>
      <c r="H1745" t="s">
        <v>54</v>
      </c>
      <c r="I1745" t="s">
        <v>2460</v>
      </c>
      <c r="J1745" t="s">
        <v>38</v>
      </c>
      <c r="K1745" t="s">
        <v>38</v>
      </c>
      <c r="L1745" t="s">
        <v>39</v>
      </c>
      <c r="M1745" t="s">
        <v>38</v>
      </c>
      <c r="N1745" t="s">
        <v>38</v>
      </c>
      <c r="O1745" t="s">
        <v>39</v>
      </c>
      <c r="P1745" t="s">
        <v>38</v>
      </c>
      <c r="Q1745" t="s">
        <v>38</v>
      </c>
      <c r="R1745" t="s">
        <v>40</v>
      </c>
      <c r="S1745" t="s">
        <v>6650</v>
      </c>
      <c r="T1745" t="s">
        <v>6468</v>
      </c>
      <c r="U1745" t="s">
        <v>6469</v>
      </c>
      <c r="V1745" t="s">
        <v>6450</v>
      </c>
      <c r="W1745" t="s">
        <v>6451</v>
      </c>
      <c r="X1745" t="s">
        <v>46</v>
      </c>
      <c r="AC1745">
        <f>COUNTIF(C:C,QLKV_gui_ket_qua_ra_soat[[#This Row],[Mã điểm bán]])</f>
        <v>1</v>
      </c>
    </row>
    <row r="1746" spans="1:29" x14ac:dyDescent="0.45">
      <c r="A1746" t="s">
        <v>6444</v>
      </c>
      <c r="B1746">
        <v>67</v>
      </c>
      <c r="C1746" t="s">
        <v>6651</v>
      </c>
      <c r="D1746" t="s">
        <v>6652</v>
      </c>
      <c r="E1746" t="s">
        <v>674</v>
      </c>
      <c r="F1746" t="s">
        <v>70</v>
      </c>
      <c r="G1746" t="s">
        <v>34</v>
      </c>
      <c r="H1746" t="s">
        <v>1542</v>
      </c>
      <c r="I1746" t="s">
        <v>6278</v>
      </c>
      <c r="J1746" t="s">
        <v>37</v>
      </c>
      <c r="K1746" t="s">
        <v>37</v>
      </c>
      <c r="L1746" t="s">
        <v>39</v>
      </c>
      <c r="M1746" t="s">
        <v>37</v>
      </c>
      <c r="N1746" t="s">
        <v>37</v>
      </c>
      <c r="O1746" t="s">
        <v>39</v>
      </c>
      <c r="P1746" t="s">
        <v>38</v>
      </c>
      <c r="Q1746" t="s">
        <v>38</v>
      </c>
      <c r="R1746" t="s">
        <v>39</v>
      </c>
      <c r="S1746" t="s">
        <v>41</v>
      </c>
      <c r="T1746" t="s">
        <v>6456</v>
      </c>
      <c r="U1746" t="s">
        <v>6449</v>
      </c>
      <c r="V1746" t="s">
        <v>6450</v>
      </c>
      <c r="W1746" t="s">
        <v>6451</v>
      </c>
      <c r="Z1746" t="s">
        <v>46</v>
      </c>
      <c r="AA1746" t="s">
        <v>6486</v>
      </c>
      <c r="AB1746" t="s">
        <v>3109</v>
      </c>
      <c r="AC1746">
        <f>COUNTIF(C:C,QLKV_gui_ket_qua_ra_soat[[#This Row],[Mã điểm bán]])</f>
        <v>1</v>
      </c>
    </row>
    <row r="1747" spans="1:29" x14ac:dyDescent="0.45">
      <c r="A1747" t="s">
        <v>6444</v>
      </c>
      <c r="B1747">
        <v>68</v>
      </c>
      <c r="C1747" t="s">
        <v>6653</v>
      </c>
      <c r="D1747" t="s">
        <v>6654</v>
      </c>
      <c r="E1747" t="s">
        <v>2580</v>
      </c>
      <c r="F1747" t="s">
        <v>6655</v>
      </c>
      <c r="G1747" t="s">
        <v>34</v>
      </c>
      <c r="H1747" t="s">
        <v>54</v>
      </c>
      <c r="I1747" t="s">
        <v>6656</v>
      </c>
      <c r="J1747" t="s">
        <v>38</v>
      </c>
      <c r="K1747" t="s">
        <v>38</v>
      </c>
      <c r="L1747" t="s">
        <v>40</v>
      </c>
      <c r="M1747" t="s">
        <v>38</v>
      </c>
      <c r="N1747" t="s">
        <v>38</v>
      </c>
      <c r="O1747" t="s">
        <v>39</v>
      </c>
      <c r="P1747" t="s">
        <v>38</v>
      </c>
      <c r="Q1747" t="s">
        <v>38</v>
      </c>
      <c r="R1747" t="s">
        <v>39</v>
      </c>
      <c r="S1747" t="s">
        <v>41</v>
      </c>
      <c r="T1747" t="s">
        <v>6468</v>
      </c>
      <c r="U1747" t="s">
        <v>6469</v>
      </c>
      <c r="V1747" t="s">
        <v>6450</v>
      </c>
      <c r="W1747" t="s">
        <v>6451</v>
      </c>
      <c r="X1747" t="s">
        <v>46</v>
      </c>
      <c r="AC1747">
        <f>COUNTIF(C:C,QLKV_gui_ket_qua_ra_soat[[#This Row],[Mã điểm bán]])</f>
        <v>1</v>
      </c>
    </row>
    <row r="1748" spans="1:29" x14ac:dyDescent="0.45">
      <c r="A1748" t="s">
        <v>6444</v>
      </c>
      <c r="B1748">
        <v>69</v>
      </c>
      <c r="C1748" t="s">
        <v>6657</v>
      </c>
      <c r="D1748" t="s">
        <v>6658</v>
      </c>
      <c r="E1748" t="s">
        <v>2080</v>
      </c>
      <c r="F1748" t="s">
        <v>4688</v>
      </c>
      <c r="G1748" t="s">
        <v>34</v>
      </c>
      <c r="H1748" t="s">
        <v>54</v>
      </c>
      <c r="I1748" t="s">
        <v>6659</v>
      </c>
      <c r="J1748" t="s">
        <v>38</v>
      </c>
      <c r="K1748" t="s">
        <v>38</v>
      </c>
      <c r="L1748" t="s">
        <v>39</v>
      </c>
      <c r="M1748" t="s">
        <v>38</v>
      </c>
      <c r="N1748" t="s">
        <v>38</v>
      </c>
      <c r="O1748" t="s">
        <v>39</v>
      </c>
      <c r="P1748" t="s">
        <v>38</v>
      </c>
      <c r="Q1748" t="s">
        <v>38</v>
      </c>
      <c r="R1748" t="s">
        <v>39</v>
      </c>
      <c r="S1748" t="s">
        <v>41</v>
      </c>
      <c r="T1748" t="s">
        <v>6468</v>
      </c>
      <c r="U1748" t="s">
        <v>6469</v>
      </c>
      <c r="V1748" t="s">
        <v>6450</v>
      </c>
      <c r="W1748" t="s">
        <v>6451</v>
      </c>
      <c r="Z1748" t="s">
        <v>46</v>
      </c>
      <c r="AA1748" t="s">
        <v>6486</v>
      </c>
      <c r="AB1748" t="s">
        <v>4223</v>
      </c>
      <c r="AC1748">
        <f>COUNTIF(C:C,QLKV_gui_ket_qua_ra_soat[[#This Row],[Mã điểm bán]])</f>
        <v>1</v>
      </c>
    </row>
    <row r="1749" spans="1:29" x14ac:dyDescent="0.45">
      <c r="A1749" t="s">
        <v>6444</v>
      </c>
      <c r="B1749">
        <v>70</v>
      </c>
      <c r="C1749" t="s">
        <v>6660</v>
      </c>
      <c r="D1749" t="s">
        <v>6661</v>
      </c>
      <c r="E1749" t="s">
        <v>6663</v>
      </c>
      <c r="F1749" t="s">
        <v>4355</v>
      </c>
      <c r="G1749" t="s">
        <v>177</v>
      </c>
      <c r="H1749" t="s">
        <v>1188</v>
      </c>
      <c r="I1749" t="s">
        <v>6664</v>
      </c>
      <c r="J1749" t="s">
        <v>38</v>
      </c>
      <c r="K1749" t="s">
        <v>38</v>
      </c>
      <c r="L1749" t="s">
        <v>40</v>
      </c>
      <c r="M1749" t="s">
        <v>37</v>
      </c>
      <c r="N1749" t="s">
        <v>37</v>
      </c>
      <c r="O1749" t="s">
        <v>39</v>
      </c>
      <c r="P1749" t="s">
        <v>38</v>
      </c>
      <c r="Q1749" t="s">
        <v>38</v>
      </c>
      <c r="R1749" t="s">
        <v>40</v>
      </c>
      <c r="S1749" t="s">
        <v>6665</v>
      </c>
      <c r="T1749" t="s">
        <v>6504</v>
      </c>
      <c r="U1749" t="s">
        <v>6469</v>
      </c>
      <c r="V1749" t="s">
        <v>6450</v>
      </c>
      <c r="W1749" t="s">
        <v>6451</v>
      </c>
      <c r="Z1749" t="s">
        <v>46</v>
      </c>
      <c r="AA1749" t="s">
        <v>6486</v>
      </c>
      <c r="AB1749" t="s">
        <v>4223</v>
      </c>
      <c r="AC1749">
        <f>COUNTIF(C:C,QLKV_gui_ket_qua_ra_soat[[#This Row],[Mã điểm bán]])</f>
        <v>1</v>
      </c>
    </row>
    <row r="1750" spans="1:29" x14ac:dyDescent="0.45">
      <c r="A1750" t="s">
        <v>6444</v>
      </c>
      <c r="B1750">
        <v>71</v>
      </c>
      <c r="C1750" t="s">
        <v>6666</v>
      </c>
      <c r="D1750" t="s">
        <v>6667</v>
      </c>
      <c r="E1750" t="s">
        <v>354</v>
      </c>
      <c r="F1750" t="s">
        <v>70</v>
      </c>
      <c r="G1750" t="s">
        <v>34</v>
      </c>
      <c r="H1750" t="s">
        <v>54</v>
      </c>
      <c r="I1750" t="s">
        <v>6668</v>
      </c>
      <c r="J1750" t="s">
        <v>38</v>
      </c>
      <c r="K1750" t="s">
        <v>38</v>
      </c>
      <c r="L1750" t="s">
        <v>40</v>
      </c>
      <c r="M1750" t="s">
        <v>38</v>
      </c>
      <c r="N1750" t="s">
        <v>38</v>
      </c>
      <c r="O1750" t="s">
        <v>40</v>
      </c>
      <c r="P1750" t="s">
        <v>38</v>
      </c>
      <c r="Q1750" t="s">
        <v>38</v>
      </c>
      <c r="R1750" t="s">
        <v>40</v>
      </c>
      <c r="S1750" t="s">
        <v>6669</v>
      </c>
      <c r="T1750" t="s">
        <v>6504</v>
      </c>
      <c r="U1750" t="s">
        <v>6469</v>
      </c>
      <c r="V1750" t="s">
        <v>6450</v>
      </c>
      <c r="W1750" t="s">
        <v>6451</v>
      </c>
      <c r="X1750" t="s">
        <v>46</v>
      </c>
      <c r="AC1750">
        <f>COUNTIF(C:C,QLKV_gui_ket_qua_ra_soat[[#This Row],[Mã điểm bán]])</f>
        <v>1</v>
      </c>
    </row>
    <row r="1751" spans="1:29" x14ac:dyDescent="0.45">
      <c r="A1751" t="s">
        <v>6444</v>
      </c>
      <c r="B1751">
        <v>72</v>
      </c>
      <c r="C1751" t="s">
        <v>6670</v>
      </c>
      <c r="D1751" t="s">
        <v>6671</v>
      </c>
      <c r="E1751" t="s">
        <v>529</v>
      </c>
      <c r="F1751" t="s">
        <v>426</v>
      </c>
      <c r="G1751" t="s">
        <v>177</v>
      </c>
      <c r="H1751" t="s">
        <v>171</v>
      </c>
      <c r="I1751" t="s">
        <v>6672</v>
      </c>
      <c r="J1751" t="s">
        <v>38</v>
      </c>
      <c r="K1751" t="s">
        <v>38</v>
      </c>
      <c r="L1751" t="s">
        <v>40</v>
      </c>
      <c r="M1751" t="s">
        <v>38</v>
      </c>
      <c r="N1751" t="s">
        <v>37</v>
      </c>
      <c r="O1751" t="s">
        <v>39</v>
      </c>
      <c r="P1751" t="s">
        <v>38</v>
      </c>
      <c r="Q1751" t="s">
        <v>38</v>
      </c>
      <c r="R1751" t="s">
        <v>39</v>
      </c>
      <c r="S1751" t="s">
        <v>41</v>
      </c>
      <c r="T1751" t="s">
        <v>6448</v>
      </c>
      <c r="U1751" t="s">
        <v>6449</v>
      </c>
      <c r="V1751" t="s">
        <v>6450</v>
      </c>
      <c r="W1751" t="s">
        <v>6451</v>
      </c>
      <c r="X1751" t="s">
        <v>46</v>
      </c>
      <c r="AC1751">
        <f>COUNTIF(C:C,QLKV_gui_ket_qua_ra_soat[[#This Row],[Mã điểm bán]])</f>
        <v>1</v>
      </c>
    </row>
    <row r="1752" spans="1:29" x14ac:dyDescent="0.45">
      <c r="A1752" t="s">
        <v>6444</v>
      </c>
      <c r="B1752">
        <v>73</v>
      </c>
      <c r="C1752" t="s">
        <v>6673</v>
      </c>
      <c r="D1752" t="s">
        <v>6674</v>
      </c>
      <c r="E1752" t="s">
        <v>529</v>
      </c>
      <c r="F1752" t="s">
        <v>401</v>
      </c>
      <c r="G1752" t="s">
        <v>34</v>
      </c>
      <c r="H1752" t="s">
        <v>54</v>
      </c>
      <c r="I1752" t="s">
        <v>6675</v>
      </c>
      <c r="J1752" t="s">
        <v>37</v>
      </c>
      <c r="K1752" t="s">
        <v>37</v>
      </c>
      <c r="L1752" t="s">
        <v>39</v>
      </c>
      <c r="M1752" t="s">
        <v>37</v>
      </c>
      <c r="N1752" t="s">
        <v>37</v>
      </c>
      <c r="O1752" t="s">
        <v>39</v>
      </c>
      <c r="P1752" t="s">
        <v>37</v>
      </c>
      <c r="Q1752" t="s">
        <v>37</v>
      </c>
      <c r="R1752" t="s">
        <v>39</v>
      </c>
      <c r="S1752" t="s">
        <v>41</v>
      </c>
      <c r="T1752" t="s">
        <v>6448</v>
      </c>
      <c r="U1752" t="s">
        <v>6449</v>
      </c>
      <c r="V1752" t="s">
        <v>6450</v>
      </c>
      <c r="W1752" t="s">
        <v>6451</v>
      </c>
      <c r="X1752" t="s">
        <v>46</v>
      </c>
      <c r="AB1752" t="s">
        <v>3109</v>
      </c>
      <c r="AC1752">
        <f>COUNTIF(C:C,QLKV_gui_ket_qua_ra_soat[[#This Row],[Mã điểm bán]])</f>
        <v>1</v>
      </c>
    </row>
    <row r="1753" spans="1:29" x14ac:dyDescent="0.45">
      <c r="A1753" t="s">
        <v>6444</v>
      </c>
      <c r="B1753">
        <v>74</v>
      </c>
      <c r="C1753" t="s">
        <v>6676</v>
      </c>
      <c r="D1753" t="s">
        <v>6488</v>
      </c>
      <c r="E1753" t="s">
        <v>6677</v>
      </c>
      <c r="F1753" t="s">
        <v>6678</v>
      </c>
      <c r="G1753" t="s">
        <v>150</v>
      </c>
      <c r="H1753" t="s">
        <v>214</v>
      </c>
      <c r="I1753" t="s">
        <v>6679</v>
      </c>
      <c r="J1753" t="s">
        <v>38</v>
      </c>
      <c r="K1753" t="s">
        <v>38</v>
      </c>
      <c r="L1753" t="s">
        <v>39</v>
      </c>
      <c r="M1753" t="s">
        <v>37</v>
      </c>
      <c r="N1753" t="s">
        <v>37</v>
      </c>
      <c r="O1753" t="s">
        <v>39</v>
      </c>
      <c r="P1753" t="s">
        <v>38</v>
      </c>
      <c r="Q1753" t="s">
        <v>38</v>
      </c>
      <c r="R1753" t="s">
        <v>40</v>
      </c>
      <c r="S1753" t="s">
        <v>41</v>
      </c>
      <c r="T1753" t="s">
        <v>6504</v>
      </c>
      <c r="U1753" t="s">
        <v>6469</v>
      </c>
      <c r="V1753" t="s">
        <v>6450</v>
      </c>
      <c r="W1753" t="s">
        <v>6451</v>
      </c>
      <c r="X1753" t="s">
        <v>46</v>
      </c>
      <c r="AB1753" t="s">
        <v>3109</v>
      </c>
      <c r="AC1753">
        <f>COUNTIF(C:C,QLKV_gui_ket_qua_ra_soat[[#This Row],[Mã điểm bán]])</f>
        <v>1</v>
      </c>
    </row>
    <row r="1754" spans="1:29" x14ac:dyDescent="0.45">
      <c r="A1754" t="s">
        <v>6444</v>
      </c>
      <c r="B1754">
        <v>75</v>
      </c>
      <c r="C1754" t="s">
        <v>6680</v>
      </c>
      <c r="D1754" t="s">
        <v>6681</v>
      </c>
      <c r="E1754" t="s">
        <v>307</v>
      </c>
      <c r="F1754" t="s">
        <v>115</v>
      </c>
      <c r="G1754" t="s">
        <v>34</v>
      </c>
      <c r="H1754" t="s">
        <v>54</v>
      </c>
      <c r="I1754" t="s">
        <v>6460</v>
      </c>
      <c r="J1754" t="s">
        <v>37</v>
      </c>
      <c r="K1754" t="s">
        <v>38</v>
      </c>
      <c r="L1754" t="s">
        <v>39</v>
      </c>
      <c r="M1754" t="s">
        <v>37</v>
      </c>
      <c r="N1754" t="s">
        <v>37</v>
      </c>
      <c r="O1754" t="s">
        <v>39</v>
      </c>
      <c r="P1754" t="s">
        <v>38</v>
      </c>
      <c r="Q1754" t="s">
        <v>38</v>
      </c>
      <c r="R1754" t="s">
        <v>39</v>
      </c>
      <c r="S1754" t="s">
        <v>41</v>
      </c>
      <c r="T1754" t="s">
        <v>6448</v>
      </c>
      <c r="U1754" t="s">
        <v>6449</v>
      </c>
      <c r="V1754" t="s">
        <v>6450</v>
      </c>
      <c r="W1754" t="s">
        <v>6451</v>
      </c>
      <c r="Z1754" t="s">
        <v>46</v>
      </c>
      <c r="AA1754" t="s">
        <v>6486</v>
      </c>
      <c r="AB1754" t="s">
        <v>5658</v>
      </c>
      <c r="AC1754">
        <f>COUNTIF(C:C,QLKV_gui_ket_qua_ra_soat[[#This Row],[Mã điểm bán]])</f>
        <v>1</v>
      </c>
    </row>
    <row r="1755" spans="1:29" x14ac:dyDescent="0.45">
      <c r="A1755" t="s">
        <v>6444</v>
      </c>
      <c r="B1755">
        <v>76</v>
      </c>
      <c r="C1755" t="s">
        <v>6682</v>
      </c>
      <c r="D1755" t="s">
        <v>6683</v>
      </c>
      <c r="E1755" t="s">
        <v>157</v>
      </c>
      <c r="F1755" t="s">
        <v>53</v>
      </c>
      <c r="G1755" t="s">
        <v>34</v>
      </c>
      <c r="H1755" t="s">
        <v>54</v>
      </c>
      <c r="I1755" t="s">
        <v>6684</v>
      </c>
      <c r="J1755" t="s">
        <v>38</v>
      </c>
      <c r="K1755" t="s">
        <v>38</v>
      </c>
      <c r="L1755" t="s">
        <v>40</v>
      </c>
      <c r="M1755" t="s">
        <v>56</v>
      </c>
      <c r="N1755" t="s">
        <v>56</v>
      </c>
      <c r="O1755" t="s">
        <v>39</v>
      </c>
      <c r="P1755" t="s">
        <v>38</v>
      </c>
      <c r="Q1755" t="s">
        <v>38</v>
      </c>
      <c r="R1755" t="s">
        <v>40</v>
      </c>
      <c r="S1755" t="s">
        <v>41</v>
      </c>
      <c r="T1755" t="s">
        <v>6685</v>
      </c>
      <c r="U1755" t="s">
        <v>6686</v>
      </c>
      <c r="V1755" t="s">
        <v>6450</v>
      </c>
      <c r="W1755" t="s">
        <v>6687</v>
      </c>
      <c r="Z1755" t="s">
        <v>46</v>
      </c>
      <c r="AA1755" t="s">
        <v>6688</v>
      </c>
      <c r="AB1755" t="s">
        <v>3109</v>
      </c>
      <c r="AC1755">
        <f>COUNTIF(C:C,QLKV_gui_ket_qua_ra_soat[[#This Row],[Mã điểm bán]])</f>
        <v>1</v>
      </c>
    </row>
    <row r="1756" spans="1:29" x14ac:dyDescent="0.45">
      <c r="A1756" t="s">
        <v>6444</v>
      </c>
      <c r="B1756">
        <v>77</v>
      </c>
      <c r="C1756" t="s">
        <v>6689</v>
      </c>
      <c r="D1756" t="s">
        <v>6690</v>
      </c>
      <c r="E1756" t="s">
        <v>665</v>
      </c>
      <c r="F1756" t="s">
        <v>53</v>
      </c>
      <c r="G1756" t="s">
        <v>34</v>
      </c>
      <c r="H1756" t="s">
        <v>54</v>
      </c>
      <c r="I1756" t="s">
        <v>6684</v>
      </c>
      <c r="J1756" t="s">
        <v>38</v>
      </c>
      <c r="K1756" t="s">
        <v>38</v>
      </c>
      <c r="L1756" t="s">
        <v>40</v>
      </c>
      <c r="M1756" t="s">
        <v>56</v>
      </c>
      <c r="N1756" t="s">
        <v>56</v>
      </c>
      <c r="O1756" t="s">
        <v>39</v>
      </c>
      <c r="P1756" t="s">
        <v>38</v>
      </c>
      <c r="Q1756" t="s">
        <v>38</v>
      </c>
      <c r="R1756" t="s">
        <v>40</v>
      </c>
      <c r="S1756" t="s">
        <v>41</v>
      </c>
      <c r="T1756" t="s">
        <v>6685</v>
      </c>
      <c r="U1756" t="s">
        <v>6686</v>
      </c>
      <c r="V1756" t="s">
        <v>6450</v>
      </c>
      <c r="W1756" t="s">
        <v>6687</v>
      </c>
      <c r="Z1756" t="s">
        <v>46</v>
      </c>
      <c r="AA1756" t="s">
        <v>6688</v>
      </c>
      <c r="AB1756" t="s">
        <v>3109</v>
      </c>
      <c r="AC1756">
        <f>COUNTIF(C:C,QLKV_gui_ket_qua_ra_soat[[#This Row],[Mã điểm bán]])</f>
        <v>1</v>
      </c>
    </row>
    <row r="1757" spans="1:29" x14ac:dyDescent="0.45">
      <c r="A1757" t="s">
        <v>6444</v>
      </c>
      <c r="B1757">
        <v>78</v>
      </c>
      <c r="C1757" t="s">
        <v>6691</v>
      </c>
      <c r="D1757" t="s">
        <v>6692</v>
      </c>
      <c r="E1757" t="s">
        <v>69</v>
      </c>
      <c r="F1757" t="s">
        <v>53</v>
      </c>
      <c r="G1757" t="s">
        <v>34</v>
      </c>
      <c r="H1757" t="s">
        <v>54</v>
      </c>
      <c r="I1757" t="s">
        <v>6693</v>
      </c>
      <c r="J1757" t="s">
        <v>38</v>
      </c>
      <c r="K1757" t="s">
        <v>38</v>
      </c>
      <c r="L1757" t="s">
        <v>40</v>
      </c>
      <c r="M1757" t="s">
        <v>38</v>
      </c>
      <c r="N1757" t="s">
        <v>38</v>
      </c>
      <c r="O1757" t="s">
        <v>40</v>
      </c>
      <c r="P1757" t="s">
        <v>38</v>
      </c>
      <c r="Q1757" t="s">
        <v>38</v>
      </c>
      <c r="R1757" t="s">
        <v>40</v>
      </c>
      <c r="S1757" t="s">
        <v>41</v>
      </c>
      <c r="T1757" t="s">
        <v>6694</v>
      </c>
      <c r="U1757" t="s">
        <v>6686</v>
      </c>
      <c r="V1757" t="s">
        <v>6450</v>
      </c>
      <c r="W1757" t="s">
        <v>6687</v>
      </c>
      <c r="X1757" t="s">
        <v>46</v>
      </c>
      <c r="AC1757">
        <f>COUNTIF(C:C,QLKV_gui_ket_qua_ra_soat[[#This Row],[Mã điểm bán]])</f>
        <v>1</v>
      </c>
    </row>
    <row r="1758" spans="1:29" x14ac:dyDescent="0.45">
      <c r="A1758" t="s">
        <v>6444</v>
      </c>
      <c r="B1758">
        <v>79</v>
      </c>
      <c r="C1758" t="s">
        <v>6695</v>
      </c>
      <c r="D1758" t="s">
        <v>6696</v>
      </c>
      <c r="E1758" t="s">
        <v>2229</v>
      </c>
      <c r="F1758" t="s">
        <v>325</v>
      </c>
      <c r="G1758" t="s">
        <v>34</v>
      </c>
      <c r="H1758" t="s">
        <v>35</v>
      </c>
      <c r="I1758" t="s">
        <v>6697</v>
      </c>
      <c r="J1758" t="s">
        <v>38</v>
      </c>
      <c r="K1758" t="s">
        <v>38</v>
      </c>
      <c r="L1758" t="s">
        <v>40</v>
      </c>
      <c r="M1758" t="s">
        <v>56</v>
      </c>
      <c r="N1758" t="s">
        <v>56</v>
      </c>
      <c r="O1758" t="s">
        <v>39</v>
      </c>
      <c r="P1758" t="s">
        <v>38</v>
      </c>
      <c r="Q1758" t="s">
        <v>38</v>
      </c>
      <c r="R1758" t="s">
        <v>40</v>
      </c>
      <c r="S1758" t="s">
        <v>41</v>
      </c>
      <c r="T1758" t="s">
        <v>6685</v>
      </c>
      <c r="U1758" t="s">
        <v>6686</v>
      </c>
      <c r="V1758" t="s">
        <v>6450</v>
      </c>
      <c r="W1758" t="s">
        <v>6687</v>
      </c>
      <c r="Z1758" t="s">
        <v>46</v>
      </c>
      <c r="AA1758" t="s">
        <v>6688</v>
      </c>
      <c r="AB1758" t="s">
        <v>4223</v>
      </c>
      <c r="AC1758">
        <f>COUNTIF(C:C,QLKV_gui_ket_qua_ra_soat[[#This Row],[Mã điểm bán]])</f>
        <v>1</v>
      </c>
    </row>
    <row r="1759" spans="1:29" x14ac:dyDescent="0.45">
      <c r="A1759" t="s">
        <v>6444</v>
      </c>
      <c r="B1759">
        <v>80</v>
      </c>
      <c r="C1759" t="s">
        <v>6698</v>
      </c>
      <c r="D1759" t="s">
        <v>6699</v>
      </c>
      <c r="E1759" t="s">
        <v>323</v>
      </c>
      <c r="F1759" t="s">
        <v>325</v>
      </c>
      <c r="G1759" t="s">
        <v>34</v>
      </c>
      <c r="H1759" t="s">
        <v>35</v>
      </c>
      <c r="I1759" t="s">
        <v>6697</v>
      </c>
      <c r="J1759" t="s">
        <v>38</v>
      </c>
      <c r="K1759" t="s">
        <v>38</v>
      </c>
      <c r="L1759" t="s">
        <v>40</v>
      </c>
      <c r="M1759" t="s">
        <v>56</v>
      </c>
      <c r="N1759" t="s">
        <v>56</v>
      </c>
      <c r="O1759" t="s">
        <v>39</v>
      </c>
      <c r="P1759" t="s">
        <v>38</v>
      </c>
      <c r="Q1759" t="s">
        <v>38</v>
      </c>
      <c r="R1759" t="s">
        <v>40</v>
      </c>
      <c r="S1759" t="s">
        <v>41</v>
      </c>
      <c r="T1759" t="s">
        <v>6685</v>
      </c>
      <c r="U1759" t="s">
        <v>6686</v>
      </c>
      <c r="V1759" t="s">
        <v>6450</v>
      </c>
      <c r="W1759" t="s">
        <v>6687</v>
      </c>
      <c r="Z1759" t="s">
        <v>46</v>
      </c>
      <c r="AA1759" t="s">
        <v>6688</v>
      </c>
      <c r="AB1759" t="s">
        <v>4223</v>
      </c>
      <c r="AC1759">
        <f>COUNTIF(C:C,QLKV_gui_ket_qua_ra_soat[[#This Row],[Mã điểm bán]])</f>
        <v>1</v>
      </c>
    </row>
    <row r="1760" spans="1:29" x14ac:dyDescent="0.45">
      <c r="A1760" t="s">
        <v>6444</v>
      </c>
      <c r="B1760">
        <v>81</v>
      </c>
      <c r="C1760" t="s">
        <v>6700</v>
      </c>
      <c r="D1760" t="s">
        <v>6701</v>
      </c>
      <c r="E1760" t="s">
        <v>665</v>
      </c>
      <c r="F1760" t="s">
        <v>53</v>
      </c>
      <c r="G1760" t="s">
        <v>34</v>
      </c>
      <c r="H1760" t="s">
        <v>54</v>
      </c>
      <c r="I1760" t="s">
        <v>6684</v>
      </c>
      <c r="J1760" t="s">
        <v>38</v>
      </c>
      <c r="K1760" t="s">
        <v>38</v>
      </c>
      <c r="L1760" t="s">
        <v>40</v>
      </c>
      <c r="M1760" t="s">
        <v>37</v>
      </c>
      <c r="N1760" t="s">
        <v>37</v>
      </c>
      <c r="O1760" t="s">
        <v>39</v>
      </c>
      <c r="P1760" t="s">
        <v>38</v>
      </c>
      <c r="Q1760" t="s">
        <v>38</v>
      </c>
      <c r="R1760" t="s">
        <v>40</v>
      </c>
      <c r="S1760" t="s">
        <v>41</v>
      </c>
      <c r="T1760" t="s">
        <v>6685</v>
      </c>
      <c r="U1760" t="s">
        <v>6686</v>
      </c>
      <c r="V1760" t="s">
        <v>6450</v>
      </c>
      <c r="W1760" t="s">
        <v>6687</v>
      </c>
      <c r="X1760" t="s">
        <v>46</v>
      </c>
      <c r="AC1760">
        <f>COUNTIF(C:C,QLKV_gui_ket_qua_ra_soat[[#This Row],[Mã điểm bán]])</f>
        <v>1</v>
      </c>
    </row>
    <row r="1761" spans="1:29" x14ac:dyDescent="0.45">
      <c r="A1761" t="s">
        <v>6444</v>
      </c>
      <c r="B1761">
        <v>82</v>
      </c>
      <c r="C1761" t="s">
        <v>6702</v>
      </c>
      <c r="D1761" t="s">
        <v>640</v>
      </c>
      <c r="E1761" t="s">
        <v>6117</v>
      </c>
      <c r="F1761" t="s">
        <v>1665</v>
      </c>
      <c r="G1761" t="s">
        <v>34</v>
      </c>
      <c r="H1761" t="s">
        <v>4115</v>
      </c>
      <c r="I1761" t="s">
        <v>6703</v>
      </c>
      <c r="J1761" t="s">
        <v>38</v>
      </c>
      <c r="K1761" t="s">
        <v>38</v>
      </c>
      <c r="L1761" t="s">
        <v>40</v>
      </c>
      <c r="M1761" t="s">
        <v>38</v>
      </c>
      <c r="N1761" t="s">
        <v>38</v>
      </c>
      <c r="O1761" t="s">
        <v>40</v>
      </c>
      <c r="P1761" t="s">
        <v>38</v>
      </c>
      <c r="Q1761" t="s">
        <v>38</v>
      </c>
      <c r="R1761" t="s">
        <v>40</v>
      </c>
      <c r="S1761" t="s">
        <v>41</v>
      </c>
      <c r="T1761" t="s">
        <v>6704</v>
      </c>
      <c r="U1761" t="s">
        <v>6705</v>
      </c>
      <c r="V1761" t="s">
        <v>6450</v>
      </c>
      <c r="W1761" t="s">
        <v>6687</v>
      </c>
      <c r="Z1761" t="s">
        <v>46</v>
      </c>
      <c r="AA1761" t="s">
        <v>6688</v>
      </c>
      <c r="AC1761">
        <f>COUNTIF(C:C,QLKV_gui_ket_qua_ra_soat[[#This Row],[Mã điểm bán]])</f>
        <v>1</v>
      </c>
    </row>
    <row r="1762" spans="1:29" x14ac:dyDescent="0.45">
      <c r="A1762" t="s">
        <v>6444</v>
      </c>
      <c r="B1762">
        <v>83</v>
      </c>
      <c r="C1762" t="s">
        <v>6706</v>
      </c>
      <c r="D1762" t="s">
        <v>6707</v>
      </c>
      <c r="E1762" t="s">
        <v>6708</v>
      </c>
      <c r="F1762" t="s">
        <v>417</v>
      </c>
      <c r="G1762" t="s">
        <v>34</v>
      </c>
      <c r="H1762" t="s">
        <v>1483</v>
      </c>
      <c r="I1762" t="s">
        <v>6709</v>
      </c>
      <c r="J1762" t="s">
        <v>38</v>
      </c>
      <c r="K1762" t="s">
        <v>38</v>
      </c>
      <c r="L1762" t="s">
        <v>40</v>
      </c>
      <c r="M1762" t="s">
        <v>38</v>
      </c>
      <c r="N1762" t="s">
        <v>38</v>
      </c>
      <c r="O1762" t="s">
        <v>40</v>
      </c>
      <c r="P1762" t="s">
        <v>38</v>
      </c>
      <c r="Q1762" t="s">
        <v>38</v>
      </c>
      <c r="R1762" t="s">
        <v>40</v>
      </c>
      <c r="S1762" t="s">
        <v>41</v>
      </c>
      <c r="T1762" t="s">
        <v>6704</v>
      </c>
      <c r="U1762" t="s">
        <v>6705</v>
      </c>
      <c r="V1762" t="s">
        <v>6450</v>
      </c>
      <c r="W1762" t="s">
        <v>6687</v>
      </c>
      <c r="Z1762" t="s">
        <v>46</v>
      </c>
      <c r="AA1762" t="s">
        <v>6457</v>
      </c>
      <c r="AC1762">
        <f>COUNTIF(C:C,QLKV_gui_ket_qua_ra_soat[[#This Row],[Mã điểm bán]])</f>
        <v>1</v>
      </c>
    </row>
    <row r="1763" spans="1:29" x14ac:dyDescent="0.45">
      <c r="A1763" t="s">
        <v>6444</v>
      </c>
      <c r="B1763">
        <v>84</v>
      </c>
      <c r="C1763" t="s">
        <v>6710</v>
      </c>
      <c r="D1763" t="s">
        <v>6711</v>
      </c>
      <c r="E1763" t="s">
        <v>6712</v>
      </c>
      <c r="F1763" t="s">
        <v>325</v>
      </c>
      <c r="G1763" t="s">
        <v>34</v>
      </c>
      <c r="H1763" t="s">
        <v>565</v>
      </c>
      <c r="I1763" t="s">
        <v>4508</v>
      </c>
      <c r="J1763" t="s">
        <v>38</v>
      </c>
      <c r="K1763" t="s">
        <v>38</v>
      </c>
      <c r="L1763" t="s">
        <v>40</v>
      </c>
      <c r="M1763" t="s">
        <v>38</v>
      </c>
      <c r="N1763" t="s">
        <v>38</v>
      </c>
      <c r="O1763" t="s">
        <v>40</v>
      </c>
      <c r="P1763" t="s">
        <v>38</v>
      </c>
      <c r="Q1763" t="s">
        <v>38</v>
      </c>
      <c r="R1763" t="s">
        <v>40</v>
      </c>
      <c r="S1763" t="s">
        <v>41</v>
      </c>
      <c r="T1763" t="s">
        <v>6704</v>
      </c>
      <c r="U1763" t="s">
        <v>6705</v>
      </c>
      <c r="V1763" t="s">
        <v>6450</v>
      </c>
      <c r="W1763" t="s">
        <v>6687</v>
      </c>
      <c r="Z1763" t="s">
        <v>46</v>
      </c>
      <c r="AA1763" t="s">
        <v>6457</v>
      </c>
      <c r="AB1763" t="s">
        <v>3109</v>
      </c>
      <c r="AC1763">
        <f>COUNTIF(C:C,QLKV_gui_ket_qua_ra_soat[[#This Row],[Mã điểm bán]])</f>
        <v>1</v>
      </c>
    </row>
    <row r="1764" spans="1:29" x14ac:dyDescent="0.45">
      <c r="A1764" t="s">
        <v>6444</v>
      </c>
      <c r="B1764">
        <v>85</v>
      </c>
      <c r="C1764" t="s">
        <v>6713</v>
      </c>
      <c r="D1764" t="s">
        <v>6714</v>
      </c>
      <c r="E1764" t="s">
        <v>6715</v>
      </c>
      <c r="F1764" t="s">
        <v>581</v>
      </c>
      <c r="G1764" t="s">
        <v>34</v>
      </c>
      <c r="H1764" t="s">
        <v>842</v>
      </c>
      <c r="I1764" t="s">
        <v>6716</v>
      </c>
      <c r="J1764" t="s">
        <v>38</v>
      </c>
      <c r="K1764" t="s">
        <v>38</v>
      </c>
      <c r="L1764" t="s">
        <v>40</v>
      </c>
      <c r="M1764" t="s">
        <v>38</v>
      </c>
      <c r="N1764" t="s">
        <v>38</v>
      </c>
      <c r="O1764" t="s">
        <v>40</v>
      </c>
      <c r="P1764" t="s">
        <v>38</v>
      </c>
      <c r="Q1764" t="s">
        <v>38</v>
      </c>
      <c r="R1764" t="s">
        <v>40</v>
      </c>
      <c r="S1764" t="s">
        <v>41</v>
      </c>
      <c r="T1764" t="s">
        <v>6704</v>
      </c>
      <c r="U1764" t="s">
        <v>6705</v>
      </c>
      <c r="V1764" t="s">
        <v>6450</v>
      </c>
      <c r="W1764" t="s">
        <v>6687</v>
      </c>
      <c r="Z1764" t="s">
        <v>46</v>
      </c>
      <c r="AA1764" t="s">
        <v>6688</v>
      </c>
      <c r="AC1764">
        <f>COUNTIF(C:C,QLKV_gui_ket_qua_ra_soat[[#This Row],[Mã điểm bán]])</f>
        <v>1</v>
      </c>
    </row>
    <row r="1765" spans="1:29" x14ac:dyDescent="0.45">
      <c r="A1765" t="s">
        <v>6444</v>
      </c>
      <c r="B1765">
        <v>86</v>
      </c>
      <c r="C1765" t="s">
        <v>6717</v>
      </c>
      <c r="D1765" t="s">
        <v>6718</v>
      </c>
      <c r="E1765" t="s">
        <v>665</v>
      </c>
      <c r="F1765" t="s">
        <v>53</v>
      </c>
      <c r="G1765" t="s">
        <v>34</v>
      </c>
      <c r="H1765" t="s">
        <v>54</v>
      </c>
      <c r="I1765" t="s">
        <v>6684</v>
      </c>
      <c r="J1765" t="s">
        <v>38</v>
      </c>
      <c r="K1765" t="s">
        <v>38</v>
      </c>
      <c r="L1765" t="s">
        <v>40</v>
      </c>
      <c r="M1765" t="s">
        <v>56</v>
      </c>
      <c r="N1765" t="s">
        <v>56</v>
      </c>
      <c r="O1765" t="s">
        <v>39</v>
      </c>
      <c r="P1765" t="s">
        <v>38</v>
      </c>
      <c r="Q1765" t="s">
        <v>38</v>
      </c>
      <c r="R1765" t="s">
        <v>40</v>
      </c>
      <c r="S1765" t="s">
        <v>41</v>
      </c>
      <c r="T1765" t="s">
        <v>6685</v>
      </c>
      <c r="U1765" t="s">
        <v>6686</v>
      </c>
      <c r="V1765" t="s">
        <v>6450</v>
      </c>
      <c r="W1765" t="s">
        <v>6687</v>
      </c>
      <c r="Z1765" t="s">
        <v>46</v>
      </c>
      <c r="AA1765" t="s">
        <v>6688</v>
      </c>
      <c r="AB1765" t="s">
        <v>3109</v>
      </c>
      <c r="AC1765">
        <f>COUNTIF(C:C,QLKV_gui_ket_qua_ra_soat[[#This Row],[Mã điểm bán]])</f>
        <v>1</v>
      </c>
    </row>
    <row r="1766" spans="1:29" x14ac:dyDescent="0.45">
      <c r="A1766" t="s">
        <v>6444</v>
      </c>
      <c r="B1766">
        <v>87</v>
      </c>
      <c r="C1766" t="s">
        <v>6719</v>
      </c>
      <c r="D1766" t="s">
        <v>6720</v>
      </c>
      <c r="E1766" t="s">
        <v>665</v>
      </c>
      <c r="F1766" t="s">
        <v>53</v>
      </c>
      <c r="G1766" t="s">
        <v>34</v>
      </c>
      <c r="H1766" t="s">
        <v>54</v>
      </c>
      <c r="I1766" t="s">
        <v>6684</v>
      </c>
      <c r="J1766" t="s">
        <v>38</v>
      </c>
      <c r="K1766" t="s">
        <v>38</v>
      </c>
      <c r="L1766" t="s">
        <v>40</v>
      </c>
      <c r="M1766" t="s">
        <v>56</v>
      </c>
      <c r="N1766" t="s">
        <v>56</v>
      </c>
      <c r="O1766" t="s">
        <v>39</v>
      </c>
      <c r="P1766" t="s">
        <v>38</v>
      </c>
      <c r="Q1766" t="s">
        <v>38</v>
      </c>
      <c r="R1766" t="s">
        <v>40</v>
      </c>
      <c r="S1766" t="s">
        <v>41</v>
      </c>
      <c r="T1766" t="s">
        <v>6685</v>
      </c>
      <c r="U1766" t="s">
        <v>6686</v>
      </c>
      <c r="V1766" t="s">
        <v>6450</v>
      </c>
      <c r="W1766" t="s">
        <v>6687</v>
      </c>
      <c r="X1766" t="s">
        <v>46</v>
      </c>
      <c r="AC1766">
        <f>COUNTIF(C:C,QLKV_gui_ket_qua_ra_soat[[#This Row],[Mã điểm bán]])</f>
        <v>1</v>
      </c>
    </row>
    <row r="1767" spans="1:29" x14ac:dyDescent="0.45">
      <c r="A1767" t="s">
        <v>6444</v>
      </c>
      <c r="B1767">
        <v>88</v>
      </c>
      <c r="C1767" t="s">
        <v>6721</v>
      </c>
      <c r="D1767" t="s">
        <v>6722</v>
      </c>
      <c r="E1767" t="s">
        <v>665</v>
      </c>
      <c r="F1767" t="s">
        <v>53</v>
      </c>
      <c r="G1767" t="s">
        <v>34</v>
      </c>
      <c r="H1767" t="s">
        <v>54</v>
      </c>
      <c r="I1767" t="s">
        <v>6684</v>
      </c>
      <c r="J1767" t="s">
        <v>38</v>
      </c>
      <c r="K1767" t="s">
        <v>38</v>
      </c>
      <c r="L1767" t="s">
        <v>40</v>
      </c>
      <c r="M1767" t="s">
        <v>56</v>
      </c>
      <c r="N1767" t="s">
        <v>56</v>
      </c>
      <c r="O1767" t="s">
        <v>39</v>
      </c>
      <c r="P1767" t="s">
        <v>38</v>
      </c>
      <c r="Q1767" t="s">
        <v>38</v>
      </c>
      <c r="R1767" t="s">
        <v>40</v>
      </c>
      <c r="S1767" t="s">
        <v>41</v>
      </c>
      <c r="T1767" t="s">
        <v>6685</v>
      </c>
      <c r="U1767" t="s">
        <v>6686</v>
      </c>
      <c r="V1767" t="s">
        <v>6450</v>
      </c>
      <c r="W1767" t="s">
        <v>6687</v>
      </c>
      <c r="X1767" t="s">
        <v>46</v>
      </c>
      <c r="AC1767">
        <f>COUNTIF(C:C,QLKV_gui_ket_qua_ra_soat[[#This Row],[Mã điểm bán]])</f>
        <v>1</v>
      </c>
    </row>
    <row r="1768" spans="1:29" x14ac:dyDescent="0.45">
      <c r="A1768" t="s">
        <v>6444</v>
      </c>
      <c r="B1768">
        <v>89</v>
      </c>
      <c r="C1768" t="s">
        <v>6723</v>
      </c>
      <c r="D1768" t="s">
        <v>6724</v>
      </c>
      <c r="E1768" t="s">
        <v>665</v>
      </c>
      <c r="F1768" t="s">
        <v>53</v>
      </c>
      <c r="G1768" t="s">
        <v>34</v>
      </c>
      <c r="H1768" t="s">
        <v>54</v>
      </c>
      <c r="I1768" t="s">
        <v>6684</v>
      </c>
      <c r="J1768" t="s">
        <v>38</v>
      </c>
      <c r="K1768" t="s">
        <v>38</v>
      </c>
      <c r="L1768" t="s">
        <v>40</v>
      </c>
      <c r="M1768" t="s">
        <v>56</v>
      </c>
      <c r="N1768" t="s">
        <v>56</v>
      </c>
      <c r="O1768" t="s">
        <v>39</v>
      </c>
      <c r="P1768" t="s">
        <v>38</v>
      </c>
      <c r="Q1768" t="s">
        <v>38</v>
      </c>
      <c r="R1768" t="s">
        <v>40</v>
      </c>
      <c r="S1768" t="s">
        <v>41</v>
      </c>
      <c r="T1768" t="s">
        <v>6685</v>
      </c>
      <c r="U1768" t="s">
        <v>6686</v>
      </c>
      <c r="V1768" t="s">
        <v>6450</v>
      </c>
      <c r="W1768" t="s">
        <v>6687</v>
      </c>
      <c r="X1768" t="s">
        <v>46</v>
      </c>
      <c r="AC1768">
        <f>COUNTIF(C:C,QLKV_gui_ket_qua_ra_soat[[#This Row],[Mã điểm bán]])</f>
        <v>1</v>
      </c>
    </row>
    <row r="1769" spans="1:29" x14ac:dyDescent="0.45">
      <c r="A1769" t="s">
        <v>6444</v>
      </c>
      <c r="B1769">
        <v>90</v>
      </c>
      <c r="C1769" t="s">
        <v>6725</v>
      </c>
      <c r="D1769" t="s">
        <v>6726</v>
      </c>
      <c r="E1769" t="s">
        <v>665</v>
      </c>
      <c r="F1769" t="s">
        <v>53</v>
      </c>
      <c r="G1769" t="s">
        <v>34</v>
      </c>
      <c r="H1769" t="s">
        <v>54</v>
      </c>
      <c r="I1769" t="s">
        <v>6684</v>
      </c>
      <c r="J1769" t="s">
        <v>38</v>
      </c>
      <c r="K1769" t="s">
        <v>38</v>
      </c>
      <c r="L1769" t="s">
        <v>40</v>
      </c>
      <c r="M1769" t="s">
        <v>56</v>
      </c>
      <c r="N1769" t="s">
        <v>56</v>
      </c>
      <c r="O1769" t="s">
        <v>39</v>
      </c>
      <c r="P1769" t="s">
        <v>38</v>
      </c>
      <c r="Q1769" t="s">
        <v>38</v>
      </c>
      <c r="R1769" t="s">
        <v>40</v>
      </c>
      <c r="S1769" t="s">
        <v>41</v>
      </c>
      <c r="T1769" t="s">
        <v>6685</v>
      </c>
      <c r="U1769" t="s">
        <v>6686</v>
      </c>
      <c r="V1769" t="s">
        <v>6450</v>
      </c>
      <c r="W1769" t="s">
        <v>6687</v>
      </c>
      <c r="X1769" t="s">
        <v>46</v>
      </c>
      <c r="AC1769">
        <f>COUNTIF(C:C,QLKV_gui_ket_qua_ra_soat[[#This Row],[Mã điểm bán]])</f>
        <v>1</v>
      </c>
    </row>
    <row r="1770" spans="1:29" x14ac:dyDescent="0.45">
      <c r="A1770" t="s">
        <v>6444</v>
      </c>
      <c r="B1770">
        <v>91</v>
      </c>
      <c r="C1770" t="s">
        <v>6727</v>
      </c>
      <c r="D1770" t="s">
        <v>6728</v>
      </c>
      <c r="E1770" t="s">
        <v>665</v>
      </c>
      <c r="F1770" t="s">
        <v>53</v>
      </c>
      <c r="G1770" t="s">
        <v>34</v>
      </c>
      <c r="H1770" t="s">
        <v>54</v>
      </c>
      <c r="I1770" t="s">
        <v>6684</v>
      </c>
      <c r="J1770" t="s">
        <v>38</v>
      </c>
      <c r="K1770" t="s">
        <v>38</v>
      </c>
      <c r="L1770" t="s">
        <v>40</v>
      </c>
      <c r="M1770" t="s">
        <v>56</v>
      </c>
      <c r="N1770" t="s">
        <v>56</v>
      </c>
      <c r="O1770" t="s">
        <v>39</v>
      </c>
      <c r="P1770" t="s">
        <v>38</v>
      </c>
      <c r="Q1770" t="s">
        <v>38</v>
      </c>
      <c r="R1770" t="s">
        <v>40</v>
      </c>
      <c r="S1770" t="s">
        <v>41</v>
      </c>
      <c r="T1770" t="s">
        <v>6685</v>
      </c>
      <c r="U1770" t="s">
        <v>6686</v>
      </c>
      <c r="V1770" t="s">
        <v>6450</v>
      </c>
      <c r="W1770" t="s">
        <v>6687</v>
      </c>
      <c r="X1770" t="s">
        <v>46</v>
      </c>
      <c r="AC1770">
        <f>COUNTIF(C:C,QLKV_gui_ket_qua_ra_soat[[#This Row],[Mã điểm bán]])</f>
        <v>1</v>
      </c>
    </row>
    <row r="1771" spans="1:29" x14ac:dyDescent="0.45">
      <c r="A1771" t="s">
        <v>6444</v>
      </c>
      <c r="B1771">
        <v>92</v>
      </c>
      <c r="C1771" t="s">
        <v>6729</v>
      </c>
      <c r="D1771" t="s">
        <v>6730</v>
      </c>
      <c r="E1771" t="s">
        <v>665</v>
      </c>
      <c r="F1771" t="s">
        <v>53</v>
      </c>
      <c r="G1771" t="s">
        <v>34</v>
      </c>
      <c r="H1771" t="s">
        <v>54</v>
      </c>
      <c r="I1771" t="s">
        <v>6731</v>
      </c>
      <c r="J1771" t="s">
        <v>38</v>
      </c>
      <c r="K1771" t="s">
        <v>38</v>
      </c>
      <c r="L1771" t="s">
        <v>40</v>
      </c>
      <c r="M1771" t="s">
        <v>56</v>
      </c>
      <c r="N1771" t="s">
        <v>56</v>
      </c>
      <c r="O1771" t="s">
        <v>39</v>
      </c>
      <c r="P1771" t="s">
        <v>38</v>
      </c>
      <c r="Q1771" t="s">
        <v>38</v>
      </c>
      <c r="R1771" t="s">
        <v>40</v>
      </c>
      <c r="S1771" t="s">
        <v>41</v>
      </c>
      <c r="T1771" t="s">
        <v>6685</v>
      </c>
      <c r="U1771" t="s">
        <v>6686</v>
      </c>
      <c r="V1771" t="s">
        <v>6450</v>
      </c>
      <c r="W1771" t="s">
        <v>6687</v>
      </c>
      <c r="X1771" t="s">
        <v>46</v>
      </c>
      <c r="AC1771">
        <f>COUNTIF(C:C,QLKV_gui_ket_qua_ra_soat[[#This Row],[Mã điểm bán]])</f>
        <v>1</v>
      </c>
    </row>
    <row r="1772" spans="1:29" x14ac:dyDescent="0.45">
      <c r="A1772" t="s">
        <v>6444</v>
      </c>
      <c r="B1772">
        <v>93</v>
      </c>
      <c r="C1772" t="s">
        <v>6732</v>
      </c>
      <c r="D1772" t="s">
        <v>6733</v>
      </c>
      <c r="E1772" t="s">
        <v>32</v>
      </c>
      <c r="F1772" t="s">
        <v>53</v>
      </c>
      <c r="G1772" t="s">
        <v>34</v>
      </c>
      <c r="H1772" t="s">
        <v>5212</v>
      </c>
      <c r="I1772" t="s">
        <v>6734</v>
      </c>
      <c r="J1772" t="s">
        <v>38</v>
      </c>
      <c r="K1772" t="s">
        <v>38</v>
      </c>
      <c r="L1772" t="s">
        <v>40</v>
      </c>
      <c r="M1772" t="s">
        <v>38</v>
      </c>
      <c r="N1772" t="s">
        <v>38</v>
      </c>
      <c r="O1772" t="s">
        <v>40</v>
      </c>
      <c r="P1772" t="s">
        <v>38</v>
      </c>
      <c r="Q1772" t="s">
        <v>38</v>
      </c>
      <c r="R1772" t="s">
        <v>40</v>
      </c>
      <c r="S1772" t="s">
        <v>41</v>
      </c>
      <c r="T1772" t="s">
        <v>6694</v>
      </c>
      <c r="U1772" t="s">
        <v>6686</v>
      </c>
      <c r="V1772" t="s">
        <v>6450</v>
      </c>
      <c r="W1772" t="s">
        <v>6687</v>
      </c>
      <c r="Z1772" t="s">
        <v>46</v>
      </c>
      <c r="AA1772" t="s">
        <v>6457</v>
      </c>
      <c r="AB1772" t="s">
        <v>4223</v>
      </c>
      <c r="AC1772">
        <f>COUNTIF(C:C,QLKV_gui_ket_qua_ra_soat[[#This Row],[Mã điểm bán]])</f>
        <v>1</v>
      </c>
    </row>
    <row r="1773" spans="1:29" x14ac:dyDescent="0.45">
      <c r="A1773" t="s">
        <v>6444</v>
      </c>
      <c r="B1773">
        <v>94</v>
      </c>
      <c r="C1773" t="s">
        <v>6735</v>
      </c>
      <c r="D1773" t="s">
        <v>5532</v>
      </c>
      <c r="E1773" t="s">
        <v>4259</v>
      </c>
      <c r="F1773" t="s">
        <v>53</v>
      </c>
      <c r="G1773" t="s">
        <v>34</v>
      </c>
      <c r="H1773" t="s">
        <v>1746</v>
      </c>
      <c r="I1773" t="s">
        <v>2274</v>
      </c>
      <c r="J1773" t="s">
        <v>38</v>
      </c>
      <c r="K1773" t="s">
        <v>38</v>
      </c>
      <c r="L1773" t="s">
        <v>40</v>
      </c>
      <c r="M1773" t="s">
        <v>38</v>
      </c>
      <c r="N1773" t="s">
        <v>38</v>
      </c>
      <c r="O1773" t="s">
        <v>40</v>
      </c>
      <c r="P1773" t="s">
        <v>38</v>
      </c>
      <c r="Q1773" t="s">
        <v>38</v>
      </c>
      <c r="R1773" t="s">
        <v>40</v>
      </c>
      <c r="S1773" t="s">
        <v>41</v>
      </c>
      <c r="T1773" t="s">
        <v>6704</v>
      </c>
      <c r="U1773" t="s">
        <v>6705</v>
      </c>
      <c r="V1773" t="s">
        <v>6450</v>
      </c>
      <c r="W1773" t="s">
        <v>6687</v>
      </c>
      <c r="Z1773" t="s">
        <v>46</v>
      </c>
      <c r="AA1773" t="s">
        <v>6688</v>
      </c>
      <c r="AB1773" t="s">
        <v>3109</v>
      </c>
      <c r="AC1773">
        <f>COUNTIF(C:C,QLKV_gui_ket_qua_ra_soat[[#This Row],[Mã điểm bán]])</f>
        <v>1</v>
      </c>
    </row>
    <row r="1774" spans="1:29" x14ac:dyDescent="0.45">
      <c r="A1774" t="s">
        <v>6444</v>
      </c>
      <c r="B1774">
        <v>95</v>
      </c>
      <c r="C1774" t="s">
        <v>6736</v>
      </c>
      <c r="D1774" t="s">
        <v>6737</v>
      </c>
      <c r="E1774" t="s">
        <v>861</v>
      </c>
      <c r="F1774" t="s">
        <v>53</v>
      </c>
      <c r="G1774" t="s">
        <v>34</v>
      </c>
      <c r="H1774" t="s">
        <v>171</v>
      </c>
      <c r="I1774" t="s">
        <v>6738</v>
      </c>
      <c r="J1774" t="s">
        <v>38</v>
      </c>
      <c r="K1774" t="s">
        <v>38</v>
      </c>
      <c r="L1774" t="s">
        <v>40</v>
      </c>
      <c r="M1774" t="s">
        <v>38</v>
      </c>
      <c r="N1774" t="s">
        <v>38</v>
      </c>
      <c r="O1774" t="s">
        <v>40</v>
      </c>
      <c r="P1774" t="s">
        <v>38</v>
      </c>
      <c r="Q1774" t="s">
        <v>38</v>
      </c>
      <c r="R1774" t="s">
        <v>40</v>
      </c>
      <c r="S1774" t="s">
        <v>41</v>
      </c>
      <c r="T1774" t="s">
        <v>6704</v>
      </c>
      <c r="U1774" t="s">
        <v>6705</v>
      </c>
      <c r="V1774" t="s">
        <v>6450</v>
      </c>
      <c r="W1774" t="s">
        <v>6687</v>
      </c>
      <c r="Z1774" t="s">
        <v>46</v>
      </c>
      <c r="AA1774" t="s">
        <v>6688</v>
      </c>
      <c r="AC1774">
        <f>COUNTIF(C:C,QLKV_gui_ket_qua_ra_soat[[#This Row],[Mã điểm bán]])</f>
        <v>1</v>
      </c>
    </row>
    <row r="1775" spans="1:29" x14ac:dyDescent="0.45">
      <c r="A1775" t="s">
        <v>6444</v>
      </c>
      <c r="B1775">
        <v>96</v>
      </c>
      <c r="C1775" t="s">
        <v>6739</v>
      </c>
      <c r="D1775" t="s">
        <v>6740</v>
      </c>
      <c r="E1775" t="s">
        <v>206</v>
      </c>
      <c r="F1775" t="s">
        <v>53</v>
      </c>
      <c r="G1775" t="s">
        <v>34</v>
      </c>
      <c r="H1775" t="s">
        <v>1010</v>
      </c>
      <c r="I1775" t="s">
        <v>6741</v>
      </c>
      <c r="J1775" t="s">
        <v>38</v>
      </c>
      <c r="K1775" t="s">
        <v>38</v>
      </c>
      <c r="L1775" t="s">
        <v>40</v>
      </c>
      <c r="M1775" t="s">
        <v>38</v>
      </c>
      <c r="N1775" t="s">
        <v>38</v>
      </c>
      <c r="O1775" t="s">
        <v>40</v>
      </c>
      <c r="P1775" t="s">
        <v>38</v>
      </c>
      <c r="Q1775" t="s">
        <v>38</v>
      </c>
      <c r="R1775" t="s">
        <v>40</v>
      </c>
      <c r="S1775" t="s">
        <v>6742</v>
      </c>
      <c r="T1775" t="s">
        <v>6694</v>
      </c>
      <c r="U1775" t="s">
        <v>6686</v>
      </c>
      <c r="V1775" t="s">
        <v>6450</v>
      </c>
      <c r="W1775" t="s">
        <v>6687</v>
      </c>
      <c r="Z1775" t="s">
        <v>46</v>
      </c>
      <c r="AA1775" t="s">
        <v>6457</v>
      </c>
      <c r="AB1775" t="s">
        <v>3109</v>
      </c>
      <c r="AC1775">
        <f>COUNTIF(C:C,QLKV_gui_ket_qua_ra_soat[[#This Row],[Mã điểm bán]])</f>
        <v>1</v>
      </c>
    </row>
    <row r="1776" spans="1:29" x14ac:dyDescent="0.45">
      <c r="A1776" t="s">
        <v>6444</v>
      </c>
      <c r="B1776">
        <v>97</v>
      </c>
      <c r="C1776" t="s">
        <v>6743</v>
      </c>
      <c r="D1776" t="s">
        <v>6744</v>
      </c>
      <c r="E1776" t="s">
        <v>261</v>
      </c>
      <c r="F1776" t="s">
        <v>53</v>
      </c>
      <c r="G1776" t="s">
        <v>34</v>
      </c>
      <c r="H1776" t="s">
        <v>565</v>
      </c>
      <c r="I1776" t="s">
        <v>1838</v>
      </c>
      <c r="J1776" t="s">
        <v>38</v>
      </c>
      <c r="K1776" t="s">
        <v>38</v>
      </c>
      <c r="L1776" t="s">
        <v>40</v>
      </c>
      <c r="M1776" t="s">
        <v>38</v>
      </c>
      <c r="N1776" t="s">
        <v>38</v>
      </c>
      <c r="O1776" t="s">
        <v>40</v>
      </c>
      <c r="P1776" t="s">
        <v>38</v>
      </c>
      <c r="Q1776" t="s">
        <v>38</v>
      </c>
      <c r="R1776" t="s">
        <v>40</v>
      </c>
      <c r="S1776" t="s">
        <v>41</v>
      </c>
      <c r="T1776" t="s">
        <v>6704</v>
      </c>
      <c r="U1776" t="s">
        <v>6705</v>
      </c>
      <c r="V1776" t="s">
        <v>6450</v>
      </c>
      <c r="W1776" t="s">
        <v>6687</v>
      </c>
      <c r="Z1776" t="s">
        <v>46</v>
      </c>
      <c r="AA1776" t="s">
        <v>6688</v>
      </c>
      <c r="AC1776">
        <f>COUNTIF(C:C,QLKV_gui_ket_qua_ra_soat[[#This Row],[Mã điểm bán]])</f>
        <v>1</v>
      </c>
    </row>
    <row r="1777" spans="1:29" x14ac:dyDescent="0.45">
      <c r="A1777" t="s">
        <v>6444</v>
      </c>
      <c r="B1777">
        <v>98</v>
      </c>
      <c r="C1777" t="s">
        <v>6745</v>
      </c>
      <c r="D1777" t="s">
        <v>6746</v>
      </c>
      <c r="E1777" t="s">
        <v>580</v>
      </c>
      <c r="F1777" t="s">
        <v>53</v>
      </c>
      <c r="G1777" t="s">
        <v>34</v>
      </c>
      <c r="H1777" t="s">
        <v>2459</v>
      </c>
      <c r="I1777" t="s">
        <v>6747</v>
      </c>
      <c r="J1777" t="s">
        <v>38</v>
      </c>
      <c r="K1777" t="s">
        <v>38</v>
      </c>
      <c r="L1777" t="s">
        <v>40</v>
      </c>
      <c r="M1777" t="s">
        <v>38</v>
      </c>
      <c r="N1777" t="s">
        <v>38</v>
      </c>
      <c r="O1777" t="s">
        <v>40</v>
      </c>
      <c r="P1777" t="s">
        <v>38</v>
      </c>
      <c r="Q1777" t="s">
        <v>38</v>
      </c>
      <c r="R1777" t="s">
        <v>40</v>
      </c>
      <c r="S1777" t="s">
        <v>41</v>
      </c>
      <c r="T1777" t="s">
        <v>6704</v>
      </c>
      <c r="U1777" t="s">
        <v>6705</v>
      </c>
      <c r="V1777" t="s">
        <v>6450</v>
      </c>
      <c r="W1777" t="s">
        <v>6687</v>
      </c>
      <c r="Z1777" t="s">
        <v>46</v>
      </c>
      <c r="AA1777" t="s">
        <v>6688</v>
      </c>
      <c r="AC1777">
        <f>COUNTIF(C:C,QLKV_gui_ket_qua_ra_soat[[#This Row],[Mã điểm bán]])</f>
        <v>1</v>
      </c>
    </row>
    <row r="1778" spans="1:29" x14ac:dyDescent="0.45">
      <c r="A1778" t="s">
        <v>6444</v>
      </c>
      <c r="B1778">
        <v>99</v>
      </c>
      <c r="C1778" t="s">
        <v>6748</v>
      </c>
      <c r="D1778" t="s">
        <v>6749</v>
      </c>
      <c r="E1778" t="s">
        <v>6750</v>
      </c>
      <c r="F1778" t="s">
        <v>53</v>
      </c>
      <c r="G1778" t="s">
        <v>34</v>
      </c>
      <c r="H1778" t="s">
        <v>54</v>
      </c>
      <c r="I1778" t="s">
        <v>6684</v>
      </c>
      <c r="J1778" t="s">
        <v>38</v>
      </c>
      <c r="K1778" t="s">
        <v>38</v>
      </c>
      <c r="L1778" t="s">
        <v>40</v>
      </c>
      <c r="M1778" t="s">
        <v>38</v>
      </c>
      <c r="N1778" t="s">
        <v>38</v>
      </c>
      <c r="O1778" t="s">
        <v>40</v>
      </c>
      <c r="P1778" t="s">
        <v>38</v>
      </c>
      <c r="Q1778" t="s">
        <v>38</v>
      </c>
      <c r="R1778" t="s">
        <v>40</v>
      </c>
      <c r="S1778" t="s">
        <v>41</v>
      </c>
      <c r="T1778" t="s">
        <v>6685</v>
      </c>
      <c r="U1778" t="s">
        <v>6686</v>
      </c>
      <c r="V1778" t="s">
        <v>6450</v>
      </c>
      <c r="W1778" t="s">
        <v>6687</v>
      </c>
      <c r="X1778" t="s">
        <v>46</v>
      </c>
      <c r="AC1778">
        <f>COUNTIF(C:C,QLKV_gui_ket_qua_ra_soat[[#This Row],[Mã điểm bán]])</f>
        <v>1</v>
      </c>
    </row>
    <row r="1779" spans="1:29" x14ac:dyDescent="0.45">
      <c r="A1779" t="s">
        <v>6444</v>
      </c>
      <c r="B1779">
        <v>100</v>
      </c>
      <c r="C1779" t="s">
        <v>6751</v>
      </c>
      <c r="D1779" t="s">
        <v>6752</v>
      </c>
      <c r="E1779" t="s">
        <v>32</v>
      </c>
      <c r="F1779" t="s">
        <v>53</v>
      </c>
      <c r="G1779" t="s">
        <v>34</v>
      </c>
      <c r="H1779" t="s">
        <v>54</v>
      </c>
      <c r="I1779" t="s">
        <v>6684</v>
      </c>
      <c r="J1779" t="s">
        <v>38</v>
      </c>
      <c r="K1779" t="s">
        <v>38</v>
      </c>
      <c r="L1779" t="s">
        <v>40</v>
      </c>
      <c r="M1779" t="s">
        <v>38</v>
      </c>
      <c r="N1779" t="s">
        <v>38</v>
      </c>
      <c r="O1779" t="s">
        <v>40</v>
      </c>
      <c r="P1779" t="s">
        <v>38</v>
      </c>
      <c r="Q1779" t="s">
        <v>38</v>
      </c>
      <c r="R1779" t="s">
        <v>40</v>
      </c>
      <c r="S1779" t="s">
        <v>6753</v>
      </c>
      <c r="T1779" t="s">
        <v>6685</v>
      </c>
      <c r="U1779" t="s">
        <v>6686</v>
      </c>
      <c r="V1779" t="s">
        <v>6450</v>
      </c>
      <c r="W1779" t="s">
        <v>6687</v>
      </c>
      <c r="Z1779" t="s">
        <v>46</v>
      </c>
      <c r="AA1779" t="s">
        <v>6688</v>
      </c>
      <c r="AB1779" t="s">
        <v>3109</v>
      </c>
      <c r="AC1779">
        <f>COUNTIF(C:C,QLKV_gui_ket_qua_ra_soat[[#This Row],[Mã điểm bán]])</f>
        <v>1</v>
      </c>
    </row>
    <row r="1780" spans="1:29" x14ac:dyDescent="0.45">
      <c r="A1780" t="s">
        <v>6444</v>
      </c>
      <c r="B1780">
        <v>101</v>
      </c>
      <c r="C1780" t="s">
        <v>6754</v>
      </c>
      <c r="D1780" t="s">
        <v>6755</v>
      </c>
      <c r="E1780" t="s">
        <v>1154</v>
      </c>
      <c r="F1780" t="s">
        <v>53</v>
      </c>
      <c r="G1780" t="s">
        <v>34</v>
      </c>
      <c r="H1780" t="s">
        <v>2459</v>
      </c>
      <c r="I1780" t="s">
        <v>6756</v>
      </c>
      <c r="J1780" t="s">
        <v>38</v>
      </c>
      <c r="K1780" t="s">
        <v>38</v>
      </c>
      <c r="L1780" t="s">
        <v>40</v>
      </c>
      <c r="M1780" t="s">
        <v>38</v>
      </c>
      <c r="N1780" t="s">
        <v>38</v>
      </c>
      <c r="O1780" t="s">
        <v>40</v>
      </c>
      <c r="P1780" t="s">
        <v>38</v>
      </c>
      <c r="Q1780" t="s">
        <v>38</v>
      </c>
      <c r="R1780" t="s">
        <v>40</v>
      </c>
      <c r="S1780" t="s">
        <v>41</v>
      </c>
      <c r="T1780" t="s">
        <v>6704</v>
      </c>
      <c r="U1780" t="s">
        <v>6705</v>
      </c>
      <c r="V1780" t="s">
        <v>6450</v>
      </c>
      <c r="W1780" t="s">
        <v>6687</v>
      </c>
      <c r="Z1780" t="s">
        <v>46</v>
      </c>
      <c r="AA1780" t="s">
        <v>6688</v>
      </c>
      <c r="AB1780" t="s">
        <v>4223</v>
      </c>
      <c r="AC1780">
        <f>COUNTIF(C:C,QLKV_gui_ket_qua_ra_soat[[#This Row],[Mã điểm bán]])</f>
        <v>1</v>
      </c>
    </row>
    <row r="1781" spans="1:29" x14ac:dyDescent="0.45">
      <c r="A1781" t="s">
        <v>6444</v>
      </c>
      <c r="B1781">
        <v>102</v>
      </c>
      <c r="C1781" t="s">
        <v>6757</v>
      </c>
      <c r="D1781" t="s">
        <v>6758</v>
      </c>
      <c r="E1781" t="s">
        <v>304</v>
      </c>
      <c r="F1781" t="s">
        <v>53</v>
      </c>
      <c r="G1781" t="s">
        <v>34</v>
      </c>
      <c r="H1781" t="s">
        <v>54</v>
      </c>
      <c r="I1781" t="s">
        <v>6759</v>
      </c>
      <c r="J1781" t="s">
        <v>38</v>
      </c>
      <c r="K1781" t="s">
        <v>38</v>
      </c>
      <c r="L1781" t="s">
        <v>40</v>
      </c>
      <c r="M1781" t="s">
        <v>38</v>
      </c>
      <c r="N1781" t="s">
        <v>38</v>
      </c>
      <c r="O1781" t="s">
        <v>39</v>
      </c>
      <c r="P1781" t="s">
        <v>38</v>
      </c>
      <c r="Q1781" t="s">
        <v>38</v>
      </c>
      <c r="R1781" t="s">
        <v>40</v>
      </c>
      <c r="S1781" t="s">
        <v>41</v>
      </c>
      <c r="T1781" t="s">
        <v>6685</v>
      </c>
      <c r="U1781" t="s">
        <v>6686</v>
      </c>
      <c r="V1781" t="s">
        <v>6450</v>
      </c>
      <c r="W1781" t="s">
        <v>6687</v>
      </c>
      <c r="X1781" t="s">
        <v>46</v>
      </c>
      <c r="AC1781">
        <f>COUNTIF(C:C,QLKV_gui_ket_qua_ra_soat[[#This Row],[Mã điểm bán]])</f>
        <v>1</v>
      </c>
    </row>
    <row r="1782" spans="1:29" x14ac:dyDescent="0.45">
      <c r="A1782" t="s">
        <v>6444</v>
      </c>
      <c r="B1782">
        <v>103</v>
      </c>
      <c r="C1782" t="s">
        <v>6760</v>
      </c>
      <c r="D1782" t="s">
        <v>6761</v>
      </c>
      <c r="E1782" t="s">
        <v>206</v>
      </c>
      <c r="F1782" t="s">
        <v>53</v>
      </c>
      <c r="G1782" t="s">
        <v>34</v>
      </c>
      <c r="H1782" t="s">
        <v>1320</v>
      </c>
      <c r="I1782" t="s">
        <v>6734</v>
      </c>
      <c r="J1782" t="s">
        <v>38</v>
      </c>
      <c r="K1782" t="s">
        <v>38</v>
      </c>
      <c r="L1782" t="s">
        <v>40</v>
      </c>
      <c r="M1782" t="s">
        <v>38</v>
      </c>
      <c r="N1782" t="s">
        <v>38</v>
      </c>
      <c r="O1782" t="s">
        <v>40</v>
      </c>
      <c r="P1782" t="s">
        <v>38</v>
      </c>
      <c r="Q1782" t="s">
        <v>38</v>
      </c>
      <c r="R1782" t="s">
        <v>40</v>
      </c>
      <c r="S1782" t="s">
        <v>41</v>
      </c>
      <c r="T1782" t="s">
        <v>6694</v>
      </c>
      <c r="U1782" t="s">
        <v>6686</v>
      </c>
      <c r="V1782" t="s">
        <v>6450</v>
      </c>
      <c r="W1782" t="s">
        <v>6687</v>
      </c>
      <c r="Z1782" t="s">
        <v>46</v>
      </c>
      <c r="AA1782" t="s">
        <v>6457</v>
      </c>
      <c r="AB1782" t="s">
        <v>5667</v>
      </c>
      <c r="AC1782">
        <f>COUNTIF(C:C,QLKV_gui_ket_qua_ra_soat[[#This Row],[Mã điểm bán]])</f>
        <v>1</v>
      </c>
    </row>
    <row r="1783" spans="1:29" x14ac:dyDescent="0.45">
      <c r="A1783" t="s">
        <v>6444</v>
      </c>
      <c r="B1783">
        <v>104</v>
      </c>
      <c r="C1783" t="s">
        <v>6762</v>
      </c>
      <c r="D1783" t="s">
        <v>6763</v>
      </c>
      <c r="E1783" t="s">
        <v>219</v>
      </c>
      <c r="F1783" t="s">
        <v>166</v>
      </c>
      <c r="G1783" t="s">
        <v>34</v>
      </c>
      <c r="H1783" t="s">
        <v>274</v>
      </c>
      <c r="I1783" t="s">
        <v>6764</v>
      </c>
      <c r="J1783" t="s">
        <v>38</v>
      </c>
      <c r="K1783" t="s">
        <v>38</v>
      </c>
      <c r="L1783" t="s">
        <v>40</v>
      </c>
      <c r="M1783" t="s">
        <v>38</v>
      </c>
      <c r="N1783" t="s">
        <v>38</v>
      </c>
      <c r="O1783" t="s">
        <v>40</v>
      </c>
      <c r="P1783" t="s">
        <v>38</v>
      </c>
      <c r="Q1783" t="s">
        <v>38</v>
      </c>
      <c r="R1783" t="s">
        <v>40</v>
      </c>
      <c r="S1783" t="s">
        <v>41</v>
      </c>
      <c r="T1783" t="s">
        <v>6694</v>
      </c>
      <c r="U1783" t="s">
        <v>6686</v>
      </c>
      <c r="V1783" t="s">
        <v>6450</v>
      </c>
      <c r="W1783" t="s">
        <v>6687</v>
      </c>
      <c r="X1783" t="s">
        <v>46</v>
      </c>
      <c r="AB1783" t="s">
        <v>3109</v>
      </c>
      <c r="AC1783">
        <f>COUNTIF(C:C,QLKV_gui_ket_qua_ra_soat[[#This Row],[Mã điểm bán]])</f>
        <v>1</v>
      </c>
    </row>
    <row r="1784" spans="1:29" x14ac:dyDescent="0.45">
      <c r="A1784" t="s">
        <v>6444</v>
      </c>
      <c r="B1784">
        <v>105</v>
      </c>
      <c r="C1784" t="s">
        <v>6765</v>
      </c>
      <c r="D1784" t="s">
        <v>6766</v>
      </c>
      <c r="E1784" t="s">
        <v>91</v>
      </c>
      <c r="F1784" t="s">
        <v>53</v>
      </c>
      <c r="G1784" t="s">
        <v>34</v>
      </c>
      <c r="H1784" t="s">
        <v>54</v>
      </c>
      <c r="I1784" t="s">
        <v>6767</v>
      </c>
      <c r="J1784" t="s">
        <v>38</v>
      </c>
      <c r="K1784" t="s">
        <v>38</v>
      </c>
      <c r="L1784" t="s">
        <v>40</v>
      </c>
      <c r="M1784" t="s">
        <v>38</v>
      </c>
      <c r="N1784" t="s">
        <v>38</v>
      </c>
      <c r="O1784" t="s">
        <v>39</v>
      </c>
      <c r="P1784" t="s">
        <v>38</v>
      </c>
      <c r="Q1784" t="s">
        <v>38</v>
      </c>
      <c r="R1784" t="s">
        <v>40</v>
      </c>
      <c r="S1784" t="s">
        <v>41</v>
      </c>
      <c r="T1784" t="s">
        <v>6685</v>
      </c>
      <c r="U1784" t="s">
        <v>6686</v>
      </c>
      <c r="V1784" t="s">
        <v>6450</v>
      </c>
      <c r="W1784" t="s">
        <v>6687</v>
      </c>
      <c r="X1784" t="s">
        <v>46</v>
      </c>
      <c r="AB1784" t="s">
        <v>3109</v>
      </c>
      <c r="AC1784">
        <f>COUNTIF(C:C,QLKV_gui_ket_qua_ra_soat[[#This Row],[Mã điểm bán]])</f>
        <v>1</v>
      </c>
    </row>
    <row r="1785" spans="1:29" x14ac:dyDescent="0.45">
      <c r="A1785" t="s">
        <v>6444</v>
      </c>
      <c r="B1785">
        <v>106</v>
      </c>
      <c r="C1785" t="s">
        <v>6768</v>
      </c>
      <c r="D1785" t="s">
        <v>6769</v>
      </c>
      <c r="E1785" t="s">
        <v>665</v>
      </c>
      <c r="F1785" t="s">
        <v>53</v>
      </c>
      <c r="G1785" t="s">
        <v>34</v>
      </c>
      <c r="H1785" t="s">
        <v>54</v>
      </c>
      <c r="I1785" t="s">
        <v>6770</v>
      </c>
      <c r="J1785" t="s">
        <v>38</v>
      </c>
      <c r="K1785" t="s">
        <v>38</v>
      </c>
      <c r="L1785" t="s">
        <v>39</v>
      </c>
      <c r="M1785" t="s">
        <v>38</v>
      </c>
      <c r="N1785" t="s">
        <v>38</v>
      </c>
      <c r="O1785" t="s">
        <v>39</v>
      </c>
      <c r="P1785" t="s">
        <v>38</v>
      </c>
      <c r="Q1785" t="s">
        <v>38</v>
      </c>
      <c r="R1785" t="s">
        <v>40</v>
      </c>
      <c r="S1785" t="s">
        <v>41</v>
      </c>
      <c r="T1785" t="s">
        <v>6685</v>
      </c>
      <c r="U1785" t="s">
        <v>6686</v>
      </c>
      <c r="V1785" t="s">
        <v>6450</v>
      </c>
      <c r="W1785" t="s">
        <v>6687</v>
      </c>
      <c r="X1785" t="s">
        <v>46</v>
      </c>
      <c r="AC1785">
        <f>COUNTIF(C:C,QLKV_gui_ket_qua_ra_soat[[#This Row],[Mã điểm bán]])</f>
        <v>1</v>
      </c>
    </row>
    <row r="1786" spans="1:29" x14ac:dyDescent="0.45">
      <c r="A1786" t="s">
        <v>6444</v>
      </c>
      <c r="B1786">
        <v>107</v>
      </c>
      <c r="C1786" t="s">
        <v>6771</v>
      </c>
      <c r="D1786" t="s">
        <v>6772</v>
      </c>
      <c r="E1786" t="s">
        <v>87</v>
      </c>
      <c r="F1786" t="s">
        <v>53</v>
      </c>
      <c r="G1786" t="s">
        <v>34</v>
      </c>
      <c r="H1786" t="s">
        <v>54</v>
      </c>
      <c r="I1786" t="s">
        <v>6773</v>
      </c>
      <c r="J1786" t="s">
        <v>38</v>
      </c>
      <c r="K1786" t="s">
        <v>38</v>
      </c>
      <c r="L1786" t="s">
        <v>40</v>
      </c>
      <c r="M1786" t="s">
        <v>38</v>
      </c>
      <c r="N1786" t="s">
        <v>38</v>
      </c>
      <c r="O1786" t="s">
        <v>40</v>
      </c>
      <c r="P1786" t="s">
        <v>38</v>
      </c>
      <c r="Q1786" t="s">
        <v>38</v>
      </c>
      <c r="R1786" t="s">
        <v>40</v>
      </c>
      <c r="S1786" t="s">
        <v>41</v>
      </c>
      <c r="T1786" t="s">
        <v>6685</v>
      </c>
      <c r="U1786" t="s">
        <v>6686</v>
      </c>
      <c r="V1786" t="s">
        <v>6450</v>
      </c>
      <c r="W1786" t="s">
        <v>6687</v>
      </c>
      <c r="X1786" t="s">
        <v>46</v>
      </c>
      <c r="AC1786">
        <f>COUNTIF(C:C,QLKV_gui_ket_qua_ra_soat[[#This Row],[Mã điểm bán]])</f>
        <v>1</v>
      </c>
    </row>
    <row r="1787" spans="1:29" x14ac:dyDescent="0.45">
      <c r="A1787" t="s">
        <v>6444</v>
      </c>
      <c r="B1787">
        <v>108</v>
      </c>
      <c r="C1787" t="s">
        <v>6774</v>
      </c>
      <c r="D1787" t="s">
        <v>6775</v>
      </c>
      <c r="E1787" t="s">
        <v>307</v>
      </c>
      <c r="F1787" t="s">
        <v>166</v>
      </c>
      <c r="G1787" t="s">
        <v>34</v>
      </c>
      <c r="H1787" t="s">
        <v>54</v>
      </c>
      <c r="I1787" t="s">
        <v>6776</v>
      </c>
      <c r="J1787" t="s">
        <v>38</v>
      </c>
      <c r="K1787" t="s">
        <v>38</v>
      </c>
      <c r="L1787" t="s">
        <v>40</v>
      </c>
      <c r="M1787" t="s">
        <v>38</v>
      </c>
      <c r="N1787" t="s">
        <v>38</v>
      </c>
      <c r="O1787" t="s">
        <v>40</v>
      </c>
      <c r="P1787" t="s">
        <v>38</v>
      </c>
      <c r="Q1787" t="s">
        <v>38</v>
      </c>
      <c r="R1787" t="s">
        <v>40</v>
      </c>
      <c r="S1787" t="s">
        <v>6753</v>
      </c>
      <c r="T1787" t="s">
        <v>6685</v>
      </c>
      <c r="U1787" t="s">
        <v>6686</v>
      </c>
      <c r="V1787" t="s">
        <v>6450</v>
      </c>
      <c r="W1787" t="s">
        <v>6687</v>
      </c>
      <c r="Z1787" t="s">
        <v>46</v>
      </c>
      <c r="AA1787" t="s">
        <v>6688</v>
      </c>
      <c r="AB1787" t="s">
        <v>4223</v>
      </c>
      <c r="AC1787">
        <f>COUNTIF(C:C,QLKV_gui_ket_qua_ra_soat[[#This Row],[Mã điểm bán]])</f>
        <v>1</v>
      </c>
    </row>
    <row r="1788" spans="1:29" x14ac:dyDescent="0.45">
      <c r="A1788" t="s">
        <v>6444</v>
      </c>
      <c r="B1788">
        <v>109</v>
      </c>
      <c r="C1788" t="s">
        <v>6777</v>
      </c>
      <c r="D1788" t="s">
        <v>6778</v>
      </c>
      <c r="E1788" t="s">
        <v>143</v>
      </c>
      <c r="F1788" t="s">
        <v>53</v>
      </c>
      <c r="G1788" t="s">
        <v>34</v>
      </c>
      <c r="H1788" t="s">
        <v>2459</v>
      </c>
      <c r="I1788" t="s">
        <v>2921</v>
      </c>
      <c r="J1788" t="s">
        <v>38</v>
      </c>
      <c r="K1788" t="s">
        <v>38</v>
      </c>
      <c r="L1788" t="s">
        <v>40</v>
      </c>
      <c r="M1788" t="s">
        <v>38</v>
      </c>
      <c r="N1788" t="s">
        <v>38</v>
      </c>
      <c r="O1788" t="s">
        <v>40</v>
      </c>
      <c r="P1788" t="s">
        <v>38</v>
      </c>
      <c r="Q1788" t="s">
        <v>38</v>
      </c>
      <c r="R1788" t="s">
        <v>40</v>
      </c>
      <c r="S1788" t="s">
        <v>41</v>
      </c>
      <c r="T1788" t="s">
        <v>6704</v>
      </c>
      <c r="U1788" t="s">
        <v>6705</v>
      </c>
      <c r="V1788" t="s">
        <v>6450</v>
      </c>
      <c r="W1788" t="s">
        <v>6687</v>
      </c>
      <c r="X1788" t="s">
        <v>46</v>
      </c>
      <c r="AC1788">
        <f>COUNTIF(C:C,QLKV_gui_ket_qua_ra_soat[[#This Row],[Mã điểm bán]])</f>
        <v>1</v>
      </c>
    </row>
    <row r="1789" spans="1:29" x14ac:dyDescent="0.45">
      <c r="A1789" t="s">
        <v>6444</v>
      </c>
      <c r="B1789">
        <v>110</v>
      </c>
      <c r="C1789" t="s">
        <v>6779</v>
      </c>
      <c r="D1789" t="s">
        <v>6780</v>
      </c>
      <c r="E1789" t="s">
        <v>1360</v>
      </c>
      <c r="F1789" t="s">
        <v>6781</v>
      </c>
      <c r="G1789" t="s">
        <v>34</v>
      </c>
      <c r="H1789" t="s">
        <v>54</v>
      </c>
      <c r="I1789" t="s">
        <v>6782</v>
      </c>
      <c r="J1789" t="s">
        <v>38</v>
      </c>
      <c r="K1789" t="s">
        <v>38</v>
      </c>
      <c r="L1789" t="s">
        <v>40</v>
      </c>
      <c r="M1789" t="s">
        <v>38</v>
      </c>
      <c r="N1789" t="s">
        <v>38</v>
      </c>
      <c r="O1789" t="s">
        <v>39</v>
      </c>
      <c r="P1789" t="s">
        <v>38</v>
      </c>
      <c r="Q1789" t="s">
        <v>38</v>
      </c>
      <c r="R1789" t="s">
        <v>40</v>
      </c>
      <c r="S1789" t="s">
        <v>41</v>
      </c>
      <c r="T1789" t="s">
        <v>6694</v>
      </c>
      <c r="U1789" t="s">
        <v>6686</v>
      </c>
      <c r="V1789" t="s">
        <v>6450</v>
      </c>
      <c r="W1789" t="s">
        <v>6687</v>
      </c>
      <c r="X1789" t="s">
        <v>46</v>
      </c>
      <c r="AB1789" t="s">
        <v>4223</v>
      </c>
      <c r="AC1789">
        <f>COUNTIF(C:C,QLKV_gui_ket_qua_ra_soat[[#This Row],[Mã điểm bán]])</f>
        <v>1</v>
      </c>
    </row>
    <row r="1790" spans="1:29" x14ac:dyDescent="0.45">
      <c r="A1790" t="s">
        <v>6444</v>
      </c>
      <c r="B1790">
        <v>111</v>
      </c>
      <c r="C1790" t="s">
        <v>6783</v>
      </c>
      <c r="D1790" t="s">
        <v>6784</v>
      </c>
      <c r="E1790" t="s">
        <v>6785</v>
      </c>
      <c r="F1790" t="s">
        <v>53</v>
      </c>
      <c r="G1790" t="s">
        <v>34</v>
      </c>
      <c r="H1790" t="s">
        <v>332</v>
      </c>
      <c r="I1790" t="s">
        <v>6786</v>
      </c>
      <c r="J1790" t="s">
        <v>38</v>
      </c>
      <c r="K1790" t="s">
        <v>38</v>
      </c>
      <c r="L1790" t="s">
        <v>40</v>
      </c>
      <c r="M1790" t="s">
        <v>38</v>
      </c>
      <c r="N1790" t="s">
        <v>38</v>
      </c>
      <c r="O1790" t="s">
        <v>40</v>
      </c>
      <c r="P1790" t="s">
        <v>38</v>
      </c>
      <c r="Q1790" t="s">
        <v>38</v>
      </c>
      <c r="R1790" t="s">
        <v>40</v>
      </c>
      <c r="S1790" t="s">
        <v>41</v>
      </c>
      <c r="T1790" t="s">
        <v>6704</v>
      </c>
      <c r="U1790" t="s">
        <v>6705</v>
      </c>
      <c r="V1790" t="s">
        <v>6450</v>
      </c>
      <c r="W1790" t="s">
        <v>6687</v>
      </c>
      <c r="Z1790" t="s">
        <v>46</v>
      </c>
      <c r="AA1790" t="s">
        <v>6457</v>
      </c>
      <c r="AB1790" t="s">
        <v>5658</v>
      </c>
      <c r="AC1790">
        <f>COUNTIF(C:C,QLKV_gui_ket_qua_ra_soat[[#This Row],[Mã điểm bán]])</f>
        <v>1</v>
      </c>
    </row>
    <row r="1791" spans="1:29" x14ac:dyDescent="0.45">
      <c r="A1791" t="s">
        <v>6444</v>
      </c>
      <c r="B1791">
        <v>112</v>
      </c>
      <c r="C1791" t="s">
        <v>6787</v>
      </c>
      <c r="D1791" t="s">
        <v>6788</v>
      </c>
      <c r="E1791" t="s">
        <v>261</v>
      </c>
      <c r="F1791" t="s">
        <v>2360</v>
      </c>
      <c r="G1791" t="s">
        <v>34</v>
      </c>
      <c r="H1791" t="s">
        <v>54</v>
      </c>
      <c r="I1791" t="s">
        <v>6789</v>
      </c>
      <c r="J1791" t="s">
        <v>38</v>
      </c>
      <c r="K1791" t="s">
        <v>38</v>
      </c>
      <c r="L1791" t="s">
        <v>40</v>
      </c>
      <c r="M1791" t="s">
        <v>38</v>
      </c>
      <c r="N1791" t="s">
        <v>38</v>
      </c>
      <c r="O1791" t="s">
        <v>39</v>
      </c>
      <c r="P1791" t="s">
        <v>38</v>
      </c>
      <c r="Q1791" t="s">
        <v>38</v>
      </c>
      <c r="R1791" t="s">
        <v>40</v>
      </c>
      <c r="S1791" t="s">
        <v>41</v>
      </c>
      <c r="T1791" t="s">
        <v>6694</v>
      </c>
      <c r="U1791" t="s">
        <v>6686</v>
      </c>
      <c r="V1791" t="s">
        <v>6450</v>
      </c>
      <c r="W1791" t="s">
        <v>6687</v>
      </c>
      <c r="Z1791" t="s">
        <v>46</v>
      </c>
      <c r="AA1791" t="s">
        <v>6457</v>
      </c>
      <c r="AB1791" t="s">
        <v>4223</v>
      </c>
      <c r="AC1791">
        <f>COUNTIF(C:C,QLKV_gui_ket_qua_ra_soat[[#This Row],[Mã điểm bán]])</f>
        <v>1</v>
      </c>
    </row>
    <row r="1792" spans="1:29" x14ac:dyDescent="0.45">
      <c r="A1792" t="s">
        <v>6444</v>
      </c>
      <c r="B1792">
        <v>113</v>
      </c>
      <c r="C1792" t="s">
        <v>6790</v>
      </c>
      <c r="D1792" t="s">
        <v>6791</v>
      </c>
      <c r="E1792" t="s">
        <v>2040</v>
      </c>
      <c r="F1792" t="s">
        <v>115</v>
      </c>
      <c r="G1792" t="s">
        <v>34</v>
      </c>
      <c r="H1792" t="s">
        <v>2170</v>
      </c>
      <c r="I1792" t="s">
        <v>1692</v>
      </c>
      <c r="J1792" t="s">
        <v>38</v>
      </c>
      <c r="K1792" t="s">
        <v>38</v>
      </c>
      <c r="L1792" t="s">
        <v>40</v>
      </c>
      <c r="M1792" t="s">
        <v>38</v>
      </c>
      <c r="N1792" t="s">
        <v>38</v>
      </c>
      <c r="O1792" t="s">
        <v>40</v>
      </c>
      <c r="P1792" t="s">
        <v>38</v>
      </c>
      <c r="Q1792" t="s">
        <v>38</v>
      </c>
      <c r="R1792" t="s">
        <v>40</v>
      </c>
      <c r="S1792" t="s">
        <v>41</v>
      </c>
      <c r="T1792" t="s">
        <v>6704</v>
      </c>
      <c r="U1792" t="s">
        <v>6705</v>
      </c>
      <c r="V1792" t="s">
        <v>6450</v>
      </c>
      <c r="W1792" t="s">
        <v>6687</v>
      </c>
      <c r="X1792" t="s">
        <v>46</v>
      </c>
      <c r="AC1792">
        <f>COUNTIF(C:C,QLKV_gui_ket_qua_ra_soat[[#This Row],[Mã điểm bán]])</f>
        <v>1</v>
      </c>
    </row>
    <row r="1793" spans="1:29" x14ac:dyDescent="0.45">
      <c r="A1793" t="s">
        <v>6444</v>
      </c>
      <c r="B1793">
        <v>114</v>
      </c>
      <c r="C1793" t="s">
        <v>6792</v>
      </c>
      <c r="D1793" t="s">
        <v>6793</v>
      </c>
      <c r="E1793" t="s">
        <v>2119</v>
      </c>
      <c r="F1793" t="s">
        <v>53</v>
      </c>
      <c r="G1793" t="s">
        <v>34</v>
      </c>
      <c r="H1793" t="s">
        <v>1746</v>
      </c>
      <c r="I1793" t="s">
        <v>6794</v>
      </c>
      <c r="J1793" t="s">
        <v>38</v>
      </c>
      <c r="K1793" t="s">
        <v>38</v>
      </c>
      <c r="L1793" t="s">
        <v>40</v>
      </c>
      <c r="M1793" t="s">
        <v>38</v>
      </c>
      <c r="N1793" t="s">
        <v>38</v>
      </c>
      <c r="O1793" t="s">
        <v>40</v>
      </c>
      <c r="P1793" t="s">
        <v>38</v>
      </c>
      <c r="Q1793" t="s">
        <v>38</v>
      </c>
      <c r="R1793" t="s">
        <v>40</v>
      </c>
      <c r="S1793" t="s">
        <v>41</v>
      </c>
      <c r="T1793" t="s">
        <v>6704</v>
      </c>
      <c r="U1793" t="s">
        <v>6705</v>
      </c>
      <c r="V1793" t="s">
        <v>6450</v>
      </c>
      <c r="W1793" t="s">
        <v>6687</v>
      </c>
      <c r="Z1793" t="s">
        <v>46</v>
      </c>
      <c r="AA1793" t="s">
        <v>6457</v>
      </c>
      <c r="AB1793" t="s">
        <v>3109</v>
      </c>
      <c r="AC1793">
        <f>COUNTIF(C:C,QLKV_gui_ket_qua_ra_soat[[#This Row],[Mã điểm bán]])</f>
        <v>1</v>
      </c>
    </row>
    <row r="1794" spans="1:29" x14ac:dyDescent="0.45">
      <c r="A1794" t="s">
        <v>6444</v>
      </c>
      <c r="B1794">
        <v>115</v>
      </c>
      <c r="C1794" t="s">
        <v>6795</v>
      </c>
      <c r="D1794" t="s">
        <v>6796</v>
      </c>
      <c r="E1794" t="s">
        <v>2020</v>
      </c>
      <c r="F1794" t="s">
        <v>53</v>
      </c>
      <c r="G1794" t="s">
        <v>34</v>
      </c>
      <c r="H1794" t="s">
        <v>171</v>
      </c>
      <c r="I1794" t="s">
        <v>6738</v>
      </c>
      <c r="J1794" t="s">
        <v>38</v>
      </c>
      <c r="K1794" t="s">
        <v>38</v>
      </c>
      <c r="L1794" t="s">
        <v>40</v>
      </c>
      <c r="M1794" t="s">
        <v>38</v>
      </c>
      <c r="N1794" t="s">
        <v>38</v>
      </c>
      <c r="O1794" t="s">
        <v>40</v>
      </c>
      <c r="P1794" t="s">
        <v>38</v>
      </c>
      <c r="Q1794" t="s">
        <v>38</v>
      </c>
      <c r="R1794" t="s">
        <v>40</v>
      </c>
      <c r="S1794" t="s">
        <v>41</v>
      </c>
      <c r="T1794" t="s">
        <v>6704</v>
      </c>
      <c r="U1794" t="s">
        <v>6705</v>
      </c>
      <c r="V1794" t="s">
        <v>6450</v>
      </c>
      <c r="W1794" t="s">
        <v>6687</v>
      </c>
      <c r="Z1794" t="s">
        <v>46</v>
      </c>
      <c r="AA1794" t="s">
        <v>6457</v>
      </c>
      <c r="AB1794" t="s">
        <v>3109</v>
      </c>
      <c r="AC1794">
        <f>COUNTIF(C:C,QLKV_gui_ket_qua_ra_soat[[#This Row],[Mã điểm bán]])</f>
        <v>1</v>
      </c>
    </row>
    <row r="1795" spans="1:29" x14ac:dyDescent="0.45">
      <c r="A1795" t="s">
        <v>6444</v>
      </c>
      <c r="B1795">
        <v>116</v>
      </c>
      <c r="C1795" t="s">
        <v>6797</v>
      </c>
      <c r="D1795" t="s">
        <v>6798</v>
      </c>
      <c r="E1795" t="s">
        <v>269</v>
      </c>
      <c r="F1795" t="s">
        <v>53</v>
      </c>
      <c r="G1795" t="s">
        <v>177</v>
      </c>
      <c r="H1795" t="s">
        <v>54</v>
      </c>
      <c r="I1795" t="s">
        <v>6773</v>
      </c>
      <c r="J1795" t="s">
        <v>38</v>
      </c>
      <c r="K1795" t="s">
        <v>38</v>
      </c>
      <c r="L1795" t="s">
        <v>40</v>
      </c>
      <c r="M1795" t="s">
        <v>38</v>
      </c>
      <c r="N1795" t="s">
        <v>775</v>
      </c>
      <c r="O1795" t="s">
        <v>39</v>
      </c>
      <c r="P1795" t="s">
        <v>38</v>
      </c>
      <c r="Q1795" t="s">
        <v>38</v>
      </c>
      <c r="R1795" t="s">
        <v>40</v>
      </c>
      <c r="S1795" t="s">
        <v>6799</v>
      </c>
      <c r="T1795" t="s">
        <v>6685</v>
      </c>
      <c r="U1795" t="s">
        <v>6686</v>
      </c>
      <c r="V1795" t="s">
        <v>6450</v>
      </c>
      <c r="W1795" t="s">
        <v>6687</v>
      </c>
      <c r="X1795" t="s">
        <v>46</v>
      </c>
      <c r="AC1795">
        <f>COUNTIF(C:C,QLKV_gui_ket_qua_ra_soat[[#This Row],[Mã điểm bán]])</f>
        <v>1</v>
      </c>
    </row>
    <row r="1796" spans="1:29" x14ac:dyDescent="0.45">
      <c r="A1796" t="s">
        <v>6444</v>
      </c>
      <c r="B1796">
        <v>117</v>
      </c>
      <c r="C1796" t="s">
        <v>6800</v>
      </c>
      <c r="D1796" t="s">
        <v>6801</v>
      </c>
      <c r="E1796" t="s">
        <v>69</v>
      </c>
      <c r="F1796" t="s">
        <v>53</v>
      </c>
      <c r="G1796" t="s">
        <v>34</v>
      </c>
      <c r="H1796" t="s">
        <v>54</v>
      </c>
      <c r="I1796" t="s">
        <v>6802</v>
      </c>
      <c r="J1796" t="s">
        <v>38</v>
      </c>
      <c r="K1796" t="s">
        <v>38</v>
      </c>
      <c r="L1796" t="s">
        <v>40</v>
      </c>
      <c r="M1796" t="s">
        <v>38</v>
      </c>
      <c r="N1796" t="s">
        <v>38</v>
      </c>
      <c r="O1796" t="s">
        <v>39</v>
      </c>
      <c r="P1796" t="s">
        <v>38</v>
      </c>
      <c r="Q1796" t="s">
        <v>38</v>
      </c>
      <c r="R1796" t="s">
        <v>40</v>
      </c>
      <c r="S1796" t="s">
        <v>41</v>
      </c>
      <c r="T1796" t="s">
        <v>6694</v>
      </c>
      <c r="U1796" t="s">
        <v>6686</v>
      </c>
      <c r="V1796" t="s">
        <v>6450</v>
      </c>
      <c r="W1796" t="s">
        <v>6687</v>
      </c>
      <c r="X1796" t="s">
        <v>46</v>
      </c>
      <c r="AB1796" t="s">
        <v>3109</v>
      </c>
      <c r="AC1796">
        <f>COUNTIF(C:C,QLKV_gui_ket_qua_ra_soat[[#This Row],[Mã điểm bán]])</f>
        <v>1</v>
      </c>
    </row>
    <row r="1797" spans="1:29" x14ac:dyDescent="0.45">
      <c r="A1797" t="s">
        <v>6444</v>
      </c>
      <c r="B1797">
        <v>118</v>
      </c>
      <c r="C1797" t="s">
        <v>6803</v>
      </c>
      <c r="D1797" t="s">
        <v>6758</v>
      </c>
      <c r="E1797" t="s">
        <v>285</v>
      </c>
      <c r="F1797" t="s">
        <v>53</v>
      </c>
      <c r="G1797" t="s">
        <v>34</v>
      </c>
      <c r="H1797" t="s">
        <v>842</v>
      </c>
      <c r="I1797" t="s">
        <v>2809</v>
      </c>
      <c r="J1797" t="s">
        <v>38</v>
      </c>
      <c r="K1797" t="s">
        <v>38</v>
      </c>
      <c r="L1797" t="s">
        <v>40</v>
      </c>
      <c r="M1797" t="s">
        <v>38</v>
      </c>
      <c r="N1797" t="s">
        <v>38</v>
      </c>
      <c r="O1797" t="s">
        <v>40</v>
      </c>
      <c r="P1797" t="s">
        <v>38</v>
      </c>
      <c r="Q1797" t="s">
        <v>38</v>
      </c>
      <c r="R1797" t="s">
        <v>40</v>
      </c>
      <c r="S1797" t="s">
        <v>41</v>
      </c>
      <c r="T1797" t="s">
        <v>6704</v>
      </c>
      <c r="U1797" t="s">
        <v>6705</v>
      </c>
      <c r="V1797" t="s">
        <v>6450</v>
      </c>
      <c r="W1797" t="s">
        <v>6687</v>
      </c>
      <c r="Z1797" t="s">
        <v>46</v>
      </c>
      <c r="AA1797" t="s">
        <v>6688</v>
      </c>
      <c r="AB1797" t="s">
        <v>5658</v>
      </c>
      <c r="AC1797">
        <f>COUNTIF(C:C,QLKV_gui_ket_qua_ra_soat[[#This Row],[Mã điểm bán]])</f>
        <v>1</v>
      </c>
    </row>
    <row r="1798" spans="1:29" x14ac:dyDescent="0.45">
      <c r="A1798" t="s">
        <v>6444</v>
      </c>
      <c r="B1798">
        <v>119</v>
      </c>
      <c r="C1798" t="s">
        <v>6804</v>
      </c>
      <c r="D1798" t="s">
        <v>6805</v>
      </c>
      <c r="E1798" t="s">
        <v>455</v>
      </c>
      <c r="F1798" t="s">
        <v>1385</v>
      </c>
      <c r="G1798" t="s">
        <v>34</v>
      </c>
      <c r="H1798" t="s">
        <v>54</v>
      </c>
      <c r="I1798" t="s">
        <v>6806</v>
      </c>
      <c r="J1798" t="s">
        <v>38</v>
      </c>
      <c r="K1798" t="s">
        <v>38</v>
      </c>
      <c r="L1798" t="s">
        <v>39</v>
      </c>
      <c r="M1798" t="s">
        <v>38</v>
      </c>
      <c r="N1798" t="s">
        <v>38</v>
      </c>
      <c r="O1798" t="s">
        <v>39</v>
      </c>
      <c r="P1798" t="s">
        <v>38</v>
      </c>
      <c r="Q1798" t="s">
        <v>38</v>
      </c>
      <c r="R1798" t="s">
        <v>40</v>
      </c>
      <c r="S1798" t="s">
        <v>41</v>
      </c>
      <c r="T1798" t="s">
        <v>6694</v>
      </c>
      <c r="U1798" t="s">
        <v>6686</v>
      </c>
      <c r="V1798" t="s">
        <v>6450</v>
      </c>
      <c r="W1798" t="s">
        <v>6687</v>
      </c>
      <c r="Z1798" t="s">
        <v>46</v>
      </c>
      <c r="AA1798" t="s">
        <v>6688</v>
      </c>
      <c r="AB1798" t="s">
        <v>3109</v>
      </c>
      <c r="AC1798">
        <f>COUNTIF(C:C,QLKV_gui_ket_qua_ra_soat[[#This Row],[Mã điểm bán]])</f>
        <v>1</v>
      </c>
    </row>
    <row r="1799" spans="1:29" x14ac:dyDescent="0.45">
      <c r="A1799" t="s">
        <v>6444</v>
      </c>
      <c r="B1799">
        <v>120</v>
      </c>
      <c r="C1799" t="s">
        <v>6807</v>
      </c>
      <c r="D1799" t="s">
        <v>6808</v>
      </c>
      <c r="E1799" t="s">
        <v>69</v>
      </c>
      <c r="F1799" t="s">
        <v>53</v>
      </c>
      <c r="G1799" t="s">
        <v>34</v>
      </c>
      <c r="H1799" t="s">
        <v>54</v>
      </c>
      <c r="I1799" t="s">
        <v>151</v>
      </c>
      <c r="J1799" t="s">
        <v>38</v>
      </c>
      <c r="K1799" t="s">
        <v>38</v>
      </c>
      <c r="L1799" t="s">
        <v>40</v>
      </c>
      <c r="M1799" t="s">
        <v>38</v>
      </c>
      <c r="N1799" t="s">
        <v>38</v>
      </c>
      <c r="O1799" t="s">
        <v>40</v>
      </c>
      <c r="P1799" t="s">
        <v>38</v>
      </c>
      <c r="Q1799" t="s">
        <v>38</v>
      </c>
      <c r="R1799" t="s">
        <v>40</v>
      </c>
      <c r="S1799" t="s">
        <v>41</v>
      </c>
      <c r="T1799" t="s">
        <v>6694</v>
      </c>
      <c r="U1799" t="s">
        <v>6686</v>
      </c>
      <c r="V1799" t="s">
        <v>6450</v>
      </c>
      <c r="W1799" t="s">
        <v>6687</v>
      </c>
      <c r="X1799" t="s">
        <v>46</v>
      </c>
      <c r="AC1799">
        <f>COUNTIF(C:C,QLKV_gui_ket_qua_ra_soat[[#This Row],[Mã điểm bán]])</f>
        <v>1</v>
      </c>
    </row>
    <row r="1800" spans="1:29" x14ac:dyDescent="0.45">
      <c r="A1800" t="s">
        <v>6444</v>
      </c>
      <c r="B1800">
        <v>121</v>
      </c>
      <c r="C1800" t="s">
        <v>6809</v>
      </c>
      <c r="D1800" t="s">
        <v>6810</v>
      </c>
      <c r="E1800" t="s">
        <v>2495</v>
      </c>
      <c r="F1800" t="s">
        <v>325</v>
      </c>
      <c r="G1800" t="s">
        <v>34</v>
      </c>
      <c r="H1800" t="s">
        <v>350</v>
      </c>
      <c r="I1800" t="s">
        <v>2516</v>
      </c>
      <c r="J1800" t="s">
        <v>38</v>
      </c>
      <c r="K1800" t="s">
        <v>38</v>
      </c>
      <c r="L1800" t="s">
        <v>40</v>
      </c>
      <c r="M1800" t="s">
        <v>38</v>
      </c>
      <c r="N1800" t="s">
        <v>38</v>
      </c>
      <c r="O1800" t="s">
        <v>40</v>
      </c>
      <c r="P1800" t="s">
        <v>38</v>
      </c>
      <c r="Q1800" t="s">
        <v>38</v>
      </c>
      <c r="R1800" t="s">
        <v>40</v>
      </c>
      <c r="S1800" t="s">
        <v>41</v>
      </c>
      <c r="T1800" t="s">
        <v>6704</v>
      </c>
      <c r="U1800" t="s">
        <v>6705</v>
      </c>
      <c r="V1800" t="s">
        <v>6450</v>
      </c>
      <c r="W1800" t="s">
        <v>6687</v>
      </c>
      <c r="Z1800" t="s">
        <v>46</v>
      </c>
      <c r="AA1800" t="s">
        <v>6457</v>
      </c>
      <c r="AB1800" t="s">
        <v>4223</v>
      </c>
      <c r="AC1800">
        <f>COUNTIF(C:C,QLKV_gui_ket_qua_ra_soat[[#This Row],[Mã điểm bán]])</f>
        <v>1</v>
      </c>
    </row>
    <row r="1801" spans="1:29" x14ac:dyDescent="0.45">
      <c r="A1801" t="s">
        <v>6444</v>
      </c>
      <c r="B1801">
        <v>122</v>
      </c>
      <c r="C1801" t="s">
        <v>6811</v>
      </c>
      <c r="D1801" t="s">
        <v>6812</v>
      </c>
      <c r="E1801" t="s">
        <v>223</v>
      </c>
      <c r="F1801" t="s">
        <v>3527</v>
      </c>
      <c r="G1801" t="s">
        <v>34</v>
      </c>
      <c r="H1801" t="s">
        <v>546</v>
      </c>
      <c r="I1801" t="s">
        <v>6813</v>
      </c>
      <c r="J1801" t="s">
        <v>38</v>
      </c>
      <c r="K1801" t="s">
        <v>38</v>
      </c>
      <c r="L1801" t="s">
        <v>40</v>
      </c>
      <c r="M1801" t="s">
        <v>38</v>
      </c>
      <c r="N1801" t="s">
        <v>38</v>
      </c>
      <c r="O1801" t="s">
        <v>39</v>
      </c>
      <c r="P1801" t="s">
        <v>38</v>
      </c>
      <c r="Q1801" t="s">
        <v>38</v>
      </c>
      <c r="R1801" t="s">
        <v>40</v>
      </c>
      <c r="S1801" t="s">
        <v>41</v>
      </c>
      <c r="T1801" t="s">
        <v>6694</v>
      </c>
      <c r="U1801" t="s">
        <v>6686</v>
      </c>
      <c r="V1801" t="s">
        <v>6450</v>
      </c>
      <c r="W1801" t="s">
        <v>6687</v>
      </c>
      <c r="Z1801" t="s">
        <v>46</v>
      </c>
      <c r="AA1801" t="s">
        <v>6688</v>
      </c>
      <c r="AB1801" t="s">
        <v>4223</v>
      </c>
      <c r="AC1801">
        <f>COUNTIF(C:C,QLKV_gui_ket_qua_ra_soat[[#This Row],[Mã điểm bán]])</f>
        <v>1</v>
      </c>
    </row>
    <row r="1802" spans="1:29" x14ac:dyDescent="0.45">
      <c r="A1802" t="s">
        <v>6444</v>
      </c>
      <c r="B1802">
        <v>123</v>
      </c>
      <c r="C1802" t="s">
        <v>6814</v>
      </c>
      <c r="D1802" t="s">
        <v>6815</v>
      </c>
      <c r="E1802" t="s">
        <v>416</v>
      </c>
      <c r="F1802" t="s">
        <v>6816</v>
      </c>
      <c r="G1802" t="s">
        <v>34</v>
      </c>
      <c r="H1802" t="s">
        <v>54</v>
      </c>
      <c r="I1802" t="s">
        <v>6817</v>
      </c>
      <c r="J1802" t="s">
        <v>38</v>
      </c>
      <c r="K1802" t="s">
        <v>38</v>
      </c>
      <c r="L1802" t="s">
        <v>40</v>
      </c>
      <c r="M1802" t="s">
        <v>38</v>
      </c>
      <c r="N1802" t="s">
        <v>38</v>
      </c>
      <c r="O1802" t="s">
        <v>40</v>
      </c>
      <c r="P1802" t="s">
        <v>38</v>
      </c>
      <c r="Q1802" t="s">
        <v>38</v>
      </c>
      <c r="R1802" t="s">
        <v>40</v>
      </c>
      <c r="S1802" t="s">
        <v>41</v>
      </c>
      <c r="T1802" t="s">
        <v>6694</v>
      </c>
      <c r="U1802" t="s">
        <v>6686</v>
      </c>
      <c r="V1802" t="s">
        <v>6450</v>
      </c>
      <c r="W1802" t="s">
        <v>6687</v>
      </c>
      <c r="X1802" t="s">
        <v>46</v>
      </c>
      <c r="AC1802">
        <f>COUNTIF(C:C,QLKV_gui_ket_qua_ra_soat[[#This Row],[Mã điểm bán]])</f>
        <v>1</v>
      </c>
    </row>
    <row r="1803" spans="1:29" x14ac:dyDescent="0.45">
      <c r="A1803" t="s">
        <v>6444</v>
      </c>
      <c r="B1803">
        <v>124</v>
      </c>
      <c r="C1803" t="s">
        <v>6818</v>
      </c>
      <c r="D1803" t="s">
        <v>6819</v>
      </c>
      <c r="E1803" t="s">
        <v>113</v>
      </c>
      <c r="F1803" t="s">
        <v>325</v>
      </c>
      <c r="G1803" t="s">
        <v>177</v>
      </c>
      <c r="H1803" t="s">
        <v>546</v>
      </c>
      <c r="I1803" t="s">
        <v>6820</v>
      </c>
      <c r="J1803" t="s">
        <v>38</v>
      </c>
      <c r="K1803" t="s">
        <v>38</v>
      </c>
      <c r="L1803" t="s">
        <v>40</v>
      </c>
      <c r="M1803" t="s">
        <v>38</v>
      </c>
      <c r="N1803" t="s">
        <v>38</v>
      </c>
      <c r="O1803" t="s">
        <v>39</v>
      </c>
      <c r="P1803" t="s">
        <v>38</v>
      </c>
      <c r="Q1803" t="s">
        <v>38</v>
      </c>
      <c r="R1803" t="s">
        <v>40</v>
      </c>
      <c r="S1803" t="s">
        <v>41</v>
      </c>
      <c r="T1803" t="s">
        <v>6694</v>
      </c>
      <c r="U1803" t="s">
        <v>6686</v>
      </c>
      <c r="V1803" t="s">
        <v>6450</v>
      </c>
      <c r="W1803" t="s">
        <v>6687</v>
      </c>
      <c r="X1803" t="s">
        <v>46</v>
      </c>
      <c r="AB1803" t="s">
        <v>3109</v>
      </c>
      <c r="AC1803">
        <f>COUNTIF(C:C,QLKV_gui_ket_qua_ra_soat[[#This Row],[Mã điểm bán]])</f>
        <v>1</v>
      </c>
    </row>
    <row r="1804" spans="1:29" x14ac:dyDescent="0.45">
      <c r="A1804" t="s">
        <v>6444</v>
      </c>
      <c r="B1804">
        <v>125</v>
      </c>
      <c r="C1804" t="s">
        <v>6821</v>
      </c>
      <c r="D1804" t="s">
        <v>6822</v>
      </c>
      <c r="E1804" t="s">
        <v>742</v>
      </c>
      <c r="F1804" t="s">
        <v>53</v>
      </c>
      <c r="G1804" t="s">
        <v>177</v>
      </c>
      <c r="H1804" t="s">
        <v>697</v>
      </c>
      <c r="I1804" t="s">
        <v>6823</v>
      </c>
      <c r="J1804" t="s">
        <v>38</v>
      </c>
      <c r="K1804" t="s">
        <v>38</v>
      </c>
      <c r="L1804" t="s">
        <v>40</v>
      </c>
      <c r="M1804" t="s">
        <v>38</v>
      </c>
      <c r="N1804" t="s">
        <v>38</v>
      </c>
      <c r="O1804" t="s">
        <v>39</v>
      </c>
      <c r="P1804" t="s">
        <v>38</v>
      </c>
      <c r="Q1804" t="s">
        <v>38</v>
      </c>
      <c r="R1804" t="s">
        <v>40</v>
      </c>
      <c r="S1804" t="s">
        <v>6824</v>
      </c>
      <c r="T1804" t="s">
        <v>6685</v>
      </c>
      <c r="U1804" t="s">
        <v>6686</v>
      </c>
      <c r="V1804" t="s">
        <v>6450</v>
      </c>
      <c r="W1804" t="s">
        <v>6687</v>
      </c>
      <c r="X1804" t="s">
        <v>46</v>
      </c>
      <c r="AB1804" t="s">
        <v>5658</v>
      </c>
      <c r="AC1804">
        <f>COUNTIF(C:C,QLKV_gui_ket_qua_ra_soat[[#This Row],[Mã điểm bán]])</f>
        <v>1</v>
      </c>
    </row>
    <row r="1805" spans="1:29" x14ac:dyDescent="0.45">
      <c r="A1805" t="s">
        <v>6444</v>
      </c>
      <c r="B1805">
        <v>126</v>
      </c>
      <c r="C1805" t="s">
        <v>6825</v>
      </c>
      <c r="D1805" t="s">
        <v>6826</v>
      </c>
      <c r="E1805" t="s">
        <v>92</v>
      </c>
      <c r="F1805" t="s">
        <v>5582</v>
      </c>
      <c r="G1805" t="s">
        <v>34</v>
      </c>
      <c r="H1805" t="s">
        <v>54</v>
      </c>
      <c r="I1805" t="s">
        <v>6827</v>
      </c>
      <c r="J1805" t="s">
        <v>38</v>
      </c>
      <c r="K1805" t="s">
        <v>38</v>
      </c>
      <c r="L1805" t="s">
        <v>40</v>
      </c>
      <c r="M1805" t="s">
        <v>38</v>
      </c>
      <c r="N1805" t="s">
        <v>38</v>
      </c>
      <c r="O1805" t="s">
        <v>39</v>
      </c>
      <c r="P1805" t="s">
        <v>38</v>
      </c>
      <c r="Q1805" t="s">
        <v>38</v>
      </c>
      <c r="R1805" t="s">
        <v>40</v>
      </c>
      <c r="S1805" t="s">
        <v>41</v>
      </c>
      <c r="T1805" t="s">
        <v>6694</v>
      </c>
      <c r="U1805" t="s">
        <v>6686</v>
      </c>
      <c r="V1805" t="s">
        <v>6450</v>
      </c>
      <c r="W1805" t="s">
        <v>6687</v>
      </c>
      <c r="X1805" t="s">
        <v>46</v>
      </c>
      <c r="AC1805">
        <f>COUNTIF(C:C,QLKV_gui_ket_qua_ra_soat[[#This Row],[Mã điểm bán]])</f>
        <v>1</v>
      </c>
    </row>
    <row r="1806" spans="1:29" x14ac:dyDescent="0.45">
      <c r="A1806" t="s">
        <v>6444</v>
      </c>
      <c r="B1806">
        <v>127</v>
      </c>
      <c r="C1806" t="s">
        <v>6828</v>
      </c>
      <c r="D1806" t="s">
        <v>6829</v>
      </c>
      <c r="E1806" t="s">
        <v>148</v>
      </c>
      <c r="F1806" t="s">
        <v>1754</v>
      </c>
      <c r="G1806" t="s">
        <v>34</v>
      </c>
      <c r="H1806" t="s">
        <v>54</v>
      </c>
      <c r="I1806" t="s">
        <v>6830</v>
      </c>
      <c r="J1806" t="s">
        <v>38</v>
      </c>
      <c r="K1806" t="s">
        <v>38</v>
      </c>
      <c r="L1806" t="s">
        <v>40</v>
      </c>
      <c r="M1806" t="s">
        <v>38</v>
      </c>
      <c r="N1806" t="s">
        <v>38</v>
      </c>
      <c r="O1806" t="s">
        <v>39</v>
      </c>
      <c r="P1806" t="s">
        <v>38</v>
      </c>
      <c r="Q1806" t="s">
        <v>38</v>
      </c>
      <c r="R1806" t="s">
        <v>40</v>
      </c>
      <c r="S1806" t="s">
        <v>41</v>
      </c>
      <c r="T1806" t="s">
        <v>6694</v>
      </c>
      <c r="U1806" t="s">
        <v>6686</v>
      </c>
      <c r="V1806" t="s">
        <v>6450</v>
      </c>
      <c r="W1806" t="s">
        <v>6687</v>
      </c>
      <c r="X1806" t="s">
        <v>46</v>
      </c>
      <c r="AC1806">
        <f>COUNTIF(C:C,QLKV_gui_ket_qua_ra_soat[[#This Row],[Mã điểm bán]])</f>
        <v>1</v>
      </c>
    </row>
    <row r="1807" spans="1:29" x14ac:dyDescent="0.45">
      <c r="A1807" t="s">
        <v>6444</v>
      </c>
      <c r="B1807">
        <v>128</v>
      </c>
      <c r="C1807" t="s">
        <v>6831</v>
      </c>
      <c r="D1807" t="s">
        <v>6832</v>
      </c>
      <c r="E1807" t="s">
        <v>206</v>
      </c>
      <c r="F1807" t="s">
        <v>53</v>
      </c>
      <c r="G1807" t="s">
        <v>177</v>
      </c>
      <c r="H1807" t="s">
        <v>54</v>
      </c>
      <c r="I1807" t="s">
        <v>5854</v>
      </c>
      <c r="J1807" t="s">
        <v>37</v>
      </c>
      <c r="K1807" t="s">
        <v>37</v>
      </c>
      <c r="L1807" t="s">
        <v>39</v>
      </c>
      <c r="M1807" t="s">
        <v>37</v>
      </c>
      <c r="N1807" t="s">
        <v>37</v>
      </c>
      <c r="O1807" t="s">
        <v>39</v>
      </c>
      <c r="P1807" t="s">
        <v>37</v>
      </c>
      <c r="Q1807" t="s">
        <v>37</v>
      </c>
      <c r="R1807" t="s">
        <v>39</v>
      </c>
      <c r="S1807" t="s">
        <v>41</v>
      </c>
      <c r="T1807" t="s">
        <v>6833</v>
      </c>
      <c r="U1807" t="s">
        <v>6834</v>
      </c>
      <c r="V1807" t="s">
        <v>6450</v>
      </c>
      <c r="W1807" t="s">
        <v>6835</v>
      </c>
      <c r="Z1807" t="s">
        <v>46</v>
      </c>
      <c r="AA1807" t="s">
        <v>6836</v>
      </c>
      <c r="AB1807" t="s">
        <v>3109</v>
      </c>
      <c r="AC1807">
        <f>COUNTIF(C:C,QLKV_gui_ket_qua_ra_soat[[#This Row],[Mã điểm bán]])</f>
        <v>1</v>
      </c>
    </row>
    <row r="1808" spans="1:29" x14ac:dyDescent="0.45">
      <c r="A1808" t="s">
        <v>6444</v>
      </c>
      <c r="B1808">
        <v>129</v>
      </c>
      <c r="C1808" t="s">
        <v>6837</v>
      </c>
      <c r="D1808" t="s">
        <v>6838</v>
      </c>
      <c r="E1808" t="s">
        <v>455</v>
      </c>
      <c r="F1808" t="s">
        <v>417</v>
      </c>
      <c r="G1808" t="s">
        <v>177</v>
      </c>
      <c r="H1808" t="s">
        <v>54</v>
      </c>
      <c r="I1808" t="s">
        <v>6839</v>
      </c>
      <c r="J1808" t="s">
        <v>37</v>
      </c>
      <c r="K1808" t="s">
        <v>37</v>
      </c>
      <c r="L1808" t="s">
        <v>39</v>
      </c>
      <c r="M1808" t="s">
        <v>37</v>
      </c>
      <c r="N1808" t="s">
        <v>37</v>
      </c>
      <c r="O1808" t="s">
        <v>39</v>
      </c>
      <c r="P1808" t="s">
        <v>37</v>
      </c>
      <c r="Q1808" t="s">
        <v>37</v>
      </c>
      <c r="R1808" t="s">
        <v>39</v>
      </c>
      <c r="S1808" t="s">
        <v>41</v>
      </c>
      <c r="T1808" t="s">
        <v>6833</v>
      </c>
      <c r="U1808" t="s">
        <v>6834</v>
      </c>
      <c r="V1808" t="s">
        <v>6450</v>
      </c>
      <c r="W1808" t="s">
        <v>6835</v>
      </c>
      <c r="Z1808" t="s">
        <v>46</v>
      </c>
      <c r="AA1808" t="s">
        <v>6836</v>
      </c>
      <c r="AB1808" t="s">
        <v>3109</v>
      </c>
      <c r="AC1808">
        <f>COUNTIF(C:C,QLKV_gui_ket_qua_ra_soat[[#This Row],[Mã điểm bán]])</f>
        <v>1</v>
      </c>
    </row>
    <row r="1809" spans="1:29" x14ac:dyDescent="0.45">
      <c r="A1809" t="s">
        <v>6444</v>
      </c>
      <c r="B1809">
        <v>130</v>
      </c>
      <c r="C1809" t="s">
        <v>6840</v>
      </c>
      <c r="D1809" t="s">
        <v>6841</v>
      </c>
      <c r="E1809" t="s">
        <v>176</v>
      </c>
      <c r="F1809" t="s">
        <v>53</v>
      </c>
      <c r="G1809" t="s">
        <v>177</v>
      </c>
      <c r="H1809" t="s">
        <v>54</v>
      </c>
      <c r="I1809" t="s">
        <v>6842</v>
      </c>
      <c r="J1809" t="s">
        <v>37</v>
      </c>
      <c r="K1809" t="s">
        <v>37</v>
      </c>
      <c r="L1809" t="s">
        <v>39</v>
      </c>
      <c r="M1809" t="s">
        <v>37</v>
      </c>
      <c r="N1809" t="s">
        <v>37</v>
      </c>
      <c r="O1809" t="s">
        <v>39</v>
      </c>
      <c r="P1809" t="s">
        <v>37</v>
      </c>
      <c r="Q1809" t="s">
        <v>37</v>
      </c>
      <c r="R1809" t="s">
        <v>39</v>
      </c>
      <c r="S1809" t="s">
        <v>41</v>
      </c>
      <c r="T1809" t="s">
        <v>6833</v>
      </c>
      <c r="U1809" t="s">
        <v>6834</v>
      </c>
      <c r="V1809" t="s">
        <v>6450</v>
      </c>
      <c r="W1809" t="s">
        <v>6835</v>
      </c>
      <c r="Z1809" t="s">
        <v>46</v>
      </c>
      <c r="AA1809" t="s">
        <v>6457</v>
      </c>
      <c r="AC1809">
        <f>COUNTIF(C:C,QLKV_gui_ket_qua_ra_soat[[#This Row],[Mã điểm bán]])</f>
        <v>1</v>
      </c>
    </row>
    <row r="1810" spans="1:29" x14ac:dyDescent="0.45">
      <c r="A1810" t="s">
        <v>6444</v>
      </c>
      <c r="B1810">
        <v>131</v>
      </c>
      <c r="C1810" t="s">
        <v>6843</v>
      </c>
      <c r="D1810" t="s">
        <v>6844</v>
      </c>
      <c r="E1810" t="s">
        <v>219</v>
      </c>
      <c r="F1810" t="s">
        <v>417</v>
      </c>
      <c r="G1810" t="s">
        <v>34</v>
      </c>
      <c r="H1810" t="s">
        <v>54</v>
      </c>
      <c r="I1810" t="s">
        <v>6845</v>
      </c>
      <c r="J1810" t="s">
        <v>37</v>
      </c>
      <c r="K1810" t="s">
        <v>37</v>
      </c>
      <c r="L1810" t="s">
        <v>39</v>
      </c>
      <c r="M1810" t="s">
        <v>37</v>
      </c>
      <c r="N1810" t="s">
        <v>37</v>
      </c>
      <c r="O1810" t="s">
        <v>39</v>
      </c>
      <c r="P1810" t="s">
        <v>37</v>
      </c>
      <c r="Q1810" t="s">
        <v>37</v>
      </c>
      <c r="R1810" t="s">
        <v>39</v>
      </c>
      <c r="S1810" t="s">
        <v>6846</v>
      </c>
      <c r="T1810" t="s">
        <v>6833</v>
      </c>
      <c r="U1810" t="s">
        <v>6834</v>
      </c>
      <c r="V1810" t="s">
        <v>6450</v>
      </c>
      <c r="W1810" t="s">
        <v>6835</v>
      </c>
      <c r="X1810" t="s">
        <v>46</v>
      </c>
      <c r="AC1810">
        <f>COUNTIF(C:C,QLKV_gui_ket_qua_ra_soat[[#This Row],[Mã điểm bán]])</f>
        <v>1</v>
      </c>
    </row>
    <row r="1811" spans="1:29" x14ac:dyDescent="0.45">
      <c r="A1811" t="s">
        <v>6444</v>
      </c>
      <c r="B1811">
        <v>132</v>
      </c>
      <c r="C1811" t="s">
        <v>6847</v>
      </c>
      <c r="D1811" t="s">
        <v>6848</v>
      </c>
      <c r="E1811" t="s">
        <v>6849</v>
      </c>
      <c r="F1811" t="s">
        <v>6850</v>
      </c>
      <c r="G1811" t="s">
        <v>34</v>
      </c>
      <c r="H1811" t="s">
        <v>356</v>
      </c>
      <c r="I1811" t="s">
        <v>6851</v>
      </c>
      <c r="J1811" t="s">
        <v>37</v>
      </c>
      <c r="K1811" t="s">
        <v>37</v>
      </c>
      <c r="L1811" t="s">
        <v>40</v>
      </c>
      <c r="M1811" t="s">
        <v>37</v>
      </c>
      <c r="N1811" t="s">
        <v>37</v>
      </c>
      <c r="O1811" t="s">
        <v>40</v>
      </c>
      <c r="P1811" t="s">
        <v>38</v>
      </c>
      <c r="Q1811" t="s">
        <v>38</v>
      </c>
      <c r="R1811" t="s">
        <v>40</v>
      </c>
      <c r="S1811" t="s">
        <v>41</v>
      </c>
      <c r="T1811" t="s">
        <v>6852</v>
      </c>
      <c r="U1811" t="s">
        <v>6853</v>
      </c>
      <c r="V1811" t="s">
        <v>6450</v>
      </c>
      <c r="W1811" t="s">
        <v>6835</v>
      </c>
      <c r="Z1811" t="s">
        <v>46</v>
      </c>
      <c r="AA1811" t="s">
        <v>6836</v>
      </c>
      <c r="AB1811" t="s">
        <v>3109</v>
      </c>
      <c r="AC1811">
        <f>COUNTIF(C:C,QLKV_gui_ket_qua_ra_soat[[#This Row],[Mã điểm bán]])</f>
        <v>1</v>
      </c>
    </row>
    <row r="1812" spans="1:29" x14ac:dyDescent="0.45">
      <c r="A1812" t="s">
        <v>6444</v>
      </c>
      <c r="B1812">
        <v>133</v>
      </c>
      <c r="C1812" t="s">
        <v>6854</v>
      </c>
      <c r="D1812" t="s">
        <v>6855</v>
      </c>
      <c r="E1812" t="s">
        <v>6856</v>
      </c>
      <c r="F1812" t="s">
        <v>325</v>
      </c>
      <c r="G1812" t="s">
        <v>34</v>
      </c>
      <c r="H1812" t="s">
        <v>1750</v>
      </c>
      <c r="I1812" t="s">
        <v>6857</v>
      </c>
      <c r="J1812" t="s">
        <v>37</v>
      </c>
      <c r="K1812" t="s">
        <v>37</v>
      </c>
      <c r="L1812" t="s">
        <v>40</v>
      </c>
      <c r="M1812" t="s">
        <v>37</v>
      </c>
      <c r="N1812" t="s">
        <v>37</v>
      </c>
      <c r="O1812" t="s">
        <v>40</v>
      </c>
      <c r="P1812" t="s">
        <v>38</v>
      </c>
      <c r="Q1812" t="s">
        <v>38</v>
      </c>
      <c r="R1812" t="s">
        <v>40</v>
      </c>
      <c r="S1812" t="s">
        <v>41</v>
      </c>
      <c r="T1812" t="s">
        <v>6852</v>
      </c>
      <c r="U1812" t="s">
        <v>6853</v>
      </c>
      <c r="V1812" t="s">
        <v>6450</v>
      </c>
      <c r="W1812" t="s">
        <v>6835</v>
      </c>
      <c r="X1812" t="s">
        <v>46</v>
      </c>
      <c r="AB1812" t="s">
        <v>4223</v>
      </c>
      <c r="AC1812">
        <f>COUNTIF(C:C,QLKV_gui_ket_qua_ra_soat[[#This Row],[Mã điểm bán]])</f>
        <v>1</v>
      </c>
    </row>
    <row r="1813" spans="1:29" x14ac:dyDescent="0.45">
      <c r="A1813" t="s">
        <v>6444</v>
      </c>
      <c r="B1813">
        <v>134</v>
      </c>
      <c r="C1813" t="s">
        <v>6858</v>
      </c>
      <c r="D1813" t="s">
        <v>6859</v>
      </c>
      <c r="E1813" t="s">
        <v>3918</v>
      </c>
      <c r="F1813" t="s">
        <v>115</v>
      </c>
      <c r="G1813" t="s">
        <v>34</v>
      </c>
      <c r="H1813" t="s">
        <v>842</v>
      </c>
      <c r="I1813" t="s">
        <v>6860</v>
      </c>
      <c r="J1813" t="s">
        <v>37</v>
      </c>
      <c r="K1813" t="s">
        <v>37</v>
      </c>
      <c r="L1813" t="s">
        <v>40</v>
      </c>
      <c r="M1813" t="s">
        <v>37</v>
      </c>
      <c r="N1813" t="s">
        <v>37</v>
      </c>
      <c r="O1813" t="s">
        <v>40</v>
      </c>
      <c r="P1813" t="s">
        <v>38</v>
      </c>
      <c r="Q1813" t="s">
        <v>38</v>
      </c>
      <c r="R1813" t="s">
        <v>40</v>
      </c>
      <c r="S1813" t="s">
        <v>41</v>
      </c>
      <c r="T1813" t="s">
        <v>6852</v>
      </c>
      <c r="U1813" t="s">
        <v>6853</v>
      </c>
      <c r="V1813" t="s">
        <v>6450</v>
      </c>
      <c r="W1813" t="s">
        <v>6835</v>
      </c>
      <c r="X1813" t="s">
        <v>46</v>
      </c>
      <c r="AC1813">
        <f>COUNTIF(C:C,QLKV_gui_ket_qua_ra_soat[[#This Row],[Mã điểm bán]])</f>
        <v>1</v>
      </c>
    </row>
    <row r="1814" spans="1:29" x14ac:dyDescent="0.45">
      <c r="A1814" t="s">
        <v>6444</v>
      </c>
      <c r="B1814">
        <v>135</v>
      </c>
      <c r="C1814" t="s">
        <v>6861</v>
      </c>
      <c r="D1814" t="s">
        <v>6862</v>
      </c>
      <c r="E1814" t="s">
        <v>223</v>
      </c>
      <c r="F1814" t="s">
        <v>401</v>
      </c>
      <c r="G1814" t="s">
        <v>177</v>
      </c>
      <c r="H1814" t="s">
        <v>54</v>
      </c>
      <c r="I1814" t="s">
        <v>6863</v>
      </c>
      <c r="J1814" t="s">
        <v>37</v>
      </c>
      <c r="K1814" t="s">
        <v>37</v>
      </c>
      <c r="L1814" t="s">
        <v>39</v>
      </c>
      <c r="M1814" t="s">
        <v>37</v>
      </c>
      <c r="N1814" t="s">
        <v>37</v>
      </c>
      <c r="O1814" t="s">
        <v>39</v>
      </c>
      <c r="P1814" t="s">
        <v>37</v>
      </c>
      <c r="Q1814" t="s">
        <v>37</v>
      </c>
      <c r="R1814" t="s">
        <v>39</v>
      </c>
      <c r="S1814" t="s">
        <v>6864</v>
      </c>
      <c r="T1814" t="s">
        <v>6833</v>
      </c>
      <c r="U1814" t="s">
        <v>6834</v>
      </c>
      <c r="V1814" t="s">
        <v>6450</v>
      </c>
      <c r="W1814" t="s">
        <v>6835</v>
      </c>
      <c r="X1814" t="s">
        <v>46</v>
      </c>
      <c r="AB1814" t="s">
        <v>4223</v>
      </c>
      <c r="AC1814">
        <f>COUNTIF(C:C,QLKV_gui_ket_qua_ra_soat[[#This Row],[Mã điểm bán]])</f>
        <v>1</v>
      </c>
    </row>
    <row r="1815" spans="1:29" x14ac:dyDescent="0.45">
      <c r="A1815" t="s">
        <v>6444</v>
      </c>
      <c r="B1815">
        <v>136</v>
      </c>
      <c r="C1815" t="s">
        <v>6865</v>
      </c>
      <c r="D1815" t="s">
        <v>6866</v>
      </c>
      <c r="E1815" t="s">
        <v>223</v>
      </c>
      <c r="F1815" t="s">
        <v>401</v>
      </c>
      <c r="G1815" t="s">
        <v>177</v>
      </c>
      <c r="H1815" t="s">
        <v>54</v>
      </c>
      <c r="I1815" t="s">
        <v>6867</v>
      </c>
      <c r="J1815" t="s">
        <v>37</v>
      </c>
      <c r="K1815" t="s">
        <v>37</v>
      </c>
      <c r="L1815" t="s">
        <v>39</v>
      </c>
      <c r="M1815" t="s">
        <v>37</v>
      </c>
      <c r="N1815" t="s">
        <v>37</v>
      </c>
      <c r="O1815" t="s">
        <v>39</v>
      </c>
      <c r="P1815" t="s">
        <v>37</v>
      </c>
      <c r="Q1815" t="s">
        <v>37</v>
      </c>
      <c r="R1815" t="s">
        <v>39</v>
      </c>
      <c r="S1815" t="s">
        <v>6864</v>
      </c>
      <c r="T1815" t="s">
        <v>6833</v>
      </c>
      <c r="U1815" t="s">
        <v>6834</v>
      </c>
      <c r="V1815" t="s">
        <v>6450</v>
      </c>
      <c r="W1815" t="s">
        <v>6835</v>
      </c>
      <c r="X1815" t="s">
        <v>46</v>
      </c>
      <c r="AB1815" t="s">
        <v>4223</v>
      </c>
      <c r="AC1815">
        <f>COUNTIF(C:C,QLKV_gui_ket_qua_ra_soat[[#This Row],[Mã điểm bán]])</f>
        <v>1</v>
      </c>
    </row>
    <row r="1816" spans="1:29" x14ac:dyDescent="0.45">
      <c r="A1816" t="s">
        <v>6444</v>
      </c>
      <c r="B1816">
        <v>137</v>
      </c>
      <c r="C1816" t="s">
        <v>6868</v>
      </c>
      <c r="D1816" t="s">
        <v>6869</v>
      </c>
      <c r="E1816" t="s">
        <v>219</v>
      </c>
      <c r="F1816" t="s">
        <v>417</v>
      </c>
      <c r="G1816" t="s">
        <v>177</v>
      </c>
      <c r="H1816" t="s">
        <v>565</v>
      </c>
      <c r="I1816" t="s">
        <v>6863</v>
      </c>
      <c r="J1816" t="s">
        <v>37</v>
      </c>
      <c r="K1816" t="s">
        <v>37</v>
      </c>
      <c r="L1816" t="s">
        <v>39</v>
      </c>
      <c r="M1816" t="s">
        <v>37</v>
      </c>
      <c r="N1816" t="s">
        <v>37</v>
      </c>
      <c r="O1816" t="s">
        <v>39</v>
      </c>
      <c r="P1816" t="s">
        <v>37</v>
      </c>
      <c r="Q1816" t="s">
        <v>37</v>
      </c>
      <c r="R1816" t="s">
        <v>39</v>
      </c>
      <c r="S1816" t="s">
        <v>6870</v>
      </c>
      <c r="T1816" t="s">
        <v>6833</v>
      </c>
      <c r="U1816" t="s">
        <v>6834</v>
      </c>
      <c r="V1816" t="s">
        <v>6450</v>
      </c>
      <c r="W1816" t="s">
        <v>6835</v>
      </c>
      <c r="X1816" t="s">
        <v>46</v>
      </c>
      <c r="AB1816" t="s">
        <v>3109</v>
      </c>
      <c r="AC1816">
        <f>COUNTIF(C:C,QLKV_gui_ket_qua_ra_soat[[#This Row],[Mã điểm bán]])</f>
        <v>1</v>
      </c>
    </row>
    <row r="1817" spans="1:29" x14ac:dyDescent="0.45">
      <c r="A1817" t="s">
        <v>6444</v>
      </c>
      <c r="B1817">
        <v>138</v>
      </c>
      <c r="C1817" t="s">
        <v>6871</v>
      </c>
      <c r="D1817" t="s">
        <v>6872</v>
      </c>
      <c r="E1817" t="s">
        <v>297</v>
      </c>
      <c r="F1817" t="s">
        <v>417</v>
      </c>
      <c r="G1817" t="s">
        <v>177</v>
      </c>
      <c r="H1817" t="s">
        <v>1542</v>
      </c>
      <c r="I1817" t="s">
        <v>6845</v>
      </c>
      <c r="J1817" t="s">
        <v>37</v>
      </c>
      <c r="K1817" t="s">
        <v>37</v>
      </c>
      <c r="L1817" t="s">
        <v>39</v>
      </c>
      <c r="M1817" t="s">
        <v>37</v>
      </c>
      <c r="N1817" t="s">
        <v>37</v>
      </c>
      <c r="O1817" t="s">
        <v>39</v>
      </c>
      <c r="P1817" t="s">
        <v>37</v>
      </c>
      <c r="Q1817" t="s">
        <v>37</v>
      </c>
      <c r="R1817" t="s">
        <v>39</v>
      </c>
      <c r="S1817" t="s">
        <v>41</v>
      </c>
      <c r="T1817" t="s">
        <v>6833</v>
      </c>
      <c r="U1817" t="s">
        <v>6834</v>
      </c>
      <c r="V1817" t="s">
        <v>6450</v>
      </c>
      <c r="W1817" t="s">
        <v>6835</v>
      </c>
      <c r="Z1817" t="s">
        <v>46</v>
      </c>
      <c r="AA1817" t="s">
        <v>6457</v>
      </c>
      <c r="AC1817">
        <f>COUNTIF(C:C,QLKV_gui_ket_qua_ra_soat[[#This Row],[Mã điểm bán]])</f>
        <v>1</v>
      </c>
    </row>
    <row r="1818" spans="1:29" x14ac:dyDescent="0.45">
      <c r="A1818" t="s">
        <v>6444</v>
      </c>
      <c r="B1818">
        <v>139</v>
      </c>
      <c r="C1818" t="s">
        <v>6873</v>
      </c>
      <c r="D1818" t="s">
        <v>6874</v>
      </c>
      <c r="E1818" t="s">
        <v>529</v>
      </c>
      <c r="F1818" t="s">
        <v>417</v>
      </c>
      <c r="G1818" t="s">
        <v>177</v>
      </c>
      <c r="H1818" t="s">
        <v>4115</v>
      </c>
      <c r="I1818" t="s">
        <v>6845</v>
      </c>
      <c r="J1818" t="s">
        <v>37</v>
      </c>
      <c r="K1818" t="s">
        <v>37</v>
      </c>
      <c r="L1818" t="s">
        <v>39</v>
      </c>
      <c r="M1818" t="s">
        <v>37</v>
      </c>
      <c r="N1818" t="s">
        <v>37</v>
      </c>
      <c r="O1818" t="s">
        <v>39</v>
      </c>
      <c r="P1818" t="s">
        <v>37</v>
      </c>
      <c r="Q1818" t="s">
        <v>37</v>
      </c>
      <c r="R1818" t="s">
        <v>39</v>
      </c>
      <c r="S1818" t="s">
        <v>41</v>
      </c>
      <c r="T1818" t="s">
        <v>6833</v>
      </c>
      <c r="U1818" t="s">
        <v>6834</v>
      </c>
      <c r="V1818" t="s">
        <v>6450</v>
      </c>
      <c r="W1818" t="s">
        <v>6835</v>
      </c>
      <c r="Z1818" t="s">
        <v>46</v>
      </c>
      <c r="AA1818" t="s">
        <v>6836</v>
      </c>
      <c r="AC1818">
        <f>COUNTIF(C:C,QLKV_gui_ket_qua_ra_soat[[#This Row],[Mã điểm bán]])</f>
        <v>1</v>
      </c>
    </row>
    <row r="1819" spans="1:29" x14ac:dyDescent="0.45">
      <c r="A1819" t="s">
        <v>6444</v>
      </c>
      <c r="B1819">
        <v>140</v>
      </c>
      <c r="C1819" t="s">
        <v>6875</v>
      </c>
      <c r="D1819" t="s">
        <v>6876</v>
      </c>
      <c r="E1819" t="s">
        <v>6877</v>
      </c>
      <c r="F1819" t="s">
        <v>6878</v>
      </c>
      <c r="G1819" t="s">
        <v>34</v>
      </c>
      <c r="H1819" t="s">
        <v>171</v>
      </c>
      <c r="I1819" t="s">
        <v>6879</v>
      </c>
      <c r="J1819" t="s">
        <v>37</v>
      </c>
      <c r="K1819" t="s">
        <v>37</v>
      </c>
      <c r="L1819" t="s">
        <v>40</v>
      </c>
      <c r="M1819" t="s">
        <v>37</v>
      </c>
      <c r="N1819" t="s">
        <v>37</v>
      </c>
      <c r="O1819" t="s">
        <v>40</v>
      </c>
      <c r="P1819" t="s">
        <v>38</v>
      </c>
      <c r="Q1819" t="s">
        <v>38</v>
      </c>
      <c r="R1819" t="s">
        <v>40</v>
      </c>
      <c r="S1819" t="s">
        <v>6880</v>
      </c>
      <c r="T1819" t="s">
        <v>6852</v>
      </c>
      <c r="U1819" t="s">
        <v>6853</v>
      </c>
      <c r="V1819" t="s">
        <v>6450</v>
      </c>
      <c r="W1819" t="s">
        <v>6835</v>
      </c>
      <c r="X1819" t="s">
        <v>46</v>
      </c>
      <c r="AC1819">
        <f>COUNTIF(C:C,QLKV_gui_ket_qua_ra_soat[[#This Row],[Mã điểm bán]])</f>
        <v>1</v>
      </c>
    </row>
    <row r="1820" spans="1:29" x14ac:dyDescent="0.45">
      <c r="A1820" t="s">
        <v>6444</v>
      </c>
      <c r="B1820">
        <v>141</v>
      </c>
      <c r="C1820" t="s">
        <v>6881</v>
      </c>
      <c r="D1820" t="s">
        <v>6882</v>
      </c>
      <c r="E1820" t="s">
        <v>674</v>
      </c>
      <c r="F1820" t="s">
        <v>401</v>
      </c>
      <c r="G1820" t="s">
        <v>34</v>
      </c>
      <c r="H1820" t="s">
        <v>54</v>
      </c>
      <c r="I1820" t="s">
        <v>6845</v>
      </c>
      <c r="J1820" t="s">
        <v>37</v>
      </c>
      <c r="K1820" t="s">
        <v>37</v>
      </c>
      <c r="L1820" t="s">
        <v>39</v>
      </c>
      <c r="M1820" t="s">
        <v>37</v>
      </c>
      <c r="N1820" t="s">
        <v>37</v>
      </c>
      <c r="O1820" t="s">
        <v>39</v>
      </c>
      <c r="P1820" t="s">
        <v>37</v>
      </c>
      <c r="Q1820" t="s">
        <v>37</v>
      </c>
      <c r="R1820" t="s">
        <v>39</v>
      </c>
      <c r="S1820" t="s">
        <v>41</v>
      </c>
      <c r="T1820" t="s">
        <v>6833</v>
      </c>
      <c r="U1820" t="s">
        <v>6834</v>
      </c>
      <c r="V1820" t="s">
        <v>6450</v>
      </c>
      <c r="W1820" t="s">
        <v>6835</v>
      </c>
      <c r="X1820" t="s">
        <v>46</v>
      </c>
      <c r="AC1820">
        <f>COUNTIF(C:C,QLKV_gui_ket_qua_ra_soat[[#This Row],[Mã điểm bán]])</f>
        <v>1</v>
      </c>
    </row>
    <row r="1821" spans="1:29" x14ac:dyDescent="0.45">
      <c r="A1821" t="s">
        <v>6444</v>
      </c>
      <c r="B1821">
        <v>142</v>
      </c>
      <c r="C1821" t="s">
        <v>6883</v>
      </c>
      <c r="D1821" t="s">
        <v>6884</v>
      </c>
      <c r="E1821" t="s">
        <v>143</v>
      </c>
      <c r="F1821" t="s">
        <v>426</v>
      </c>
      <c r="G1821" t="s">
        <v>177</v>
      </c>
      <c r="H1821" t="s">
        <v>171</v>
      </c>
      <c r="I1821" t="s">
        <v>6845</v>
      </c>
      <c r="J1821" t="s">
        <v>37</v>
      </c>
      <c r="K1821" t="s">
        <v>37</v>
      </c>
      <c r="L1821" t="s">
        <v>39</v>
      </c>
      <c r="M1821" t="s">
        <v>37</v>
      </c>
      <c r="N1821" t="s">
        <v>37</v>
      </c>
      <c r="O1821" t="s">
        <v>39</v>
      </c>
      <c r="P1821" t="s">
        <v>37</v>
      </c>
      <c r="Q1821" t="s">
        <v>37</v>
      </c>
      <c r="R1821" t="s">
        <v>39</v>
      </c>
      <c r="S1821" t="s">
        <v>41</v>
      </c>
      <c r="T1821" t="s">
        <v>6833</v>
      </c>
      <c r="U1821" t="s">
        <v>6834</v>
      </c>
      <c r="V1821" t="s">
        <v>6450</v>
      </c>
      <c r="W1821" t="s">
        <v>6835</v>
      </c>
      <c r="X1821" t="s">
        <v>46</v>
      </c>
      <c r="AB1821" t="s">
        <v>4223</v>
      </c>
      <c r="AC1821">
        <f>COUNTIF(C:C,QLKV_gui_ket_qua_ra_soat[[#This Row],[Mã điểm bán]])</f>
        <v>1</v>
      </c>
    </row>
    <row r="1822" spans="1:29" x14ac:dyDescent="0.45">
      <c r="A1822" t="s">
        <v>6444</v>
      </c>
      <c r="B1822">
        <v>143</v>
      </c>
      <c r="C1822" t="s">
        <v>6885</v>
      </c>
      <c r="D1822" t="s">
        <v>6886</v>
      </c>
      <c r="E1822" t="s">
        <v>1870</v>
      </c>
      <c r="F1822" t="s">
        <v>417</v>
      </c>
      <c r="G1822" t="s">
        <v>177</v>
      </c>
      <c r="H1822" t="s">
        <v>214</v>
      </c>
      <c r="I1822" t="s">
        <v>6845</v>
      </c>
      <c r="J1822" t="s">
        <v>37</v>
      </c>
      <c r="K1822" t="s">
        <v>37</v>
      </c>
      <c r="L1822" t="s">
        <v>39</v>
      </c>
      <c r="M1822" t="s">
        <v>37</v>
      </c>
      <c r="N1822" t="s">
        <v>37</v>
      </c>
      <c r="O1822" t="s">
        <v>39</v>
      </c>
      <c r="P1822" t="s">
        <v>37</v>
      </c>
      <c r="Q1822" t="s">
        <v>37</v>
      </c>
      <c r="R1822" t="s">
        <v>39</v>
      </c>
      <c r="S1822" t="s">
        <v>41</v>
      </c>
      <c r="T1822" t="s">
        <v>6833</v>
      </c>
      <c r="U1822" t="s">
        <v>6834</v>
      </c>
      <c r="V1822" t="s">
        <v>6450</v>
      </c>
      <c r="W1822" t="s">
        <v>6835</v>
      </c>
      <c r="Z1822" t="s">
        <v>46</v>
      </c>
      <c r="AA1822" t="s">
        <v>6457</v>
      </c>
      <c r="AB1822" t="s">
        <v>4223</v>
      </c>
      <c r="AC1822">
        <f>COUNTIF(C:C,QLKV_gui_ket_qua_ra_soat[[#This Row],[Mã điểm bán]])</f>
        <v>1</v>
      </c>
    </row>
    <row r="1823" spans="1:29" x14ac:dyDescent="0.45">
      <c r="A1823" t="s">
        <v>6444</v>
      </c>
      <c r="B1823">
        <v>144</v>
      </c>
      <c r="C1823" t="s">
        <v>6887</v>
      </c>
      <c r="D1823" t="s">
        <v>6888</v>
      </c>
      <c r="E1823" t="s">
        <v>297</v>
      </c>
      <c r="F1823" t="s">
        <v>401</v>
      </c>
      <c r="G1823" t="s">
        <v>34</v>
      </c>
      <c r="H1823" t="s">
        <v>565</v>
      </c>
      <c r="I1823" t="s">
        <v>6845</v>
      </c>
      <c r="J1823" t="s">
        <v>37</v>
      </c>
      <c r="K1823" t="s">
        <v>37</v>
      </c>
      <c r="L1823" t="s">
        <v>39</v>
      </c>
      <c r="M1823" t="s">
        <v>37</v>
      </c>
      <c r="N1823" t="s">
        <v>37</v>
      </c>
      <c r="O1823" t="s">
        <v>39</v>
      </c>
      <c r="P1823" t="s">
        <v>37</v>
      </c>
      <c r="Q1823" t="s">
        <v>37</v>
      </c>
      <c r="R1823" t="s">
        <v>39</v>
      </c>
      <c r="S1823" t="s">
        <v>41</v>
      </c>
      <c r="T1823" t="s">
        <v>6833</v>
      </c>
      <c r="U1823" t="s">
        <v>6834</v>
      </c>
      <c r="V1823" t="s">
        <v>6450</v>
      </c>
      <c r="W1823" t="s">
        <v>6835</v>
      </c>
      <c r="Z1823" t="s">
        <v>46</v>
      </c>
      <c r="AA1823" t="s">
        <v>6457</v>
      </c>
      <c r="AC1823">
        <f>COUNTIF(C:C,QLKV_gui_ket_qua_ra_soat[[#This Row],[Mã điểm bán]])</f>
        <v>1</v>
      </c>
    </row>
    <row r="1824" spans="1:29" x14ac:dyDescent="0.45">
      <c r="A1824" t="s">
        <v>6444</v>
      </c>
      <c r="B1824">
        <v>145</v>
      </c>
      <c r="C1824" t="s">
        <v>6889</v>
      </c>
      <c r="D1824" t="s">
        <v>6890</v>
      </c>
      <c r="E1824" t="s">
        <v>2827</v>
      </c>
      <c r="F1824" t="s">
        <v>331</v>
      </c>
      <c r="G1824" t="s">
        <v>34</v>
      </c>
      <c r="H1824" t="s">
        <v>1982</v>
      </c>
      <c r="I1824" t="s">
        <v>6891</v>
      </c>
      <c r="J1824" t="s">
        <v>37</v>
      </c>
      <c r="K1824" t="s">
        <v>37</v>
      </c>
      <c r="L1824" t="s">
        <v>40</v>
      </c>
      <c r="M1824" t="s">
        <v>37</v>
      </c>
      <c r="N1824" t="s">
        <v>37</v>
      </c>
      <c r="O1824" t="s">
        <v>40</v>
      </c>
      <c r="P1824" t="s">
        <v>38</v>
      </c>
      <c r="Q1824" t="s">
        <v>38</v>
      </c>
      <c r="R1824" t="s">
        <v>40</v>
      </c>
      <c r="S1824" t="s">
        <v>6892</v>
      </c>
      <c r="T1824" t="s">
        <v>6852</v>
      </c>
      <c r="U1824" t="s">
        <v>6853</v>
      </c>
      <c r="V1824" t="s">
        <v>6450</v>
      </c>
      <c r="W1824" t="s">
        <v>6835</v>
      </c>
      <c r="Z1824" t="s">
        <v>46</v>
      </c>
      <c r="AA1824" t="s">
        <v>6836</v>
      </c>
      <c r="AB1824" t="s">
        <v>3109</v>
      </c>
      <c r="AC1824">
        <f>COUNTIF(C:C,QLKV_gui_ket_qua_ra_soat[[#This Row],[Mã điểm bán]])</f>
        <v>1</v>
      </c>
    </row>
    <row r="1825" spans="1:29" x14ac:dyDescent="0.45">
      <c r="A1825" t="s">
        <v>6444</v>
      </c>
      <c r="B1825">
        <v>146</v>
      </c>
      <c r="C1825" t="s">
        <v>6893</v>
      </c>
      <c r="D1825" t="s">
        <v>6894</v>
      </c>
      <c r="E1825" t="s">
        <v>407</v>
      </c>
      <c r="F1825" t="s">
        <v>53</v>
      </c>
      <c r="G1825" t="s">
        <v>177</v>
      </c>
      <c r="H1825" t="s">
        <v>54</v>
      </c>
      <c r="I1825" t="s">
        <v>2543</v>
      </c>
      <c r="J1825" t="s">
        <v>37</v>
      </c>
      <c r="K1825" t="s">
        <v>37</v>
      </c>
      <c r="L1825" t="s">
        <v>39</v>
      </c>
      <c r="M1825" t="s">
        <v>37</v>
      </c>
      <c r="N1825" t="s">
        <v>37</v>
      </c>
      <c r="O1825" t="s">
        <v>39</v>
      </c>
      <c r="P1825" t="s">
        <v>37</v>
      </c>
      <c r="Q1825" t="s">
        <v>37</v>
      </c>
      <c r="R1825" t="s">
        <v>39</v>
      </c>
      <c r="S1825" t="s">
        <v>41</v>
      </c>
      <c r="T1825" t="s">
        <v>6833</v>
      </c>
      <c r="U1825" t="s">
        <v>6834</v>
      </c>
      <c r="V1825" t="s">
        <v>6450</v>
      </c>
      <c r="W1825" t="s">
        <v>6835</v>
      </c>
      <c r="X1825" t="s">
        <v>46</v>
      </c>
      <c r="AC1825">
        <f>COUNTIF(C:C,QLKV_gui_ket_qua_ra_soat[[#This Row],[Mã điểm bán]])</f>
        <v>1</v>
      </c>
    </row>
    <row r="1826" spans="1:29" x14ac:dyDescent="0.45">
      <c r="A1826" t="s">
        <v>6444</v>
      </c>
      <c r="B1826">
        <v>147</v>
      </c>
      <c r="C1826" t="s">
        <v>6895</v>
      </c>
      <c r="D1826" t="s">
        <v>6896</v>
      </c>
      <c r="E1826" t="s">
        <v>109</v>
      </c>
      <c r="F1826" t="s">
        <v>53</v>
      </c>
      <c r="G1826" t="s">
        <v>34</v>
      </c>
      <c r="H1826" t="s">
        <v>54</v>
      </c>
      <c r="I1826" t="s">
        <v>6897</v>
      </c>
      <c r="J1826" t="s">
        <v>37</v>
      </c>
      <c r="K1826" t="s">
        <v>37</v>
      </c>
      <c r="L1826" t="s">
        <v>39</v>
      </c>
      <c r="M1826" t="s">
        <v>37</v>
      </c>
      <c r="N1826" t="s">
        <v>37</v>
      </c>
      <c r="O1826" t="s">
        <v>39</v>
      </c>
      <c r="P1826" t="s">
        <v>37</v>
      </c>
      <c r="Q1826" t="s">
        <v>37</v>
      </c>
      <c r="R1826" t="s">
        <v>39</v>
      </c>
      <c r="S1826" t="s">
        <v>41</v>
      </c>
      <c r="T1826" t="s">
        <v>6833</v>
      </c>
      <c r="U1826" t="s">
        <v>6834</v>
      </c>
      <c r="V1826" t="s">
        <v>6450</v>
      </c>
      <c r="W1826" t="s">
        <v>6835</v>
      </c>
      <c r="Z1826" t="s">
        <v>46</v>
      </c>
      <c r="AA1826" t="s">
        <v>6836</v>
      </c>
      <c r="AC1826">
        <f>COUNTIF(C:C,QLKV_gui_ket_qua_ra_soat[[#This Row],[Mã điểm bán]])</f>
        <v>1</v>
      </c>
    </row>
    <row r="1827" spans="1:29" x14ac:dyDescent="0.45">
      <c r="A1827" t="s">
        <v>6444</v>
      </c>
      <c r="B1827">
        <v>148</v>
      </c>
      <c r="C1827" t="s">
        <v>6898</v>
      </c>
      <c r="D1827" t="s">
        <v>6899</v>
      </c>
      <c r="E1827" t="s">
        <v>2299</v>
      </c>
      <c r="F1827" t="s">
        <v>115</v>
      </c>
      <c r="G1827" t="s">
        <v>34</v>
      </c>
      <c r="H1827" t="s">
        <v>507</v>
      </c>
      <c r="I1827" t="s">
        <v>6900</v>
      </c>
      <c r="J1827" t="s">
        <v>37</v>
      </c>
      <c r="K1827" t="s">
        <v>37</v>
      </c>
      <c r="L1827" t="s">
        <v>40</v>
      </c>
      <c r="M1827" t="s">
        <v>37</v>
      </c>
      <c r="N1827" t="s">
        <v>37</v>
      </c>
      <c r="O1827" t="s">
        <v>40</v>
      </c>
      <c r="P1827" t="s">
        <v>38</v>
      </c>
      <c r="Q1827" t="s">
        <v>38</v>
      </c>
      <c r="R1827" t="s">
        <v>40</v>
      </c>
      <c r="S1827" t="s">
        <v>6901</v>
      </c>
      <c r="T1827" t="s">
        <v>6852</v>
      </c>
      <c r="U1827" t="s">
        <v>6853</v>
      </c>
      <c r="V1827" t="s">
        <v>6450</v>
      </c>
      <c r="W1827" t="s">
        <v>6835</v>
      </c>
      <c r="X1827" t="s">
        <v>46</v>
      </c>
      <c r="AB1827" t="s">
        <v>3109</v>
      </c>
      <c r="AC1827">
        <f>COUNTIF(C:C,QLKV_gui_ket_qua_ra_soat[[#This Row],[Mã điểm bán]])</f>
        <v>1</v>
      </c>
    </row>
    <row r="1828" spans="1:29" x14ac:dyDescent="0.45">
      <c r="A1828" t="s">
        <v>6444</v>
      </c>
      <c r="B1828">
        <v>149</v>
      </c>
      <c r="C1828" t="s">
        <v>6902</v>
      </c>
      <c r="D1828" t="s">
        <v>6903</v>
      </c>
      <c r="E1828" t="s">
        <v>2308</v>
      </c>
      <c r="F1828" t="s">
        <v>115</v>
      </c>
      <c r="G1828" t="s">
        <v>34</v>
      </c>
      <c r="H1828" t="s">
        <v>4115</v>
      </c>
      <c r="I1828" t="s">
        <v>6857</v>
      </c>
      <c r="J1828" t="s">
        <v>37</v>
      </c>
      <c r="K1828" t="s">
        <v>37</v>
      </c>
      <c r="L1828" t="s">
        <v>40</v>
      </c>
      <c r="M1828" t="s">
        <v>37</v>
      </c>
      <c r="N1828" t="s">
        <v>37</v>
      </c>
      <c r="O1828" t="s">
        <v>40</v>
      </c>
      <c r="P1828" t="s">
        <v>38</v>
      </c>
      <c r="Q1828" t="s">
        <v>38</v>
      </c>
      <c r="R1828" t="s">
        <v>40</v>
      </c>
      <c r="S1828" t="s">
        <v>6904</v>
      </c>
      <c r="T1828" t="s">
        <v>6852</v>
      </c>
      <c r="U1828" t="s">
        <v>6853</v>
      </c>
      <c r="V1828" t="s">
        <v>6450</v>
      </c>
      <c r="W1828" t="s">
        <v>6835</v>
      </c>
      <c r="X1828" t="s">
        <v>46</v>
      </c>
      <c r="AC1828">
        <f>COUNTIF(C:C,QLKV_gui_ket_qua_ra_soat[[#This Row],[Mã điểm bán]])</f>
        <v>1</v>
      </c>
    </row>
    <row r="1829" spans="1:29" x14ac:dyDescent="0.45">
      <c r="A1829" t="s">
        <v>6444</v>
      </c>
      <c r="B1829">
        <v>150</v>
      </c>
      <c r="C1829" t="s">
        <v>6905</v>
      </c>
      <c r="D1829" t="s">
        <v>6906</v>
      </c>
      <c r="E1829" t="s">
        <v>6907</v>
      </c>
      <c r="F1829" t="s">
        <v>115</v>
      </c>
      <c r="G1829" t="s">
        <v>34</v>
      </c>
      <c r="H1829" t="s">
        <v>863</v>
      </c>
      <c r="I1829" t="s">
        <v>6860</v>
      </c>
      <c r="J1829" t="s">
        <v>37</v>
      </c>
      <c r="K1829" t="s">
        <v>37</v>
      </c>
      <c r="L1829" t="s">
        <v>40</v>
      </c>
      <c r="M1829" t="s">
        <v>37</v>
      </c>
      <c r="N1829" t="s">
        <v>37</v>
      </c>
      <c r="O1829" t="s">
        <v>40</v>
      </c>
      <c r="P1829" t="s">
        <v>38</v>
      </c>
      <c r="Q1829" t="s">
        <v>38</v>
      </c>
      <c r="R1829" t="s">
        <v>40</v>
      </c>
      <c r="S1829" t="s">
        <v>6908</v>
      </c>
      <c r="T1829" t="s">
        <v>6852</v>
      </c>
      <c r="U1829" t="s">
        <v>6853</v>
      </c>
      <c r="V1829" t="s">
        <v>6450</v>
      </c>
      <c r="W1829" t="s">
        <v>6835</v>
      </c>
      <c r="Z1829" t="s">
        <v>46</v>
      </c>
      <c r="AA1829" t="s">
        <v>6457</v>
      </c>
      <c r="AB1829" t="s">
        <v>4223</v>
      </c>
      <c r="AC1829">
        <f>COUNTIF(C:C,QLKV_gui_ket_qua_ra_soat[[#This Row],[Mã điểm bán]])</f>
        <v>1</v>
      </c>
    </row>
    <row r="1830" spans="1:29" x14ac:dyDescent="0.45">
      <c r="A1830" t="s">
        <v>6444</v>
      </c>
      <c r="B1830">
        <v>151</v>
      </c>
      <c r="C1830" t="s">
        <v>6909</v>
      </c>
      <c r="D1830" t="s">
        <v>6910</v>
      </c>
      <c r="E1830" t="s">
        <v>529</v>
      </c>
      <c r="F1830" t="s">
        <v>401</v>
      </c>
      <c r="G1830" t="s">
        <v>177</v>
      </c>
      <c r="H1830" t="s">
        <v>54</v>
      </c>
      <c r="I1830" t="s">
        <v>6911</v>
      </c>
      <c r="J1830" t="s">
        <v>37</v>
      </c>
      <c r="K1830" t="s">
        <v>37</v>
      </c>
      <c r="L1830" t="s">
        <v>40</v>
      </c>
      <c r="M1830" t="s">
        <v>37</v>
      </c>
      <c r="N1830" t="s">
        <v>37</v>
      </c>
      <c r="O1830" t="s">
        <v>40</v>
      </c>
      <c r="P1830" t="s">
        <v>37</v>
      </c>
      <c r="Q1830" t="s">
        <v>37</v>
      </c>
      <c r="R1830" t="s">
        <v>40</v>
      </c>
      <c r="S1830" t="s">
        <v>6912</v>
      </c>
      <c r="T1830" t="s">
        <v>6833</v>
      </c>
      <c r="U1830" t="s">
        <v>6834</v>
      </c>
      <c r="V1830" t="s">
        <v>6450</v>
      </c>
      <c r="W1830" t="s">
        <v>6835</v>
      </c>
      <c r="Z1830" t="s">
        <v>46</v>
      </c>
      <c r="AA1830" t="s">
        <v>6836</v>
      </c>
      <c r="AC1830">
        <f>COUNTIF(C:C,QLKV_gui_ket_qua_ra_soat[[#This Row],[Mã điểm bán]])</f>
        <v>1</v>
      </c>
    </row>
    <row r="1831" spans="1:29" x14ac:dyDescent="0.45">
      <c r="A1831" t="s">
        <v>6444</v>
      </c>
      <c r="B1831">
        <v>152</v>
      </c>
      <c r="C1831" t="s">
        <v>6913</v>
      </c>
      <c r="D1831" t="s">
        <v>6914</v>
      </c>
      <c r="E1831" t="s">
        <v>223</v>
      </c>
      <c r="F1831" t="s">
        <v>286</v>
      </c>
      <c r="G1831" t="s">
        <v>177</v>
      </c>
      <c r="H1831" t="s">
        <v>54</v>
      </c>
      <c r="I1831" t="s">
        <v>6915</v>
      </c>
      <c r="J1831" t="s">
        <v>37</v>
      </c>
      <c r="K1831" t="s">
        <v>37</v>
      </c>
      <c r="L1831" t="s">
        <v>40</v>
      </c>
      <c r="M1831" t="s">
        <v>37</v>
      </c>
      <c r="N1831" t="s">
        <v>37</v>
      </c>
      <c r="O1831" t="s">
        <v>40</v>
      </c>
      <c r="P1831" t="s">
        <v>37</v>
      </c>
      <c r="Q1831" t="s">
        <v>37</v>
      </c>
      <c r="R1831" t="s">
        <v>40</v>
      </c>
      <c r="S1831" t="s">
        <v>6916</v>
      </c>
      <c r="T1831" t="s">
        <v>6833</v>
      </c>
      <c r="U1831" t="s">
        <v>6834</v>
      </c>
      <c r="V1831" t="s">
        <v>6450</v>
      </c>
      <c r="W1831" t="s">
        <v>6835</v>
      </c>
      <c r="Z1831" t="s">
        <v>46</v>
      </c>
      <c r="AA1831" t="s">
        <v>6457</v>
      </c>
      <c r="AB1831" t="s">
        <v>3109</v>
      </c>
      <c r="AC1831">
        <f>COUNTIF(C:C,QLKV_gui_ket_qua_ra_soat[[#This Row],[Mã điểm bán]])</f>
        <v>1</v>
      </c>
    </row>
    <row r="1832" spans="1:29" x14ac:dyDescent="0.45">
      <c r="A1832" t="s">
        <v>6444</v>
      </c>
      <c r="B1832">
        <v>153</v>
      </c>
      <c r="C1832" t="s">
        <v>6917</v>
      </c>
      <c r="D1832" t="s">
        <v>6918</v>
      </c>
      <c r="E1832" t="s">
        <v>6919</v>
      </c>
      <c r="F1832" t="s">
        <v>53</v>
      </c>
      <c r="G1832" t="s">
        <v>34</v>
      </c>
      <c r="H1832" t="s">
        <v>697</v>
      </c>
      <c r="I1832" t="s">
        <v>6920</v>
      </c>
      <c r="J1832" t="s">
        <v>37</v>
      </c>
      <c r="K1832" t="s">
        <v>37</v>
      </c>
      <c r="L1832" t="s">
        <v>40</v>
      </c>
      <c r="M1832" t="s">
        <v>37</v>
      </c>
      <c r="N1832" t="s">
        <v>37</v>
      </c>
      <c r="O1832" t="s">
        <v>40</v>
      </c>
      <c r="P1832" t="s">
        <v>37</v>
      </c>
      <c r="Q1832" t="s">
        <v>37</v>
      </c>
      <c r="R1832" t="s">
        <v>40</v>
      </c>
      <c r="S1832" t="s">
        <v>6921</v>
      </c>
      <c r="T1832" t="s">
        <v>6833</v>
      </c>
      <c r="U1832" t="s">
        <v>6834</v>
      </c>
      <c r="V1832" t="s">
        <v>6450</v>
      </c>
      <c r="W1832" t="s">
        <v>6835</v>
      </c>
      <c r="Y1832" t="s">
        <v>46</v>
      </c>
      <c r="AB1832" t="s">
        <v>3109</v>
      </c>
      <c r="AC1832">
        <f>COUNTIF(C:C,QLKV_gui_ket_qua_ra_soat[[#This Row],[Mã điểm bán]])</f>
        <v>1</v>
      </c>
    </row>
    <row r="1833" spans="1:29" x14ac:dyDescent="0.45">
      <c r="A1833" t="s">
        <v>6444</v>
      </c>
      <c r="B1833">
        <v>154</v>
      </c>
      <c r="C1833" t="s">
        <v>6922</v>
      </c>
      <c r="D1833" t="s">
        <v>6923</v>
      </c>
      <c r="E1833" t="s">
        <v>6924</v>
      </c>
      <c r="F1833" t="s">
        <v>224</v>
      </c>
      <c r="G1833" t="s">
        <v>34</v>
      </c>
      <c r="H1833" t="s">
        <v>1788</v>
      </c>
      <c r="I1833" t="s">
        <v>6925</v>
      </c>
      <c r="J1833" t="s">
        <v>38</v>
      </c>
      <c r="K1833" t="s">
        <v>38</v>
      </c>
      <c r="L1833" t="s">
        <v>40</v>
      </c>
      <c r="M1833" t="s">
        <v>38</v>
      </c>
      <c r="N1833" t="s">
        <v>38</v>
      </c>
      <c r="O1833" t="s">
        <v>40</v>
      </c>
      <c r="P1833" t="s">
        <v>38</v>
      </c>
      <c r="Q1833" t="s">
        <v>38</v>
      </c>
      <c r="R1833" t="s">
        <v>40</v>
      </c>
      <c r="S1833" t="s">
        <v>6926</v>
      </c>
      <c r="T1833" t="s">
        <v>6852</v>
      </c>
      <c r="U1833" t="s">
        <v>6853</v>
      </c>
      <c r="V1833" t="s">
        <v>6450</v>
      </c>
      <c r="W1833" t="s">
        <v>6835</v>
      </c>
      <c r="Z1833" t="s">
        <v>46</v>
      </c>
      <c r="AA1833" t="s">
        <v>6836</v>
      </c>
      <c r="AC1833">
        <f>COUNTIF(C:C,QLKV_gui_ket_qua_ra_soat[[#This Row],[Mã điểm bán]])</f>
        <v>1</v>
      </c>
    </row>
    <row r="1834" spans="1:29" x14ac:dyDescent="0.45">
      <c r="A1834" t="s">
        <v>6444</v>
      </c>
      <c r="B1834">
        <v>155</v>
      </c>
      <c r="C1834" t="s">
        <v>6927</v>
      </c>
      <c r="D1834" t="s">
        <v>6928</v>
      </c>
      <c r="E1834" t="s">
        <v>421</v>
      </c>
      <c r="F1834" t="s">
        <v>115</v>
      </c>
      <c r="G1834" t="s">
        <v>177</v>
      </c>
      <c r="H1834" t="s">
        <v>565</v>
      </c>
      <c r="I1834" t="s">
        <v>6929</v>
      </c>
      <c r="J1834" t="s">
        <v>56</v>
      </c>
      <c r="K1834" t="s">
        <v>56</v>
      </c>
      <c r="L1834" t="s">
        <v>39</v>
      </c>
      <c r="M1834" t="s">
        <v>38</v>
      </c>
      <c r="N1834" t="s">
        <v>38</v>
      </c>
      <c r="O1834" t="s">
        <v>39</v>
      </c>
      <c r="P1834" t="s">
        <v>38</v>
      </c>
      <c r="Q1834" t="s">
        <v>38</v>
      </c>
      <c r="R1834" t="s">
        <v>39</v>
      </c>
      <c r="S1834" t="s">
        <v>41</v>
      </c>
      <c r="T1834" t="s">
        <v>6930</v>
      </c>
      <c r="U1834" t="s">
        <v>6931</v>
      </c>
      <c r="V1834" t="s">
        <v>6450</v>
      </c>
      <c r="W1834" t="s">
        <v>6932</v>
      </c>
      <c r="X1834" t="s">
        <v>46</v>
      </c>
      <c r="AC1834">
        <f>COUNTIF(C:C,QLKV_gui_ket_qua_ra_soat[[#This Row],[Mã điểm bán]])</f>
        <v>1</v>
      </c>
    </row>
    <row r="1835" spans="1:29" x14ac:dyDescent="0.45">
      <c r="A1835" t="s">
        <v>6444</v>
      </c>
      <c r="B1835">
        <v>156</v>
      </c>
      <c r="C1835" t="s">
        <v>6933</v>
      </c>
      <c r="D1835" t="s">
        <v>6934</v>
      </c>
      <c r="E1835" t="s">
        <v>421</v>
      </c>
      <c r="F1835" t="s">
        <v>401</v>
      </c>
      <c r="G1835" t="s">
        <v>177</v>
      </c>
      <c r="H1835" t="s">
        <v>2459</v>
      </c>
      <c r="I1835" t="s">
        <v>6935</v>
      </c>
      <c r="J1835" t="s">
        <v>56</v>
      </c>
      <c r="K1835" t="s">
        <v>56</v>
      </c>
      <c r="L1835" t="s">
        <v>39</v>
      </c>
      <c r="M1835" t="s">
        <v>38</v>
      </c>
      <c r="N1835" t="s">
        <v>38</v>
      </c>
      <c r="O1835" t="s">
        <v>39</v>
      </c>
      <c r="P1835" t="s">
        <v>38</v>
      </c>
      <c r="Q1835" t="s">
        <v>38</v>
      </c>
      <c r="R1835" t="s">
        <v>39</v>
      </c>
      <c r="S1835" t="s">
        <v>41</v>
      </c>
      <c r="T1835" t="s">
        <v>6930</v>
      </c>
      <c r="U1835" t="s">
        <v>6931</v>
      </c>
      <c r="V1835" t="s">
        <v>6450</v>
      </c>
      <c r="W1835" t="s">
        <v>6932</v>
      </c>
      <c r="X1835" t="s">
        <v>46</v>
      </c>
      <c r="AC1835">
        <f>COUNTIF(C:C,QLKV_gui_ket_qua_ra_soat[[#This Row],[Mã điểm bán]])</f>
        <v>1</v>
      </c>
    </row>
    <row r="1836" spans="1:29" x14ac:dyDescent="0.45">
      <c r="A1836" t="s">
        <v>6444</v>
      </c>
      <c r="B1836">
        <v>157</v>
      </c>
      <c r="C1836" t="s">
        <v>6936</v>
      </c>
      <c r="D1836" t="s">
        <v>6937</v>
      </c>
      <c r="E1836" t="s">
        <v>87</v>
      </c>
      <c r="F1836" t="s">
        <v>115</v>
      </c>
      <c r="G1836" t="s">
        <v>177</v>
      </c>
      <c r="H1836" t="s">
        <v>1483</v>
      </c>
      <c r="I1836" t="s">
        <v>6935</v>
      </c>
      <c r="J1836" t="s">
        <v>56</v>
      </c>
      <c r="K1836" t="s">
        <v>56</v>
      </c>
      <c r="L1836" t="s">
        <v>39</v>
      </c>
      <c r="M1836" t="s">
        <v>38</v>
      </c>
      <c r="N1836" t="s">
        <v>38</v>
      </c>
      <c r="O1836" t="s">
        <v>39</v>
      </c>
      <c r="P1836" t="s">
        <v>38</v>
      </c>
      <c r="Q1836" t="s">
        <v>38</v>
      </c>
      <c r="R1836" t="s">
        <v>39</v>
      </c>
      <c r="S1836" t="s">
        <v>41</v>
      </c>
      <c r="T1836" t="s">
        <v>6930</v>
      </c>
      <c r="U1836" t="s">
        <v>6931</v>
      </c>
      <c r="V1836" t="s">
        <v>6450</v>
      </c>
      <c r="W1836" t="s">
        <v>6932</v>
      </c>
      <c r="X1836" t="s">
        <v>46</v>
      </c>
      <c r="AC1836">
        <f>COUNTIF(C:C,QLKV_gui_ket_qua_ra_soat[[#This Row],[Mã điểm bán]])</f>
        <v>1</v>
      </c>
    </row>
    <row r="1837" spans="1:29" x14ac:dyDescent="0.45">
      <c r="A1837" t="s">
        <v>6444</v>
      </c>
      <c r="B1837">
        <v>158</v>
      </c>
      <c r="C1837" t="s">
        <v>6938</v>
      </c>
      <c r="D1837" t="s">
        <v>6939</v>
      </c>
      <c r="E1837" t="s">
        <v>185</v>
      </c>
      <c r="F1837" t="s">
        <v>401</v>
      </c>
      <c r="G1837" t="s">
        <v>177</v>
      </c>
      <c r="H1837" t="s">
        <v>4115</v>
      </c>
      <c r="I1837" t="s">
        <v>6935</v>
      </c>
      <c r="J1837" t="s">
        <v>56</v>
      </c>
      <c r="K1837" t="s">
        <v>56</v>
      </c>
      <c r="L1837" t="s">
        <v>39</v>
      </c>
      <c r="M1837" t="s">
        <v>38</v>
      </c>
      <c r="N1837" t="s">
        <v>38</v>
      </c>
      <c r="O1837" t="s">
        <v>39</v>
      </c>
      <c r="P1837" t="s">
        <v>38</v>
      </c>
      <c r="Q1837" t="s">
        <v>38</v>
      </c>
      <c r="R1837" t="s">
        <v>39</v>
      </c>
      <c r="S1837" t="s">
        <v>6940</v>
      </c>
      <c r="T1837" t="s">
        <v>6930</v>
      </c>
      <c r="U1837" t="s">
        <v>6931</v>
      </c>
      <c r="V1837" t="s">
        <v>6450</v>
      </c>
      <c r="W1837" t="s">
        <v>6932</v>
      </c>
      <c r="Z1837" t="s">
        <v>46</v>
      </c>
      <c r="AA1837" t="s">
        <v>6457</v>
      </c>
      <c r="AC1837">
        <f>COUNTIF(C:C,QLKV_gui_ket_qua_ra_soat[[#This Row],[Mã điểm bán]])</f>
        <v>1</v>
      </c>
    </row>
    <row r="1838" spans="1:29" x14ac:dyDescent="0.45">
      <c r="A1838" t="s">
        <v>6444</v>
      </c>
      <c r="B1838">
        <v>159</v>
      </c>
      <c r="C1838" t="s">
        <v>6941</v>
      </c>
      <c r="D1838" t="s">
        <v>6942</v>
      </c>
      <c r="E1838" t="s">
        <v>421</v>
      </c>
      <c r="F1838" t="s">
        <v>600</v>
      </c>
      <c r="G1838" t="s">
        <v>34</v>
      </c>
      <c r="H1838" t="s">
        <v>171</v>
      </c>
      <c r="I1838" t="s">
        <v>6943</v>
      </c>
      <c r="J1838" t="s">
        <v>56</v>
      </c>
      <c r="K1838" t="s">
        <v>56</v>
      </c>
      <c r="L1838" t="s">
        <v>39</v>
      </c>
      <c r="M1838" t="s">
        <v>38</v>
      </c>
      <c r="N1838" t="s">
        <v>38</v>
      </c>
      <c r="O1838" t="s">
        <v>39</v>
      </c>
      <c r="P1838" t="s">
        <v>38</v>
      </c>
      <c r="Q1838" t="s">
        <v>38</v>
      </c>
      <c r="R1838" t="s">
        <v>39</v>
      </c>
      <c r="S1838" t="s">
        <v>41</v>
      </c>
      <c r="T1838" t="s">
        <v>6930</v>
      </c>
      <c r="U1838" t="s">
        <v>6931</v>
      </c>
      <c r="V1838" t="s">
        <v>6450</v>
      </c>
      <c r="W1838" t="s">
        <v>6932</v>
      </c>
      <c r="Z1838" t="s">
        <v>46</v>
      </c>
      <c r="AA1838" t="s">
        <v>6457</v>
      </c>
      <c r="AC1838">
        <f>COUNTIF(C:C,QLKV_gui_ket_qua_ra_soat[[#This Row],[Mã điểm bán]])</f>
        <v>1</v>
      </c>
    </row>
    <row r="1839" spans="1:29" x14ac:dyDescent="0.45">
      <c r="A1839" t="s">
        <v>6444</v>
      </c>
      <c r="B1839">
        <v>160</v>
      </c>
      <c r="C1839" t="s">
        <v>6944</v>
      </c>
      <c r="D1839" t="s">
        <v>6945</v>
      </c>
      <c r="E1839" t="s">
        <v>416</v>
      </c>
      <c r="F1839" t="s">
        <v>401</v>
      </c>
      <c r="G1839" t="s">
        <v>34</v>
      </c>
      <c r="H1839" t="s">
        <v>2294</v>
      </c>
      <c r="I1839" t="s">
        <v>6946</v>
      </c>
      <c r="J1839" t="s">
        <v>56</v>
      </c>
      <c r="K1839" t="s">
        <v>56</v>
      </c>
      <c r="L1839" t="s">
        <v>39</v>
      </c>
      <c r="M1839" t="s">
        <v>38</v>
      </c>
      <c r="N1839" t="s">
        <v>38</v>
      </c>
      <c r="O1839" t="s">
        <v>39</v>
      </c>
      <c r="P1839" t="s">
        <v>38</v>
      </c>
      <c r="Q1839" t="s">
        <v>38</v>
      </c>
      <c r="R1839" t="s">
        <v>39</v>
      </c>
      <c r="S1839" t="s">
        <v>6947</v>
      </c>
      <c r="T1839" t="s">
        <v>6930</v>
      </c>
      <c r="U1839" t="s">
        <v>6931</v>
      </c>
      <c r="V1839" t="s">
        <v>6450</v>
      </c>
      <c r="W1839" t="s">
        <v>6932</v>
      </c>
      <c r="Z1839" t="s">
        <v>46</v>
      </c>
      <c r="AA1839" t="s">
        <v>6457</v>
      </c>
      <c r="AB1839" t="s">
        <v>3109</v>
      </c>
      <c r="AC1839">
        <f>COUNTIF(C:C,QLKV_gui_ket_qua_ra_soat[[#This Row],[Mã điểm bán]])</f>
        <v>1</v>
      </c>
    </row>
    <row r="1840" spans="1:29" x14ac:dyDescent="0.45">
      <c r="A1840" t="s">
        <v>6444</v>
      </c>
      <c r="B1840">
        <v>161</v>
      </c>
      <c r="C1840" t="s">
        <v>6948</v>
      </c>
      <c r="D1840" t="s">
        <v>6949</v>
      </c>
      <c r="E1840" t="s">
        <v>304</v>
      </c>
      <c r="F1840" t="s">
        <v>401</v>
      </c>
      <c r="G1840" t="s">
        <v>177</v>
      </c>
      <c r="H1840" t="s">
        <v>2294</v>
      </c>
      <c r="I1840" t="s">
        <v>6935</v>
      </c>
      <c r="J1840" t="s">
        <v>56</v>
      </c>
      <c r="K1840" t="s">
        <v>56</v>
      </c>
      <c r="L1840" t="s">
        <v>39</v>
      </c>
      <c r="M1840" t="s">
        <v>38</v>
      </c>
      <c r="N1840" t="s">
        <v>38</v>
      </c>
      <c r="O1840" t="s">
        <v>39</v>
      </c>
      <c r="P1840" t="s">
        <v>38</v>
      </c>
      <c r="Q1840" t="s">
        <v>38</v>
      </c>
      <c r="R1840" t="s">
        <v>39</v>
      </c>
      <c r="S1840" t="s">
        <v>6950</v>
      </c>
      <c r="T1840" t="s">
        <v>6930</v>
      </c>
      <c r="U1840" t="s">
        <v>6931</v>
      </c>
      <c r="V1840" t="s">
        <v>6450</v>
      </c>
      <c r="W1840" t="s">
        <v>6932</v>
      </c>
      <c r="Z1840" t="s">
        <v>46</v>
      </c>
      <c r="AA1840" t="s">
        <v>6951</v>
      </c>
      <c r="AB1840" t="s">
        <v>3109</v>
      </c>
      <c r="AC1840">
        <f>COUNTIF(C:C,QLKV_gui_ket_qua_ra_soat[[#This Row],[Mã điểm bán]])</f>
        <v>1</v>
      </c>
    </row>
    <row r="1841" spans="1:29" x14ac:dyDescent="0.45">
      <c r="A1841" t="s">
        <v>6444</v>
      </c>
      <c r="B1841">
        <v>162</v>
      </c>
      <c r="C1841" t="s">
        <v>6952</v>
      </c>
      <c r="D1841" t="s">
        <v>6953</v>
      </c>
      <c r="E1841" t="s">
        <v>269</v>
      </c>
      <c r="F1841" t="s">
        <v>53</v>
      </c>
      <c r="G1841" t="s">
        <v>34</v>
      </c>
      <c r="H1841" t="s">
        <v>1483</v>
      </c>
      <c r="I1841" t="s">
        <v>6954</v>
      </c>
      <c r="J1841" t="s">
        <v>56</v>
      </c>
      <c r="K1841" t="s">
        <v>56</v>
      </c>
      <c r="L1841" t="s">
        <v>39</v>
      </c>
      <c r="M1841" t="s">
        <v>38</v>
      </c>
      <c r="N1841" t="s">
        <v>38</v>
      </c>
      <c r="O1841" t="s">
        <v>39</v>
      </c>
      <c r="P1841" t="s">
        <v>38</v>
      </c>
      <c r="Q1841" t="s">
        <v>38</v>
      </c>
      <c r="R1841" t="s">
        <v>39</v>
      </c>
      <c r="S1841" t="s">
        <v>41</v>
      </c>
      <c r="T1841" t="s">
        <v>6930</v>
      </c>
      <c r="U1841" t="s">
        <v>6931</v>
      </c>
      <c r="V1841" t="s">
        <v>6450</v>
      </c>
      <c r="W1841" t="s">
        <v>6932</v>
      </c>
      <c r="X1841" t="s">
        <v>46</v>
      </c>
      <c r="AC1841">
        <f>COUNTIF(C:C,QLKV_gui_ket_qua_ra_soat[[#This Row],[Mã điểm bán]])</f>
        <v>1</v>
      </c>
    </row>
    <row r="1842" spans="1:29" x14ac:dyDescent="0.45">
      <c r="A1842" t="s">
        <v>6444</v>
      </c>
      <c r="B1842">
        <v>163</v>
      </c>
      <c r="C1842" t="s">
        <v>6955</v>
      </c>
      <c r="D1842" t="s">
        <v>6956</v>
      </c>
      <c r="E1842" t="s">
        <v>421</v>
      </c>
      <c r="F1842" t="s">
        <v>426</v>
      </c>
      <c r="G1842" t="s">
        <v>177</v>
      </c>
      <c r="H1842" t="s">
        <v>1483</v>
      </c>
      <c r="I1842" t="s">
        <v>6929</v>
      </c>
      <c r="J1842" t="s">
        <v>56</v>
      </c>
      <c r="K1842" t="s">
        <v>56</v>
      </c>
      <c r="L1842" t="s">
        <v>39</v>
      </c>
      <c r="M1842" t="s">
        <v>38</v>
      </c>
      <c r="N1842" t="s">
        <v>38</v>
      </c>
      <c r="O1842" t="s">
        <v>39</v>
      </c>
      <c r="P1842" t="s">
        <v>38</v>
      </c>
      <c r="Q1842" t="s">
        <v>38</v>
      </c>
      <c r="R1842" t="s">
        <v>39</v>
      </c>
      <c r="S1842" t="s">
        <v>6957</v>
      </c>
      <c r="T1842" t="s">
        <v>6930</v>
      </c>
      <c r="U1842" t="s">
        <v>6931</v>
      </c>
      <c r="V1842" t="s">
        <v>6450</v>
      </c>
      <c r="W1842" t="s">
        <v>6932</v>
      </c>
      <c r="Z1842" t="s">
        <v>46</v>
      </c>
      <c r="AA1842" t="s">
        <v>6951</v>
      </c>
      <c r="AB1842" t="s">
        <v>3109</v>
      </c>
      <c r="AC1842">
        <f>COUNTIF(C:C,QLKV_gui_ket_qua_ra_soat[[#This Row],[Mã điểm bán]])</f>
        <v>1</v>
      </c>
    </row>
    <row r="1843" spans="1:29" x14ac:dyDescent="0.45">
      <c r="A1843" t="s">
        <v>6444</v>
      </c>
      <c r="B1843">
        <v>164</v>
      </c>
      <c r="C1843" t="s">
        <v>6958</v>
      </c>
      <c r="D1843" t="s">
        <v>6959</v>
      </c>
      <c r="E1843" t="s">
        <v>87</v>
      </c>
      <c r="F1843" t="s">
        <v>426</v>
      </c>
      <c r="G1843" t="s">
        <v>34</v>
      </c>
      <c r="H1843" t="s">
        <v>2294</v>
      </c>
      <c r="I1843" t="s">
        <v>6946</v>
      </c>
      <c r="J1843" t="s">
        <v>56</v>
      </c>
      <c r="K1843" t="s">
        <v>56</v>
      </c>
      <c r="L1843" t="s">
        <v>39</v>
      </c>
      <c r="M1843" t="s">
        <v>38</v>
      </c>
      <c r="N1843" t="s">
        <v>38</v>
      </c>
      <c r="O1843" t="s">
        <v>39</v>
      </c>
      <c r="P1843" t="s">
        <v>38</v>
      </c>
      <c r="Q1843" t="s">
        <v>38</v>
      </c>
      <c r="R1843" t="s">
        <v>39</v>
      </c>
      <c r="S1843" t="s">
        <v>41</v>
      </c>
      <c r="T1843" t="s">
        <v>6930</v>
      </c>
      <c r="U1843" t="s">
        <v>6931</v>
      </c>
      <c r="V1843" t="s">
        <v>6450</v>
      </c>
      <c r="W1843" t="s">
        <v>6932</v>
      </c>
      <c r="X1843" t="s">
        <v>46</v>
      </c>
      <c r="AC1843">
        <f>COUNTIF(C:C,QLKV_gui_ket_qua_ra_soat[[#This Row],[Mã điểm bán]])</f>
        <v>1</v>
      </c>
    </row>
    <row r="1844" spans="1:29" x14ac:dyDescent="0.45">
      <c r="A1844" t="s">
        <v>6444</v>
      </c>
      <c r="B1844">
        <v>165</v>
      </c>
      <c r="C1844" t="s">
        <v>6960</v>
      </c>
      <c r="D1844" t="s">
        <v>6961</v>
      </c>
      <c r="E1844" t="s">
        <v>87</v>
      </c>
      <c r="F1844" t="s">
        <v>401</v>
      </c>
      <c r="G1844" t="s">
        <v>34</v>
      </c>
      <c r="H1844" t="s">
        <v>332</v>
      </c>
      <c r="I1844" t="s">
        <v>6946</v>
      </c>
      <c r="J1844" t="s">
        <v>56</v>
      </c>
      <c r="K1844" t="s">
        <v>56</v>
      </c>
      <c r="L1844" t="s">
        <v>39</v>
      </c>
      <c r="M1844" t="s">
        <v>38</v>
      </c>
      <c r="N1844" t="s">
        <v>38</v>
      </c>
      <c r="O1844" t="s">
        <v>39</v>
      </c>
      <c r="P1844" t="s">
        <v>38</v>
      </c>
      <c r="Q1844" t="s">
        <v>38</v>
      </c>
      <c r="R1844" t="s">
        <v>39</v>
      </c>
      <c r="S1844" t="s">
        <v>41</v>
      </c>
      <c r="T1844" t="s">
        <v>6930</v>
      </c>
      <c r="U1844" t="s">
        <v>6931</v>
      </c>
      <c r="V1844" t="s">
        <v>6450</v>
      </c>
      <c r="W1844" t="s">
        <v>6932</v>
      </c>
      <c r="X1844" t="s">
        <v>46</v>
      </c>
      <c r="AC1844">
        <f>COUNTIF(C:C,QLKV_gui_ket_qua_ra_soat[[#This Row],[Mã điểm bán]])</f>
        <v>1</v>
      </c>
    </row>
    <row r="1845" spans="1:29" x14ac:dyDescent="0.45">
      <c r="A1845" t="s">
        <v>6444</v>
      </c>
      <c r="B1845">
        <v>166</v>
      </c>
      <c r="C1845" t="s">
        <v>6962</v>
      </c>
      <c r="D1845" t="s">
        <v>6963</v>
      </c>
      <c r="E1845" t="s">
        <v>64</v>
      </c>
      <c r="F1845" t="s">
        <v>401</v>
      </c>
      <c r="G1845" t="s">
        <v>34</v>
      </c>
      <c r="H1845" t="s">
        <v>1542</v>
      </c>
      <c r="I1845" t="s">
        <v>6929</v>
      </c>
      <c r="J1845" t="s">
        <v>56</v>
      </c>
      <c r="K1845" t="s">
        <v>56</v>
      </c>
      <c r="L1845" t="s">
        <v>39</v>
      </c>
      <c r="M1845" t="s">
        <v>38</v>
      </c>
      <c r="N1845" t="s">
        <v>38</v>
      </c>
      <c r="O1845" t="s">
        <v>39</v>
      </c>
      <c r="P1845" t="s">
        <v>38</v>
      </c>
      <c r="Q1845" t="s">
        <v>38</v>
      </c>
      <c r="R1845" t="s">
        <v>39</v>
      </c>
      <c r="S1845" t="s">
        <v>6964</v>
      </c>
      <c r="T1845" t="s">
        <v>6930</v>
      </c>
      <c r="U1845" t="s">
        <v>6931</v>
      </c>
      <c r="V1845" t="s">
        <v>6450</v>
      </c>
      <c r="W1845" t="s">
        <v>6932</v>
      </c>
      <c r="Z1845" t="s">
        <v>46</v>
      </c>
      <c r="AA1845" t="s">
        <v>6951</v>
      </c>
      <c r="AB1845" t="s">
        <v>3109</v>
      </c>
      <c r="AC1845">
        <f>COUNTIF(C:C,QLKV_gui_ket_qua_ra_soat[[#This Row],[Mã điểm bán]])</f>
        <v>1</v>
      </c>
    </row>
    <row r="1846" spans="1:29" x14ac:dyDescent="0.45">
      <c r="A1846" t="s">
        <v>6444</v>
      </c>
      <c r="B1846">
        <v>167</v>
      </c>
      <c r="C1846" t="s">
        <v>6965</v>
      </c>
      <c r="D1846" t="s">
        <v>6966</v>
      </c>
      <c r="E1846" t="s">
        <v>529</v>
      </c>
      <c r="F1846" t="s">
        <v>426</v>
      </c>
      <c r="G1846" t="s">
        <v>34</v>
      </c>
      <c r="H1846" t="s">
        <v>1184</v>
      </c>
      <c r="I1846" t="s">
        <v>6946</v>
      </c>
      <c r="J1846" t="s">
        <v>56</v>
      </c>
      <c r="K1846" t="s">
        <v>56</v>
      </c>
      <c r="L1846" t="s">
        <v>39</v>
      </c>
      <c r="M1846" t="s">
        <v>38</v>
      </c>
      <c r="N1846" t="s">
        <v>38</v>
      </c>
      <c r="O1846" t="s">
        <v>39</v>
      </c>
      <c r="P1846" t="s">
        <v>38</v>
      </c>
      <c r="Q1846" t="s">
        <v>38</v>
      </c>
      <c r="R1846" t="s">
        <v>39</v>
      </c>
      <c r="S1846" t="s">
        <v>6967</v>
      </c>
      <c r="T1846" t="s">
        <v>6930</v>
      </c>
      <c r="U1846" t="s">
        <v>6931</v>
      </c>
      <c r="V1846" t="s">
        <v>6450</v>
      </c>
      <c r="W1846" t="s">
        <v>6932</v>
      </c>
      <c r="Z1846" t="s">
        <v>46</v>
      </c>
      <c r="AA1846" t="s">
        <v>6951</v>
      </c>
      <c r="AB1846" t="s">
        <v>4223</v>
      </c>
      <c r="AC1846">
        <f>COUNTIF(C:C,QLKV_gui_ket_qua_ra_soat[[#This Row],[Mã điểm bán]])</f>
        <v>1</v>
      </c>
    </row>
    <row r="1847" spans="1:29" x14ac:dyDescent="0.45">
      <c r="A1847" t="s">
        <v>6444</v>
      </c>
      <c r="B1847">
        <v>168</v>
      </c>
      <c r="C1847" t="s">
        <v>6968</v>
      </c>
      <c r="D1847" t="s">
        <v>6969</v>
      </c>
      <c r="E1847" t="s">
        <v>304</v>
      </c>
      <c r="F1847" t="s">
        <v>2368</v>
      </c>
      <c r="G1847" t="s">
        <v>177</v>
      </c>
      <c r="H1847" t="s">
        <v>565</v>
      </c>
      <c r="I1847" t="s">
        <v>6970</v>
      </c>
      <c r="J1847" t="s">
        <v>56</v>
      </c>
      <c r="K1847" t="s">
        <v>56</v>
      </c>
      <c r="L1847" t="s">
        <v>39</v>
      </c>
      <c r="M1847" t="s">
        <v>38</v>
      </c>
      <c r="N1847" t="s">
        <v>38</v>
      </c>
      <c r="O1847" t="s">
        <v>39</v>
      </c>
      <c r="P1847" t="s">
        <v>38</v>
      </c>
      <c r="Q1847" t="s">
        <v>38</v>
      </c>
      <c r="R1847" t="s">
        <v>39</v>
      </c>
      <c r="S1847" t="s">
        <v>6971</v>
      </c>
      <c r="T1847" t="s">
        <v>6930</v>
      </c>
      <c r="U1847" t="s">
        <v>6931</v>
      </c>
      <c r="V1847" t="s">
        <v>6450</v>
      </c>
      <c r="W1847" t="s">
        <v>6932</v>
      </c>
      <c r="Z1847" t="s">
        <v>46</v>
      </c>
      <c r="AA1847" t="s">
        <v>6457</v>
      </c>
      <c r="AC1847">
        <f>COUNTIF(C:C,QLKV_gui_ket_qua_ra_soat[[#This Row],[Mã điểm bán]])</f>
        <v>1</v>
      </c>
    </row>
    <row r="1848" spans="1:29" x14ac:dyDescent="0.45">
      <c r="A1848" t="s">
        <v>6444</v>
      </c>
      <c r="B1848">
        <v>169</v>
      </c>
      <c r="C1848" t="s">
        <v>6972</v>
      </c>
      <c r="D1848" t="s">
        <v>6973</v>
      </c>
      <c r="E1848" t="s">
        <v>304</v>
      </c>
      <c r="F1848" t="s">
        <v>426</v>
      </c>
      <c r="G1848" t="s">
        <v>177</v>
      </c>
      <c r="H1848" t="s">
        <v>1542</v>
      </c>
      <c r="I1848" t="s">
        <v>6946</v>
      </c>
      <c r="J1848" t="s">
        <v>56</v>
      </c>
      <c r="K1848" t="s">
        <v>56</v>
      </c>
      <c r="L1848" t="s">
        <v>39</v>
      </c>
      <c r="M1848" t="s">
        <v>38</v>
      </c>
      <c r="N1848" t="s">
        <v>38</v>
      </c>
      <c r="O1848" t="s">
        <v>40</v>
      </c>
      <c r="P1848" t="s">
        <v>37</v>
      </c>
      <c r="Q1848" t="s">
        <v>37</v>
      </c>
      <c r="R1848" t="s">
        <v>39</v>
      </c>
      <c r="S1848" t="s">
        <v>41</v>
      </c>
      <c r="T1848" t="s">
        <v>6930</v>
      </c>
      <c r="U1848" t="s">
        <v>6931</v>
      </c>
      <c r="V1848" t="s">
        <v>6450</v>
      </c>
      <c r="W1848" t="s">
        <v>6932</v>
      </c>
      <c r="X1848" t="s">
        <v>46</v>
      </c>
      <c r="AC1848">
        <f>COUNTIF(C:C,QLKV_gui_ket_qua_ra_soat[[#This Row],[Mã điểm bán]])</f>
        <v>1</v>
      </c>
    </row>
    <row r="1849" spans="1:29" x14ac:dyDescent="0.45">
      <c r="A1849" t="s">
        <v>6444</v>
      </c>
      <c r="B1849">
        <v>170</v>
      </c>
      <c r="C1849" t="s">
        <v>6974</v>
      </c>
      <c r="D1849" t="s">
        <v>6975</v>
      </c>
      <c r="E1849" t="s">
        <v>365</v>
      </c>
      <c r="F1849" t="s">
        <v>53</v>
      </c>
      <c r="G1849" t="s">
        <v>177</v>
      </c>
      <c r="H1849" t="s">
        <v>133</v>
      </c>
      <c r="I1849" t="s">
        <v>6954</v>
      </c>
      <c r="J1849" t="s">
        <v>56</v>
      </c>
      <c r="K1849" t="s">
        <v>56</v>
      </c>
      <c r="L1849" t="s">
        <v>39</v>
      </c>
      <c r="M1849" t="s">
        <v>38</v>
      </c>
      <c r="N1849" t="s">
        <v>38</v>
      </c>
      <c r="O1849" t="s">
        <v>39</v>
      </c>
      <c r="P1849" t="s">
        <v>38</v>
      </c>
      <c r="Q1849" t="s">
        <v>38</v>
      </c>
      <c r="R1849" t="s">
        <v>39</v>
      </c>
      <c r="S1849" t="s">
        <v>41</v>
      </c>
      <c r="T1849" t="s">
        <v>6930</v>
      </c>
      <c r="U1849" t="s">
        <v>6931</v>
      </c>
      <c r="V1849" t="s">
        <v>6450</v>
      </c>
      <c r="W1849" t="s">
        <v>6932</v>
      </c>
      <c r="X1849" t="s">
        <v>46</v>
      </c>
      <c r="AC1849">
        <f>COUNTIF(C:C,QLKV_gui_ket_qua_ra_soat[[#This Row],[Mã điểm bán]])</f>
        <v>1</v>
      </c>
    </row>
    <row r="1850" spans="1:29" x14ac:dyDescent="0.45">
      <c r="A1850" t="s">
        <v>6444</v>
      </c>
      <c r="B1850">
        <v>171</v>
      </c>
      <c r="C1850" t="s">
        <v>6976</v>
      </c>
      <c r="D1850" t="s">
        <v>6977</v>
      </c>
      <c r="E1850" t="s">
        <v>421</v>
      </c>
      <c r="F1850" t="s">
        <v>401</v>
      </c>
      <c r="G1850" t="s">
        <v>177</v>
      </c>
      <c r="H1850" t="s">
        <v>4115</v>
      </c>
      <c r="I1850" t="s">
        <v>6929</v>
      </c>
      <c r="J1850" t="s">
        <v>775</v>
      </c>
      <c r="K1850" t="s">
        <v>775</v>
      </c>
      <c r="L1850" t="s">
        <v>39</v>
      </c>
      <c r="M1850" t="s">
        <v>38</v>
      </c>
      <c r="N1850" t="s">
        <v>38</v>
      </c>
      <c r="O1850" t="s">
        <v>39</v>
      </c>
      <c r="P1850" t="s">
        <v>38</v>
      </c>
      <c r="Q1850" t="s">
        <v>38</v>
      </c>
      <c r="R1850" t="s">
        <v>39</v>
      </c>
      <c r="S1850" t="s">
        <v>41</v>
      </c>
      <c r="T1850" t="s">
        <v>6930</v>
      </c>
      <c r="U1850" t="s">
        <v>6931</v>
      </c>
      <c r="V1850" t="s">
        <v>6450</v>
      </c>
      <c r="W1850" t="s">
        <v>6932</v>
      </c>
      <c r="X1850" t="s">
        <v>46</v>
      </c>
      <c r="AC1850">
        <f>COUNTIF(C:C,QLKV_gui_ket_qua_ra_soat[[#This Row],[Mã điểm bán]])</f>
        <v>1</v>
      </c>
    </row>
    <row r="1851" spans="1:29" x14ac:dyDescent="0.45">
      <c r="A1851" t="s">
        <v>6444</v>
      </c>
      <c r="B1851">
        <v>172</v>
      </c>
      <c r="C1851" t="s">
        <v>6978</v>
      </c>
      <c r="D1851" t="s">
        <v>6979</v>
      </c>
      <c r="E1851" t="s">
        <v>51</v>
      </c>
      <c r="F1851" t="s">
        <v>426</v>
      </c>
      <c r="G1851" t="s">
        <v>177</v>
      </c>
      <c r="H1851" t="s">
        <v>1483</v>
      </c>
      <c r="I1851" t="s">
        <v>6929</v>
      </c>
      <c r="J1851" t="s">
        <v>56</v>
      </c>
      <c r="K1851" t="s">
        <v>56</v>
      </c>
      <c r="L1851" t="s">
        <v>39</v>
      </c>
      <c r="M1851" t="s">
        <v>38</v>
      </c>
      <c r="N1851" t="s">
        <v>38</v>
      </c>
      <c r="O1851" t="s">
        <v>39</v>
      </c>
      <c r="P1851" t="s">
        <v>38</v>
      </c>
      <c r="Q1851" t="s">
        <v>38</v>
      </c>
      <c r="R1851" t="s">
        <v>39</v>
      </c>
      <c r="S1851" t="s">
        <v>41</v>
      </c>
      <c r="T1851" t="s">
        <v>6930</v>
      </c>
      <c r="U1851" t="s">
        <v>6931</v>
      </c>
      <c r="V1851" t="s">
        <v>6450</v>
      </c>
      <c r="W1851" t="s">
        <v>6932</v>
      </c>
      <c r="X1851" t="s">
        <v>46</v>
      </c>
      <c r="AC1851">
        <f>COUNTIF(C:C,QLKV_gui_ket_qua_ra_soat[[#This Row],[Mã điểm bán]])</f>
        <v>1</v>
      </c>
    </row>
    <row r="1852" spans="1:29" x14ac:dyDescent="0.45">
      <c r="A1852" t="s">
        <v>6444</v>
      </c>
      <c r="B1852">
        <v>173</v>
      </c>
      <c r="C1852" t="s">
        <v>6980</v>
      </c>
      <c r="D1852" t="s">
        <v>6981</v>
      </c>
      <c r="E1852" t="s">
        <v>967</v>
      </c>
      <c r="F1852" t="s">
        <v>401</v>
      </c>
      <c r="G1852" t="s">
        <v>177</v>
      </c>
      <c r="H1852" t="s">
        <v>171</v>
      </c>
      <c r="I1852" t="s">
        <v>6946</v>
      </c>
      <c r="J1852" t="s">
        <v>56</v>
      </c>
      <c r="K1852" t="s">
        <v>56</v>
      </c>
      <c r="L1852" t="s">
        <v>39</v>
      </c>
      <c r="M1852" t="s">
        <v>38</v>
      </c>
      <c r="N1852" t="s">
        <v>38</v>
      </c>
      <c r="O1852" t="s">
        <v>39</v>
      </c>
      <c r="P1852" t="s">
        <v>38</v>
      </c>
      <c r="Q1852" t="s">
        <v>38</v>
      </c>
      <c r="R1852" t="s">
        <v>39</v>
      </c>
      <c r="S1852" t="s">
        <v>41</v>
      </c>
      <c r="T1852" t="s">
        <v>6930</v>
      </c>
      <c r="U1852" t="s">
        <v>6931</v>
      </c>
      <c r="V1852" t="s">
        <v>6450</v>
      </c>
      <c r="W1852" t="s">
        <v>6932</v>
      </c>
      <c r="X1852" t="s">
        <v>46</v>
      </c>
      <c r="AC1852">
        <f>COUNTIF(C:C,QLKV_gui_ket_qua_ra_soat[[#This Row],[Mã điểm bán]])</f>
        <v>1</v>
      </c>
    </row>
    <row r="1853" spans="1:29" x14ac:dyDescent="0.45">
      <c r="A1853" t="s">
        <v>6444</v>
      </c>
      <c r="B1853">
        <v>174</v>
      </c>
      <c r="C1853" t="s">
        <v>6982</v>
      </c>
      <c r="D1853" t="s">
        <v>6983</v>
      </c>
      <c r="E1853" t="s">
        <v>190</v>
      </c>
      <c r="F1853" t="s">
        <v>115</v>
      </c>
      <c r="G1853" t="s">
        <v>177</v>
      </c>
      <c r="H1853" t="s">
        <v>4115</v>
      </c>
      <c r="I1853" t="s">
        <v>6935</v>
      </c>
      <c r="J1853" t="s">
        <v>56</v>
      </c>
      <c r="K1853" t="s">
        <v>56</v>
      </c>
      <c r="L1853" t="s">
        <v>39</v>
      </c>
      <c r="M1853" t="s">
        <v>38</v>
      </c>
      <c r="N1853" t="s">
        <v>38</v>
      </c>
      <c r="O1853" t="s">
        <v>39</v>
      </c>
      <c r="P1853" t="s">
        <v>38</v>
      </c>
      <c r="Q1853" t="s">
        <v>38</v>
      </c>
      <c r="R1853" t="s">
        <v>39</v>
      </c>
      <c r="S1853" t="s">
        <v>41</v>
      </c>
      <c r="T1853" t="s">
        <v>6930</v>
      </c>
      <c r="U1853" t="s">
        <v>6931</v>
      </c>
      <c r="V1853" t="s">
        <v>6450</v>
      </c>
      <c r="W1853" t="s">
        <v>6932</v>
      </c>
      <c r="X1853" t="s">
        <v>46</v>
      </c>
      <c r="AC1853">
        <f>COUNTIF(C:C,QLKV_gui_ket_qua_ra_soat[[#This Row],[Mã điểm bán]])</f>
        <v>1</v>
      </c>
    </row>
    <row r="1854" spans="1:29" x14ac:dyDescent="0.45">
      <c r="A1854" t="s">
        <v>6444</v>
      </c>
      <c r="B1854">
        <v>175</v>
      </c>
      <c r="C1854" t="s">
        <v>6984</v>
      </c>
      <c r="D1854" t="s">
        <v>6985</v>
      </c>
      <c r="E1854" t="s">
        <v>109</v>
      </c>
      <c r="F1854" t="s">
        <v>115</v>
      </c>
      <c r="G1854" t="s">
        <v>177</v>
      </c>
      <c r="H1854" t="s">
        <v>54</v>
      </c>
      <c r="I1854" t="s">
        <v>6946</v>
      </c>
      <c r="J1854" t="s">
        <v>56</v>
      </c>
      <c r="K1854" t="s">
        <v>56</v>
      </c>
      <c r="L1854" t="s">
        <v>39</v>
      </c>
      <c r="M1854" t="s">
        <v>37</v>
      </c>
      <c r="N1854" t="s">
        <v>37</v>
      </c>
      <c r="O1854" t="s">
        <v>39</v>
      </c>
      <c r="P1854" t="s">
        <v>38</v>
      </c>
      <c r="Q1854" t="s">
        <v>38</v>
      </c>
      <c r="R1854" t="s">
        <v>39</v>
      </c>
      <c r="S1854" t="s">
        <v>41</v>
      </c>
      <c r="T1854" t="s">
        <v>6930</v>
      </c>
      <c r="U1854" t="s">
        <v>6931</v>
      </c>
      <c r="V1854" t="s">
        <v>6450</v>
      </c>
      <c r="W1854" t="s">
        <v>6932</v>
      </c>
      <c r="Z1854" t="s">
        <v>46</v>
      </c>
      <c r="AA1854" t="s">
        <v>6951</v>
      </c>
      <c r="AB1854" t="s">
        <v>3109</v>
      </c>
      <c r="AC1854">
        <f>COUNTIF(C:C,QLKV_gui_ket_qua_ra_soat[[#This Row],[Mã điểm bán]])</f>
        <v>1</v>
      </c>
    </row>
    <row r="1855" spans="1:29" x14ac:dyDescent="0.45">
      <c r="A1855" t="s">
        <v>6444</v>
      </c>
      <c r="B1855">
        <v>176</v>
      </c>
      <c r="C1855" t="s">
        <v>6986</v>
      </c>
      <c r="D1855" t="s">
        <v>6987</v>
      </c>
      <c r="E1855" t="s">
        <v>51</v>
      </c>
      <c r="F1855" t="s">
        <v>426</v>
      </c>
      <c r="G1855" t="s">
        <v>177</v>
      </c>
      <c r="H1855" t="s">
        <v>1184</v>
      </c>
      <c r="I1855" t="s">
        <v>6935</v>
      </c>
      <c r="J1855" t="s">
        <v>56</v>
      </c>
      <c r="K1855" t="s">
        <v>56</v>
      </c>
      <c r="L1855" t="s">
        <v>39</v>
      </c>
      <c r="M1855" t="s">
        <v>38</v>
      </c>
      <c r="N1855" t="s">
        <v>38</v>
      </c>
      <c r="O1855" t="s">
        <v>39</v>
      </c>
      <c r="P1855" t="s">
        <v>38</v>
      </c>
      <c r="Q1855" t="s">
        <v>38</v>
      </c>
      <c r="R1855" t="s">
        <v>39</v>
      </c>
      <c r="S1855" t="s">
        <v>41</v>
      </c>
      <c r="T1855" t="s">
        <v>6930</v>
      </c>
      <c r="U1855" t="s">
        <v>6931</v>
      </c>
      <c r="V1855" t="s">
        <v>6450</v>
      </c>
      <c r="W1855" t="s">
        <v>6932</v>
      </c>
      <c r="Y1855" t="s">
        <v>46</v>
      </c>
      <c r="AC1855">
        <f>COUNTIF(C:C,QLKV_gui_ket_qua_ra_soat[[#This Row],[Mã điểm bán]])</f>
        <v>1</v>
      </c>
    </row>
    <row r="1856" spans="1:29" x14ac:dyDescent="0.45">
      <c r="A1856" t="s">
        <v>6444</v>
      </c>
      <c r="B1856">
        <v>177</v>
      </c>
      <c r="C1856" t="s">
        <v>6988</v>
      </c>
      <c r="D1856" t="s">
        <v>5391</v>
      </c>
      <c r="E1856" t="s">
        <v>64</v>
      </c>
      <c r="F1856" t="s">
        <v>53</v>
      </c>
      <c r="G1856" t="s">
        <v>177</v>
      </c>
      <c r="H1856" t="s">
        <v>54</v>
      </c>
      <c r="I1856" t="s">
        <v>6954</v>
      </c>
      <c r="J1856" t="s">
        <v>56</v>
      </c>
      <c r="K1856" t="s">
        <v>56</v>
      </c>
      <c r="L1856" t="s">
        <v>39</v>
      </c>
      <c r="M1856" t="s">
        <v>38</v>
      </c>
      <c r="N1856" t="s">
        <v>38</v>
      </c>
      <c r="O1856" t="s">
        <v>39</v>
      </c>
      <c r="P1856" t="s">
        <v>38</v>
      </c>
      <c r="Q1856" t="s">
        <v>38</v>
      </c>
      <c r="R1856" t="s">
        <v>39</v>
      </c>
      <c r="S1856" t="s">
        <v>41</v>
      </c>
      <c r="T1856" t="s">
        <v>6930</v>
      </c>
      <c r="U1856" t="s">
        <v>6931</v>
      </c>
      <c r="V1856" t="s">
        <v>6450</v>
      </c>
      <c r="W1856" t="s">
        <v>6932</v>
      </c>
      <c r="X1856" t="s">
        <v>46</v>
      </c>
      <c r="AC1856">
        <f>COUNTIF(C:C,QLKV_gui_ket_qua_ra_soat[[#This Row],[Mã điểm bán]])</f>
        <v>1</v>
      </c>
    </row>
    <row r="1857" spans="1:29" x14ac:dyDescent="0.45">
      <c r="A1857" t="s">
        <v>6444</v>
      </c>
      <c r="B1857">
        <v>178</v>
      </c>
      <c r="C1857" t="s">
        <v>6989</v>
      </c>
      <c r="D1857" t="s">
        <v>6990</v>
      </c>
      <c r="E1857" t="s">
        <v>223</v>
      </c>
      <c r="F1857" t="s">
        <v>166</v>
      </c>
      <c r="G1857" t="s">
        <v>34</v>
      </c>
      <c r="H1857" t="s">
        <v>356</v>
      </c>
      <c r="J1857" t="s">
        <v>37</v>
      </c>
      <c r="K1857" t="s">
        <v>56</v>
      </c>
      <c r="L1857" t="s">
        <v>39</v>
      </c>
      <c r="M1857" t="s">
        <v>56</v>
      </c>
      <c r="N1857" t="s">
        <v>56</v>
      </c>
      <c r="O1857" t="s">
        <v>39</v>
      </c>
      <c r="P1857" t="s">
        <v>56</v>
      </c>
      <c r="Q1857" t="s">
        <v>56</v>
      </c>
      <c r="R1857" t="s">
        <v>39</v>
      </c>
      <c r="S1857" t="s">
        <v>41</v>
      </c>
      <c r="T1857" t="s">
        <v>6991</v>
      </c>
      <c r="U1857" t="s">
        <v>6992</v>
      </c>
      <c r="V1857" t="s">
        <v>6450</v>
      </c>
      <c r="W1857" t="s">
        <v>6932</v>
      </c>
      <c r="X1857" t="s">
        <v>46</v>
      </c>
      <c r="AC1857">
        <f>COUNTIF(C:C,QLKV_gui_ket_qua_ra_soat[[#This Row],[Mã điểm bán]])</f>
        <v>1</v>
      </c>
    </row>
    <row r="1858" spans="1:29" x14ac:dyDescent="0.45">
      <c r="A1858" t="s">
        <v>6444</v>
      </c>
      <c r="B1858">
        <v>179</v>
      </c>
      <c r="C1858" t="s">
        <v>6993</v>
      </c>
      <c r="D1858" t="s">
        <v>6994</v>
      </c>
      <c r="E1858" t="s">
        <v>6995</v>
      </c>
      <c r="F1858" t="s">
        <v>581</v>
      </c>
      <c r="G1858" t="s">
        <v>34</v>
      </c>
      <c r="H1858" t="s">
        <v>1929</v>
      </c>
      <c r="J1858" t="s">
        <v>56</v>
      </c>
      <c r="K1858" t="s">
        <v>56</v>
      </c>
      <c r="L1858" t="s">
        <v>39</v>
      </c>
      <c r="M1858" t="s">
        <v>56</v>
      </c>
      <c r="N1858" t="s">
        <v>56</v>
      </c>
      <c r="O1858" t="s">
        <v>39</v>
      </c>
      <c r="P1858" t="s">
        <v>37</v>
      </c>
      <c r="Q1858" t="s">
        <v>56</v>
      </c>
      <c r="R1858" t="s">
        <v>39</v>
      </c>
      <c r="S1858" t="s">
        <v>41</v>
      </c>
      <c r="T1858" t="s">
        <v>6991</v>
      </c>
      <c r="U1858" t="s">
        <v>6992</v>
      </c>
      <c r="V1858" t="s">
        <v>6450</v>
      </c>
      <c r="W1858" t="s">
        <v>6932</v>
      </c>
      <c r="Y1858" t="s">
        <v>46</v>
      </c>
      <c r="AC1858">
        <f>COUNTIF(C:C,QLKV_gui_ket_qua_ra_soat[[#This Row],[Mã điểm bán]])</f>
        <v>1</v>
      </c>
    </row>
    <row r="1859" spans="1:29" x14ac:dyDescent="0.45">
      <c r="A1859" t="s">
        <v>6444</v>
      </c>
      <c r="B1859">
        <v>180</v>
      </c>
      <c r="C1859" t="s">
        <v>6996</v>
      </c>
      <c r="D1859" t="s">
        <v>6997</v>
      </c>
      <c r="E1859" t="s">
        <v>421</v>
      </c>
      <c r="F1859" t="s">
        <v>401</v>
      </c>
      <c r="G1859" t="s">
        <v>177</v>
      </c>
      <c r="H1859" t="s">
        <v>54</v>
      </c>
      <c r="I1859" t="s">
        <v>6935</v>
      </c>
      <c r="J1859" t="s">
        <v>56</v>
      </c>
      <c r="K1859" t="s">
        <v>56</v>
      </c>
      <c r="L1859" t="s">
        <v>39</v>
      </c>
      <c r="M1859" t="s">
        <v>38</v>
      </c>
      <c r="N1859" t="s">
        <v>38</v>
      </c>
      <c r="O1859" t="s">
        <v>39</v>
      </c>
      <c r="P1859" t="s">
        <v>38</v>
      </c>
      <c r="Q1859" t="s">
        <v>38</v>
      </c>
      <c r="R1859" t="s">
        <v>39</v>
      </c>
      <c r="S1859" t="s">
        <v>41</v>
      </c>
      <c r="T1859" t="s">
        <v>6930</v>
      </c>
      <c r="U1859" t="s">
        <v>6931</v>
      </c>
      <c r="V1859" t="s">
        <v>6450</v>
      </c>
      <c r="W1859" t="s">
        <v>6932</v>
      </c>
      <c r="X1859" t="s">
        <v>46</v>
      </c>
      <c r="AC1859">
        <f>COUNTIF(C:C,QLKV_gui_ket_qua_ra_soat[[#This Row],[Mã điểm bán]])</f>
        <v>1</v>
      </c>
    </row>
    <row r="1860" spans="1:29" x14ac:dyDescent="0.45">
      <c r="A1860" t="s">
        <v>6444</v>
      </c>
      <c r="B1860">
        <v>181</v>
      </c>
      <c r="C1860" t="s">
        <v>6998</v>
      </c>
      <c r="D1860" t="s">
        <v>1822</v>
      </c>
      <c r="E1860" t="s">
        <v>176</v>
      </c>
      <c r="F1860" t="s">
        <v>115</v>
      </c>
      <c r="G1860" t="s">
        <v>177</v>
      </c>
      <c r="H1860" t="s">
        <v>54</v>
      </c>
      <c r="I1860" t="s">
        <v>6946</v>
      </c>
      <c r="J1860" t="s">
        <v>56</v>
      </c>
      <c r="K1860" t="s">
        <v>56</v>
      </c>
      <c r="L1860" t="s">
        <v>39</v>
      </c>
      <c r="M1860" t="s">
        <v>37</v>
      </c>
      <c r="N1860" t="s">
        <v>37</v>
      </c>
      <c r="O1860" t="s">
        <v>39</v>
      </c>
      <c r="P1860" t="s">
        <v>38</v>
      </c>
      <c r="Q1860" t="s">
        <v>38</v>
      </c>
      <c r="R1860" t="s">
        <v>39</v>
      </c>
      <c r="S1860" t="s">
        <v>41</v>
      </c>
      <c r="T1860" t="s">
        <v>6930</v>
      </c>
      <c r="U1860" t="s">
        <v>6931</v>
      </c>
      <c r="V1860" t="s">
        <v>6450</v>
      </c>
      <c r="W1860" t="s">
        <v>6932</v>
      </c>
      <c r="Z1860" t="s">
        <v>46</v>
      </c>
      <c r="AA1860" t="s">
        <v>6951</v>
      </c>
      <c r="AB1860" t="s">
        <v>3109</v>
      </c>
      <c r="AC1860">
        <f>COUNTIF(C:C,QLKV_gui_ket_qua_ra_soat[[#This Row],[Mã điểm bán]])</f>
        <v>1</v>
      </c>
    </row>
    <row r="1861" spans="1:29" x14ac:dyDescent="0.45">
      <c r="A1861" t="s">
        <v>6444</v>
      </c>
      <c r="B1861">
        <v>182</v>
      </c>
      <c r="C1861" t="s">
        <v>6999</v>
      </c>
      <c r="D1861" t="s">
        <v>3160</v>
      </c>
      <c r="E1861" t="s">
        <v>7000</v>
      </c>
      <c r="F1861" t="s">
        <v>5776</v>
      </c>
      <c r="G1861" t="s">
        <v>177</v>
      </c>
      <c r="H1861" t="s">
        <v>1483</v>
      </c>
      <c r="I1861" t="s">
        <v>7001</v>
      </c>
      <c r="J1861" t="s">
        <v>56</v>
      </c>
      <c r="K1861" t="s">
        <v>56</v>
      </c>
      <c r="L1861" t="s">
        <v>39</v>
      </c>
      <c r="M1861" t="s">
        <v>37</v>
      </c>
      <c r="N1861" t="s">
        <v>37</v>
      </c>
      <c r="O1861" t="s">
        <v>39</v>
      </c>
      <c r="P1861" t="s">
        <v>38</v>
      </c>
      <c r="Q1861" t="s">
        <v>38</v>
      </c>
      <c r="R1861" t="s">
        <v>39</v>
      </c>
      <c r="S1861" t="s">
        <v>41</v>
      </c>
      <c r="T1861" t="s">
        <v>6930</v>
      </c>
      <c r="U1861" t="s">
        <v>6931</v>
      </c>
      <c r="V1861" t="s">
        <v>6450</v>
      </c>
      <c r="W1861" t="s">
        <v>6932</v>
      </c>
      <c r="X1861" t="s">
        <v>46</v>
      </c>
      <c r="AC1861">
        <f>COUNTIF(C:C,QLKV_gui_ket_qua_ra_soat[[#This Row],[Mã điểm bán]])</f>
        <v>1</v>
      </c>
    </row>
    <row r="1862" spans="1:29" x14ac:dyDescent="0.45">
      <c r="A1862" t="s">
        <v>6444</v>
      </c>
      <c r="B1862">
        <v>183</v>
      </c>
      <c r="C1862" t="s">
        <v>7002</v>
      </c>
      <c r="D1862" t="s">
        <v>7003</v>
      </c>
      <c r="E1862" t="s">
        <v>7004</v>
      </c>
      <c r="F1862" t="s">
        <v>1914</v>
      </c>
      <c r="G1862" t="s">
        <v>34</v>
      </c>
      <c r="H1862" t="s">
        <v>356</v>
      </c>
      <c r="J1862" t="s">
        <v>56</v>
      </c>
      <c r="K1862" t="s">
        <v>37</v>
      </c>
      <c r="L1862" t="s">
        <v>39</v>
      </c>
      <c r="M1862" t="s">
        <v>56</v>
      </c>
      <c r="N1862" t="s">
        <v>56</v>
      </c>
      <c r="O1862" t="s">
        <v>39</v>
      </c>
      <c r="P1862" t="s">
        <v>37</v>
      </c>
      <c r="Q1862" t="s">
        <v>56</v>
      </c>
      <c r="R1862" t="s">
        <v>39</v>
      </c>
      <c r="S1862" t="s">
        <v>41</v>
      </c>
      <c r="T1862" t="s">
        <v>6991</v>
      </c>
      <c r="U1862" t="s">
        <v>6992</v>
      </c>
      <c r="V1862" t="s">
        <v>6450</v>
      </c>
      <c r="W1862" t="s">
        <v>6932</v>
      </c>
      <c r="Z1862" t="s">
        <v>46</v>
      </c>
      <c r="AA1862" t="s">
        <v>6457</v>
      </c>
      <c r="AB1862" t="s">
        <v>4223</v>
      </c>
      <c r="AC1862">
        <f>COUNTIF(C:C,QLKV_gui_ket_qua_ra_soat[[#This Row],[Mã điểm bán]])</f>
        <v>1</v>
      </c>
    </row>
    <row r="1863" spans="1:29" x14ac:dyDescent="0.45">
      <c r="A1863" t="s">
        <v>6444</v>
      </c>
      <c r="B1863">
        <v>184</v>
      </c>
      <c r="C1863" t="s">
        <v>7005</v>
      </c>
      <c r="D1863" t="s">
        <v>7006</v>
      </c>
      <c r="E1863" t="s">
        <v>407</v>
      </c>
      <c r="F1863" t="s">
        <v>5776</v>
      </c>
      <c r="G1863" t="s">
        <v>177</v>
      </c>
      <c r="H1863" t="s">
        <v>565</v>
      </c>
      <c r="I1863" t="s">
        <v>7007</v>
      </c>
      <c r="J1863" t="s">
        <v>56</v>
      </c>
      <c r="K1863" t="s">
        <v>56</v>
      </c>
      <c r="L1863" t="s">
        <v>39</v>
      </c>
      <c r="M1863" t="s">
        <v>37</v>
      </c>
      <c r="N1863" t="s">
        <v>37</v>
      </c>
      <c r="O1863" t="s">
        <v>39</v>
      </c>
      <c r="P1863" t="s">
        <v>38</v>
      </c>
      <c r="Q1863" t="s">
        <v>38</v>
      </c>
      <c r="R1863" t="s">
        <v>39</v>
      </c>
      <c r="S1863" t="s">
        <v>41</v>
      </c>
      <c r="T1863" t="s">
        <v>6930</v>
      </c>
      <c r="U1863" t="s">
        <v>6931</v>
      </c>
      <c r="V1863" t="s">
        <v>6450</v>
      </c>
      <c r="W1863" t="s">
        <v>6932</v>
      </c>
      <c r="X1863" t="s">
        <v>46</v>
      </c>
      <c r="AC1863">
        <f>COUNTIF(C:C,QLKV_gui_ket_qua_ra_soat[[#This Row],[Mã điểm bán]])</f>
        <v>1</v>
      </c>
    </row>
    <row r="1864" spans="1:29" x14ac:dyDescent="0.45">
      <c r="A1864" t="s">
        <v>6444</v>
      </c>
      <c r="B1864">
        <v>185</v>
      </c>
      <c r="C1864" t="s">
        <v>7008</v>
      </c>
      <c r="D1864" t="s">
        <v>7009</v>
      </c>
      <c r="E1864" t="s">
        <v>7000</v>
      </c>
      <c r="F1864" t="s">
        <v>115</v>
      </c>
      <c r="G1864" t="s">
        <v>177</v>
      </c>
      <c r="H1864" t="s">
        <v>171</v>
      </c>
      <c r="I1864" t="s">
        <v>6946</v>
      </c>
      <c r="J1864" t="s">
        <v>56</v>
      </c>
      <c r="K1864" t="s">
        <v>56</v>
      </c>
      <c r="L1864" t="s">
        <v>39</v>
      </c>
      <c r="M1864" t="s">
        <v>38</v>
      </c>
      <c r="N1864" t="s">
        <v>38</v>
      </c>
      <c r="O1864" t="s">
        <v>39</v>
      </c>
      <c r="P1864" t="s">
        <v>38</v>
      </c>
      <c r="Q1864" t="s">
        <v>38</v>
      </c>
      <c r="R1864" t="s">
        <v>39</v>
      </c>
      <c r="S1864" t="s">
        <v>41</v>
      </c>
      <c r="T1864" t="s">
        <v>6930</v>
      </c>
      <c r="U1864" t="s">
        <v>6931</v>
      </c>
      <c r="V1864" t="s">
        <v>6450</v>
      </c>
      <c r="W1864" t="s">
        <v>6932</v>
      </c>
      <c r="Y1864" t="s">
        <v>46</v>
      </c>
      <c r="AB1864" t="s">
        <v>4223</v>
      </c>
      <c r="AC1864">
        <f>COUNTIF(C:C,QLKV_gui_ket_qua_ra_soat[[#This Row],[Mã điểm bán]])</f>
        <v>1</v>
      </c>
    </row>
    <row r="1865" spans="1:29" x14ac:dyDescent="0.45">
      <c r="A1865" t="s">
        <v>6444</v>
      </c>
      <c r="B1865">
        <v>186</v>
      </c>
      <c r="C1865" t="s">
        <v>7010</v>
      </c>
      <c r="D1865" t="s">
        <v>196</v>
      </c>
      <c r="E1865" t="s">
        <v>92</v>
      </c>
      <c r="F1865" t="s">
        <v>115</v>
      </c>
      <c r="G1865" t="s">
        <v>177</v>
      </c>
      <c r="H1865" t="s">
        <v>2294</v>
      </c>
      <c r="I1865" t="s">
        <v>6946</v>
      </c>
      <c r="J1865" t="s">
        <v>56</v>
      </c>
      <c r="K1865" t="s">
        <v>56</v>
      </c>
      <c r="L1865" t="s">
        <v>39</v>
      </c>
      <c r="M1865" t="s">
        <v>38</v>
      </c>
      <c r="N1865" t="s">
        <v>38</v>
      </c>
      <c r="O1865" t="s">
        <v>39</v>
      </c>
      <c r="P1865" t="s">
        <v>38</v>
      </c>
      <c r="Q1865" t="s">
        <v>38</v>
      </c>
      <c r="R1865" t="s">
        <v>39</v>
      </c>
      <c r="S1865" t="s">
        <v>41</v>
      </c>
      <c r="T1865" t="s">
        <v>6930</v>
      </c>
      <c r="U1865" t="s">
        <v>6931</v>
      </c>
      <c r="V1865" t="s">
        <v>6450</v>
      </c>
      <c r="W1865" t="s">
        <v>6932</v>
      </c>
      <c r="Z1865" t="s">
        <v>46</v>
      </c>
      <c r="AA1865" t="s">
        <v>6951</v>
      </c>
      <c r="AC1865">
        <f>COUNTIF(C:C,QLKV_gui_ket_qua_ra_soat[[#This Row],[Mã điểm bán]])</f>
        <v>1</v>
      </c>
    </row>
    <row r="1866" spans="1:29" x14ac:dyDescent="0.45">
      <c r="A1866" t="s">
        <v>6444</v>
      </c>
      <c r="B1866">
        <v>187</v>
      </c>
      <c r="C1866" t="s">
        <v>7011</v>
      </c>
      <c r="D1866" t="s">
        <v>7012</v>
      </c>
      <c r="E1866" t="s">
        <v>113</v>
      </c>
      <c r="F1866" t="s">
        <v>401</v>
      </c>
      <c r="G1866" t="s">
        <v>177</v>
      </c>
      <c r="H1866" t="s">
        <v>4115</v>
      </c>
      <c r="I1866" t="s">
        <v>6935</v>
      </c>
      <c r="J1866" t="s">
        <v>56</v>
      </c>
      <c r="K1866" t="s">
        <v>56</v>
      </c>
      <c r="L1866" t="s">
        <v>39</v>
      </c>
      <c r="M1866" t="s">
        <v>38</v>
      </c>
      <c r="N1866" t="s">
        <v>37</v>
      </c>
      <c r="O1866" t="s">
        <v>39</v>
      </c>
      <c r="P1866" t="s">
        <v>38</v>
      </c>
      <c r="Q1866" t="s">
        <v>38</v>
      </c>
      <c r="R1866" t="s">
        <v>39</v>
      </c>
      <c r="S1866" t="s">
        <v>41</v>
      </c>
      <c r="T1866" t="s">
        <v>6930</v>
      </c>
      <c r="U1866" t="s">
        <v>6931</v>
      </c>
      <c r="V1866" t="s">
        <v>6450</v>
      </c>
      <c r="W1866" t="s">
        <v>6932</v>
      </c>
      <c r="Z1866" t="s">
        <v>46</v>
      </c>
      <c r="AA1866" t="s">
        <v>6457</v>
      </c>
      <c r="AB1866" t="s">
        <v>4223</v>
      </c>
      <c r="AC1866">
        <f>COUNTIF(C:C,QLKV_gui_ket_qua_ra_soat[[#This Row],[Mã điểm bán]])</f>
        <v>1</v>
      </c>
    </row>
    <row r="1867" spans="1:29" x14ac:dyDescent="0.45">
      <c r="A1867" t="s">
        <v>6444</v>
      </c>
      <c r="B1867">
        <v>188</v>
      </c>
      <c r="C1867" t="s">
        <v>7013</v>
      </c>
      <c r="D1867" t="s">
        <v>7014</v>
      </c>
      <c r="E1867" t="s">
        <v>7000</v>
      </c>
      <c r="F1867" t="s">
        <v>401</v>
      </c>
      <c r="G1867" t="s">
        <v>177</v>
      </c>
      <c r="H1867" t="s">
        <v>100</v>
      </c>
      <c r="I1867" t="s">
        <v>6946</v>
      </c>
      <c r="J1867" t="s">
        <v>56</v>
      </c>
      <c r="K1867" t="s">
        <v>56</v>
      </c>
      <c r="L1867" t="s">
        <v>39</v>
      </c>
      <c r="M1867" t="s">
        <v>38</v>
      </c>
      <c r="N1867" t="s">
        <v>38</v>
      </c>
      <c r="O1867" t="s">
        <v>39</v>
      </c>
      <c r="P1867" t="s">
        <v>38</v>
      </c>
      <c r="Q1867" t="s">
        <v>38</v>
      </c>
      <c r="R1867" t="s">
        <v>39</v>
      </c>
      <c r="S1867" t="s">
        <v>41</v>
      </c>
      <c r="T1867" t="s">
        <v>6930</v>
      </c>
      <c r="U1867" t="s">
        <v>6931</v>
      </c>
      <c r="V1867" t="s">
        <v>6450</v>
      </c>
      <c r="W1867" t="s">
        <v>6932</v>
      </c>
      <c r="Y1867" t="s">
        <v>46</v>
      </c>
      <c r="AC1867">
        <f>COUNTIF(C:C,QLKV_gui_ket_qua_ra_soat[[#This Row],[Mã điểm bán]])</f>
        <v>1</v>
      </c>
    </row>
    <row r="1868" spans="1:29" x14ac:dyDescent="0.45">
      <c r="A1868" t="s">
        <v>6444</v>
      </c>
      <c r="B1868">
        <v>189</v>
      </c>
      <c r="C1868" t="s">
        <v>7015</v>
      </c>
      <c r="D1868" t="s">
        <v>7016</v>
      </c>
      <c r="E1868" t="s">
        <v>190</v>
      </c>
      <c r="F1868" t="s">
        <v>401</v>
      </c>
      <c r="G1868" t="s">
        <v>177</v>
      </c>
      <c r="H1868" t="s">
        <v>708</v>
      </c>
      <c r="I1868" t="s">
        <v>6935</v>
      </c>
      <c r="J1868" t="s">
        <v>56</v>
      </c>
      <c r="K1868" t="s">
        <v>56</v>
      </c>
      <c r="L1868" t="s">
        <v>39</v>
      </c>
      <c r="M1868" t="s">
        <v>38</v>
      </c>
      <c r="N1868" t="s">
        <v>38</v>
      </c>
      <c r="O1868" t="s">
        <v>39</v>
      </c>
      <c r="P1868" t="s">
        <v>38</v>
      </c>
      <c r="Q1868" t="s">
        <v>38</v>
      </c>
      <c r="R1868" t="s">
        <v>39</v>
      </c>
      <c r="S1868" t="s">
        <v>41</v>
      </c>
      <c r="T1868" t="s">
        <v>6930</v>
      </c>
      <c r="U1868" t="s">
        <v>6931</v>
      </c>
      <c r="V1868" t="s">
        <v>6450</v>
      </c>
      <c r="W1868" t="s">
        <v>6932</v>
      </c>
      <c r="X1868" t="s">
        <v>46</v>
      </c>
      <c r="AB1868" t="s">
        <v>3109</v>
      </c>
      <c r="AC1868">
        <f>COUNTIF(C:C,QLKV_gui_ket_qua_ra_soat[[#This Row],[Mã điểm bán]])</f>
        <v>1</v>
      </c>
    </row>
    <row r="1869" spans="1:29" x14ac:dyDescent="0.45">
      <c r="A1869" t="s">
        <v>6444</v>
      </c>
      <c r="B1869">
        <v>190</v>
      </c>
      <c r="C1869" t="s">
        <v>7017</v>
      </c>
      <c r="D1869" t="s">
        <v>7018</v>
      </c>
      <c r="E1869" t="s">
        <v>989</v>
      </c>
      <c r="F1869" t="s">
        <v>401</v>
      </c>
      <c r="G1869" t="s">
        <v>177</v>
      </c>
      <c r="H1869" t="s">
        <v>54</v>
      </c>
      <c r="I1869" t="s">
        <v>6935</v>
      </c>
      <c r="J1869" t="s">
        <v>56</v>
      </c>
      <c r="K1869" t="s">
        <v>56</v>
      </c>
      <c r="L1869" t="s">
        <v>39</v>
      </c>
      <c r="M1869" t="s">
        <v>37</v>
      </c>
      <c r="N1869" t="s">
        <v>37</v>
      </c>
      <c r="O1869" t="s">
        <v>39</v>
      </c>
      <c r="P1869" t="s">
        <v>38</v>
      </c>
      <c r="Q1869" t="s">
        <v>38</v>
      </c>
      <c r="R1869" t="s">
        <v>39</v>
      </c>
      <c r="S1869" t="s">
        <v>41</v>
      </c>
      <c r="T1869" t="s">
        <v>6930</v>
      </c>
      <c r="U1869" t="s">
        <v>6931</v>
      </c>
      <c r="V1869" t="s">
        <v>6450</v>
      </c>
      <c r="W1869" t="s">
        <v>6932</v>
      </c>
      <c r="X1869" t="s">
        <v>46</v>
      </c>
      <c r="AC1869">
        <f>COUNTIF(C:C,QLKV_gui_ket_qua_ra_soat[[#This Row],[Mã điểm bán]])</f>
        <v>1</v>
      </c>
    </row>
    <row r="1870" spans="1:29" x14ac:dyDescent="0.45">
      <c r="A1870" t="s">
        <v>6444</v>
      </c>
      <c r="B1870">
        <v>191</v>
      </c>
      <c r="C1870" t="s">
        <v>7019</v>
      </c>
      <c r="D1870" t="s">
        <v>7020</v>
      </c>
      <c r="E1870" t="s">
        <v>98</v>
      </c>
      <c r="F1870" t="s">
        <v>401</v>
      </c>
      <c r="G1870" t="s">
        <v>177</v>
      </c>
      <c r="H1870" t="s">
        <v>350</v>
      </c>
      <c r="I1870" t="s">
        <v>6935</v>
      </c>
      <c r="J1870" t="s">
        <v>56</v>
      </c>
      <c r="K1870" t="s">
        <v>56</v>
      </c>
      <c r="L1870" t="s">
        <v>39</v>
      </c>
      <c r="M1870" t="s">
        <v>37</v>
      </c>
      <c r="N1870" t="s">
        <v>37</v>
      </c>
      <c r="O1870" t="s">
        <v>39</v>
      </c>
      <c r="P1870" t="s">
        <v>38</v>
      </c>
      <c r="Q1870" t="s">
        <v>38</v>
      </c>
      <c r="R1870" t="s">
        <v>39</v>
      </c>
      <c r="S1870" t="s">
        <v>41</v>
      </c>
      <c r="T1870" t="s">
        <v>6930</v>
      </c>
      <c r="U1870" t="s">
        <v>6931</v>
      </c>
      <c r="V1870" t="s">
        <v>6450</v>
      </c>
      <c r="W1870" t="s">
        <v>6932</v>
      </c>
      <c r="Z1870" t="s">
        <v>46</v>
      </c>
      <c r="AA1870" t="s">
        <v>6457</v>
      </c>
      <c r="AB1870" t="s">
        <v>4223</v>
      </c>
      <c r="AC1870">
        <f>COUNTIF(C:C,QLKV_gui_ket_qua_ra_soat[[#This Row],[Mã điểm bán]])</f>
        <v>1</v>
      </c>
    </row>
    <row r="1871" spans="1:29" x14ac:dyDescent="0.45">
      <c r="A1871" t="s">
        <v>6444</v>
      </c>
      <c r="B1871">
        <v>192</v>
      </c>
      <c r="C1871" t="s">
        <v>7021</v>
      </c>
      <c r="D1871" t="s">
        <v>7022</v>
      </c>
      <c r="E1871" t="s">
        <v>69</v>
      </c>
      <c r="F1871" t="s">
        <v>401</v>
      </c>
      <c r="G1871" t="s">
        <v>177</v>
      </c>
      <c r="H1871" t="s">
        <v>54</v>
      </c>
      <c r="I1871" t="s">
        <v>6935</v>
      </c>
      <c r="J1871" t="s">
        <v>56</v>
      </c>
      <c r="K1871" t="s">
        <v>56</v>
      </c>
      <c r="L1871" t="s">
        <v>39</v>
      </c>
      <c r="M1871" t="s">
        <v>37</v>
      </c>
      <c r="N1871" t="s">
        <v>37</v>
      </c>
      <c r="O1871" t="s">
        <v>39</v>
      </c>
      <c r="P1871" t="s">
        <v>37</v>
      </c>
      <c r="Q1871" t="s">
        <v>37</v>
      </c>
      <c r="R1871" t="s">
        <v>39</v>
      </c>
      <c r="S1871" t="s">
        <v>41</v>
      </c>
      <c r="T1871" t="s">
        <v>6930</v>
      </c>
      <c r="U1871" t="s">
        <v>6931</v>
      </c>
      <c r="V1871" t="s">
        <v>6450</v>
      </c>
      <c r="W1871" t="s">
        <v>6932</v>
      </c>
      <c r="Z1871" t="s">
        <v>46</v>
      </c>
      <c r="AA1871" t="s">
        <v>6457</v>
      </c>
      <c r="AC1871">
        <f>COUNTIF(C:C,QLKV_gui_ket_qua_ra_soat[[#This Row],[Mã điểm bán]])</f>
        <v>1</v>
      </c>
    </row>
    <row r="1872" spans="1:29" x14ac:dyDescent="0.45">
      <c r="A1872" t="s">
        <v>6444</v>
      </c>
      <c r="B1872">
        <v>193</v>
      </c>
      <c r="C1872" t="s">
        <v>7023</v>
      </c>
      <c r="D1872" t="s">
        <v>7024</v>
      </c>
      <c r="E1872" t="s">
        <v>7000</v>
      </c>
      <c r="F1872" t="s">
        <v>426</v>
      </c>
      <c r="G1872" t="s">
        <v>177</v>
      </c>
      <c r="H1872" t="s">
        <v>54</v>
      </c>
      <c r="I1872" t="s">
        <v>6946</v>
      </c>
      <c r="J1872" t="s">
        <v>775</v>
      </c>
      <c r="K1872" t="s">
        <v>775</v>
      </c>
      <c r="L1872" t="s">
        <v>39</v>
      </c>
      <c r="M1872" t="s">
        <v>37</v>
      </c>
      <c r="N1872" t="s">
        <v>37</v>
      </c>
      <c r="O1872" t="s">
        <v>39</v>
      </c>
      <c r="P1872" t="s">
        <v>37</v>
      </c>
      <c r="Q1872" t="s">
        <v>37</v>
      </c>
      <c r="R1872" t="s">
        <v>39</v>
      </c>
      <c r="S1872" t="s">
        <v>41</v>
      </c>
      <c r="T1872" t="s">
        <v>6930</v>
      </c>
      <c r="U1872" t="s">
        <v>6931</v>
      </c>
      <c r="V1872" t="s">
        <v>6450</v>
      </c>
      <c r="W1872" t="s">
        <v>6932</v>
      </c>
      <c r="Z1872" t="s">
        <v>46</v>
      </c>
      <c r="AA1872" t="s">
        <v>6951</v>
      </c>
      <c r="AC1872">
        <f>COUNTIF(C:C,QLKV_gui_ket_qua_ra_soat[[#This Row],[Mã điểm bán]])</f>
        <v>1</v>
      </c>
    </row>
    <row r="1873" spans="1:29" x14ac:dyDescent="0.45">
      <c r="A1873" t="s">
        <v>6444</v>
      </c>
      <c r="B1873">
        <v>194</v>
      </c>
      <c r="C1873" t="s">
        <v>7025</v>
      </c>
      <c r="D1873" t="s">
        <v>7026</v>
      </c>
      <c r="E1873" t="s">
        <v>2702</v>
      </c>
      <c r="F1873" t="s">
        <v>401</v>
      </c>
      <c r="G1873" t="s">
        <v>177</v>
      </c>
      <c r="H1873" t="s">
        <v>171</v>
      </c>
      <c r="I1873" t="s">
        <v>6935</v>
      </c>
      <c r="J1873" t="s">
        <v>775</v>
      </c>
      <c r="K1873" t="s">
        <v>775</v>
      </c>
      <c r="L1873" t="s">
        <v>39</v>
      </c>
      <c r="M1873" t="s">
        <v>37</v>
      </c>
      <c r="N1873" t="s">
        <v>37</v>
      </c>
      <c r="O1873" t="s">
        <v>39</v>
      </c>
      <c r="P1873" t="s">
        <v>38</v>
      </c>
      <c r="Q1873" t="s">
        <v>38</v>
      </c>
      <c r="R1873" t="s">
        <v>39</v>
      </c>
      <c r="S1873" t="s">
        <v>41</v>
      </c>
      <c r="T1873" t="s">
        <v>6930</v>
      </c>
      <c r="U1873" t="s">
        <v>6931</v>
      </c>
      <c r="V1873" t="s">
        <v>6450</v>
      </c>
      <c r="W1873" t="s">
        <v>6932</v>
      </c>
      <c r="X1873" t="s">
        <v>46</v>
      </c>
      <c r="AC1873">
        <f>COUNTIF(C:C,QLKV_gui_ket_qua_ra_soat[[#This Row],[Mã điểm bán]])</f>
        <v>1</v>
      </c>
    </row>
    <row r="1874" spans="1:29" x14ac:dyDescent="0.45">
      <c r="A1874" t="s">
        <v>6444</v>
      </c>
      <c r="B1874">
        <v>195</v>
      </c>
      <c r="C1874" t="s">
        <v>7027</v>
      </c>
      <c r="D1874" t="s">
        <v>196</v>
      </c>
      <c r="E1874" t="s">
        <v>7000</v>
      </c>
      <c r="F1874" t="s">
        <v>5829</v>
      </c>
      <c r="G1874" t="s">
        <v>177</v>
      </c>
      <c r="H1874" t="s">
        <v>54</v>
      </c>
      <c r="I1874" t="s">
        <v>7001</v>
      </c>
      <c r="J1874" t="s">
        <v>56</v>
      </c>
      <c r="K1874" t="s">
        <v>56</v>
      </c>
      <c r="L1874" t="s">
        <v>39</v>
      </c>
      <c r="M1874" t="s">
        <v>37</v>
      </c>
      <c r="N1874" t="s">
        <v>37</v>
      </c>
      <c r="O1874" t="s">
        <v>39</v>
      </c>
      <c r="P1874" t="s">
        <v>38</v>
      </c>
      <c r="Q1874" t="s">
        <v>38</v>
      </c>
      <c r="R1874" t="s">
        <v>39</v>
      </c>
      <c r="S1874" t="s">
        <v>41</v>
      </c>
      <c r="T1874" t="s">
        <v>6930</v>
      </c>
      <c r="U1874" t="s">
        <v>6931</v>
      </c>
      <c r="V1874" t="s">
        <v>6450</v>
      </c>
      <c r="W1874" t="s">
        <v>6932</v>
      </c>
      <c r="X1874" t="s">
        <v>46</v>
      </c>
      <c r="AC1874">
        <f>COUNTIF(C:C,QLKV_gui_ket_qua_ra_soat[[#This Row],[Mã điểm bán]])</f>
        <v>1</v>
      </c>
    </row>
    <row r="1875" spans="1:29" x14ac:dyDescent="0.45">
      <c r="A1875" t="s">
        <v>6444</v>
      </c>
      <c r="B1875">
        <v>196</v>
      </c>
      <c r="C1875" t="s">
        <v>7028</v>
      </c>
      <c r="D1875" t="s">
        <v>7029</v>
      </c>
      <c r="E1875" t="s">
        <v>109</v>
      </c>
      <c r="F1875" t="s">
        <v>478</v>
      </c>
      <c r="G1875" t="s">
        <v>177</v>
      </c>
      <c r="H1875" t="s">
        <v>54</v>
      </c>
      <c r="I1875" t="s">
        <v>7030</v>
      </c>
      <c r="J1875" t="s">
        <v>56</v>
      </c>
      <c r="K1875" t="s">
        <v>56</v>
      </c>
      <c r="L1875" t="s">
        <v>39</v>
      </c>
      <c r="M1875" t="s">
        <v>37</v>
      </c>
      <c r="N1875" t="s">
        <v>37</v>
      </c>
      <c r="O1875" t="s">
        <v>39</v>
      </c>
      <c r="P1875" t="s">
        <v>37</v>
      </c>
      <c r="Q1875" t="s">
        <v>37</v>
      </c>
      <c r="R1875" t="s">
        <v>39</v>
      </c>
      <c r="S1875" t="s">
        <v>41</v>
      </c>
      <c r="T1875" t="s">
        <v>6930</v>
      </c>
      <c r="U1875" t="s">
        <v>6931</v>
      </c>
      <c r="V1875" t="s">
        <v>6450</v>
      </c>
      <c r="W1875" t="s">
        <v>6932</v>
      </c>
      <c r="Z1875" t="s">
        <v>46</v>
      </c>
      <c r="AA1875" t="s">
        <v>6951</v>
      </c>
      <c r="AB1875" t="s">
        <v>3109</v>
      </c>
      <c r="AC1875">
        <f>COUNTIF(C:C,QLKV_gui_ket_qua_ra_soat[[#This Row],[Mã điểm bán]])</f>
        <v>1</v>
      </c>
    </row>
    <row r="1876" spans="1:29" x14ac:dyDescent="0.45">
      <c r="A1876" t="s">
        <v>6444</v>
      </c>
      <c r="B1876">
        <v>197</v>
      </c>
      <c r="C1876" t="s">
        <v>7031</v>
      </c>
      <c r="D1876" t="s">
        <v>7032</v>
      </c>
      <c r="E1876" t="s">
        <v>69</v>
      </c>
      <c r="F1876" t="s">
        <v>401</v>
      </c>
      <c r="G1876" t="s">
        <v>177</v>
      </c>
      <c r="H1876" t="s">
        <v>54</v>
      </c>
      <c r="I1876" t="s">
        <v>6929</v>
      </c>
      <c r="J1876" t="s">
        <v>775</v>
      </c>
      <c r="K1876" t="s">
        <v>775</v>
      </c>
      <c r="L1876" t="s">
        <v>39</v>
      </c>
      <c r="M1876" t="s">
        <v>37</v>
      </c>
      <c r="N1876" t="s">
        <v>37</v>
      </c>
      <c r="O1876" t="s">
        <v>39</v>
      </c>
      <c r="P1876" t="s">
        <v>38</v>
      </c>
      <c r="Q1876" t="s">
        <v>38</v>
      </c>
      <c r="R1876" t="s">
        <v>39</v>
      </c>
      <c r="S1876" t="s">
        <v>41</v>
      </c>
      <c r="T1876" t="s">
        <v>6930</v>
      </c>
      <c r="U1876" t="s">
        <v>6931</v>
      </c>
      <c r="V1876" t="s">
        <v>6450</v>
      </c>
      <c r="W1876" t="s">
        <v>6932</v>
      </c>
      <c r="Z1876" t="s">
        <v>46</v>
      </c>
      <c r="AA1876" t="s">
        <v>6951</v>
      </c>
      <c r="AB1876" t="s">
        <v>3109</v>
      </c>
      <c r="AC1876">
        <f>COUNTIF(C:C,QLKV_gui_ket_qua_ra_soat[[#This Row],[Mã điểm bán]])</f>
        <v>1</v>
      </c>
    </row>
    <row r="1877" spans="1:29" x14ac:dyDescent="0.45">
      <c r="A1877" t="s">
        <v>6444</v>
      </c>
      <c r="B1877">
        <v>198</v>
      </c>
      <c r="C1877" t="s">
        <v>7033</v>
      </c>
      <c r="D1877" t="s">
        <v>7034</v>
      </c>
      <c r="E1877" t="s">
        <v>75</v>
      </c>
      <c r="F1877" t="s">
        <v>166</v>
      </c>
      <c r="G1877" t="s">
        <v>34</v>
      </c>
      <c r="H1877" t="s">
        <v>1648</v>
      </c>
      <c r="I1877" t="s">
        <v>6935</v>
      </c>
      <c r="J1877" t="s">
        <v>56</v>
      </c>
      <c r="K1877" t="s">
        <v>775</v>
      </c>
      <c r="L1877" t="s">
        <v>39</v>
      </c>
      <c r="M1877" t="s">
        <v>56</v>
      </c>
      <c r="N1877" t="s">
        <v>37</v>
      </c>
      <c r="O1877" t="s">
        <v>39</v>
      </c>
      <c r="P1877" t="s">
        <v>38</v>
      </c>
      <c r="Q1877" t="s">
        <v>38</v>
      </c>
      <c r="R1877" t="s">
        <v>39</v>
      </c>
      <c r="S1877" t="s">
        <v>41</v>
      </c>
      <c r="T1877" t="s">
        <v>6930</v>
      </c>
      <c r="U1877" t="s">
        <v>6931</v>
      </c>
      <c r="V1877" t="s">
        <v>6450</v>
      </c>
      <c r="W1877" t="s">
        <v>6932</v>
      </c>
      <c r="Z1877" t="s">
        <v>46</v>
      </c>
      <c r="AA1877" t="s">
        <v>6457</v>
      </c>
      <c r="AB1877" t="s">
        <v>5658</v>
      </c>
      <c r="AC1877">
        <f>COUNTIF(C:C,QLKV_gui_ket_qua_ra_soat[[#This Row],[Mã điểm bán]])</f>
        <v>1</v>
      </c>
    </row>
    <row r="1878" spans="1:29" x14ac:dyDescent="0.45">
      <c r="A1878" t="s">
        <v>6444</v>
      </c>
      <c r="B1878">
        <v>199</v>
      </c>
      <c r="C1878" t="s">
        <v>7035</v>
      </c>
      <c r="D1878" t="s">
        <v>7036</v>
      </c>
      <c r="E1878" t="s">
        <v>223</v>
      </c>
      <c r="F1878" t="s">
        <v>53</v>
      </c>
      <c r="G1878" t="s">
        <v>34</v>
      </c>
      <c r="H1878" t="s">
        <v>1731</v>
      </c>
      <c r="J1878" t="s">
        <v>37</v>
      </c>
      <c r="K1878" t="s">
        <v>56</v>
      </c>
      <c r="L1878" t="s">
        <v>39</v>
      </c>
      <c r="M1878" t="s">
        <v>56</v>
      </c>
      <c r="N1878" t="s">
        <v>56</v>
      </c>
      <c r="O1878" t="s">
        <v>39</v>
      </c>
      <c r="P1878" t="s">
        <v>37</v>
      </c>
      <c r="Q1878" t="s">
        <v>56</v>
      </c>
      <c r="R1878" t="s">
        <v>39</v>
      </c>
      <c r="S1878" t="s">
        <v>41</v>
      </c>
      <c r="T1878" t="s">
        <v>6991</v>
      </c>
      <c r="U1878" t="s">
        <v>6992</v>
      </c>
      <c r="V1878" t="s">
        <v>6450</v>
      </c>
      <c r="W1878" t="s">
        <v>6932</v>
      </c>
      <c r="Z1878" t="s">
        <v>46</v>
      </c>
      <c r="AA1878" t="s">
        <v>6457</v>
      </c>
      <c r="AB1878" t="s">
        <v>3109</v>
      </c>
      <c r="AC1878">
        <f>COUNTIF(C:C,QLKV_gui_ket_qua_ra_soat[[#This Row],[Mã điểm bán]])</f>
        <v>1</v>
      </c>
    </row>
    <row r="1879" spans="1:29" x14ac:dyDescent="0.45">
      <c r="A1879" t="s">
        <v>6444</v>
      </c>
      <c r="B1879">
        <v>200</v>
      </c>
      <c r="C1879" t="s">
        <v>7037</v>
      </c>
      <c r="D1879" t="s">
        <v>7038</v>
      </c>
      <c r="E1879" t="s">
        <v>882</v>
      </c>
      <c r="F1879" t="s">
        <v>166</v>
      </c>
      <c r="G1879" t="s">
        <v>34</v>
      </c>
      <c r="H1879" t="s">
        <v>54</v>
      </c>
      <c r="I1879" t="s">
        <v>144</v>
      </c>
      <c r="J1879" t="s">
        <v>38</v>
      </c>
      <c r="K1879" t="s">
        <v>38</v>
      </c>
      <c r="L1879" t="s">
        <v>40</v>
      </c>
      <c r="M1879" t="s">
        <v>38</v>
      </c>
      <c r="N1879" t="s">
        <v>38</v>
      </c>
      <c r="O1879" t="s">
        <v>40</v>
      </c>
      <c r="P1879" t="s">
        <v>38</v>
      </c>
      <c r="Q1879" t="s">
        <v>38</v>
      </c>
      <c r="R1879" t="s">
        <v>40</v>
      </c>
      <c r="S1879" t="s">
        <v>7039</v>
      </c>
      <c r="T1879" t="s">
        <v>6930</v>
      </c>
      <c r="U1879" t="s">
        <v>6931</v>
      </c>
      <c r="V1879" t="s">
        <v>6450</v>
      </c>
      <c r="W1879" t="s">
        <v>6932</v>
      </c>
      <c r="X1879" t="s">
        <v>46</v>
      </c>
      <c r="AC1879">
        <f>COUNTIF(C:C,QLKV_gui_ket_qua_ra_soat[[#This Row],[Mã điểm bán]])</f>
        <v>1</v>
      </c>
    </row>
    <row r="1880" spans="1:29" x14ac:dyDescent="0.45">
      <c r="A1880" t="s">
        <v>6444</v>
      </c>
      <c r="B1880">
        <v>201</v>
      </c>
      <c r="C1880" t="s">
        <v>7040</v>
      </c>
      <c r="D1880" t="s">
        <v>7041</v>
      </c>
      <c r="E1880" t="s">
        <v>142</v>
      </c>
      <c r="F1880" t="s">
        <v>7042</v>
      </c>
      <c r="G1880" t="s">
        <v>34</v>
      </c>
      <c r="H1880" t="s">
        <v>319</v>
      </c>
      <c r="I1880" t="s">
        <v>7043</v>
      </c>
      <c r="J1880" t="s">
        <v>38</v>
      </c>
      <c r="K1880" t="s">
        <v>37</v>
      </c>
      <c r="L1880" t="s">
        <v>40</v>
      </c>
      <c r="M1880" t="s">
        <v>37</v>
      </c>
      <c r="N1880" t="s">
        <v>37</v>
      </c>
      <c r="O1880" t="s">
        <v>39</v>
      </c>
      <c r="P1880" t="s">
        <v>38</v>
      </c>
      <c r="Q1880" t="s">
        <v>38</v>
      </c>
      <c r="R1880" t="s">
        <v>40</v>
      </c>
      <c r="S1880" t="s">
        <v>7044</v>
      </c>
      <c r="T1880" t="s">
        <v>6930</v>
      </c>
      <c r="U1880" t="s">
        <v>6931</v>
      </c>
      <c r="V1880" t="s">
        <v>6450</v>
      </c>
      <c r="W1880" t="s">
        <v>6932</v>
      </c>
      <c r="Z1880" t="s">
        <v>46</v>
      </c>
      <c r="AA1880" t="s">
        <v>6951</v>
      </c>
      <c r="AB1880" t="s">
        <v>4223</v>
      </c>
      <c r="AC1880">
        <f>COUNTIF(C:C,QLKV_gui_ket_qua_ra_soat[[#This Row],[Mã điểm bán]])</f>
        <v>1</v>
      </c>
    </row>
    <row r="1881" spans="1:29" x14ac:dyDescent="0.45">
      <c r="A1881" t="s">
        <v>6444</v>
      </c>
      <c r="B1881">
        <v>202</v>
      </c>
      <c r="C1881" t="s">
        <v>7045</v>
      </c>
      <c r="D1881" t="s">
        <v>7046</v>
      </c>
      <c r="E1881" t="s">
        <v>291</v>
      </c>
      <c r="F1881" t="s">
        <v>7047</v>
      </c>
      <c r="G1881" t="s">
        <v>34</v>
      </c>
      <c r="H1881" t="s">
        <v>5951</v>
      </c>
      <c r="I1881" t="s">
        <v>6544</v>
      </c>
      <c r="J1881" t="s">
        <v>37</v>
      </c>
      <c r="K1881" t="s">
        <v>37</v>
      </c>
      <c r="L1881" t="s">
        <v>40</v>
      </c>
      <c r="M1881" t="s">
        <v>56</v>
      </c>
      <c r="N1881" t="s">
        <v>56</v>
      </c>
      <c r="O1881" t="s">
        <v>39</v>
      </c>
      <c r="P1881" t="s">
        <v>37</v>
      </c>
      <c r="Q1881" t="s">
        <v>37</v>
      </c>
      <c r="R1881" t="s">
        <v>40</v>
      </c>
      <c r="S1881" t="s">
        <v>7048</v>
      </c>
      <c r="T1881" t="s">
        <v>6930</v>
      </c>
      <c r="U1881" t="s">
        <v>6931</v>
      </c>
      <c r="V1881" t="s">
        <v>6450</v>
      </c>
      <c r="W1881" t="s">
        <v>6932</v>
      </c>
      <c r="X1881" t="s">
        <v>46</v>
      </c>
      <c r="AB1881" t="s">
        <v>3109</v>
      </c>
      <c r="AC1881">
        <f>COUNTIF(C:C,QLKV_gui_ket_qua_ra_soat[[#This Row],[Mã điểm bán]])</f>
        <v>1</v>
      </c>
    </row>
    <row r="1882" spans="1:29" x14ac:dyDescent="0.45">
      <c r="A1882" t="s">
        <v>6444</v>
      </c>
      <c r="B1882">
        <v>203</v>
      </c>
      <c r="C1882" t="s">
        <v>7049</v>
      </c>
      <c r="D1882" t="s">
        <v>7050</v>
      </c>
      <c r="E1882" t="s">
        <v>113</v>
      </c>
      <c r="F1882" t="s">
        <v>417</v>
      </c>
      <c r="G1882" t="s">
        <v>34</v>
      </c>
      <c r="H1882" t="s">
        <v>1280</v>
      </c>
      <c r="I1882" t="s">
        <v>6460</v>
      </c>
      <c r="J1882" t="s">
        <v>37</v>
      </c>
      <c r="K1882" t="s">
        <v>37</v>
      </c>
      <c r="L1882" t="s">
        <v>39</v>
      </c>
      <c r="M1882" t="s">
        <v>56</v>
      </c>
      <c r="N1882" t="s">
        <v>56</v>
      </c>
      <c r="O1882" t="s">
        <v>39</v>
      </c>
      <c r="P1882" t="s">
        <v>37</v>
      </c>
      <c r="Q1882" t="s">
        <v>37</v>
      </c>
      <c r="R1882" t="s">
        <v>39</v>
      </c>
      <c r="S1882" t="s">
        <v>7051</v>
      </c>
      <c r="T1882" t="s">
        <v>6930</v>
      </c>
      <c r="U1882" t="s">
        <v>6931</v>
      </c>
      <c r="V1882" t="s">
        <v>6450</v>
      </c>
      <c r="W1882" t="s">
        <v>6932</v>
      </c>
      <c r="Z1882" t="s">
        <v>46</v>
      </c>
      <c r="AA1882" t="s">
        <v>6951</v>
      </c>
      <c r="AB1882" t="s">
        <v>4223</v>
      </c>
      <c r="AC1882">
        <f>COUNTIF(C:C,QLKV_gui_ket_qua_ra_soat[[#This Row],[Mã điểm bán]])</f>
        <v>1</v>
      </c>
    </row>
    <row r="1883" spans="1:29" x14ac:dyDescent="0.45">
      <c r="A1883" t="s">
        <v>6444</v>
      </c>
      <c r="B1883">
        <v>204</v>
      </c>
      <c r="C1883" t="s">
        <v>7052</v>
      </c>
      <c r="D1883" t="s">
        <v>7053</v>
      </c>
      <c r="E1883" t="s">
        <v>91</v>
      </c>
      <c r="F1883" t="s">
        <v>1279</v>
      </c>
      <c r="G1883" t="s">
        <v>34</v>
      </c>
      <c r="H1883" t="s">
        <v>2952</v>
      </c>
      <c r="I1883" t="s">
        <v>7054</v>
      </c>
      <c r="J1883" t="s">
        <v>37</v>
      </c>
      <c r="K1883" t="s">
        <v>37</v>
      </c>
      <c r="L1883" t="s">
        <v>40</v>
      </c>
      <c r="M1883" t="s">
        <v>37</v>
      </c>
      <c r="N1883" t="s">
        <v>56</v>
      </c>
      <c r="O1883" t="s">
        <v>39</v>
      </c>
      <c r="P1883" t="s">
        <v>37</v>
      </c>
      <c r="Q1883" t="s">
        <v>37</v>
      </c>
      <c r="R1883" t="s">
        <v>40</v>
      </c>
      <c r="S1883" t="s">
        <v>7055</v>
      </c>
      <c r="T1883" t="s">
        <v>6930</v>
      </c>
      <c r="U1883" t="s">
        <v>6931</v>
      </c>
      <c r="V1883" t="s">
        <v>6450</v>
      </c>
      <c r="W1883" t="s">
        <v>6932</v>
      </c>
      <c r="Z1883" t="s">
        <v>46</v>
      </c>
      <c r="AA1883" t="s">
        <v>6951</v>
      </c>
      <c r="AB1883" t="s">
        <v>3109</v>
      </c>
      <c r="AC1883">
        <f>COUNTIF(C:C,QLKV_gui_ket_qua_ra_soat[[#This Row],[Mã điểm bán]])</f>
        <v>1</v>
      </c>
    </row>
    <row r="1884" spans="1:29" x14ac:dyDescent="0.45">
      <c r="A1884" t="s">
        <v>6444</v>
      </c>
      <c r="B1884">
        <v>205</v>
      </c>
      <c r="C1884" t="s">
        <v>7056</v>
      </c>
      <c r="D1884" t="s">
        <v>7057</v>
      </c>
      <c r="E1884" t="s">
        <v>64</v>
      </c>
      <c r="F1884" t="s">
        <v>166</v>
      </c>
      <c r="G1884" t="s">
        <v>177</v>
      </c>
      <c r="H1884" t="s">
        <v>54</v>
      </c>
      <c r="I1884" t="s">
        <v>6935</v>
      </c>
      <c r="J1884" t="s">
        <v>775</v>
      </c>
      <c r="K1884" t="s">
        <v>56</v>
      </c>
      <c r="L1884" t="s">
        <v>39</v>
      </c>
      <c r="M1884" t="s">
        <v>38</v>
      </c>
      <c r="N1884" t="s">
        <v>38</v>
      </c>
      <c r="O1884" t="s">
        <v>39</v>
      </c>
      <c r="P1884" t="s">
        <v>38</v>
      </c>
      <c r="Q1884" t="s">
        <v>38</v>
      </c>
      <c r="R1884" t="s">
        <v>39</v>
      </c>
      <c r="S1884" t="s">
        <v>41</v>
      </c>
      <c r="T1884" t="s">
        <v>6930</v>
      </c>
      <c r="U1884" t="s">
        <v>6931</v>
      </c>
      <c r="V1884" t="s">
        <v>6450</v>
      </c>
      <c r="W1884" t="s">
        <v>6932</v>
      </c>
      <c r="Z1884" t="s">
        <v>46</v>
      </c>
      <c r="AA1884" t="s">
        <v>6951</v>
      </c>
      <c r="AB1884" t="s">
        <v>3109</v>
      </c>
      <c r="AC1884">
        <f>COUNTIF(C:C,QLKV_gui_ket_qua_ra_soat[[#This Row],[Mã điểm bán]])</f>
        <v>1</v>
      </c>
    </row>
    <row r="1885" spans="1:29" x14ac:dyDescent="0.45">
      <c r="A1885" t="s">
        <v>6444</v>
      </c>
      <c r="B1885">
        <v>206</v>
      </c>
      <c r="C1885" t="s">
        <v>7058</v>
      </c>
      <c r="D1885" t="s">
        <v>7059</v>
      </c>
      <c r="E1885" t="s">
        <v>87</v>
      </c>
      <c r="F1885" t="s">
        <v>401</v>
      </c>
      <c r="G1885" t="s">
        <v>177</v>
      </c>
      <c r="H1885" t="s">
        <v>54</v>
      </c>
      <c r="I1885" t="s">
        <v>6929</v>
      </c>
      <c r="J1885" t="s">
        <v>775</v>
      </c>
      <c r="K1885" t="s">
        <v>56</v>
      </c>
      <c r="L1885" t="s">
        <v>39</v>
      </c>
      <c r="M1885" t="s">
        <v>38</v>
      </c>
      <c r="N1885" t="s">
        <v>38</v>
      </c>
      <c r="O1885" t="s">
        <v>39</v>
      </c>
      <c r="P1885" t="s">
        <v>38</v>
      </c>
      <c r="Q1885" t="s">
        <v>37</v>
      </c>
      <c r="R1885" t="s">
        <v>39</v>
      </c>
      <c r="S1885" t="s">
        <v>41</v>
      </c>
      <c r="T1885" t="s">
        <v>6930</v>
      </c>
      <c r="U1885" t="s">
        <v>6931</v>
      </c>
      <c r="V1885" t="s">
        <v>6450</v>
      </c>
      <c r="W1885" t="s">
        <v>6932</v>
      </c>
      <c r="Y1885" t="s">
        <v>46</v>
      </c>
      <c r="AC1885">
        <f>COUNTIF(C:C,QLKV_gui_ket_qua_ra_soat[[#This Row],[Mã điểm bán]])</f>
        <v>1</v>
      </c>
    </row>
    <row r="1886" spans="1:29" x14ac:dyDescent="0.45">
      <c r="A1886" t="s">
        <v>6444</v>
      </c>
      <c r="B1886">
        <v>207</v>
      </c>
      <c r="C1886" t="s">
        <v>7060</v>
      </c>
      <c r="D1886" t="s">
        <v>7061</v>
      </c>
      <c r="E1886" t="s">
        <v>98</v>
      </c>
      <c r="F1886" t="s">
        <v>401</v>
      </c>
      <c r="G1886" t="s">
        <v>177</v>
      </c>
      <c r="H1886" t="s">
        <v>54</v>
      </c>
      <c r="I1886" t="s">
        <v>6946</v>
      </c>
      <c r="J1886" t="s">
        <v>775</v>
      </c>
      <c r="K1886" t="s">
        <v>56</v>
      </c>
      <c r="L1886" t="s">
        <v>39</v>
      </c>
      <c r="M1886" t="s">
        <v>38</v>
      </c>
      <c r="N1886" t="s">
        <v>38</v>
      </c>
      <c r="O1886" t="s">
        <v>39</v>
      </c>
      <c r="P1886" t="s">
        <v>38</v>
      </c>
      <c r="Q1886" t="s">
        <v>38</v>
      </c>
      <c r="R1886" t="s">
        <v>39</v>
      </c>
      <c r="S1886" t="s">
        <v>41</v>
      </c>
      <c r="T1886" t="s">
        <v>6930</v>
      </c>
      <c r="U1886" t="s">
        <v>6931</v>
      </c>
      <c r="V1886" t="s">
        <v>6450</v>
      </c>
      <c r="W1886" t="s">
        <v>6932</v>
      </c>
      <c r="Z1886" t="s">
        <v>46</v>
      </c>
      <c r="AA1886" t="s">
        <v>6951</v>
      </c>
      <c r="AB1886" t="s">
        <v>4223</v>
      </c>
      <c r="AC1886">
        <f>COUNTIF(C:C,QLKV_gui_ket_qua_ra_soat[[#This Row],[Mã điểm bán]])</f>
        <v>1</v>
      </c>
    </row>
    <row r="1887" spans="1:29" x14ac:dyDescent="0.45">
      <c r="A1887" t="s">
        <v>6444</v>
      </c>
      <c r="B1887">
        <v>208</v>
      </c>
      <c r="C1887" t="s">
        <v>7062</v>
      </c>
      <c r="D1887" t="s">
        <v>6973</v>
      </c>
      <c r="E1887" t="s">
        <v>7000</v>
      </c>
      <c r="F1887" t="s">
        <v>401</v>
      </c>
      <c r="G1887" t="s">
        <v>34</v>
      </c>
      <c r="H1887" t="s">
        <v>54</v>
      </c>
      <c r="I1887" t="s">
        <v>7063</v>
      </c>
      <c r="J1887" t="s">
        <v>56</v>
      </c>
      <c r="K1887" t="s">
        <v>775</v>
      </c>
      <c r="L1887" t="s">
        <v>39</v>
      </c>
      <c r="M1887" t="s">
        <v>38</v>
      </c>
      <c r="N1887" t="s">
        <v>38</v>
      </c>
      <c r="O1887" t="s">
        <v>39</v>
      </c>
      <c r="P1887" t="s">
        <v>38</v>
      </c>
      <c r="Q1887" t="s">
        <v>38</v>
      </c>
      <c r="R1887" t="s">
        <v>39</v>
      </c>
      <c r="S1887" t="s">
        <v>41</v>
      </c>
      <c r="T1887" t="s">
        <v>6930</v>
      </c>
      <c r="U1887" t="s">
        <v>6931</v>
      </c>
      <c r="V1887" t="s">
        <v>6450</v>
      </c>
      <c r="W1887" t="s">
        <v>6932</v>
      </c>
      <c r="X1887" t="s">
        <v>46</v>
      </c>
      <c r="AC1887">
        <f>COUNTIF(C:C,QLKV_gui_ket_qua_ra_soat[[#This Row],[Mã điểm bán]])</f>
        <v>1</v>
      </c>
    </row>
    <row r="1888" spans="1:29" x14ac:dyDescent="0.45">
      <c r="A1888" t="s">
        <v>6444</v>
      </c>
      <c r="B1888">
        <v>209</v>
      </c>
      <c r="C1888" t="s">
        <v>7064</v>
      </c>
      <c r="D1888" t="s">
        <v>7065</v>
      </c>
      <c r="E1888" t="s">
        <v>455</v>
      </c>
      <c r="F1888" t="s">
        <v>1754</v>
      </c>
      <c r="G1888" t="s">
        <v>34</v>
      </c>
      <c r="H1888" t="s">
        <v>54</v>
      </c>
      <c r="I1888" t="s">
        <v>6954</v>
      </c>
      <c r="J1888" t="s">
        <v>56</v>
      </c>
      <c r="K1888" t="s">
        <v>775</v>
      </c>
      <c r="L1888" t="s">
        <v>39</v>
      </c>
      <c r="M1888" t="s">
        <v>38</v>
      </c>
      <c r="N1888" t="s">
        <v>38</v>
      </c>
      <c r="O1888" t="s">
        <v>39</v>
      </c>
      <c r="P1888" t="s">
        <v>38</v>
      </c>
      <c r="Q1888" t="s">
        <v>38</v>
      </c>
      <c r="R1888" t="s">
        <v>39</v>
      </c>
      <c r="S1888" t="s">
        <v>41</v>
      </c>
      <c r="T1888" t="s">
        <v>6930</v>
      </c>
      <c r="U1888" t="s">
        <v>6931</v>
      </c>
      <c r="V1888" t="s">
        <v>6450</v>
      </c>
      <c r="W1888" t="s">
        <v>6932</v>
      </c>
      <c r="Z1888" t="s">
        <v>46</v>
      </c>
      <c r="AA1888" t="s">
        <v>6951</v>
      </c>
      <c r="AB1888" t="s">
        <v>4223</v>
      </c>
      <c r="AC1888">
        <f>COUNTIF(C:C,QLKV_gui_ket_qua_ra_soat[[#This Row],[Mã điểm bán]])</f>
        <v>1</v>
      </c>
    </row>
    <row r="1889" spans="1:29" x14ac:dyDescent="0.45">
      <c r="A1889" t="s">
        <v>6444</v>
      </c>
      <c r="B1889">
        <v>210</v>
      </c>
      <c r="C1889" t="s">
        <v>7066</v>
      </c>
      <c r="D1889" t="s">
        <v>7067</v>
      </c>
      <c r="E1889" t="s">
        <v>1043</v>
      </c>
      <c r="F1889" t="s">
        <v>401</v>
      </c>
      <c r="G1889" t="s">
        <v>177</v>
      </c>
      <c r="H1889" t="s">
        <v>54</v>
      </c>
      <c r="I1889" t="s">
        <v>6929</v>
      </c>
      <c r="J1889" t="s">
        <v>56</v>
      </c>
      <c r="K1889" t="s">
        <v>775</v>
      </c>
      <c r="L1889" t="s">
        <v>39</v>
      </c>
      <c r="M1889" t="s">
        <v>38</v>
      </c>
      <c r="N1889" t="s">
        <v>56</v>
      </c>
      <c r="O1889" t="s">
        <v>39</v>
      </c>
      <c r="P1889" t="s">
        <v>38</v>
      </c>
      <c r="Q1889" t="s">
        <v>38</v>
      </c>
      <c r="R1889" t="s">
        <v>39</v>
      </c>
      <c r="S1889" t="s">
        <v>41</v>
      </c>
      <c r="T1889" t="s">
        <v>6930</v>
      </c>
      <c r="U1889" t="s">
        <v>6931</v>
      </c>
      <c r="V1889" t="s">
        <v>6450</v>
      </c>
      <c r="W1889" t="s">
        <v>6932</v>
      </c>
      <c r="X1889" t="s">
        <v>46</v>
      </c>
      <c r="AC1889">
        <f>COUNTIF(C:C,QLKV_gui_ket_qua_ra_soat[[#This Row],[Mã điểm bán]])</f>
        <v>1</v>
      </c>
    </row>
    <row r="1890" spans="1:29" x14ac:dyDescent="0.45">
      <c r="A1890" t="s">
        <v>6444</v>
      </c>
      <c r="B1890">
        <v>211</v>
      </c>
      <c r="C1890" t="s">
        <v>7068</v>
      </c>
      <c r="D1890" t="s">
        <v>7069</v>
      </c>
      <c r="E1890" t="s">
        <v>323</v>
      </c>
      <c r="F1890" t="s">
        <v>1914</v>
      </c>
      <c r="G1890" t="s">
        <v>34</v>
      </c>
      <c r="H1890" t="s">
        <v>4335</v>
      </c>
      <c r="J1890" t="s">
        <v>56</v>
      </c>
      <c r="K1890" t="s">
        <v>37</v>
      </c>
      <c r="L1890" t="s">
        <v>39</v>
      </c>
      <c r="M1890" t="s">
        <v>37</v>
      </c>
      <c r="N1890" t="s">
        <v>56</v>
      </c>
      <c r="O1890" t="s">
        <v>39</v>
      </c>
      <c r="P1890" t="s">
        <v>37</v>
      </c>
      <c r="Q1890" t="s">
        <v>56</v>
      </c>
      <c r="R1890" t="s">
        <v>39</v>
      </c>
      <c r="S1890" t="s">
        <v>41</v>
      </c>
      <c r="T1890" t="s">
        <v>6991</v>
      </c>
      <c r="U1890" t="s">
        <v>6992</v>
      </c>
      <c r="V1890" t="s">
        <v>6450</v>
      </c>
      <c r="W1890" t="s">
        <v>6932</v>
      </c>
      <c r="Z1890" t="s">
        <v>46</v>
      </c>
      <c r="AA1890" t="s">
        <v>6951</v>
      </c>
      <c r="AC1890">
        <f>COUNTIF(C:C,QLKV_gui_ket_qua_ra_soat[[#This Row],[Mã điểm bán]])</f>
        <v>1</v>
      </c>
    </row>
    <row r="1891" spans="1:29" x14ac:dyDescent="0.45">
      <c r="A1891" t="s">
        <v>6444</v>
      </c>
      <c r="B1891">
        <v>212</v>
      </c>
      <c r="C1891" t="s">
        <v>7070</v>
      </c>
      <c r="D1891" t="s">
        <v>7071</v>
      </c>
      <c r="E1891" t="s">
        <v>7072</v>
      </c>
      <c r="F1891" t="s">
        <v>7073</v>
      </c>
      <c r="G1891" t="s">
        <v>177</v>
      </c>
      <c r="H1891" t="s">
        <v>54</v>
      </c>
      <c r="I1891" t="s">
        <v>6954</v>
      </c>
      <c r="J1891" t="s">
        <v>56</v>
      </c>
      <c r="K1891" t="s">
        <v>775</v>
      </c>
      <c r="L1891" t="s">
        <v>39</v>
      </c>
      <c r="M1891" t="s">
        <v>38</v>
      </c>
      <c r="N1891" t="s">
        <v>38</v>
      </c>
      <c r="O1891" t="s">
        <v>39</v>
      </c>
      <c r="P1891" t="s">
        <v>38</v>
      </c>
      <c r="Q1891" t="s">
        <v>38</v>
      </c>
      <c r="R1891" t="s">
        <v>39</v>
      </c>
      <c r="S1891" t="s">
        <v>41</v>
      </c>
      <c r="T1891" t="s">
        <v>6930</v>
      </c>
      <c r="U1891" t="s">
        <v>6931</v>
      </c>
      <c r="V1891" t="s">
        <v>6450</v>
      </c>
      <c r="W1891" t="s">
        <v>6932</v>
      </c>
      <c r="Z1891" t="s">
        <v>46</v>
      </c>
      <c r="AA1891" t="s">
        <v>6951</v>
      </c>
      <c r="AB1891" t="s">
        <v>4223</v>
      </c>
      <c r="AC1891">
        <f>COUNTIF(C:C,QLKV_gui_ket_qua_ra_soat[[#This Row],[Mã điểm bán]])</f>
        <v>1</v>
      </c>
    </row>
    <row r="1892" spans="1:29" x14ac:dyDescent="0.45">
      <c r="A1892" t="s">
        <v>6444</v>
      </c>
      <c r="B1892">
        <v>213</v>
      </c>
      <c r="C1892" t="s">
        <v>7074</v>
      </c>
      <c r="D1892" t="s">
        <v>7075</v>
      </c>
      <c r="E1892" t="s">
        <v>181</v>
      </c>
      <c r="F1892" t="s">
        <v>166</v>
      </c>
      <c r="G1892" t="s">
        <v>34</v>
      </c>
      <c r="H1892" t="s">
        <v>340</v>
      </c>
      <c r="J1892" t="s">
        <v>56</v>
      </c>
      <c r="K1892" t="s">
        <v>56</v>
      </c>
      <c r="L1892" t="s">
        <v>39</v>
      </c>
      <c r="M1892" t="s">
        <v>56</v>
      </c>
      <c r="N1892" t="s">
        <v>56</v>
      </c>
      <c r="O1892" t="s">
        <v>39</v>
      </c>
      <c r="P1892" t="s">
        <v>56</v>
      </c>
      <c r="Q1892" t="s">
        <v>56</v>
      </c>
      <c r="R1892" t="s">
        <v>39</v>
      </c>
      <c r="S1892" t="s">
        <v>41</v>
      </c>
      <c r="T1892" t="s">
        <v>6991</v>
      </c>
      <c r="U1892" t="s">
        <v>6992</v>
      </c>
      <c r="V1892" t="s">
        <v>6450</v>
      </c>
      <c r="W1892" t="s">
        <v>6932</v>
      </c>
      <c r="Z1892" t="s">
        <v>46</v>
      </c>
      <c r="AA1892" t="s">
        <v>6951</v>
      </c>
      <c r="AB1892" t="s">
        <v>3109</v>
      </c>
      <c r="AC1892">
        <f>COUNTIF(C:C,QLKV_gui_ket_qua_ra_soat[[#This Row],[Mã điểm bán]])</f>
        <v>1</v>
      </c>
    </row>
    <row r="1893" spans="1:29" x14ac:dyDescent="0.45">
      <c r="A1893" t="s">
        <v>6444</v>
      </c>
      <c r="B1893">
        <v>214</v>
      </c>
      <c r="C1893" t="s">
        <v>7076</v>
      </c>
      <c r="D1893" t="s">
        <v>196</v>
      </c>
      <c r="E1893" t="s">
        <v>1964</v>
      </c>
      <c r="F1893" t="s">
        <v>7077</v>
      </c>
      <c r="G1893" t="s">
        <v>177</v>
      </c>
      <c r="H1893" t="s">
        <v>54</v>
      </c>
      <c r="I1893" t="s">
        <v>7078</v>
      </c>
      <c r="J1893" t="s">
        <v>775</v>
      </c>
      <c r="K1893" t="s">
        <v>56</v>
      </c>
      <c r="L1893" t="s">
        <v>39</v>
      </c>
      <c r="M1893" t="s">
        <v>38</v>
      </c>
      <c r="N1893" t="s">
        <v>38</v>
      </c>
      <c r="O1893" t="s">
        <v>39</v>
      </c>
      <c r="P1893" t="s">
        <v>38</v>
      </c>
      <c r="Q1893" t="s">
        <v>38</v>
      </c>
      <c r="R1893" t="s">
        <v>39</v>
      </c>
      <c r="S1893" t="s">
        <v>41</v>
      </c>
      <c r="T1893" t="s">
        <v>6930</v>
      </c>
      <c r="U1893" t="s">
        <v>6931</v>
      </c>
      <c r="V1893" t="s">
        <v>6450</v>
      </c>
      <c r="W1893" t="s">
        <v>6932</v>
      </c>
      <c r="Z1893" t="s">
        <v>46</v>
      </c>
      <c r="AA1893" t="s">
        <v>6951</v>
      </c>
      <c r="AB1893" t="s">
        <v>3101</v>
      </c>
      <c r="AC1893">
        <f>COUNTIF(C:C,QLKV_gui_ket_qua_ra_soat[[#This Row],[Mã điểm bán]])</f>
        <v>1</v>
      </c>
    </row>
    <row r="1894" spans="1:29" x14ac:dyDescent="0.45">
      <c r="A1894" t="s">
        <v>6444</v>
      </c>
      <c r="B1894">
        <v>215</v>
      </c>
      <c r="C1894" t="s">
        <v>7079</v>
      </c>
      <c r="D1894" t="s">
        <v>7080</v>
      </c>
      <c r="E1894" t="s">
        <v>113</v>
      </c>
      <c r="F1894" t="s">
        <v>7081</v>
      </c>
      <c r="G1894" t="s">
        <v>34</v>
      </c>
      <c r="H1894" t="s">
        <v>54</v>
      </c>
      <c r="I1894" t="s">
        <v>7082</v>
      </c>
      <c r="J1894" t="s">
        <v>38</v>
      </c>
      <c r="K1894" t="s">
        <v>37</v>
      </c>
      <c r="L1894" t="s">
        <v>39</v>
      </c>
      <c r="M1894" t="s">
        <v>56</v>
      </c>
      <c r="N1894" t="s">
        <v>56</v>
      </c>
      <c r="O1894" t="s">
        <v>39</v>
      </c>
      <c r="P1894" t="s">
        <v>38</v>
      </c>
      <c r="Q1894" t="s">
        <v>38</v>
      </c>
      <c r="R1894" t="s">
        <v>39</v>
      </c>
      <c r="S1894" t="s">
        <v>41</v>
      </c>
      <c r="T1894" t="s">
        <v>6930</v>
      </c>
      <c r="U1894" t="s">
        <v>6931</v>
      </c>
      <c r="V1894" t="s">
        <v>6450</v>
      </c>
      <c r="W1894" t="s">
        <v>6932</v>
      </c>
      <c r="Z1894" t="s">
        <v>46</v>
      </c>
      <c r="AA1894" t="s">
        <v>6951</v>
      </c>
      <c r="AB1894" t="s">
        <v>3109</v>
      </c>
      <c r="AC1894">
        <f>COUNTIF(C:C,QLKV_gui_ket_qua_ra_soat[[#This Row],[Mã điểm bán]])</f>
        <v>1</v>
      </c>
    </row>
    <row r="1895" spans="1:29" x14ac:dyDescent="0.45">
      <c r="A1895" t="s">
        <v>6444</v>
      </c>
      <c r="B1895">
        <v>216</v>
      </c>
      <c r="C1895" t="s">
        <v>7083</v>
      </c>
      <c r="D1895" t="s">
        <v>7022</v>
      </c>
      <c r="E1895" t="s">
        <v>771</v>
      </c>
      <c r="F1895" t="s">
        <v>1981</v>
      </c>
      <c r="G1895" t="s">
        <v>34</v>
      </c>
      <c r="H1895" t="s">
        <v>685</v>
      </c>
      <c r="J1895" t="s">
        <v>56</v>
      </c>
      <c r="K1895" t="s">
        <v>56</v>
      </c>
      <c r="L1895" t="s">
        <v>39</v>
      </c>
      <c r="M1895" t="s">
        <v>56</v>
      </c>
      <c r="N1895" t="s">
        <v>56</v>
      </c>
      <c r="O1895" t="s">
        <v>39</v>
      </c>
      <c r="P1895" t="s">
        <v>56</v>
      </c>
      <c r="Q1895" t="s">
        <v>56</v>
      </c>
      <c r="R1895" t="s">
        <v>39</v>
      </c>
      <c r="S1895" t="s">
        <v>41</v>
      </c>
      <c r="T1895" t="s">
        <v>6991</v>
      </c>
      <c r="U1895" t="s">
        <v>6992</v>
      </c>
      <c r="V1895" t="s">
        <v>6450</v>
      </c>
      <c r="W1895" t="s">
        <v>6932</v>
      </c>
      <c r="Z1895" t="s">
        <v>46</v>
      </c>
      <c r="AA1895" t="s">
        <v>6951</v>
      </c>
      <c r="AB1895" t="s">
        <v>4223</v>
      </c>
      <c r="AC1895">
        <f>COUNTIF(C:C,QLKV_gui_ket_qua_ra_soat[[#This Row],[Mã điểm bán]])</f>
        <v>1</v>
      </c>
    </row>
    <row r="1896" spans="1:29" x14ac:dyDescent="0.45">
      <c r="A1896" t="s">
        <v>6444</v>
      </c>
      <c r="B1896">
        <v>217</v>
      </c>
      <c r="C1896" t="s">
        <v>7084</v>
      </c>
      <c r="D1896" t="s">
        <v>7071</v>
      </c>
      <c r="E1896" t="s">
        <v>1360</v>
      </c>
      <c r="F1896" t="s">
        <v>33</v>
      </c>
      <c r="G1896" t="s">
        <v>34</v>
      </c>
      <c r="H1896" t="s">
        <v>4689</v>
      </c>
      <c r="J1896" t="s">
        <v>56</v>
      </c>
      <c r="K1896" t="s">
        <v>56</v>
      </c>
      <c r="L1896" t="s">
        <v>39</v>
      </c>
      <c r="M1896" t="s">
        <v>37</v>
      </c>
      <c r="N1896" t="s">
        <v>37</v>
      </c>
      <c r="O1896" t="s">
        <v>39</v>
      </c>
      <c r="P1896" t="s">
        <v>56</v>
      </c>
      <c r="Q1896" t="s">
        <v>56</v>
      </c>
      <c r="R1896" t="s">
        <v>39</v>
      </c>
      <c r="S1896" t="s">
        <v>41</v>
      </c>
      <c r="T1896" t="s">
        <v>6991</v>
      </c>
      <c r="U1896" t="s">
        <v>6992</v>
      </c>
      <c r="V1896" t="s">
        <v>6450</v>
      </c>
      <c r="W1896" t="s">
        <v>6932</v>
      </c>
      <c r="Z1896" t="s">
        <v>46</v>
      </c>
      <c r="AA1896" t="s">
        <v>6457</v>
      </c>
      <c r="AB1896" t="s">
        <v>5658</v>
      </c>
      <c r="AC1896">
        <f>COUNTIF(C:C,QLKV_gui_ket_qua_ra_soat[[#This Row],[Mã điểm bán]])</f>
        <v>1</v>
      </c>
    </row>
    <row r="1897" spans="1:29" x14ac:dyDescent="0.45">
      <c r="A1897" t="s">
        <v>6444</v>
      </c>
      <c r="B1897">
        <v>218</v>
      </c>
      <c r="C1897" t="s">
        <v>7085</v>
      </c>
      <c r="D1897" t="s">
        <v>7086</v>
      </c>
      <c r="E1897" t="s">
        <v>674</v>
      </c>
      <c r="F1897" t="s">
        <v>417</v>
      </c>
      <c r="G1897" t="s">
        <v>177</v>
      </c>
      <c r="H1897" t="s">
        <v>1658</v>
      </c>
      <c r="I1897" t="s">
        <v>7087</v>
      </c>
      <c r="J1897" t="s">
        <v>37</v>
      </c>
      <c r="K1897" t="s">
        <v>775</v>
      </c>
      <c r="L1897" t="s">
        <v>39</v>
      </c>
      <c r="M1897" t="s">
        <v>37</v>
      </c>
      <c r="N1897" t="s">
        <v>775</v>
      </c>
      <c r="O1897" t="s">
        <v>39</v>
      </c>
      <c r="P1897" t="s">
        <v>38</v>
      </c>
      <c r="Q1897" t="s">
        <v>56</v>
      </c>
      <c r="R1897" t="s">
        <v>39</v>
      </c>
      <c r="S1897" t="s">
        <v>7088</v>
      </c>
      <c r="T1897" t="s">
        <v>6930</v>
      </c>
      <c r="U1897" t="s">
        <v>6931</v>
      </c>
      <c r="V1897" t="s">
        <v>6450</v>
      </c>
      <c r="W1897" t="s">
        <v>6932</v>
      </c>
      <c r="Z1897" t="s">
        <v>46</v>
      </c>
      <c r="AA1897" t="s">
        <v>6457</v>
      </c>
      <c r="AB1897" t="s">
        <v>3109</v>
      </c>
      <c r="AC1897">
        <f>COUNTIF(C:C,QLKV_gui_ket_qua_ra_soat[[#This Row],[Mã điểm bán]])</f>
        <v>1</v>
      </c>
    </row>
    <row r="1898" spans="1:29" x14ac:dyDescent="0.45">
      <c r="A1898" t="s">
        <v>6444</v>
      </c>
      <c r="B1898">
        <v>219</v>
      </c>
      <c r="C1898" t="s">
        <v>7089</v>
      </c>
      <c r="D1898" t="s">
        <v>7090</v>
      </c>
      <c r="E1898" t="s">
        <v>529</v>
      </c>
      <c r="F1898" t="s">
        <v>115</v>
      </c>
      <c r="G1898" t="s">
        <v>177</v>
      </c>
      <c r="H1898" t="s">
        <v>2426</v>
      </c>
      <c r="I1898" t="s">
        <v>7091</v>
      </c>
      <c r="J1898" t="s">
        <v>775</v>
      </c>
      <c r="K1898" t="s">
        <v>56</v>
      </c>
      <c r="L1898" t="s">
        <v>39</v>
      </c>
      <c r="M1898" t="s">
        <v>775</v>
      </c>
      <c r="N1898" t="s">
        <v>56</v>
      </c>
      <c r="O1898" t="s">
        <v>39</v>
      </c>
      <c r="P1898" t="s">
        <v>38</v>
      </c>
      <c r="Q1898" t="s">
        <v>37</v>
      </c>
      <c r="R1898" t="s">
        <v>39</v>
      </c>
      <c r="S1898" t="s">
        <v>7092</v>
      </c>
      <c r="T1898" t="s">
        <v>6930</v>
      </c>
      <c r="U1898" t="s">
        <v>6931</v>
      </c>
      <c r="V1898" t="s">
        <v>6450</v>
      </c>
      <c r="W1898" t="s">
        <v>6932</v>
      </c>
      <c r="Z1898" t="s">
        <v>46</v>
      </c>
      <c r="AA1898" t="s">
        <v>6457</v>
      </c>
      <c r="AB1898" t="s">
        <v>3109</v>
      </c>
      <c r="AC1898">
        <f>COUNTIF(C:C,QLKV_gui_ket_qua_ra_soat[[#This Row],[Mã điểm bán]])</f>
        <v>1</v>
      </c>
    </row>
    <row r="1899" spans="1:29" x14ac:dyDescent="0.45">
      <c r="A1899" t="s">
        <v>6444</v>
      </c>
      <c r="B1899">
        <v>220</v>
      </c>
      <c r="C1899" t="s">
        <v>7093</v>
      </c>
      <c r="D1899" t="s">
        <v>7094</v>
      </c>
      <c r="E1899" t="s">
        <v>7095</v>
      </c>
      <c r="F1899" t="s">
        <v>1887</v>
      </c>
      <c r="G1899" t="s">
        <v>177</v>
      </c>
      <c r="H1899" t="s">
        <v>1188</v>
      </c>
      <c r="I1899" t="s">
        <v>7096</v>
      </c>
      <c r="J1899" t="s">
        <v>37</v>
      </c>
      <c r="K1899" t="s">
        <v>37</v>
      </c>
      <c r="L1899" t="s">
        <v>39</v>
      </c>
      <c r="M1899" t="s">
        <v>37</v>
      </c>
      <c r="N1899" t="s">
        <v>37</v>
      </c>
      <c r="O1899" t="s">
        <v>39</v>
      </c>
      <c r="P1899" t="s">
        <v>37</v>
      </c>
      <c r="Q1899" t="s">
        <v>37</v>
      </c>
      <c r="R1899" t="s">
        <v>39</v>
      </c>
      <c r="S1899" t="s">
        <v>7097</v>
      </c>
      <c r="T1899" t="s">
        <v>7098</v>
      </c>
      <c r="U1899" t="s">
        <v>7099</v>
      </c>
      <c r="V1899" t="s">
        <v>6450</v>
      </c>
      <c r="W1899" t="s">
        <v>7100</v>
      </c>
      <c r="Z1899" t="s">
        <v>46</v>
      </c>
      <c r="AA1899" t="s">
        <v>7101</v>
      </c>
      <c r="AB1899" t="s">
        <v>4223</v>
      </c>
      <c r="AC1899">
        <f>COUNTIF(C:C,QLKV_gui_ket_qua_ra_soat[[#This Row],[Mã điểm bán]])</f>
        <v>1</v>
      </c>
    </row>
    <row r="1900" spans="1:29" x14ac:dyDescent="0.45">
      <c r="A1900" t="s">
        <v>6444</v>
      </c>
      <c r="B1900">
        <v>221</v>
      </c>
      <c r="C1900" t="s">
        <v>7102</v>
      </c>
      <c r="D1900" t="s">
        <v>7103</v>
      </c>
      <c r="E1900" t="s">
        <v>563</v>
      </c>
      <c r="F1900" t="s">
        <v>1160</v>
      </c>
      <c r="G1900" t="s">
        <v>34</v>
      </c>
      <c r="H1900" t="s">
        <v>457</v>
      </c>
      <c r="I1900" t="s">
        <v>7104</v>
      </c>
      <c r="J1900" t="s">
        <v>37</v>
      </c>
      <c r="K1900" t="s">
        <v>37</v>
      </c>
      <c r="L1900" t="s">
        <v>39</v>
      </c>
      <c r="M1900" t="s">
        <v>37</v>
      </c>
      <c r="N1900" t="s">
        <v>37</v>
      </c>
      <c r="O1900" t="s">
        <v>39</v>
      </c>
      <c r="P1900" t="s">
        <v>37</v>
      </c>
      <c r="Q1900" t="s">
        <v>37</v>
      </c>
      <c r="R1900" t="s">
        <v>39</v>
      </c>
      <c r="S1900" t="s">
        <v>41</v>
      </c>
      <c r="T1900" t="s">
        <v>7105</v>
      </c>
      <c r="U1900" t="s">
        <v>7106</v>
      </c>
      <c r="V1900" t="s">
        <v>6450</v>
      </c>
      <c r="W1900" t="s">
        <v>7100</v>
      </c>
      <c r="X1900" t="s">
        <v>46</v>
      </c>
      <c r="AB1900" t="s">
        <v>3109</v>
      </c>
      <c r="AC1900">
        <f>COUNTIF(C:C,QLKV_gui_ket_qua_ra_soat[[#This Row],[Mã điểm bán]])</f>
        <v>1</v>
      </c>
    </row>
    <row r="1901" spans="1:29" x14ac:dyDescent="0.45">
      <c r="A1901" t="s">
        <v>6444</v>
      </c>
      <c r="B1901">
        <v>222</v>
      </c>
      <c r="C1901" t="s">
        <v>7107</v>
      </c>
      <c r="D1901" t="s">
        <v>7108</v>
      </c>
      <c r="E1901" t="s">
        <v>657</v>
      </c>
      <c r="F1901" t="s">
        <v>7109</v>
      </c>
      <c r="G1901" t="s">
        <v>34</v>
      </c>
      <c r="H1901" t="s">
        <v>2251</v>
      </c>
      <c r="I1901" t="s">
        <v>7110</v>
      </c>
      <c r="J1901" t="s">
        <v>37</v>
      </c>
      <c r="K1901" t="s">
        <v>37</v>
      </c>
      <c r="L1901" t="s">
        <v>39</v>
      </c>
      <c r="M1901" t="s">
        <v>37</v>
      </c>
      <c r="N1901" t="s">
        <v>56</v>
      </c>
      <c r="O1901" t="s">
        <v>39</v>
      </c>
      <c r="P1901" t="s">
        <v>37</v>
      </c>
      <c r="Q1901" t="s">
        <v>37</v>
      </c>
      <c r="R1901" t="s">
        <v>39</v>
      </c>
      <c r="S1901" t="s">
        <v>7111</v>
      </c>
      <c r="T1901" t="s">
        <v>7112</v>
      </c>
      <c r="U1901" t="s">
        <v>7106</v>
      </c>
      <c r="V1901" t="s">
        <v>6450</v>
      </c>
      <c r="W1901" t="s">
        <v>7100</v>
      </c>
      <c r="Z1901" t="s">
        <v>46</v>
      </c>
      <c r="AA1901" t="s">
        <v>6457</v>
      </c>
      <c r="AB1901" t="s">
        <v>4223</v>
      </c>
      <c r="AC1901">
        <f>COUNTIF(C:C,QLKV_gui_ket_qua_ra_soat[[#This Row],[Mã điểm bán]])</f>
        <v>1</v>
      </c>
    </row>
    <row r="1902" spans="1:29" x14ac:dyDescent="0.45">
      <c r="A1902" t="s">
        <v>6444</v>
      </c>
      <c r="B1902">
        <v>223</v>
      </c>
      <c r="C1902" t="s">
        <v>7113</v>
      </c>
      <c r="D1902" t="s">
        <v>7114</v>
      </c>
      <c r="E1902" t="s">
        <v>7115</v>
      </c>
      <c r="F1902" t="s">
        <v>325</v>
      </c>
      <c r="G1902" t="s">
        <v>177</v>
      </c>
      <c r="H1902" t="s">
        <v>917</v>
      </c>
      <c r="I1902" t="s">
        <v>4989</v>
      </c>
      <c r="J1902" t="s">
        <v>37</v>
      </c>
      <c r="K1902" t="s">
        <v>37</v>
      </c>
      <c r="L1902" t="s">
        <v>39</v>
      </c>
      <c r="M1902" t="s">
        <v>56</v>
      </c>
      <c r="N1902" t="s">
        <v>56</v>
      </c>
      <c r="O1902" t="s">
        <v>39</v>
      </c>
      <c r="P1902" t="s">
        <v>37</v>
      </c>
      <c r="Q1902" t="s">
        <v>37</v>
      </c>
      <c r="R1902" t="s">
        <v>39</v>
      </c>
      <c r="S1902" t="s">
        <v>41</v>
      </c>
      <c r="T1902" t="s">
        <v>7098</v>
      </c>
      <c r="U1902" t="s">
        <v>7099</v>
      </c>
      <c r="V1902" t="s">
        <v>6450</v>
      </c>
      <c r="W1902" t="s">
        <v>7100</v>
      </c>
      <c r="Z1902" t="s">
        <v>46</v>
      </c>
      <c r="AA1902" t="s">
        <v>7101</v>
      </c>
      <c r="AB1902" t="s">
        <v>3109</v>
      </c>
      <c r="AC1902">
        <f>COUNTIF(C:C,QLKV_gui_ket_qua_ra_soat[[#This Row],[Mã điểm bán]])</f>
        <v>1</v>
      </c>
    </row>
    <row r="1903" spans="1:29" x14ac:dyDescent="0.45">
      <c r="A1903" t="s">
        <v>6444</v>
      </c>
      <c r="B1903">
        <v>224</v>
      </c>
      <c r="C1903" t="s">
        <v>7116</v>
      </c>
      <c r="D1903" t="s">
        <v>7117</v>
      </c>
      <c r="E1903" t="s">
        <v>5924</v>
      </c>
      <c r="F1903" t="s">
        <v>53</v>
      </c>
      <c r="G1903" t="s">
        <v>177</v>
      </c>
      <c r="H1903" t="s">
        <v>565</v>
      </c>
      <c r="I1903" t="s">
        <v>7118</v>
      </c>
      <c r="J1903" t="s">
        <v>37</v>
      </c>
      <c r="K1903" t="s">
        <v>37</v>
      </c>
      <c r="L1903" t="s">
        <v>39</v>
      </c>
      <c r="M1903" t="s">
        <v>56</v>
      </c>
      <c r="N1903" t="s">
        <v>56</v>
      </c>
      <c r="O1903" t="s">
        <v>39</v>
      </c>
      <c r="P1903" t="s">
        <v>37</v>
      </c>
      <c r="Q1903" t="s">
        <v>37</v>
      </c>
      <c r="R1903" t="s">
        <v>40</v>
      </c>
      <c r="S1903" t="s">
        <v>41</v>
      </c>
      <c r="T1903" t="s">
        <v>7098</v>
      </c>
      <c r="U1903" t="s">
        <v>7099</v>
      </c>
      <c r="V1903" t="s">
        <v>6450</v>
      </c>
      <c r="W1903" t="s">
        <v>7100</v>
      </c>
      <c r="X1903" t="s">
        <v>46</v>
      </c>
      <c r="AC1903">
        <f>COUNTIF(C:C,QLKV_gui_ket_qua_ra_soat[[#This Row],[Mã điểm bán]])</f>
        <v>1</v>
      </c>
    </row>
    <row r="1904" spans="1:29" x14ac:dyDescent="0.45">
      <c r="A1904" t="s">
        <v>6444</v>
      </c>
      <c r="B1904">
        <v>225</v>
      </c>
      <c r="C1904" t="s">
        <v>7119</v>
      </c>
      <c r="D1904" t="s">
        <v>7120</v>
      </c>
      <c r="E1904" t="s">
        <v>3494</v>
      </c>
      <c r="F1904" t="s">
        <v>53</v>
      </c>
      <c r="G1904" t="s">
        <v>177</v>
      </c>
      <c r="H1904" t="s">
        <v>54</v>
      </c>
      <c r="I1904" t="s">
        <v>7121</v>
      </c>
      <c r="J1904" t="s">
        <v>37</v>
      </c>
      <c r="K1904" t="s">
        <v>37</v>
      </c>
      <c r="L1904" t="s">
        <v>40</v>
      </c>
      <c r="M1904" t="s">
        <v>37</v>
      </c>
      <c r="N1904" t="s">
        <v>37</v>
      </c>
      <c r="O1904" t="s">
        <v>39</v>
      </c>
      <c r="P1904" t="s">
        <v>37</v>
      </c>
      <c r="Q1904" t="s">
        <v>37</v>
      </c>
      <c r="R1904" t="s">
        <v>40</v>
      </c>
      <c r="S1904" t="s">
        <v>41</v>
      </c>
      <c r="T1904" t="s">
        <v>7098</v>
      </c>
      <c r="U1904" t="s">
        <v>7099</v>
      </c>
      <c r="V1904" t="s">
        <v>6450</v>
      </c>
      <c r="W1904" t="s">
        <v>7100</v>
      </c>
      <c r="X1904" t="s">
        <v>46</v>
      </c>
      <c r="AC1904">
        <f>COUNTIF(C:C,QLKV_gui_ket_qua_ra_soat[[#This Row],[Mã điểm bán]])</f>
        <v>1</v>
      </c>
    </row>
    <row r="1905" spans="1:29" x14ac:dyDescent="0.45">
      <c r="A1905" t="s">
        <v>6444</v>
      </c>
      <c r="B1905">
        <v>226</v>
      </c>
      <c r="C1905" t="s">
        <v>7122</v>
      </c>
      <c r="D1905" t="s">
        <v>7123</v>
      </c>
      <c r="E1905" t="s">
        <v>7124</v>
      </c>
      <c r="F1905" t="s">
        <v>53</v>
      </c>
      <c r="G1905" t="s">
        <v>177</v>
      </c>
      <c r="H1905" t="s">
        <v>171</v>
      </c>
      <c r="I1905" t="s">
        <v>7125</v>
      </c>
      <c r="J1905" t="s">
        <v>37</v>
      </c>
      <c r="K1905" t="s">
        <v>37</v>
      </c>
      <c r="L1905" t="s">
        <v>40</v>
      </c>
      <c r="M1905" t="s">
        <v>37</v>
      </c>
      <c r="N1905" t="s">
        <v>37</v>
      </c>
      <c r="O1905" t="s">
        <v>39</v>
      </c>
      <c r="P1905" t="s">
        <v>37</v>
      </c>
      <c r="Q1905" t="s">
        <v>37</v>
      </c>
      <c r="R1905" t="s">
        <v>40</v>
      </c>
      <c r="S1905" t="s">
        <v>41</v>
      </c>
      <c r="T1905" t="s">
        <v>7098</v>
      </c>
      <c r="U1905" t="s">
        <v>7099</v>
      </c>
      <c r="V1905" t="s">
        <v>6450</v>
      </c>
      <c r="W1905" t="s">
        <v>7100</v>
      </c>
      <c r="Z1905" t="s">
        <v>46</v>
      </c>
      <c r="AA1905" t="s">
        <v>7101</v>
      </c>
      <c r="AB1905" t="s">
        <v>3109</v>
      </c>
      <c r="AC1905">
        <f>COUNTIF(C:C,QLKV_gui_ket_qua_ra_soat[[#This Row],[Mã điểm bán]])</f>
        <v>1</v>
      </c>
    </row>
    <row r="1906" spans="1:29" x14ac:dyDescent="0.45">
      <c r="A1906" t="s">
        <v>6444</v>
      </c>
      <c r="B1906">
        <v>227</v>
      </c>
      <c r="C1906" t="s">
        <v>7126</v>
      </c>
      <c r="D1906" t="s">
        <v>2001</v>
      </c>
      <c r="E1906" t="s">
        <v>304</v>
      </c>
      <c r="F1906" t="s">
        <v>2089</v>
      </c>
      <c r="G1906" t="s">
        <v>34</v>
      </c>
      <c r="H1906" t="s">
        <v>2593</v>
      </c>
      <c r="I1906" t="s">
        <v>7127</v>
      </c>
      <c r="J1906" t="s">
        <v>56</v>
      </c>
      <c r="K1906" t="s">
        <v>56</v>
      </c>
      <c r="L1906" t="s">
        <v>39</v>
      </c>
      <c r="M1906" t="s">
        <v>37</v>
      </c>
      <c r="N1906" t="s">
        <v>37</v>
      </c>
      <c r="O1906" t="s">
        <v>39</v>
      </c>
      <c r="P1906" t="s">
        <v>37</v>
      </c>
      <c r="Q1906" t="s">
        <v>56</v>
      </c>
      <c r="R1906" t="s">
        <v>39</v>
      </c>
      <c r="S1906" t="s">
        <v>7128</v>
      </c>
      <c r="T1906" t="s">
        <v>7112</v>
      </c>
      <c r="U1906" t="s">
        <v>7106</v>
      </c>
      <c r="V1906" t="s">
        <v>6450</v>
      </c>
      <c r="W1906" t="s">
        <v>7100</v>
      </c>
      <c r="X1906" t="s">
        <v>46</v>
      </c>
      <c r="AC1906">
        <f>COUNTIF(C:C,QLKV_gui_ket_qua_ra_soat[[#This Row],[Mã điểm bán]])</f>
        <v>1</v>
      </c>
    </row>
    <row r="1907" spans="1:29" x14ac:dyDescent="0.45">
      <c r="A1907" t="s">
        <v>6444</v>
      </c>
      <c r="B1907">
        <v>228</v>
      </c>
      <c r="C1907" t="s">
        <v>7129</v>
      </c>
      <c r="D1907" t="s">
        <v>7130</v>
      </c>
      <c r="E1907" t="s">
        <v>6593</v>
      </c>
      <c r="F1907" t="s">
        <v>53</v>
      </c>
      <c r="G1907" t="s">
        <v>177</v>
      </c>
      <c r="H1907" t="s">
        <v>214</v>
      </c>
      <c r="I1907" t="s">
        <v>7125</v>
      </c>
      <c r="J1907" t="s">
        <v>37</v>
      </c>
      <c r="K1907" t="s">
        <v>37</v>
      </c>
      <c r="L1907" t="s">
        <v>40</v>
      </c>
      <c r="M1907" t="s">
        <v>37</v>
      </c>
      <c r="N1907" t="s">
        <v>37</v>
      </c>
      <c r="O1907" t="s">
        <v>39</v>
      </c>
      <c r="P1907" t="s">
        <v>37</v>
      </c>
      <c r="Q1907" t="s">
        <v>37</v>
      </c>
      <c r="R1907" t="s">
        <v>40</v>
      </c>
      <c r="S1907" t="s">
        <v>7131</v>
      </c>
      <c r="T1907" t="s">
        <v>7098</v>
      </c>
      <c r="U1907" t="s">
        <v>7099</v>
      </c>
      <c r="V1907" t="s">
        <v>6450</v>
      </c>
      <c r="W1907" t="s">
        <v>7100</v>
      </c>
      <c r="Z1907" t="s">
        <v>46</v>
      </c>
      <c r="AA1907" t="s">
        <v>7101</v>
      </c>
      <c r="AB1907" t="s">
        <v>4223</v>
      </c>
      <c r="AC1907">
        <f>COUNTIF(C:C,QLKV_gui_ket_qua_ra_soat[[#This Row],[Mã điểm bán]])</f>
        <v>1</v>
      </c>
    </row>
    <row r="1908" spans="1:29" x14ac:dyDescent="0.45">
      <c r="A1908" t="s">
        <v>6444</v>
      </c>
      <c r="B1908">
        <v>229</v>
      </c>
      <c r="C1908" t="s">
        <v>7132</v>
      </c>
      <c r="D1908" t="s">
        <v>7133</v>
      </c>
      <c r="E1908" t="s">
        <v>7135</v>
      </c>
      <c r="F1908" t="s">
        <v>478</v>
      </c>
      <c r="G1908" t="s">
        <v>177</v>
      </c>
      <c r="H1908" t="s">
        <v>214</v>
      </c>
      <c r="I1908" t="s">
        <v>7136</v>
      </c>
      <c r="J1908" t="s">
        <v>37</v>
      </c>
      <c r="K1908" t="s">
        <v>37</v>
      </c>
      <c r="L1908" t="s">
        <v>39</v>
      </c>
      <c r="M1908" t="s">
        <v>37</v>
      </c>
      <c r="N1908" t="s">
        <v>37</v>
      </c>
      <c r="O1908" t="s">
        <v>39</v>
      </c>
      <c r="P1908" t="s">
        <v>37</v>
      </c>
      <c r="Q1908" t="s">
        <v>37</v>
      </c>
      <c r="R1908" t="s">
        <v>39</v>
      </c>
      <c r="S1908" t="s">
        <v>7137</v>
      </c>
      <c r="T1908" t="s">
        <v>7098</v>
      </c>
      <c r="U1908" t="s">
        <v>7099</v>
      </c>
      <c r="V1908" t="s">
        <v>6450</v>
      </c>
      <c r="W1908" t="s">
        <v>7100</v>
      </c>
      <c r="Z1908" t="s">
        <v>46</v>
      </c>
      <c r="AA1908" t="s">
        <v>7101</v>
      </c>
      <c r="AB1908" t="s">
        <v>4223</v>
      </c>
      <c r="AC1908">
        <f>COUNTIF(C:C,QLKV_gui_ket_qua_ra_soat[[#This Row],[Mã điểm bán]])</f>
        <v>1</v>
      </c>
    </row>
    <row r="1909" spans="1:29" x14ac:dyDescent="0.45">
      <c r="A1909" t="s">
        <v>6444</v>
      </c>
      <c r="B1909">
        <v>230</v>
      </c>
      <c r="C1909" t="s">
        <v>7138</v>
      </c>
      <c r="D1909" t="s">
        <v>7139</v>
      </c>
      <c r="E1909" t="s">
        <v>7140</v>
      </c>
      <c r="F1909" t="s">
        <v>53</v>
      </c>
      <c r="G1909" t="s">
        <v>177</v>
      </c>
      <c r="H1909" t="s">
        <v>917</v>
      </c>
      <c r="I1909" t="s">
        <v>7141</v>
      </c>
      <c r="J1909" t="s">
        <v>37</v>
      </c>
      <c r="K1909" t="s">
        <v>37</v>
      </c>
      <c r="L1909" t="s">
        <v>39</v>
      </c>
      <c r="M1909" t="s">
        <v>37</v>
      </c>
      <c r="N1909" t="s">
        <v>37</v>
      </c>
      <c r="O1909" t="s">
        <v>39</v>
      </c>
      <c r="P1909" t="s">
        <v>37</v>
      </c>
      <c r="Q1909" t="s">
        <v>37</v>
      </c>
      <c r="R1909" t="s">
        <v>39</v>
      </c>
      <c r="S1909" t="s">
        <v>41</v>
      </c>
      <c r="T1909" t="s">
        <v>7098</v>
      </c>
      <c r="U1909" t="s">
        <v>7099</v>
      </c>
      <c r="V1909" t="s">
        <v>6450</v>
      </c>
      <c r="W1909" t="s">
        <v>7100</v>
      </c>
      <c r="Z1909" t="s">
        <v>46</v>
      </c>
      <c r="AA1909" t="s">
        <v>6457</v>
      </c>
      <c r="AB1909" t="s">
        <v>3012</v>
      </c>
      <c r="AC1909">
        <f>COUNTIF(C:C,QLKV_gui_ket_qua_ra_soat[[#This Row],[Mã điểm bán]])</f>
        <v>1</v>
      </c>
    </row>
    <row r="1910" spans="1:29" x14ac:dyDescent="0.45">
      <c r="A1910" t="s">
        <v>6444</v>
      </c>
      <c r="B1910">
        <v>231</v>
      </c>
      <c r="C1910" t="s">
        <v>7142</v>
      </c>
      <c r="D1910" t="s">
        <v>7143</v>
      </c>
      <c r="E1910" t="s">
        <v>148</v>
      </c>
      <c r="F1910" t="s">
        <v>1160</v>
      </c>
      <c r="G1910" t="s">
        <v>34</v>
      </c>
      <c r="H1910" t="s">
        <v>77</v>
      </c>
      <c r="I1910" t="s">
        <v>7104</v>
      </c>
      <c r="J1910" t="s">
        <v>37</v>
      </c>
      <c r="K1910" t="s">
        <v>37</v>
      </c>
      <c r="L1910" t="s">
        <v>39</v>
      </c>
      <c r="M1910" t="s">
        <v>37</v>
      </c>
      <c r="N1910" t="s">
        <v>37</v>
      </c>
      <c r="O1910" t="s">
        <v>39</v>
      </c>
      <c r="P1910" t="s">
        <v>37</v>
      </c>
      <c r="Q1910" t="s">
        <v>37</v>
      </c>
      <c r="R1910" t="s">
        <v>39</v>
      </c>
      <c r="S1910" t="s">
        <v>41</v>
      </c>
      <c r="T1910" t="s">
        <v>7105</v>
      </c>
      <c r="U1910" t="s">
        <v>7106</v>
      </c>
      <c r="V1910" t="s">
        <v>6450</v>
      </c>
      <c r="W1910" t="s">
        <v>7100</v>
      </c>
      <c r="Z1910" t="s">
        <v>46</v>
      </c>
      <c r="AA1910" t="s">
        <v>6457</v>
      </c>
      <c r="AB1910" t="s">
        <v>3109</v>
      </c>
      <c r="AC1910">
        <f>COUNTIF(C:C,QLKV_gui_ket_qua_ra_soat[[#This Row],[Mã điểm bán]])</f>
        <v>1</v>
      </c>
    </row>
    <row r="1911" spans="1:29" x14ac:dyDescent="0.45">
      <c r="A1911" t="s">
        <v>6444</v>
      </c>
      <c r="B1911">
        <v>232</v>
      </c>
      <c r="C1911" t="s">
        <v>7144</v>
      </c>
      <c r="D1911" t="s">
        <v>7145</v>
      </c>
      <c r="E1911" t="s">
        <v>2222</v>
      </c>
      <c r="F1911" t="s">
        <v>224</v>
      </c>
      <c r="G1911" t="s">
        <v>177</v>
      </c>
      <c r="H1911" t="s">
        <v>565</v>
      </c>
      <c r="I1911" t="s">
        <v>7146</v>
      </c>
      <c r="J1911" t="s">
        <v>37</v>
      </c>
      <c r="K1911" t="s">
        <v>37</v>
      </c>
      <c r="L1911" t="s">
        <v>39</v>
      </c>
      <c r="M1911" t="s">
        <v>37</v>
      </c>
      <c r="N1911" t="s">
        <v>37</v>
      </c>
      <c r="O1911" t="s">
        <v>39</v>
      </c>
      <c r="P1911" t="s">
        <v>37</v>
      </c>
      <c r="Q1911" t="s">
        <v>37</v>
      </c>
      <c r="R1911" t="s">
        <v>39</v>
      </c>
      <c r="S1911" t="s">
        <v>41</v>
      </c>
      <c r="T1911" t="s">
        <v>7098</v>
      </c>
      <c r="U1911" t="s">
        <v>7099</v>
      </c>
      <c r="V1911" t="s">
        <v>6450</v>
      </c>
      <c r="W1911" t="s">
        <v>7100</v>
      </c>
      <c r="Z1911" t="s">
        <v>46</v>
      </c>
      <c r="AA1911" t="s">
        <v>7101</v>
      </c>
      <c r="AB1911" t="s">
        <v>3109</v>
      </c>
      <c r="AC1911">
        <f>COUNTIF(C:C,QLKV_gui_ket_qua_ra_soat[[#This Row],[Mã điểm bán]])</f>
        <v>1</v>
      </c>
    </row>
    <row r="1912" spans="1:29" x14ac:dyDescent="0.45">
      <c r="A1912" t="s">
        <v>6444</v>
      </c>
      <c r="B1912">
        <v>233</v>
      </c>
      <c r="C1912" t="s">
        <v>7147</v>
      </c>
      <c r="D1912" t="s">
        <v>7026</v>
      </c>
      <c r="E1912" t="s">
        <v>219</v>
      </c>
      <c r="F1912" t="s">
        <v>7148</v>
      </c>
      <c r="G1912" t="s">
        <v>177</v>
      </c>
      <c r="H1912" t="s">
        <v>5951</v>
      </c>
      <c r="I1912" t="s">
        <v>7149</v>
      </c>
      <c r="J1912" t="s">
        <v>37</v>
      </c>
      <c r="K1912" t="s">
        <v>37</v>
      </c>
      <c r="L1912" t="s">
        <v>39</v>
      </c>
      <c r="M1912" t="s">
        <v>37</v>
      </c>
      <c r="N1912" t="s">
        <v>37</v>
      </c>
      <c r="O1912" t="s">
        <v>39</v>
      </c>
      <c r="P1912" t="s">
        <v>37</v>
      </c>
      <c r="Q1912" t="s">
        <v>37</v>
      </c>
      <c r="R1912" t="s">
        <v>39</v>
      </c>
      <c r="S1912" t="s">
        <v>41</v>
      </c>
      <c r="T1912" t="s">
        <v>7105</v>
      </c>
      <c r="U1912" t="s">
        <v>7106</v>
      </c>
      <c r="V1912" t="s">
        <v>6450</v>
      </c>
      <c r="W1912" t="s">
        <v>7100</v>
      </c>
      <c r="X1912" t="s">
        <v>46</v>
      </c>
      <c r="AB1912" t="s">
        <v>3109</v>
      </c>
      <c r="AC1912">
        <f>COUNTIF(C:C,QLKV_gui_ket_qua_ra_soat[[#This Row],[Mã điểm bán]])</f>
        <v>1</v>
      </c>
    </row>
    <row r="1913" spans="1:29" x14ac:dyDescent="0.45">
      <c r="A1913" t="s">
        <v>6444</v>
      </c>
      <c r="B1913">
        <v>234</v>
      </c>
      <c r="C1913" t="s">
        <v>7150</v>
      </c>
      <c r="D1913" t="s">
        <v>7151</v>
      </c>
      <c r="E1913" t="s">
        <v>109</v>
      </c>
      <c r="F1913" t="s">
        <v>53</v>
      </c>
      <c r="G1913" t="s">
        <v>34</v>
      </c>
      <c r="H1913" t="s">
        <v>550</v>
      </c>
      <c r="I1913" t="s">
        <v>7152</v>
      </c>
      <c r="J1913" t="s">
        <v>37</v>
      </c>
      <c r="K1913" t="s">
        <v>38</v>
      </c>
      <c r="L1913" t="s">
        <v>39</v>
      </c>
      <c r="M1913" t="s">
        <v>37</v>
      </c>
      <c r="N1913" t="s">
        <v>37</v>
      </c>
      <c r="O1913" t="s">
        <v>39</v>
      </c>
      <c r="P1913" t="s">
        <v>37</v>
      </c>
      <c r="Q1913" t="s">
        <v>37</v>
      </c>
      <c r="R1913" t="s">
        <v>39</v>
      </c>
      <c r="S1913" t="s">
        <v>41</v>
      </c>
      <c r="T1913" t="s">
        <v>7105</v>
      </c>
      <c r="U1913" t="s">
        <v>7106</v>
      </c>
      <c r="V1913" t="s">
        <v>6450</v>
      </c>
      <c r="W1913" t="s">
        <v>7100</v>
      </c>
      <c r="X1913" t="s">
        <v>46</v>
      </c>
      <c r="AC1913">
        <f>COUNTIF(C:C,QLKV_gui_ket_qua_ra_soat[[#This Row],[Mã điểm bán]])</f>
        <v>1</v>
      </c>
    </row>
    <row r="1914" spans="1:29" x14ac:dyDescent="0.45">
      <c r="A1914" t="s">
        <v>6444</v>
      </c>
      <c r="B1914">
        <v>235</v>
      </c>
      <c r="C1914" t="s">
        <v>7153</v>
      </c>
      <c r="D1914" t="s">
        <v>7154</v>
      </c>
      <c r="E1914" t="s">
        <v>98</v>
      </c>
      <c r="F1914" t="s">
        <v>4431</v>
      </c>
      <c r="G1914" t="s">
        <v>34</v>
      </c>
      <c r="H1914" t="s">
        <v>1736</v>
      </c>
      <c r="I1914" t="s">
        <v>7104</v>
      </c>
      <c r="J1914" t="s">
        <v>38</v>
      </c>
      <c r="K1914" t="s">
        <v>37</v>
      </c>
      <c r="L1914" t="s">
        <v>39</v>
      </c>
      <c r="M1914" t="s">
        <v>37</v>
      </c>
      <c r="N1914" t="s">
        <v>37</v>
      </c>
      <c r="O1914" t="s">
        <v>39</v>
      </c>
      <c r="P1914" t="s">
        <v>38</v>
      </c>
      <c r="Q1914" t="s">
        <v>37</v>
      </c>
      <c r="R1914" t="s">
        <v>39</v>
      </c>
      <c r="S1914" t="s">
        <v>41</v>
      </c>
      <c r="T1914" t="s">
        <v>7105</v>
      </c>
      <c r="U1914" t="s">
        <v>7106</v>
      </c>
      <c r="V1914" t="s">
        <v>6450</v>
      </c>
      <c r="W1914" t="s">
        <v>7100</v>
      </c>
      <c r="Z1914" t="s">
        <v>46</v>
      </c>
      <c r="AA1914" t="s">
        <v>6457</v>
      </c>
      <c r="AB1914" t="s">
        <v>4223</v>
      </c>
      <c r="AC1914">
        <f>COUNTIF(C:C,QLKV_gui_ket_qua_ra_soat[[#This Row],[Mã điểm bán]])</f>
        <v>1</v>
      </c>
    </row>
    <row r="1915" spans="1:29" x14ac:dyDescent="0.45">
      <c r="A1915" t="s">
        <v>6444</v>
      </c>
      <c r="B1915">
        <v>236</v>
      </c>
      <c r="C1915" t="s">
        <v>7155</v>
      </c>
      <c r="D1915" t="s">
        <v>7156</v>
      </c>
      <c r="E1915" t="s">
        <v>75</v>
      </c>
      <c r="F1915" t="s">
        <v>2089</v>
      </c>
      <c r="G1915" t="s">
        <v>34</v>
      </c>
      <c r="H1915" t="s">
        <v>2197</v>
      </c>
      <c r="I1915" t="s">
        <v>7157</v>
      </c>
      <c r="J1915" t="s">
        <v>37</v>
      </c>
      <c r="K1915" t="s">
        <v>37</v>
      </c>
      <c r="L1915" t="s">
        <v>39</v>
      </c>
      <c r="M1915" t="s">
        <v>37</v>
      </c>
      <c r="N1915" t="s">
        <v>37</v>
      </c>
      <c r="O1915" t="s">
        <v>39</v>
      </c>
      <c r="P1915" t="s">
        <v>37</v>
      </c>
      <c r="Q1915" t="s">
        <v>37</v>
      </c>
      <c r="R1915" t="s">
        <v>39</v>
      </c>
      <c r="S1915" t="s">
        <v>41</v>
      </c>
      <c r="T1915" t="s">
        <v>7105</v>
      </c>
      <c r="U1915" t="s">
        <v>7106</v>
      </c>
      <c r="V1915" t="s">
        <v>6450</v>
      </c>
      <c r="W1915" t="s">
        <v>7100</v>
      </c>
      <c r="Z1915" t="s">
        <v>46</v>
      </c>
      <c r="AA1915" t="s">
        <v>6457</v>
      </c>
      <c r="AB1915" t="s">
        <v>3109</v>
      </c>
      <c r="AC1915">
        <f>COUNTIF(C:C,QLKV_gui_ket_qua_ra_soat[[#This Row],[Mã điểm bán]])</f>
        <v>1</v>
      </c>
    </row>
    <row r="1916" spans="1:29" x14ac:dyDescent="0.45">
      <c r="A1916" t="s">
        <v>6444</v>
      </c>
      <c r="B1916">
        <v>237</v>
      </c>
      <c r="C1916" t="s">
        <v>7158</v>
      </c>
      <c r="D1916" t="s">
        <v>7159</v>
      </c>
      <c r="E1916" t="s">
        <v>138</v>
      </c>
      <c r="F1916" t="s">
        <v>33</v>
      </c>
      <c r="G1916" t="s">
        <v>34</v>
      </c>
      <c r="H1916" t="s">
        <v>2197</v>
      </c>
      <c r="I1916" t="s">
        <v>7161</v>
      </c>
      <c r="J1916" t="s">
        <v>37</v>
      </c>
      <c r="K1916" t="s">
        <v>37</v>
      </c>
      <c r="L1916" t="s">
        <v>39</v>
      </c>
      <c r="M1916" t="s">
        <v>37</v>
      </c>
      <c r="N1916" t="s">
        <v>37</v>
      </c>
      <c r="O1916" t="s">
        <v>39</v>
      </c>
      <c r="P1916" t="s">
        <v>37</v>
      </c>
      <c r="Q1916" t="s">
        <v>37</v>
      </c>
      <c r="R1916" t="s">
        <v>39</v>
      </c>
      <c r="S1916" t="s">
        <v>41</v>
      </c>
      <c r="T1916" t="s">
        <v>7105</v>
      </c>
      <c r="U1916" t="s">
        <v>7106</v>
      </c>
      <c r="V1916" t="s">
        <v>6450</v>
      </c>
      <c r="W1916" t="s">
        <v>7100</v>
      </c>
      <c r="X1916" t="s">
        <v>46</v>
      </c>
      <c r="AC1916">
        <f>COUNTIF(C:C,QLKV_gui_ket_qua_ra_soat[[#This Row],[Mã điểm bán]])</f>
        <v>1</v>
      </c>
    </row>
    <row r="1917" spans="1:29" x14ac:dyDescent="0.45">
      <c r="A1917" t="s">
        <v>6444</v>
      </c>
      <c r="B1917">
        <v>238</v>
      </c>
      <c r="C1917" t="s">
        <v>7162</v>
      </c>
      <c r="D1917" t="s">
        <v>7163</v>
      </c>
      <c r="E1917" t="s">
        <v>563</v>
      </c>
      <c r="F1917" t="s">
        <v>53</v>
      </c>
      <c r="G1917" t="s">
        <v>177</v>
      </c>
      <c r="H1917" t="s">
        <v>54</v>
      </c>
      <c r="I1917" t="s">
        <v>7164</v>
      </c>
      <c r="J1917" t="s">
        <v>37</v>
      </c>
      <c r="K1917" t="s">
        <v>37</v>
      </c>
      <c r="L1917" t="s">
        <v>40</v>
      </c>
      <c r="M1917" t="s">
        <v>37</v>
      </c>
      <c r="N1917" t="s">
        <v>37</v>
      </c>
      <c r="O1917" t="s">
        <v>39</v>
      </c>
      <c r="P1917" t="s">
        <v>38</v>
      </c>
      <c r="Q1917" t="s">
        <v>37</v>
      </c>
      <c r="R1917" t="s">
        <v>40</v>
      </c>
      <c r="S1917" t="s">
        <v>41</v>
      </c>
      <c r="T1917" t="s">
        <v>7098</v>
      </c>
      <c r="U1917" t="s">
        <v>7099</v>
      </c>
      <c r="V1917" t="s">
        <v>6450</v>
      </c>
      <c r="W1917" t="s">
        <v>7100</v>
      </c>
      <c r="X1917" t="s">
        <v>46</v>
      </c>
      <c r="AC1917">
        <f>COUNTIF(C:C,QLKV_gui_ket_qua_ra_soat[[#This Row],[Mã điểm bán]])</f>
        <v>1</v>
      </c>
    </row>
    <row r="1918" spans="1:29" x14ac:dyDescent="0.45">
      <c r="A1918" t="s">
        <v>6444</v>
      </c>
      <c r="B1918">
        <v>239</v>
      </c>
      <c r="C1918" t="s">
        <v>7165</v>
      </c>
      <c r="D1918" t="s">
        <v>7166</v>
      </c>
      <c r="E1918" t="s">
        <v>5866</v>
      </c>
      <c r="F1918" t="s">
        <v>166</v>
      </c>
      <c r="G1918" t="s">
        <v>34</v>
      </c>
      <c r="H1918" t="s">
        <v>917</v>
      </c>
      <c r="I1918" t="s">
        <v>7167</v>
      </c>
      <c r="J1918" t="s">
        <v>56</v>
      </c>
      <c r="K1918" t="s">
        <v>56</v>
      </c>
      <c r="L1918" t="s">
        <v>39</v>
      </c>
      <c r="M1918" t="s">
        <v>56</v>
      </c>
      <c r="N1918" t="s">
        <v>56</v>
      </c>
      <c r="O1918" t="s">
        <v>39</v>
      </c>
      <c r="P1918" t="s">
        <v>37</v>
      </c>
      <c r="Q1918" t="s">
        <v>37</v>
      </c>
      <c r="R1918" t="s">
        <v>39</v>
      </c>
      <c r="S1918" t="s">
        <v>41</v>
      </c>
      <c r="T1918" t="s">
        <v>7098</v>
      </c>
      <c r="U1918" t="s">
        <v>7099</v>
      </c>
      <c r="V1918" t="s">
        <v>6450</v>
      </c>
      <c r="W1918" t="s">
        <v>7100</v>
      </c>
      <c r="X1918" t="s">
        <v>46</v>
      </c>
      <c r="AC1918">
        <f>COUNTIF(C:C,QLKV_gui_ket_qua_ra_soat[[#This Row],[Mã điểm bán]])</f>
        <v>1</v>
      </c>
    </row>
    <row r="1919" spans="1:29" x14ac:dyDescent="0.45">
      <c r="A1919" t="s">
        <v>6444</v>
      </c>
      <c r="B1919">
        <v>240</v>
      </c>
      <c r="C1919" t="s">
        <v>7168</v>
      </c>
      <c r="D1919" t="s">
        <v>7169</v>
      </c>
      <c r="E1919" t="s">
        <v>108</v>
      </c>
      <c r="F1919" t="s">
        <v>325</v>
      </c>
      <c r="G1919" t="s">
        <v>34</v>
      </c>
      <c r="H1919" t="s">
        <v>319</v>
      </c>
      <c r="I1919" t="s">
        <v>7170</v>
      </c>
      <c r="J1919" t="s">
        <v>37</v>
      </c>
      <c r="K1919" t="s">
        <v>37</v>
      </c>
      <c r="L1919" t="s">
        <v>39</v>
      </c>
      <c r="M1919" t="s">
        <v>37</v>
      </c>
      <c r="N1919" t="s">
        <v>37</v>
      </c>
      <c r="O1919" t="s">
        <v>39</v>
      </c>
      <c r="P1919" t="s">
        <v>37</v>
      </c>
      <c r="Q1919" t="s">
        <v>37</v>
      </c>
      <c r="R1919" t="s">
        <v>39</v>
      </c>
      <c r="S1919" t="s">
        <v>41</v>
      </c>
      <c r="T1919" t="s">
        <v>7105</v>
      </c>
      <c r="U1919" t="s">
        <v>7106</v>
      </c>
      <c r="V1919" t="s">
        <v>6450</v>
      </c>
      <c r="W1919" t="s">
        <v>7100</v>
      </c>
      <c r="X1919" t="s">
        <v>46</v>
      </c>
      <c r="AC1919">
        <f>COUNTIF(C:C,QLKV_gui_ket_qua_ra_soat[[#This Row],[Mã điểm bán]])</f>
        <v>1</v>
      </c>
    </row>
    <row r="1920" spans="1:29" x14ac:dyDescent="0.45">
      <c r="A1920" t="s">
        <v>6444</v>
      </c>
      <c r="B1920">
        <v>241</v>
      </c>
      <c r="C1920" t="s">
        <v>7171</v>
      </c>
      <c r="D1920" t="s">
        <v>7172</v>
      </c>
      <c r="E1920" t="s">
        <v>2390</v>
      </c>
      <c r="F1920" t="s">
        <v>930</v>
      </c>
      <c r="G1920" t="s">
        <v>177</v>
      </c>
      <c r="H1920" t="s">
        <v>171</v>
      </c>
      <c r="I1920" t="s">
        <v>7173</v>
      </c>
      <c r="J1920" t="s">
        <v>37</v>
      </c>
      <c r="K1920" t="s">
        <v>37</v>
      </c>
      <c r="L1920" t="s">
        <v>39</v>
      </c>
      <c r="M1920" t="s">
        <v>56</v>
      </c>
      <c r="N1920" t="s">
        <v>56</v>
      </c>
      <c r="O1920" t="s">
        <v>39</v>
      </c>
      <c r="P1920" t="s">
        <v>37</v>
      </c>
      <c r="Q1920" t="s">
        <v>37</v>
      </c>
      <c r="R1920" t="s">
        <v>40</v>
      </c>
      <c r="S1920" t="s">
        <v>41</v>
      </c>
      <c r="T1920" t="s">
        <v>7098</v>
      </c>
      <c r="U1920" t="s">
        <v>7099</v>
      </c>
      <c r="V1920" t="s">
        <v>6450</v>
      </c>
      <c r="W1920" t="s">
        <v>7100</v>
      </c>
      <c r="X1920" t="s">
        <v>46</v>
      </c>
      <c r="AC1920">
        <f>COUNTIF(C:C,QLKV_gui_ket_qua_ra_soat[[#This Row],[Mã điểm bán]])</f>
        <v>1</v>
      </c>
    </row>
    <row r="1921" spans="1:29" x14ac:dyDescent="0.45">
      <c r="A1921" t="s">
        <v>6444</v>
      </c>
      <c r="B1921">
        <v>242</v>
      </c>
      <c r="C1921" t="s">
        <v>7174</v>
      </c>
      <c r="D1921" t="s">
        <v>7175</v>
      </c>
      <c r="E1921" t="s">
        <v>206</v>
      </c>
      <c r="F1921" t="s">
        <v>53</v>
      </c>
      <c r="G1921" t="s">
        <v>34</v>
      </c>
      <c r="H1921" t="s">
        <v>1025</v>
      </c>
      <c r="I1921" t="s">
        <v>7176</v>
      </c>
      <c r="J1921" t="s">
        <v>37</v>
      </c>
      <c r="K1921" t="s">
        <v>37</v>
      </c>
      <c r="L1921" t="s">
        <v>39</v>
      </c>
      <c r="M1921" t="s">
        <v>37</v>
      </c>
      <c r="N1921" t="s">
        <v>37</v>
      </c>
      <c r="O1921" t="s">
        <v>39</v>
      </c>
      <c r="P1921" t="s">
        <v>37</v>
      </c>
      <c r="Q1921" t="s">
        <v>37</v>
      </c>
      <c r="R1921" t="s">
        <v>39</v>
      </c>
      <c r="S1921" t="s">
        <v>41</v>
      </c>
      <c r="T1921" t="s">
        <v>7105</v>
      </c>
      <c r="U1921" t="s">
        <v>7106</v>
      </c>
      <c r="V1921" t="s">
        <v>6450</v>
      </c>
      <c r="W1921" t="s">
        <v>7100</v>
      </c>
      <c r="X1921" t="s">
        <v>46</v>
      </c>
      <c r="AB1921" t="s">
        <v>3101</v>
      </c>
      <c r="AC1921">
        <f>COUNTIF(C:C,QLKV_gui_ket_qua_ra_soat[[#This Row],[Mã điểm bán]])</f>
        <v>1</v>
      </c>
    </row>
    <row r="1922" spans="1:29" x14ac:dyDescent="0.45">
      <c r="A1922" t="s">
        <v>6444</v>
      </c>
      <c r="B1922">
        <v>243</v>
      </c>
      <c r="C1922" t="s">
        <v>7177</v>
      </c>
      <c r="D1922" t="s">
        <v>7178</v>
      </c>
      <c r="E1922" t="s">
        <v>138</v>
      </c>
      <c r="F1922" t="s">
        <v>70</v>
      </c>
      <c r="G1922" t="s">
        <v>34</v>
      </c>
      <c r="H1922" t="s">
        <v>2197</v>
      </c>
      <c r="I1922" t="s">
        <v>7179</v>
      </c>
      <c r="J1922" t="s">
        <v>37</v>
      </c>
      <c r="K1922" t="s">
        <v>37</v>
      </c>
      <c r="L1922" t="s">
        <v>39</v>
      </c>
      <c r="M1922" t="s">
        <v>37</v>
      </c>
      <c r="N1922" t="s">
        <v>37</v>
      </c>
      <c r="O1922" t="s">
        <v>39</v>
      </c>
      <c r="P1922" t="s">
        <v>37</v>
      </c>
      <c r="Q1922" t="s">
        <v>37</v>
      </c>
      <c r="R1922" t="s">
        <v>39</v>
      </c>
      <c r="S1922" t="s">
        <v>41</v>
      </c>
      <c r="T1922" t="s">
        <v>7105</v>
      </c>
      <c r="U1922" t="s">
        <v>7106</v>
      </c>
      <c r="V1922" t="s">
        <v>6450</v>
      </c>
      <c r="W1922" t="s">
        <v>7100</v>
      </c>
      <c r="X1922" t="s">
        <v>46</v>
      </c>
      <c r="AC1922">
        <f>COUNTIF(C:C,QLKV_gui_ket_qua_ra_soat[[#This Row],[Mã điểm bán]])</f>
        <v>1</v>
      </c>
    </row>
    <row r="1923" spans="1:29" x14ac:dyDescent="0.45">
      <c r="A1923" t="s">
        <v>6444</v>
      </c>
      <c r="B1923">
        <v>244</v>
      </c>
      <c r="C1923" t="s">
        <v>7180</v>
      </c>
      <c r="D1923" t="s">
        <v>7181</v>
      </c>
      <c r="E1923" t="s">
        <v>523</v>
      </c>
      <c r="F1923" t="s">
        <v>53</v>
      </c>
      <c r="G1923" t="s">
        <v>34</v>
      </c>
      <c r="H1923" t="s">
        <v>171</v>
      </c>
      <c r="I1923" t="s">
        <v>7182</v>
      </c>
      <c r="J1923" t="s">
        <v>38</v>
      </c>
      <c r="K1923" t="s">
        <v>38</v>
      </c>
      <c r="L1923" t="s">
        <v>40</v>
      </c>
      <c r="M1923" t="s">
        <v>38</v>
      </c>
      <c r="N1923" t="s">
        <v>38</v>
      </c>
      <c r="O1923" t="s">
        <v>40</v>
      </c>
      <c r="P1923" t="s">
        <v>38</v>
      </c>
      <c r="Q1923" t="s">
        <v>38</v>
      </c>
      <c r="R1923" t="s">
        <v>39</v>
      </c>
      <c r="S1923" t="s">
        <v>41</v>
      </c>
      <c r="T1923" t="s">
        <v>7183</v>
      </c>
      <c r="U1923" t="s">
        <v>7184</v>
      </c>
      <c r="V1923" t="s">
        <v>6450</v>
      </c>
      <c r="W1923" t="s">
        <v>7100</v>
      </c>
      <c r="X1923" t="s">
        <v>46</v>
      </c>
      <c r="AC1923">
        <f>COUNTIF(C:C,QLKV_gui_ket_qua_ra_soat[[#This Row],[Mã điểm bán]])</f>
        <v>1</v>
      </c>
    </row>
    <row r="1924" spans="1:29" x14ac:dyDescent="0.45">
      <c r="A1924" t="s">
        <v>6444</v>
      </c>
      <c r="B1924">
        <v>245</v>
      </c>
      <c r="C1924" t="s">
        <v>7185</v>
      </c>
      <c r="D1924" t="s">
        <v>7186</v>
      </c>
      <c r="E1924" t="s">
        <v>206</v>
      </c>
      <c r="F1924" t="s">
        <v>401</v>
      </c>
      <c r="G1924" t="s">
        <v>177</v>
      </c>
      <c r="H1924" t="s">
        <v>54</v>
      </c>
      <c r="I1924" t="s">
        <v>7170</v>
      </c>
      <c r="J1924" t="s">
        <v>37</v>
      </c>
      <c r="K1924" t="s">
        <v>37</v>
      </c>
      <c r="L1924" t="s">
        <v>39</v>
      </c>
      <c r="M1924" t="s">
        <v>37</v>
      </c>
      <c r="N1924" t="s">
        <v>37</v>
      </c>
      <c r="O1924" t="s">
        <v>39</v>
      </c>
      <c r="P1924" t="s">
        <v>37</v>
      </c>
      <c r="Q1924" t="s">
        <v>37</v>
      </c>
      <c r="R1924" t="s">
        <v>39</v>
      </c>
      <c r="S1924" t="s">
        <v>41</v>
      </c>
      <c r="T1924" t="s">
        <v>7105</v>
      </c>
      <c r="U1924" t="s">
        <v>7106</v>
      </c>
      <c r="V1924" t="s">
        <v>6450</v>
      </c>
      <c r="W1924" t="s">
        <v>7100</v>
      </c>
      <c r="X1924" t="s">
        <v>46</v>
      </c>
      <c r="AC1924">
        <f>COUNTIF(C:C,QLKV_gui_ket_qua_ra_soat[[#This Row],[Mã điểm bán]])</f>
        <v>1</v>
      </c>
    </row>
    <row r="1925" spans="1:29" x14ac:dyDescent="0.45">
      <c r="A1925" t="s">
        <v>6444</v>
      </c>
      <c r="B1925">
        <v>246</v>
      </c>
      <c r="C1925" t="s">
        <v>7187</v>
      </c>
      <c r="D1925" t="s">
        <v>7188</v>
      </c>
      <c r="E1925" t="s">
        <v>1015</v>
      </c>
      <c r="F1925" t="s">
        <v>1882</v>
      </c>
      <c r="G1925" t="s">
        <v>34</v>
      </c>
      <c r="H1925" t="s">
        <v>479</v>
      </c>
      <c r="I1925" t="s">
        <v>7189</v>
      </c>
      <c r="J1925" t="s">
        <v>38</v>
      </c>
      <c r="K1925" t="s">
        <v>38</v>
      </c>
      <c r="L1925" t="s">
        <v>40</v>
      </c>
      <c r="M1925" t="s">
        <v>38</v>
      </c>
      <c r="N1925" t="s">
        <v>37</v>
      </c>
      <c r="O1925" t="s">
        <v>40</v>
      </c>
      <c r="P1925" t="s">
        <v>38</v>
      </c>
      <c r="Q1925" t="s">
        <v>37</v>
      </c>
      <c r="R1925" t="s">
        <v>40</v>
      </c>
      <c r="S1925" t="s">
        <v>41</v>
      </c>
      <c r="T1925" t="s">
        <v>7183</v>
      </c>
      <c r="U1925" t="s">
        <v>7184</v>
      </c>
      <c r="V1925" t="s">
        <v>6450</v>
      </c>
      <c r="W1925" t="s">
        <v>7100</v>
      </c>
      <c r="Z1925" t="s">
        <v>46</v>
      </c>
      <c r="AA1925" t="s">
        <v>7101</v>
      </c>
      <c r="AB1925" t="s">
        <v>3109</v>
      </c>
      <c r="AC1925">
        <f>COUNTIF(C:C,QLKV_gui_ket_qua_ra_soat[[#This Row],[Mã điểm bán]])</f>
        <v>1</v>
      </c>
    </row>
    <row r="1926" spans="1:29" x14ac:dyDescent="0.45">
      <c r="A1926" t="s">
        <v>6444</v>
      </c>
      <c r="B1926">
        <v>247</v>
      </c>
      <c r="C1926" t="s">
        <v>7190</v>
      </c>
      <c r="D1926" t="s">
        <v>7191</v>
      </c>
      <c r="E1926" t="s">
        <v>69</v>
      </c>
      <c r="F1926" t="s">
        <v>53</v>
      </c>
      <c r="G1926" t="s">
        <v>34</v>
      </c>
      <c r="H1926" t="s">
        <v>54</v>
      </c>
      <c r="I1926" t="s">
        <v>7176</v>
      </c>
      <c r="J1926" t="s">
        <v>37</v>
      </c>
      <c r="K1926" t="s">
        <v>37</v>
      </c>
      <c r="L1926" t="s">
        <v>39</v>
      </c>
      <c r="M1926" t="s">
        <v>37</v>
      </c>
      <c r="N1926" t="s">
        <v>37</v>
      </c>
      <c r="O1926" t="s">
        <v>39</v>
      </c>
      <c r="P1926" t="s">
        <v>37</v>
      </c>
      <c r="Q1926" t="s">
        <v>37</v>
      </c>
      <c r="R1926" t="s">
        <v>39</v>
      </c>
      <c r="S1926" t="s">
        <v>41</v>
      </c>
      <c r="T1926" t="s">
        <v>7105</v>
      </c>
      <c r="U1926" t="s">
        <v>7106</v>
      </c>
      <c r="V1926" t="s">
        <v>6450</v>
      </c>
      <c r="W1926" t="s">
        <v>7100</v>
      </c>
      <c r="X1926" t="s">
        <v>46</v>
      </c>
      <c r="AC1926">
        <f>COUNTIF(C:C,QLKV_gui_ket_qua_ra_soat[[#This Row],[Mã điểm bán]])</f>
        <v>1</v>
      </c>
    </row>
    <row r="1927" spans="1:29" x14ac:dyDescent="0.45">
      <c r="A1927" t="s">
        <v>6444</v>
      </c>
      <c r="B1927">
        <v>248</v>
      </c>
      <c r="C1927" t="s">
        <v>7192</v>
      </c>
      <c r="D1927" t="s">
        <v>7193</v>
      </c>
      <c r="E1927" t="s">
        <v>148</v>
      </c>
      <c r="F1927" t="s">
        <v>70</v>
      </c>
      <c r="G1927" t="s">
        <v>34</v>
      </c>
      <c r="H1927" t="s">
        <v>1188</v>
      </c>
      <c r="I1927" t="s">
        <v>7161</v>
      </c>
      <c r="J1927" t="s">
        <v>37</v>
      </c>
      <c r="K1927" t="s">
        <v>37</v>
      </c>
      <c r="L1927" t="s">
        <v>39</v>
      </c>
      <c r="M1927" t="s">
        <v>37</v>
      </c>
      <c r="N1927" t="s">
        <v>37</v>
      </c>
      <c r="O1927" t="s">
        <v>39</v>
      </c>
      <c r="P1927" t="s">
        <v>37</v>
      </c>
      <c r="Q1927" t="s">
        <v>37</v>
      </c>
      <c r="R1927" t="s">
        <v>39</v>
      </c>
      <c r="S1927" t="s">
        <v>41</v>
      </c>
      <c r="T1927" t="s">
        <v>7105</v>
      </c>
      <c r="U1927" t="s">
        <v>7106</v>
      </c>
      <c r="V1927" t="s">
        <v>6450</v>
      </c>
      <c r="W1927" t="s">
        <v>7100</v>
      </c>
      <c r="X1927" t="s">
        <v>46</v>
      </c>
      <c r="AC1927">
        <f>COUNTIF(C:C,QLKV_gui_ket_qua_ra_soat[[#This Row],[Mã điểm bán]])</f>
        <v>1</v>
      </c>
    </row>
    <row r="1928" spans="1:29" x14ac:dyDescent="0.45">
      <c r="A1928" t="s">
        <v>6444</v>
      </c>
      <c r="B1928">
        <v>249</v>
      </c>
      <c r="C1928" t="s">
        <v>7194</v>
      </c>
      <c r="D1928" t="s">
        <v>7195</v>
      </c>
      <c r="E1928" t="s">
        <v>455</v>
      </c>
      <c r="F1928" t="s">
        <v>7196</v>
      </c>
      <c r="G1928" t="s">
        <v>34</v>
      </c>
      <c r="H1928" t="s">
        <v>1877</v>
      </c>
      <c r="I1928" t="s">
        <v>7197</v>
      </c>
      <c r="J1928" t="s">
        <v>37</v>
      </c>
      <c r="K1928" t="s">
        <v>37</v>
      </c>
      <c r="L1928" t="s">
        <v>39</v>
      </c>
      <c r="M1928" t="s">
        <v>37</v>
      </c>
      <c r="N1928" t="s">
        <v>56</v>
      </c>
      <c r="O1928" t="s">
        <v>39</v>
      </c>
      <c r="P1928" t="s">
        <v>37</v>
      </c>
      <c r="Q1928" t="s">
        <v>37</v>
      </c>
      <c r="R1928" t="s">
        <v>40</v>
      </c>
      <c r="S1928" t="s">
        <v>7198</v>
      </c>
      <c r="T1928" t="s">
        <v>7112</v>
      </c>
      <c r="U1928" t="s">
        <v>7106</v>
      </c>
      <c r="V1928" t="s">
        <v>6450</v>
      </c>
      <c r="W1928" t="s">
        <v>7100</v>
      </c>
      <c r="Z1928" t="s">
        <v>46</v>
      </c>
      <c r="AA1928" t="s">
        <v>6457</v>
      </c>
      <c r="AB1928" t="s">
        <v>4223</v>
      </c>
      <c r="AC1928">
        <f>COUNTIF(C:C,QLKV_gui_ket_qua_ra_soat[[#This Row],[Mã điểm bán]])</f>
        <v>1</v>
      </c>
    </row>
    <row r="1929" spans="1:29" x14ac:dyDescent="0.45">
      <c r="A1929" t="s">
        <v>6444</v>
      </c>
      <c r="B1929">
        <v>250</v>
      </c>
      <c r="C1929" t="s">
        <v>7199</v>
      </c>
      <c r="D1929" t="s">
        <v>7200</v>
      </c>
      <c r="E1929" t="s">
        <v>127</v>
      </c>
      <c r="F1929" t="s">
        <v>53</v>
      </c>
      <c r="G1929" t="s">
        <v>34</v>
      </c>
      <c r="H1929" t="s">
        <v>842</v>
      </c>
      <c r="I1929" t="s">
        <v>7201</v>
      </c>
      <c r="J1929" t="s">
        <v>38</v>
      </c>
      <c r="K1929" t="s">
        <v>38</v>
      </c>
      <c r="L1929" t="s">
        <v>39</v>
      </c>
      <c r="M1929" t="s">
        <v>38</v>
      </c>
      <c r="N1929" t="s">
        <v>37</v>
      </c>
      <c r="O1929" t="s">
        <v>40</v>
      </c>
      <c r="P1929" t="s">
        <v>38</v>
      </c>
      <c r="Q1929" t="s">
        <v>38</v>
      </c>
      <c r="R1929" t="s">
        <v>39</v>
      </c>
      <c r="S1929" t="s">
        <v>41</v>
      </c>
      <c r="T1929" t="s">
        <v>7183</v>
      </c>
      <c r="U1929" t="s">
        <v>7184</v>
      </c>
      <c r="V1929" t="s">
        <v>6450</v>
      </c>
      <c r="W1929" t="s">
        <v>7100</v>
      </c>
      <c r="Z1929" t="s">
        <v>46</v>
      </c>
      <c r="AA1929" t="s">
        <v>6457</v>
      </c>
      <c r="AB1929" t="s">
        <v>4223</v>
      </c>
      <c r="AC1929">
        <f>COUNTIF(C:C,QLKV_gui_ket_qua_ra_soat[[#This Row],[Mã điểm bán]])</f>
        <v>1</v>
      </c>
    </row>
    <row r="1930" spans="1:29" x14ac:dyDescent="0.45">
      <c r="A1930" t="s">
        <v>6444</v>
      </c>
      <c r="B1930">
        <v>251</v>
      </c>
      <c r="C1930" t="s">
        <v>7202</v>
      </c>
      <c r="D1930" t="s">
        <v>7203</v>
      </c>
      <c r="E1930" t="s">
        <v>742</v>
      </c>
      <c r="F1930" t="s">
        <v>53</v>
      </c>
      <c r="G1930" t="s">
        <v>150</v>
      </c>
      <c r="H1930" t="s">
        <v>4689</v>
      </c>
      <c r="I1930" t="s">
        <v>7204</v>
      </c>
      <c r="J1930" t="s">
        <v>38</v>
      </c>
      <c r="K1930" t="s">
        <v>38</v>
      </c>
      <c r="L1930" t="s">
        <v>40</v>
      </c>
      <c r="M1930" t="s">
        <v>38</v>
      </c>
      <c r="N1930" t="s">
        <v>38</v>
      </c>
      <c r="O1930" t="s">
        <v>40</v>
      </c>
      <c r="P1930" t="s">
        <v>38</v>
      </c>
      <c r="Q1930" t="s">
        <v>38</v>
      </c>
      <c r="R1930" t="s">
        <v>40</v>
      </c>
      <c r="S1930" t="s">
        <v>41</v>
      </c>
      <c r="T1930" t="s">
        <v>7183</v>
      </c>
      <c r="U1930" t="s">
        <v>7184</v>
      </c>
      <c r="V1930" t="s">
        <v>6450</v>
      </c>
      <c r="W1930" t="s">
        <v>7100</v>
      </c>
      <c r="Y1930" t="s">
        <v>46</v>
      </c>
      <c r="AB1930" t="s">
        <v>3109</v>
      </c>
      <c r="AC1930">
        <f>COUNTIF(C:C,QLKV_gui_ket_qua_ra_soat[[#This Row],[Mã điểm bán]])</f>
        <v>1</v>
      </c>
    </row>
    <row r="1931" spans="1:29" x14ac:dyDescent="0.45">
      <c r="A1931" t="s">
        <v>6444</v>
      </c>
      <c r="B1931">
        <v>252</v>
      </c>
      <c r="C1931" t="s">
        <v>7205</v>
      </c>
      <c r="D1931" t="s">
        <v>7206</v>
      </c>
      <c r="E1931" t="s">
        <v>297</v>
      </c>
      <c r="F1931" t="s">
        <v>426</v>
      </c>
      <c r="G1931" t="s">
        <v>34</v>
      </c>
      <c r="H1931" t="s">
        <v>4797</v>
      </c>
      <c r="I1931" t="s">
        <v>7207</v>
      </c>
      <c r="J1931" t="s">
        <v>37</v>
      </c>
      <c r="K1931" t="s">
        <v>56</v>
      </c>
      <c r="L1931" t="s">
        <v>39</v>
      </c>
      <c r="M1931" t="s">
        <v>38</v>
      </c>
      <c r="N1931" t="s">
        <v>37</v>
      </c>
      <c r="O1931" t="s">
        <v>39</v>
      </c>
      <c r="P1931" t="s">
        <v>38</v>
      </c>
      <c r="Q1931" t="s">
        <v>38</v>
      </c>
      <c r="R1931" t="s">
        <v>40</v>
      </c>
      <c r="S1931" t="s">
        <v>41</v>
      </c>
      <c r="T1931" t="s">
        <v>7112</v>
      </c>
      <c r="U1931" t="s">
        <v>7106</v>
      </c>
      <c r="V1931" t="s">
        <v>6450</v>
      </c>
      <c r="W1931" t="s">
        <v>7100</v>
      </c>
      <c r="X1931" t="s">
        <v>46</v>
      </c>
      <c r="AC1931">
        <f>COUNTIF(C:C,QLKV_gui_ket_qua_ra_soat[[#This Row],[Mã điểm bán]])</f>
        <v>1</v>
      </c>
    </row>
    <row r="1932" spans="1:29" x14ac:dyDescent="0.45">
      <c r="A1932" t="s">
        <v>6444</v>
      </c>
      <c r="B1932">
        <v>253</v>
      </c>
      <c r="C1932" t="s">
        <v>7208</v>
      </c>
      <c r="D1932" t="s">
        <v>7209</v>
      </c>
      <c r="E1932" t="s">
        <v>304</v>
      </c>
      <c r="F1932" t="s">
        <v>53</v>
      </c>
      <c r="G1932" t="s">
        <v>34</v>
      </c>
      <c r="H1932" t="s">
        <v>507</v>
      </c>
      <c r="I1932" t="s">
        <v>496</v>
      </c>
      <c r="J1932" t="s">
        <v>37</v>
      </c>
      <c r="K1932" t="s">
        <v>56</v>
      </c>
      <c r="L1932" t="s">
        <v>39</v>
      </c>
      <c r="M1932" t="s">
        <v>37</v>
      </c>
      <c r="N1932" t="s">
        <v>37</v>
      </c>
      <c r="O1932" t="s">
        <v>40</v>
      </c>
      <c r="P1932" t="s">
        <v>38</v>
      </c>
      <c r="Q1932" t="s">
        <v>38</v>
      </c>
      <c r="R1932" t="s">
        <v>40</v>
      </c>
      <c r="S1932" t="s">
        <v>41</v>
      </c>
      <c r="T1932" t="s">
        <v>7112</v>
      </c>
      <c r="U1932" t="s">
        <v>7106</v>
      </c>
      <c r="V1932" t="s">
        <v>6450</v>
      </c>
      <c r="W1932" t="s">
        <v>7100</v>
      </c>
      <c r="X1932" t="s">
        <v>46</v>
      </c>
      <c r="AC1932">
        <f>COUNTIF(C:C,QLKV_gui_ket_qua_ra_soat[[#This Row],[Mã điểm bán]])</f>
        <v>1</v>
      </c>
    </row>
    <row r="1933" spans="1:29" x14ac:dyDescent="0.45">
      <c r="A1933" t="s">
        <v>6444</v>
      </c>
      <c r="B1933">
        <v>254</v>
      </c>
      <c r="C1933" t="s">
        <v>7210</v>
      </c>
      <c r="D1933" t="s">
        <v>7211</v>
      </c>
      <c r="E1933" t="s">
        <v>297</v>
      </c>
      <c r="F1933" t="s">
        <v>2089</v>
      </c>
      <c r="G1933" t="s">
        <v>34</v>
      </c>
      <c r="H1933" t="s">
        <v>1574</v>
      </c>
      <c r="I1933" t="s">
        <v>7212</v>
      </c>
      <c r="J1933" t="s">
        <v>38</v>
      </c>
      <c r="K1933" t="s">
        <v>37</v>
      </c>
      <c r="L1933" t="s">
        <v>39</v>
      </c>
      <c r="M1933" t="s">
        <v>38</v>
      </c>
      <c r="N1933" t="s">
        <v>37</v>
      </c>
      <c r="O1933" t="s">
        <v>39</v>
      </c>
      <c r="P1933" t="s">
        <v>38</v>
      </c>
      <c r="Q1933" t="s">
        <v>37</v>
      </c>
      <c r="R1933" t="s">
        <v>39</v>
      </c>
      <c r="S1933" t="s">
        <v>41</v>
      </c>
      <c r="T1933" t="s">
        <v>7112</v>
      </c>
      <c r="U1933" t="s">
        <v>7106</v>
      </c>
      <c r="V1933" t="s">
        <v>6450</v>
      </c>
      <c r="W1933" t="s">
        <v>7100</v>
      </c>
      <c r="X1933" t="s">
        <v>46</v>
      </c>
      <c r="AC1933">
        <f>COUNTIF(C:C,QLKV_gui_ket_qua_ra_soat[[#This Row],[Mã điểm bán]])</f>
        <v>1</v>
      </c>
    </row>
    <row r="1934" spans="1:29" x14ac:dyDescent="0.45">
      <c r="A1934" t="s">
        <v>6444</v>
      </c>
      <c r="B1934">
        <v>255</v>
      </c>
      <c r="C1934" t="s">
        <v>7213</v>
      </c>
      <c r="D1934" t="s">
        <v>7214</v>
      </c>
      <c r="E1934" t="s">
        <v>176</v>
      </c>
      <c r="F1934" t="s">
        <v>53</v>
      </c>
      <c r="G1934" t="s">
        <v>34</v>
      </c>
      <c r="H1934" t="s">
        <v>2426</v>
      </c>
      <c r="I1934" t="s">
        <v>341</v>
      </c>
      <c r="J1934" t="s">
        <v>38</v>
      </c>
      <c r="K1934" t="s">
        <v>38</v>
      </c>
      <c r="L1934" t="s">
        <v>40</v>
      </c>
      <c r="M1934" t="s">
        <v>37</v>
      </c>
      <c r="N1934" t="s">
        <v>37</v>
      </c>
      <c r="O1934" t="s">
        <v>40</v>
      </c>
      <c r="P1934" t="s">
        <v>38</v>
      </c>
      <c r="Q1934" t="s">
        <v>38</v>
      </c>
      <c r="R1934" t="s">
        <v>40</v>
      </c>
      <c r="S1934" t="s">
        <v>7215</v>
      </c>
      <c r="T1934" t="s">
        <v>7112</v>
      </c>
      <c r="U1934" t="s">
        <v>7106</v>
      </c>
      <c r="V1934" t="s">
        <v>6450</v>
      </c>
      <c r="W1934" t="s">
        <v>7100</v>
      </c>
      <c r="X1934" t="s">
        <v>46</v>
      </c>
      <c r="AC1934">
        <f>COUNTIF(C:C,QLKV_gui_ket_qua_ra_soat[[#This Row],[Mã điểm bán]])</f>
        <v>1</v>
      </c>
    </row>
    <row r="1935" spans="1:29" x14ac:dyDescent="0.45">
      <c r="A1935" t="s">
        <v>6444</v>
      </c>
      <c r="B1935">
        <v>256</v>
      </c>
      <c r="C1935" t="s">
        <v>7216</v>
      </c>
      <c r="D1935" t="s">
        <v>7217</v>
      </c>
      <c r="E1935" t="s">
        <v>304</v>
      </c>
      <c r="F1935" t="s">
        <v>53</v>
      </c>
      <c r="G1935" t="s">
        <v>34</v>
      </c>
      <c r="H1935" t="s">
        <v>1750</v>
      </c>
      <c r="I1935" t="s">
        <v>341</v>
      </c>
      <c r="J1935" t="s">
        <v>37</v>
      </c>
      <c r="K1935" t="s">
        <v>56</v>
      </c>
      <c r="L1935" t="s">
        <v>39</v>
      </c>
      <c r="M1935" t="s">
        <v>37</v>
      </c>
      <c r="N1935" t="s">
        <v>38</v>
      </c>
      <c r="O1935" t="s">
        <v>39</v>
      </c>
      <c r="P1935" t="s">
        <v>38</v>
      </c>
      <c r="Q1935" t="s">
        <v>38</v>
      </c>
      <c r="R1935" t="s">
        <v>40</v>
      </c>
      <c r="S1935" t="s">
        <v>41</v>
      </c>
      <c r="T1935" t="s">
        <v>7112</v>
      </c>
      <c r="U1935" t="s">
        <v>7106</v>
      </c>
      <c r="V1935" t="s">
        <v>6450</v>
      </c>
      <c r="W1935" t="s">
        <v>7100</v>
      </c>
      <c r="Z1935" t="s">
        <v>46</v>
      </c>
      <c r="AA1935" t="s">
        <v>7101</v>
      </c>
      <c r="AC1935">
        <f>COUNTIF(C:C,QLKV_gui_ket_qua_ra_soat[[#This Row],[Mã điểm bán]])</f>
        <v>1</v>
      </c>
    </row>
    <row r="1936" spans="1:29" x14ac:dyDescent="0.45">
      <c r="A1936" t="s">
        <v>6444</v>
      </c>
      <c r="B1936">
        <v>257</v>
      </c>
      <c r="C1936" t="s">
        <v>7218</v>
      </c>
      <c r="D1936" t="s">
        <v>7219</v>
      </c>
      <c r="E1936" t="s">
        <v>91</v>
      </c>
      <c r="F1936" t="s">
        <v>115</v>
      </c>
      <c r="G1936" t="s">
        <v>34</v>
      </c>
      <c r="H1936" t="s">
        <v>1971</v>
      </c>
      <c r="I1936" t="s">
        <v>7170</v>
      </c>
      <c r="J1936" t="s">
        <v>37</v>
      </c>
      <c r="K1936" t="s">
        <v>37</v>
      </c>
      <c r="L1936" t="s">
        <v>39</v>
      </c>
      <c r="M1936" t="s">
        <v>37</v>
      </c>
      <c r="N1936" t="s">
        <v>37</v>
      </c>
      <c r="O1936" t="s">
        <v>39</v>
      </c>
      <c r="P1936" t="s">
        <v>37</v>
      </c>
      <c r="Q1936" t="s">
        <v>37</v>
      </c>
      <c r="R1936" t="s">
        <v>39</v>
      </c>
      <c r="S1936" t="s">
        <v>41</v>
      </c>
      <c r="T1936" t="s">
        <v>7105</v>
      </c>
      <c r="U1936" t="s">
        <v>7106</v>
      </c>
      <c r="V1936" t="s">
        <v>6450</v>
      </c>
      <c r="W1936" t="s">
        <v>7100</v>
      </c>
      <c r="X1936" t="s">
        <v>46</v>
      </c>
      <c r="AC1936">
        <f>COUNTIF(C:C,QLKV_gui_ket_qua_ra_soat[[#This Row],[Mã điểm bán]])</f>
        <v>1</v>
      </c>
    </row>
    <row r="1937" spans="1:29" x14ac:dyDescent="0.45">
      <c r="A1937" t="s">
        <v>6444</v>
      </c>
      <c r="B1937">
        <v>258</v>
      </c>
      <c r="C1937" t="s">
        <v>7220</v>
      </c>
      <c r="D1937" t="s">
        <v>7221</v>
      </c>
      <c r="E1937" t="s">
        <v>219</v>
      </c>
      <c r="F1937" t="s">
        <v>115</v>
      </c>
      <c r="G1937" t="s">
        <v>34</v>
      </c>
      <c r="H1937" t="s">
        <v>2044</v>
      </c>
      <c r="I1937" t="s">
        <v>7222</v>
      </c>
      <c r="J1937" t="s">
        <v>38</v>
      </c>
      <c r="K1937" t="s">
        <v>37</v>
      </c>
      <c r="L1937" t="s">
        <v>40</v>
      </c>
      <c r="M1937" t="s">
        <v>37</v>
      </c>
      <c r="N1937" t="s">
        <v>56</v>
      </c>
      <c r="O1937" t="s">
        <v>39</v>
      </c>
      <c r="P1937" t="s">
        <v>38</v>
      </c>
      <c r="Q1937" t="s">
        <v>38</v>
      </c>
      <c r="R1937" t="s">
        <v>40</v>
      </c>
      <c r="S1937" t="s">
        <v>7223</v>
      </c>
      <c r="T1937" t="s">
        <v>7112</v>
      </c>
      <c r="U1937" t="s">
        <v>7106</v>
      </c>
      <c r="V1937" t="s">
        <v>6450</v>
      </c>
      <c r="W1937" t="s">
        <v>7100</v>
      </c>
      <c r="Z1937" t="s">
        <v>46</v>
      </c>
      <c r="AA1937" t="s">
        <v>7101</v>
      </c>
      <c r="AB1937" t="s">
        <v>3109</v>
      </c>
      <c r="AC1937">
        <f>COUNTIF(C:C,QLKV_gui_ket_qua_ra_soat[[#This Row],[Mã điểm bán]])</f>
        <v>1</v>
      </c>
    </row>
    <row r="1938" spans="1:29" x14ac:dyDescent="0.45">
      <c r="A1938" t="s">
        <v>6444</v>
      </c>
      <c r="B1938">
        <v>259</v>
      </c>
      <c r="C1938" t="s">
        <v>7224</v>
      </c>
      <c r="D1938" t="s">
        <v>7225</v>
      </c>
      <c r="E1938" t="s">
        <v>32</v>
      </c>
      <c r="F1938" t="s">
        <v>401</v>
      </c>
      <c r="G1938" t="s">
        <v>34</v>
      </c>
      <c r="H1938" t="s">
        <v>2197</v>
      </c>
      <c r="I1938" t="s">
        <v>7226</v>
      </c>
      <c r="J1938" t="s">
        <v>37</v>
      </c>
      <c r="K1938" t="s">
        <v>37</v>
      </c>
      <c r="L1938" t="s">
        <v>39</v>
      </c>
      <c r="M1938" t="s">
        <v>37</v>
      </c>
      <c r="N1938" t="s">
        <v>37</v>
      </c>
      <c r="O1938" t="s">
        <v>39</v>
      </c>
      <c r="P1938" t="s">
        <v>37</v>
      </c>
      <c r="Q1938" t="s">
        <v>37</v>
      </c>
      <c r="R1938" t="s">
        <v>39</v>
      </c>
      <c r="S1938" t="s">
        <v>41</v>
      </c>
      <c r="T1938" t="s">
        <v>7105</v>
      </c>
      <c r="U1938" t="s">
        <v>7106</v>
      </c>
      <c r="V1938" t="s">
        <v>6450</v>
      </c>
      <c r="W1938" t="s">
        <v>7100</v>
      </c>
      <c r="Z1938" t="s">
        <v>46</v>
      </c>
      <c r="AA1938" t="s">
        <v>7101</v>
      </c>
      <c r="AB1938" t="s">
        <v>3109</v>
      </c>
      <c r="AC1938">
        <f>COUNTIF(C:C,QLKV_gui_ket_qua_ra_soat[[#This Row],[Mã điểm bán]])</f>
        <v>1</v>
      </c>
    </row>
    <row r="1939" spans="1:29" x14ac:dyDescent="0.45">
      <c r="A1939" t="s">
        <v>6444</v>
      </c>
      <c r="B1939">
        <v>260</v>
      </c>
      <c r="C1939" t="s">
        <v>7227</v>
      </c>
      <c r="D1939" t="s">
        <v>7228</v>
      </c>
      <c r="E1939" t="s">
        <v>304</v>
      </c>
      <c r="F1939" t="s">
        <v>53</v>
      </c>
      <c r="G1939" t="s">
        <v>34</v>
      </c>
      <c r="H1939" t="s">
        <v>171</v>
      </c>
      <c r="I1939" t="s">
        <v>341</v>
      </c>
      <c r="J1939" t="s">
        <v>38</v>
      </c>
      <c r="K1939" t="s">
        <v>38</v>
      </c>
      <c r="L1939" t="s">
        <v>40</v>
      </c>
      <c r="M1939" t="s">
        <v>37</v>
      </c>
      <c r="N1939" t="s">
        <v>38</v>
      </c>
      <c r="O1939" t="s">
        <v>40</v>
      </c>
      <c r="P1939" t="s">
        <v>38</v>
      </c>
      <c r="Q1939" t="s">
        <v>38</v>
      </c>
      <c r="R1939" t="s">
        <v>40</v>
      </c>
      <c r="S1939" t="s">
        <v>7229</v>
      </c>
      <c r="T1939" t="s">
        <v>7112</v>
      </c>
      <c r="U1939" t="s">
        <v>7106</v>
      </c>
      <c r="V1939" t="s">
        <v>6450</v>
      </c>
      <c r="W1939" t="s">
        <v>7100</v>
      </c>
      <c r="X1939" t="s">
        <v>46</v>
      </c>
      <c r="AC1939">
        <f>COUNTIF(C:C,QLKV_gui_ket_qua_ra_soat[[#This Row],[Mã điểm bán]])</f>
        <v>1</v>
      </c>
    </row>
    <row r="1940" spans="1:29" x14ac:dyDescent="0.45">
      <c r="A1940" t="s">
        <v>6444</v>
      </c>
      <c r="B1940">
        <v>261</v>
      </c>
      <c r="C1940" t="s">
        <v>7230</v>
      </c>
      <c r="D1940" t="s">
        <v>4154</v>
      </c>
      <c r="E1940" t="s">
        <v>219</v>
      </c>
      <c r="F1940" t="s">
        <v>325</v>
      </c>
      <c r="G1940" t="s">
        <v>34</v>
      </c>
      <c r="H1940" t="s">
        <v>1188</v>
      </c>
      <c r="I1940" t="s">
        <v>7231</v>
      </c>
      <c r="J1940" t="s">
        <v>37</v>
      </c>
      <c r="K1940" t="s">
        <v>37</v>
      </c>
      <c r="L1940" t="s">
        <v>39</v>
      </c>
      <c r="M1940" t="s">
        <v>37</v>
      </c>
      <c r="N1940" t="s">
        <v>37</v>
      </c>
      <c r="O1940" t="s">
        <v>39</v>
      </c>
      <c r="P1940" t="s">
        <v>37</v>
      </c>
      <c r="Q1940" t="s">
        <v>37</v>
      </c>
      <c r="R1940" t="s">
        <v>39</v>
      </c>
      <c r="S1940" t="s">
        <v>41</v>
      </c>
      <c r="T1940" t="s">
        <v>7105</v>
      </c>
      <c r="U1940" t="s">
        <v>7106</v>
      </c>
      <c r="V1940" t="s">
        <v>6450</v>
      </c>
      <c r="W1940" t="s">
        <v>7100</v>
      </c>
      <c r="Z1940" t="s">
        <v>46</v>
      </c>
      <c r="AA1940" t="s">
        <v>7101</v>
      </c>
      <c r="AB1940" t="s">
        <v>117</v>
      </c>
      <c r="AC1940">
        <f>COUNTIF(C:C,QLKV_gui_ket_qua_ra_soat[[#This Row],[Mã điểm bán]])</f>
        <v>1</v>
      </c>
    </row>
    <row r="1941" spans="1:29" x14ac:dyDescent="0.45">
      <c r="A1941" t="s">
        <v>6444</v>
      </c>
      <c r="B1941">
        <v>262</v>
      </c>
      <c r="C1941" t="s">
        <v>7232</v>
      </c>
      <c r="D1941" t="s">
        <v>7233</v>
      </c>
      <c r="E1941" t="s">
        <v>113</v>
      </c>
      <c r="F1941" t="s">
        <v>166</v>
      </c>
      <c r="G1941" t="s">
        <v>34</v>
      </c>
      <c r="H1941" t="s">
        <v>685</v>
      </c>
      <c r="I1941" t="s">
        <v>7207</v>
      </c>
      <c r="J1941" t="s">
        <v>56</v>
      </c>
      <c r="K1941" t="s">
        <v>38</v>
      </c>
      <c r="L1941" t="s">
        <v>39</v>
      </c>
      <c r="M1941" t="s">
        <v>37</v>
      </c>
      <c r="N1941" t="s">
        <v>37</v>
      </c>
      <c r="O1941" t="s">
        <v>39</v>
      </c>
      <c r="P1941" t="s">
        <v>38</v>
      </c>
      <c r="Q1941" t="s">
        <v>38</v>
      </c>
      <c r="R1941" t="s">
        <v>40</v>
      </c>
      <c r="S1941" t="s">
        <v>7234</v>
      </c>
      <c r="T1941" t="s">
        <v>7112</v>
      </c>
      <c r="U1941" t="s">
        <v>7106</v>
      </c>
      <c r="V1941" t="s">
        <v>6450</v>
      </c>
      <c r="W1941" t="s">
        <v>7100</v>
      </c>
      <c r="Z1941" t="s">
        <v>46</v>
      </c>
      <c r="AA1941" t="s">
        <v>7101</v>
      </c>
      <c r="AB1941" t="s">
        <v>3109</v>
      </c>
      <c r="AC1941">
        <f>COUNTIF(C:C,QLKV_gui_ket_qua_ra_soat[[#This Row],[Mã điểm bán]])</f>
        <v>1</v>
      </c>
    </row>
    <row r="1942" spans="1:29" x14ac:dyDescent="0.45">
      <c r="A1942" t="s">
        <v>6444</v>
      </c>
      <c r="B1942">
        <v>263</v>
      </c>
      <c r="C1942" t="s">
        <v>7235</v>
      </c>
      <c r="D1942" t="s">
        <v>7236</v>
      </c>
      <c r="E1942" t="s">
        <v>32</v>
      </c>
      <c r="F1942" t="s">
        <v>3258</v>
      </c>
      <c r="G1942" t="s">
        <v>34</v>
      </c>
      <c r="H1942" t="s">
        <v>319</v>
      </c>
      <c r="I1942" t="s">
        <v>7237</v>
      </c>
      <c r="J1942" t="s">
        <v>37</v>
      </c>
      <c r="K1942" t="s">
        <v>37</v>
      </c>
      <c r="L1942" t="s">
        <v>39</v>
      </c>
      <c r="M1942" t="s">
        <v>37</v>
      </c>
      <c r="N1942" t="s">
        <v>37</v>
      </c>
      <c r="O1942" t="s">
        <v>39</v>
      </c>
      <c r="P1942" t="s">
        <v>37</v>
      </c>
      <c r="Q1942" t="s">
        <v>37</v>
      </c>
      <c r="R1942" t="s">
        <v>39</v>
      </c>
      <c r="S1942" t="s">
        <v>41</v>
      </c>
      <c r="T1942" t="s">
        <v>7105</v>
      </c>
      <c r="U1942" t="s">
        <v>7106</v>
      </c>
      <c r="V1942" t="s">
        <v>6450</v>
      </c>
      <c r="W1942" t="s">
        <v>7100</v>
      </c>
      <c r="Z1942" t="s">
        <v>46</v>
      </c>
      <c r="AA1942" t="s">
        <v>7101</v>
      </c>
      <c r="AB1942" t="s">
        <v>3109</v>
      </c>
      <c r="AC1942">
        <f>COUNTIF(C:C,QLKV_gui_ket_qua_ra_soat[[#This Row],[Mã điểm bán]])</f>
        <v>1</v>
      </c>
    </row>
    <row r="1943" spans="1:29" x14ac:dyDescent="0.45">
      <c r="A1943" t="s">
        <v>6444</v>
      </c>
      <c r="B1943">
        <v>264</v>
      </c>
      <c r="C1943" t="s">
        <v>7238</v>
      </c>
      <c r="D1943" t="s">
        <v>7239</v>
      </c>
      <c r="E1943" t="s">
        <v>1964</v>
      </c>
      <c r="F1943" t="s">
        <v>115</v>
      </c>
      <c r="G1943" t="s">
        <v>34</v>
      </c>
      <c r="H1943" t="s">
        <v>319</v>
      </c>
      <c r="I1943" t="s">
        <v>7240</v>
      </c>
      <c r="J1943" t="s">
        <v>37</v>
      </c>
      <c r="K1943" t="s">
        <v>37</v>
      </c>
      <c r="L1943" t="s">
        <v>40</v>
      </c>
      <c r="M1943" t="s">
        <v>37</v>
      </c>
      <c r="N1943" t="s">
        <v>37</v>
      </c>
      <c r="O1943" t="s">
        <v>39</v>
      </c>
      <c r="P1943" t="s">
        <v>37</v>
      </c>
      <c r="Q1943" t="s">
        <v>37</v>
      </c>
      <c r="R1943" t="s">
        <v>39</v>
      </c>
      <c r="S1943" t="s">
        <v>41</v>
      </c>
      <c r="T1943" t="s">
        <v>7105</v>
      </c>
      <c r="U1943" t="s">
        <v>7106</v>
      </c>
      <c r="V1943" t="s">
        <v>6450</v>
      </c>
      <c r="W1943" t="s">
        <v>7100</v>
      </c>
      <c r="Z1943" t="s">
        <v>46</v>
      </c>
      <c r="AA1943" t="s">
        <v>7101</v>
      </c>
      <c r="AB1943" t="s">
        <v>4223</v>
      </c>
      <c r="AC1943">
        <f>COUNTIF(C:C,QLKV_gui_ket_qua_ra_soat[[#This Row],[Mã điểm bán]])</f>
        <v>1</v>
      </c>
    </row>
    <row r="1944" spans="1:29" x14ac:dyDescent="0.45">
      <c r="A1944" t="s">
        <v>6444</v>
      </c>
      <c r="B1944">
        <v>265</v>
      </c>
      <c r="C1944" t="s">
        <v>7241</v>
      </c>
      <c r="D1944" t="s">
        <v>7242</v>
      </c>
      <c r="E1944" t="s">
        <v>1866</v>
      </c>
      <c r="F1944" t="s">
        <v>166</v>
      </c>
      <c r="G1944" t="s">
        <v>150</v>
      </c>
      <c r="H1944" t="s">
        <v>133</v>
      </c>
      <c r="I1944" t="s">
        <v>7243</v>
      </c>
      <c r="J1944" t="s">
        <v>38</v>
      </c>
      <c r="K1944" t="s">
        <v>38</v>
      </c>
      <c r="L1944" t="s">
        <v>39</v>
      </c>
      <c r="M1944" t="s">
        <v>37</v>
      </c>
      <c r="N1944" t="s">
        <v>37</v>
      </c>
      <c r="O1944" t="s">
        <v>39</v>
      </c>
      <c r="P1944" t="s">
        <v>38</v>
      </c>
      <c r="Q1944" t="s">
        <v>38</v>
      </c>
      <c r="R1944" t="s">
        <v>39</v>
      </c>
      <c r="S1944" t="s">
        <v>41</v>
      </c>
      <c r="T1944" t="s">
        <v>7183</v>
      </c>
      <c r="U1944" t="s">
        <v>7184</v>
      </c>
      <c r="V1944" t="s">
        <v>6450</v>
      </c>
      <c r="W1944" t="s">
        <v>7100</v>
      </c>
      <c r="Z1944" t="s">
        <v>46</v>
      </c>
      <c r="AA1944" t="s">
        <v>7101</v>
      </c>
      <c r="AC1944">
        <f>COUNTIF(C:C,QLKV_gui_ket_qua_ra_soat[[#This Row],[Mã điểm bán]])</f>
        <v>1</v>
      </c>
    </row>
    <row r="1945" spans="1:29" x14ac:dyDescent="0.45">
      <c r="A1945" t="s">
        <v>6444</v>
      </c>
      <c r="B1945">
        <v>266</v>
      </c>
      <c r="C1945" t="s">
        <v>7244</v>
      </c>
      <c r="D1945" t="s">
        <v>7245</v>
      </c>
      <c r="E1945" t="s">
        <v>330</v>
      </c>
      <c r="F1945" t="s">
        <v>53</v>
      </c>
      <c r="G1945" t="s">
        <v>34</v>
      </c>
      <c r="H1945" t="s">
        <v>4115</v>
      </c>
      <c r="I1945" t="s">
        <v>7246</v>
      </c>
      <c r="J1945" t="s">
        <v>38</v>
      </c>
      <c r="K1945" t="s">
        <v>38</v>
      </c>
      <c r="L1945" t="s">
        <v>40</v>
      </c>
      <c r="M1945" t="s">
        <v>38</v>
      </c>
      <c r="N1945" t="s">
        <v>37</v>
      </c>
      <c r="O1945" t="s">
        <v>39</v>
      </c>
      <c r="P1945" t="s">
        <v>38</v>
      </c>
      <c r="Q1945" t="s">
        <v>38</v>
      </c>
      <c r="R1945" t="s">
        <v>40</v>
      </c>
      <c r="S1945" t="s">
        <v>41</v>
      </c>
      <c r="T1945" t="s">
        <v>7183</v>
      </c>
      <c r="U1945" t="s">
        <v>7184</v>
      </c>
      <c r="V1945" t="s">
        <v>6450</v>
      </c>
      <c r="W1945" t="s">
        <v>7100</v>
      </c>
      <c r="X1945" t="s">
        <v>46</v>
      </c>
      <c r="AC1945">
        <f>COUNTIF(C:C,QLKV_gui_ket_qua_ra_soat[[#This Row],[Mã điểm bán]])</f>
        <v>1</v>
      </c>
    </row>
    <row r="1946" spans="1:29" x14ac:dyDescent="0.45">
      <c r="A1946" t="s">
        <v>6444</v>
      </c>
      <c r="B1946">
        <v>267</v>
      </c>
      <c r="C1946" t="s">
        <v>7247</v>
      </c>
      <c r="D1946" t="s">
        <v>7248</v>
      </c>
      <c r="E1946" t="s">
        <v>2040</v>
      </c>
      <c r="F1946" t="s">
        <v>5386</v>
      </c>
      <c r="G1946" t="s">
        <v>34</v>
      </c>
      <c r="H1946" t="s">
        <v>697</v>
      </c>
      <c r="I1946" t="s">
        <v>7249</v>
      </c>
      <c r="J1946" t="s">
        <v>37</v>
      </c>
      <c r="K1946" t="s">
        <v>37</v>
      </c>
      <c r="L1946" t="s">
        <v>40</v>
      </c>
      <c r="M1946" t="s">
        <v>37</v>
      </c>
      <c r="N1946" t="s">
        <v>37</v>
      </c>
      <c r="O1946" t="s">
        <v>39</v>
      </c>
      <c r="P1946" t="s">
        <v>37</v>
      </c>
      <c r="Q1946" t="s">
        <v>37</v>
      </c>
      <c r="R1946" t="s">
        <v>39</v>
      </c>
      <c r="S1946" t="s">
        <v>41</v>
      </c>
      <c r="T1946" t="s">
        <v>7105</v>
      </c>
      <c r="U1946" t="s">
        <v>7106</v>
      </c>
      <c r="V1946" t="s">
        <v>6450</v>
      </c>
      <c r="W1946" t="s">
        <v>7100</v>
      </c>
      <c r="Z1946" t="s">
        <v>46</v>
      </c>
      <c r="AA1946" t="s">
        <v>7250</v>
      </c>
      <c r="AB1946" t="s">
        <v>5658</v>
      </c>
      <c r="AC1946">
        <f>COUNTIF(C:C,QLKV_gui_ket_qua_ra_soat[[#This Row],[Mã điểm bán]])</f>
        <v>1</v>
      </c>
    </row>
    <row r="1947" spans="1:29" x14ac:dyDescent="0.45">
      <c r="A1947" t="s">
        <v>6444</v>
      </c>
      <c r="B1947">
        <v>268</v>
      </c>
      <c r="C1947" t="s">
        <v>7251</v>
      </c>
      <c r="D1947" t="s">
        <v>7252</v>
      </c>
      <c r="E1947" t="s">
        <v>2011</v>
      </c>
      <c r="F1947" t="s">
        <v>884</v>
      </c>
      <c r="G1947" t="s">
        <v>150</v>
      </c>
      <c r="H1947" t="s">
        <v>842</v>
      </c>
      <c r="I1947" t="s">
        <v>7253</v>
      </c>
      <c r="J1947" t="s">
        <v>37</v>
      </c>
      <c r="K1947" t="s">
        <v>37</v>
      </c>
      <c r="L1947" t="s">
        <v>39</v>
      </c>
      <c r="M1947" t="s">
        <v>37</v>
      </c>
      <c r="N1947" t="s">
        <v>38</v>
      </c>
      <c r="O1947" t="s">
        <v>39</v>
      </c>
      <c r="P1947" t="s">
        <v>37</v>
      </c>
      <c r="Q1947" t="s">
        <v>38</v>
      </c>
      <c r="R1947" t="s">
        <v>40</v>
      </c>
      <c r="S1947" t="s">
        <v>41</v>
      </c>
      <c r="T1947" t="s">
        <v>7183</v>
      </c>
      <c r="U1947" t="s">
        <v>7184</v>
      </c>
      <c r="V1947" t="s">
        <v>6450</v>
      </c>
      <c r="W1947" t="s">
        <v>7100</v>
      </c>
      <c r="Z1947" t="s">
        <v>46</v>
      </c>
      <c r="AA1947" t="s">
        <v>7101</v>
      </c>
      <c r="AC1947">
        <f>COUNTIF(C:C,QLKV_gui_ket_qua_ra_soat[[#This Row],[Mã điểm bán]])</f>
        <v>1</v>
      </c>
    </row>
    <row r="1948" spans="1:29" x14ac:dyDescent="0.45">
      <c r="A1948" t="s">
        <v>6444</v>
      </c>
      <c r="B1948">
        <v>269</v>
      </c>
      <c r="C1948" t="s">
        <v>7254</v>
      </c>
      <c r="D1948" t="s">
        <v>7255</v>
      </c>
      <c r="E1948" t="s">
        <v>330</v>
      </c>
      <c r="F1948" t="s">
        <v>53</v>
      </c>
      <c r="G1948" t="s">
        <v>150</v>
      </c>
      <c r="H1948" t="s">
        <v>1483</v>
      </c>
      <c r="I1948" t="s">
        <v>2061</v>
      </c>
      <c r="J1948" t="s">
        <v>38</v>
      </c>
      <c r="K1948" t="s">
        <v>38</v>
      </c>
      <c r="L1948" t="s">
        <v>40</v>
      </c>
      <c r="M1948" t="s">
        <v>38</v>
      </c>
      <c r="N1948" t="s">
        <v>37</v>
      </c>
      <c r="O1948" t="s">
        <v>39</v>
      </c>
      <c r="P1948" t="s">
        <v>38</v>
      </c>
      <c r="Q1948" t="s">
        <v>38</v>
      </c>
      <c r="R1948" t="s">
        <v>40</v>
      </c>
      <c r="S1948" t="s">
        <v>41</v>
      </c>
      <c r="T1948" t="s">
        <v>7183</v>
      </c>
      <c r="U1948" t="s">
        <v>7184</v>
      </c>
      <c r="V1948" t="s">
        <v>6450</v>
      </c>
      <c r="W1948" t="s">
        <v>7100</v>
      </c>
      <c r="Z1948" t="s">
        <v>46</v>
      </c>
      <c r="AA1948" t="s">
        <v>7101</v>
      </c>
      <c r="AB1948" t="s">
        <v>4223</v>
      </c>
      <c r="AC1948">
        <f>COUNTIF(C:C,QLKV_gui_ket_qua_ra_soat[[#This Row],[Mã điểm bán]])</f>
        <v>1</v>
      </c>
    </row>
    <row r="1949" spans="1:29" x14ac:dyDescent="0.45">
      <c r="A1949" t="s">
        <v>6444</v>
      </c>
      <c r="B1949">
        <v>270</v>
      </c>
      <c r="C1949" t="s">
        <v>7256</v>
      </c>
      <c r="D1949" t="s">
        <v>7257</v>
      </c>
      <c r="E1949" t="s">
        <v>143</v>
      </c>
      <c r="F1949" t="s">
        <v>5976</v>
      </c>
      <c r="G1949" t="s">
        <v>34</v>
      </c>
      <c r="H1949" t="s">
        <v>697</v>
      </c>
      <c r="I1949" t="s">
        <v>7258</v>
      </c>
      <c r="J1949" t="s">
        <v>38</v>
      </c>
      <c r="K1949" t="s">
        <v>38</v>
      </c>
      <c r="L1949" t="s">
        <v>40</v>
      </c>
      <c r="M1949" t="s">
        <v>37</v>
      </c>
      <c r="N1949" t="s">
        <v>37</v>
      </c>
      <c r="O1949" t="s">
        <v>40</v>
      </c>
      <c r="P1949" t="s">
        <v>38</v>
      </c>
      <c r="Q1949" t="s">
        <v>38</v>
      </c>
      <c r="R1949" t="s">
        <v>40</v>
      </c>
      <c r="S1949" t="s">
        <v>7259</v>
      </c>
      <c r="T1949" t="s">
        <v>7112</v>
      </c>
      <c r="U1949" t="s">
        <v>7106</v>
      </c>
      <c r="V1949" t="s">
        <v>6450</v>
      </c>
      <c r="W1949" t="s">
        <v>7100</v>
      </c>
      <c r="Z1949" t="s">
        <v>46</v>
      </c>
      <c r="AA1949" t="s">
        <v>6457</v>
      </c>
      <c r="AB1949" t="s">
        <v>4223</v>
      </c>
      <c r="AC1949">
        <f>COUNTIF(C:C,QLKV_gui_ket_qua_ra_soat[[#This Row],[Mã điểm bán]])</f>
        <v>1</v>
      </c>
    </row>
    <row r="1950" spans="1:29" x14ac:dyDescent="0.45">
      <c r="A1950" t="s">
        <v>6444</v>
      </c>
      <c r="B1950">
        <v>271</v>
      </c>
      <c r="C1950" t="s">
        <v>7260</v>
      </c>
      <c r="D1950" t="s">
        <v>7261</v>
      </c>
      <c r="E1950" t="s">
        <v>1866</v>
      </c>
      <c r="F1950" t="s">
        <v>2673</v>
      </c>
      <c r="G1950" t="s">
        <v>1624</v>
      </c>
      <c r="H1950" t="s">
        <v>4797</v>
      </c>
      <c r="I1950" t="s">
        <v>7262</v>
      </c>
      <c r="J1950" t="s">
        <v>38</v>
      </c>
      <c r="K1950" t="s">
        <v>37</v>
      </c>
      <c r="L1950" t="s">
        <v>40</v>
      </c>
      <c r="M1950" t="s">
        <v>38</v>
      </c>
      <c r="N1950" t="s">
        <v>37</v>
      </c>
      <c r="O1950" t="s">
        <v>39</v>
      </c>
      <c r="P1950" t="s">
        <v>38</v>
      </c>
      <c r="Q1950" t="s">
        <v>38</v>
      </c>
      <c r="R1950" t="s">
        <v>40</v>
      </c>
      <c r="S1950" t="s">
        <v>41</v>
      </c>
      <c r="T1950" t="s">
        <v>7183</v>
      </c>
      <c r="U1950" t="s">
        <v>7184</v>
      </c>
      <c r="V1950" t="s">
        <v>6450</v>
      </c>
      <c r="W1950" t="s">
        <v>7100</v>
      </c>
      <c r="Z1950" t="s">
        <v>46</v>
      </c>
      <c r="AA1950" t="s">
        <v>7101</v>
      </c>
      <c r="AB1950" t="s">
        <v>3101</v>
      </c>
      <c r="AC1950">
        <f>COUNTIF(C:C,QLKV_gui_ket_qua_ra_soat[[#This Row],[Mã điểm bán]])</f>
        <v>1</v>
      </c>
    </row>
    <row r="1951" spans="1:29" x14ac:dyDescent="0.45">
      <c r="A1951" t="s">
        <v>6444</v>
      </c>
      <c r="B1951">
        <v>272</v>
      </c>
      <c r="C1951" t="s">
        <v>7263</v>
      </c>
      <c r="D1951" t="s">
        <v>7261</v>
      </c>
      <c r="E1951" t="s">
        <v>307</v>
      </c>
      <c r="F1951" t="s">
        <v>286</v>
      </c>
      <c r="G1951" t="s">
        <v>34</v>
      </c>
      <c r="H1951" t="s">
        <v>1929</v>
      </c>
      <c r="I1951" t="s">
        <v>7264</v>
      </c>
      <c r="J1951" t="s">
        <v>37</v>
      </c>
      <c r="K1951" t="s">
        <v>38</v>
      </c>
      <c r="L1951" t="s">
        <v>40</v>
      </c>
      <c r="M1951" t="s">
        <v>37</v>
      </c>
      <c r="N1951" t="s">
        <v>56</v>
      </c>
      <c r="O1951" t="s">
        <v>39</v>
      </c>
      <c r="P1951" t="s">
        <v>38</v>
      </c>
      <c r="Q1951" t="s">
        <v>38</v>
      </c>
      <c r="R1951" t="s">
        <v>40</v>
      </c>
      <c r="S1951" t="s">
        <v>7265</v>
      </c>
      <c r="T1951" t="s">
        <v>7112</v>
      </c>
      <c r="U1951" t="s">
        <v>7106</v>
      </c>
      <c r="V1951" t="s">
        <v>6450</v>
      </c>
      <c r="W1951" t="s">
        <v>7100</v>
      </c>
      <c r="X1951" t="s">
        <v>46</v>
      </c>
      <c r="AC1951">
        <f>COUNTIF(C:C,QLKV_gui_ket_qua_ra_soat[[#This Row],[Mã điểm bán]])</f>
        <v>1</v>
      </c>
    </row>
    <row r="1952" spans="1:29" x14ac:dyDescent="0.45">
      <c r="A1952" t="s">
        <v>6444</v>
      </c>
      <c r="B1952">
        <v>273</v>
      </c>
      <c r="C1952" t="s">
        <v>7266</v>
      </c>
      <c r="D1952" t="s">
        <v>7267</v>
      </c>
      <c r="E1952" t="s">
        <v>674</v>
      </c>
      <c r="F1952" t="s">
        <v>4431</v>
      </c>
      <c r="G1952" t="s">
        <v>34</v>
      </c>
      <c r="H1952" t="s">
        <v>2251</v>
      </c>
      <c r="I1952" t="s">
        <v>7268</v>
      </c>
      <c r="J1952" t="s">
        <v>37</v>
      </c>
      <c r="K1952" t="s">
        <v>37</v>
      </c>
      <c r="L1952" t="s">
        <v>40</v>
      </c>
      <c r="M1952" t="s">
        <v>37</v>
      </c>
      <c r="N1952" t="s">
        <v>37</v>
      </c>
      <c r="O1952" t="s">
        <v>39</v>
      </c>
      <c r="P1952" t="s">
        <v>38</v>
      </c>
      <c r="Q1952" t="s">
        <v>38</v>
      </c>
      <c r="R1952" t="s">
        <v>40</v>
      </c>
      <c r="S1952" t="s">
        <v>41</v>
      </c>
      <c r="T1952" t="s">
        <v>7112</v>
      </c>
      <c r="U1952" t="s">
        <v>7106</v>
      </c>
      <c r="V1952" t="s">
        <v>6450</v>
      </c>
      <c r="W1952" t="s">
        <v>7100</v>
      </c>
      <c r="Z1952" t="s">
        <v>46</v>
      </c>
      <c r="AA1952" t="s">
        <v>7101</v>
      </c>
      <c r="AB1952" t="s">
        <v>3109</v>
      </c>
      <c r="AC1952">
        <f>COUNTIF(C:C,QLKV_gui_ket_qua_ra_soat[[#This Row],[Mã điểm bán]])</f>
        <v>1</v>
      </c>
    </row>
    <row r="1953" spans="1:29" x14ac:dyDescent="0.45">
      <c r="A1953" t="s">
        <v>6444</v>
      </c>
      <c r="B1953">
        <v>274</v>
      </c>
      <c r="C1953" t="s">
        <v>7269</v>
      </c>
      <c r="D1953" t="s">
        <v>7270</v>
      </c>
      <c r="E1953" t="s">
        <v>1610</v>
      </c>
      <c r="F1953" t="s">
        <v>166</v>
      </c>
      <c r="G1953" t="s">
        <v>34</v>
      </c>
      <c r="H1953" t="s">
        <v>1639</v>
      </c>
      <c r="I1953" t="s">
        <v>7231</v>
      </c>
      <c r="J1953" t="s">
        <v>37</v>
      </c>
      <c r="K1953" t="s">
        <v>37</v>
      </c>
      <c r="L1953" t="s">
        <v>40</v>
      </c>
      <c r="M1953" t="s">
        <v>37</v>
      </c>
      <c r="N1953" t="s">
        <v>37</v>
      </c>
      <c r="O1953" t="s">
        <v>39</v>
      </c>
      <c r="P1953" t="s">
        <v>37</v>
      </c>
      <c r="Q1953" t="s">
        <v>37</v>
      </c>
      <c r="R1953" t="s">
        <v>40</v>
      </c>
      <c r="S1953" t="s">
        <v>41</v>
      </c>
      <c r="T1953" t="s">
        <v>7105</v>
      </c>
      <c r="U1953" t="s">
        <v>7106</v>
      </c>
      <c r="V1953" t="s">
        <v>6450</v>
      </c>
      <c r="W1953" t="s">
        <v>7100</v>
      </c>
      <c r="Z1953" t="s">
        <v>46</v>
      </c>
      <c r="AA1953" t="s">
        <v>7101</v>
      </c>
      <c r="AB1953" t="s">
        <v>4223</v>
      </c>
      <c r="AC1953">
        <f>COUNTIF(C:C,QLKV_gui_ket_qua_ra_soat[[#This Row],[Mã điểm bán]])</f>
        <v>1</v>
      </c>
    </row>
    <row r="1954" spans="1:29" x14ac:dyDescent="0.45">
      <c r="A1954" t="s">
        <v>6444</v>
      </c>
      <c r="B1954">
        <v>275</v>
      </c>
      <c r="C1954" t="s">
        <v>7271</v>
      </c>
      <c r="D1954" t="s">
        <v>5782</v>
      </c>
      <c r="E1954" t="s">
        <v>455</v>
      </c>
      <c r="F1954" t="s">
        <v>292</v>
      </c>
      <c r="G1954" t="s">
        <v>34</v>
      </c>
      <c r="H1954" t="s">
        <v>319</v>
      </c>
      <c r="I1954" t="s">
        <v>7264</v>
      </c>
      <c r="J1954" t="s">
        <v>38</v>
      </c>
      <c r="K1954" t="s">
        <v>38</v>
      </c>
      <c r="L1954" t="s">
        <v>39</v>
      </c>
      <c r="M1954" t="s">
        <v>37</v>
      </c>
      <c r="N1954" t="s">
        <v>56</v>
      </c>
      <c r="O1954" t="s">
        <v>39</v>
      </c>
      <c r="P1954" t="s">
        <v>38</v>
      </c>
      <c r="Q1954" t="s">
        <v>38</v>
      </c>
      <c r="R1954" t="s">
        <v>40</v>
      </c>
      <c r="S1954" t="s">
        <v>7272</v>
      </c>
      <c r="T1954" t="s">
        <v>7112</v>
      </c>
      <c r="U1954" t="s">
        <v>7106</v>
      </c>
      <c r="V1954" t="s">
        <v>6450</v>
      </c>
      <c r="W1954" t="s">
        <v>7100</v>
      </c>
      <c r="Z1954" t="s">
        <v>46</v>
      </c>
      <c r="AA1954" t="s">
        <v>7273</v>
      </c>
      <c r="AB1954" t="s">
        <v>5658</v>
      </c>
      <c r="AC1954">
        <f>COUNTIF(C:C,QLKV_gui_ket_qua_ra_soat[[#This Row],[Mã điểm bán]])</f>
        <v>1</v>
      </c>
    </row>
    <row r="1955" spans="1:29" x14ac:dyDescent="0.45">
      <c r="A1955" t="s">
        <v>6444</v>
      </c>
      <c r="B1955">
        <v>276</v>
      </c>
      <c r="C1955" t="s">
        <v>7274</v>
      </c>
      <c r="D1955" t="s">
        <v>7275</v>
      </c>
      <c r="E1955" t="s">
        <v>113</v>
      </c>
      <c r="F1955" t="s">
        <v>2902</v>
      </c>
      <c r="G1955" t="s">
        <v>34</v>
      </c>
      <c r="H1955" t="s">
        <v>1280</v>
      </c>
      <c r="I1955" t="s">
        <v>7276</v>
      </c>
      <c r="J1955" t="s">
        <v>38</v>
      </c>
      <c r="K1955" t="s">
        <v>37</v>
      </c>
      <c r="L1955" t="s">
        <v>40</v>
      </c>
      <c r="M1955" t="s">
        <v>37</v>
      </c>
      <c r="N1955" t="s">
        <v>37</v>
      </c>
      <c r="O1955" t="s">
        <v>39</v>
      </c>
      <c r="P1955" t="s">
        <v>38</v>
      </c>
      <c r="Q1955" t="s">
        <v>38</v>
      </c>
      <c r="R1955" t="s">
        <v>40</v>
      </c>
      <c r="S1955" t="s">
        <v>41</v>
      </c>
      <c r="T1955" t="s">
        <v>7112</v>
      </c>
      <c r="U1955" t="s">
        <v>7106</v>
      </c>
      <c r="V1955" t="s">
        <v>6450</v>
      </c>
      <c r="W1955" t="s">
        <v>7100</v>
      </c>
      <c r="Z1955" t="s">
        <v>46</v>
      </c>
      <c r="AA1955" t="s">
        <v>7101</v>
      </c>
      <c r="AB1955" t="s">
        <v>3109</v>
      </c>
      <c r="AC1955">
        <f>COUNTIF(C:C,QLKV_gui_ket_qua_ra_soat[[#This Row],[Mã điểm bán]])</f>
        <v>1</v>
      </c>
    </row>
    <row r="1956" spans="1:29" x14ac:dyDescent="0.45">
      <c r="A1956" t="s">
        <v>6444</v>
      </c>
      <c r="B1956">
        <v>277</v>
      </c>
      <c r="C1956" t="s">
        <v>7277</v>
      </c>
      <c r="D1956" t="s">
        <v>7278</v>
      </c>
      <c r="E1956" t="s">
        <v>580</v>
      </c>
      <c r="F1956" t="s">
        <v>1160</v>
      </c>
      <c r="G1956" t="s">
        <v>34</v>
      </c>
      <c r="H1956" t="s">
        <v>4689</v>
      </c>
      <c r="I1956" t="s">
        <v>7279</v>
      </c>
      <c r="J1956" t="s">
        <v>37</v>
      </c>
      <c r="K1956" t="s">
        <v>56</v>
      </c>
      <c r="L1956" t="s">
        <v>39</v>
      </c>
      <c r="M1956" t="s">
        <v>37</v>
      </c>
      <c r="N1956" t="s">
        <v>37</v>
      </c>
      <c r="O1956" t="s">
        <v>39</v>
      </c>
      <c r="P1956" t="s">
        <v>38</v>
      </c>
      <c r="Q1956" t="s">
        <v>38</v>
      </c>
      <c r="R1956" t="s">
        <v>40</v>
      </c>
      <c r="S1956" t="s">
        <v>41</v>
      </c>
      <c r="T1956" t="s">
        <v>7112</v>
      </c>
      <c r="U1956" t="s">
        <v>7106</v>
      </c>
      <c r="V1956" t="s">
        <v>6450</v>
      </c>
      <c r="W1956" t="s">
        <v>7100</v>
      </c>
      <c r="Z1956" t="s">
        <v>46</v>
      </c>
      <c r="AA1956" t="s">
        <v>7101</v>
      </c>
      <c r="AB1956" t="s">
        <v>3101</v>
      </c>
      <c r="AC1956">
        <f>COUNTIF(C:C,QLKV_gui_ket_qua_ra_soat[[#This Row],[Mã điểm bán]])</f>
        <v>1</v>
      </c>
    </row>
    <row r="1957" spans="1:29" x14ac:dyDescent="0.45">
      <c r="A1957" t="s">
        <v>6444</v>
      </c>
      <c r="B1957">
        <v>278</v>
      </c>
      <c r="C1957" t="s">
        <v>7280</v>
      </c>
      <c r="D1957" t="s">
        <v>7281</v>
      </c>
      <c r="E1957" t="s">
        <v>7282</v>
      </c>
      <c r="F1957" t="s">
        <v>115</v>
      </c>
      <c r="G1957" t="s">
        <v>177</v>
      </c>
      <c r="H1957" t="s">
        <v>402</v>
      </c>
      <c r="I1957" t="s">
        <v>7283</v>
      </c>
      <c r="J1957" t="s">
        <v>38</v>
      </c>
      <c r="K1957" t="s">
        <v>38</v>
      </c>
      <c r="L1957" t="s">
        <v>40</v>
      </c>
      <c r="M1957" t="s">
        <v>38</v>
      </c>
      <c r="N1957" t="s">
        <v>38</v>
      </c>
      <c r="O1957" t="s">
        <v>39</v>
      </c>
      <c r="P1957" t="s">
        <v>38</v>
      </c>
      <c r="Q1957" t="s">
        <v>38</v>
      </c>
      <c r="R1957" t="s">
        <v>40</v>
      </c>
      <c r="S1957" t="s">
        <v>41</v>
      </c>
      <c r="T1957" t="s">
        <v>7105</v>
      </c>
      <c r="U1957" t="s">
        <v>7106</v>
      </c>
      <c r="V1957" t="s">
        <v>6450</v>
      </c>
      <c r="W1957" t="s">
        <v>7100</v>
      </c>
      <c r="Z1957" t="s">
        <v>46</v>
      </c>
      <c r="AA1957" t="s">
        <v>6457</v>
      </c>
      <c r="AB1957" t="s">
        <v>4223</v>
      </c>
      <c r="AC1957">
        <f>COUNTIF(C:C,QLKV_gui_ket_qua_ra_soat[[#This Row],[Mã điểm bán]])</f>
        <v>1</v>
      </c>
    </row>
    <row r="1958" spans="1:29" x14ac:dyDescent="0.45">
      <c r="A1958" t="s">
        <v>6444</v>
      </c>
      <c r="B1958">
        <v>279</v>
      </c>
      <c r="C1958" t="s">
        <v>7284</v>
      </c>
      <c r="D1958" t="s">
        <v>7285</v>
      </c>
      <c r="E1958" t="s">
        <v>307</v>
      </c>
      <c r="F1958" t="s">
        <v>4431</v>
      </c>
      <c r="G1958" t="s">
        <v>34</v>
      </c>
      <c r="H1958" t="s">
        <v>2256</v>
      </c>
      <c r="I1958" t="s">
        <v>7287</v>
      </c>
      <c r="J1958" t="s">
        <v>38</v>
      </c>
      <c r="K1958" t="s">
        <v>38</v>
      </c>
      <c r="L1958" t="s">
        <v>40</v>
      </c>
      <c r="M1958" t="s">
        <v>38</v>
      </c>
      <c r="N1958" t="s">
        <v>38</v>
      </c>
      <c r="O1958" t="s">
        <v>40</v>
      </c>
      <c r="P1958" t="s">
        <v>38</v>
      </c>
      <c r="Q1958" t="s">
        <v>38</v>
      </c>
      <c r="R1958" t="s">
        <v>40</v>
      </c>
      <c r="S1958" t="s">
        <v>41</v>
      </c>
      <c r="T1958" t="s">
        <v>7105</v>
      </c>
      <c r="U1958" t="s">
        <v>7106</v>
      </c>
      <c r="V1958" t="s">
        <v>6450</v>
      </c>
      <c r="W1958" t="s">
        <v>7100</v>
      </c>
      <c r="Z1958" t="s">
        <v>46</v>
      </c>
      <c r="AA1958" t="s">
        <v>6457</v>
      </c>
      <c r="AB1958" t="s">
        <v>5658</v>
      </c>
      <c r="AC1958">
        <f>COUNTIF(C:C,QLKV_gui_ket_qua_ra_soat[[#This Row],[Mã điểm bán]])</f>
        <v>1</v>
      </c>
    </row>
    <row r="1959" spans="1:29" x14ac:dyDescent="0.45">
      <c r="A1959" t="s">
        <v>6444</v>
      </c>
      <c r="B1959">
        <v>280</v>
      </c>
      <c r="C1959" t="s">
        <v>7288</v>
      </c>
      <c r="D1959" t="s">
        <v>7289</v>
      </c>
      <c r="E1959" t="s">
        <v>7290</v>
      </c>
      <c r="F1959" t="s">
        <v>1160</v>
      </c>
      <c r="G1959" t="s">
        <v>177</v>
      </c>
      <c r="H1959" t="s">
        <v>555</v>
      </c>
      <c r="I1959" t="s">
        <v>7291</v>
      </c>
      <c r="J1959" t="s">
        <v>38</v>
      </c>
      <c r="K1959" t="s">
        <v>38</v>
      </c>
      <c r="L1959" t="s">
        <v>40</v>
      </c>
      <c r="M1959" t="s">
        <v>38</v>
      </c>
      <c r="N1959" t="s">
        <v>38</v>
      </c>
      <c r="O1959" t="s">
        <v>39</v>
      </c>
      <c r="P1959" t="s">
        <v>38</v>
      </c>
      <c r="Q1959" t="s">
        <v>38</v>
      </c>
      <c r="R1959" t="s">
        <v>40</v>
      </c>
      <c r="S1959" t="s">
        <v>41</v>
      </c>
      <c r="T1959" t="s">
        <v>7105</v>
      </c>
      <c r="U1959" t="s">
        <v>7106</v>
      </c>
      <c r="V1959" t="s">
        <v>6450</v>
      </c>
      <c r="W1959" t="s">
        <v>7100</v>
      </c>
      <c r="Z1959" t="s">
        <v>46</v>
      </c>
      <c r="AA1959" t="s">
        <v>7101</v>
      </c>
      <c r="AB1959" t="s">
        <v>3109</v>
      </c>
      <c r="AC1959">
        <f>COUNTIF(C:C,QLKV_gui_ket_qua_ra_soat[[#This Row],[Mã điểm bán]])</f>
        <v>1</v>
      </c>
    </row>
    <row r="1960" spans="1:29" x14ac:dyDescent="0.45">
      <c r="A1960" t="s">
        <v>6444</v>
      </c>
      <c r="B1960">
        <v>281</v>
      </c>
      <c r="C1960" t="s">
        <v>7292</v>
      </c>
      <c r="D1960" t="s">
        <v>7293</v>
      </c>
      <c r="E1960" t="s">
        <v>682</v>
      </c>
      <c r="F1960" t="s">
        <v>401</v>
      </c>
      <c r="G1960" t="s">
        <v>34</v>
      </c>
      <c r="H1960" t="s">
        <v>2426</v>
      </c>
      <c r="I1960" t="s">
        <v>7294</v>
      </c>
      <c r="J1960" t="s">
        <v>38</v>
      </c>
      <c r="K1960" t="s">
        <v>38</v>
      </c>
      <c r="L1960" t="s">
        <v>40</v>
      </c>
      <c r="M1960" t="s">
        <v>38</v>
      </c>
      <c r="N1960" t="s">
        <v>37</v>
      </c>
      <c r="O1960" t="s">
        <v>39</v>
      </c>
      <c r="P1960" t="s">
        <v>38</v>
      </c>
      <c r="Q1960" t="s">
        <v>38</v>
      </c>
      <c r="R1960" t="s">
        <v>40</v>
      </c>
      <c r="S1960" t="s">
        <v>41</v>
      </c>
      <c r="T1960" t="s">
        <v>7105</v>
      </c>
      <c r="U1960" t="s">
        <v>7106</v>
      </c>
      <c r="V1960" t="s">
        <v>6450</v>
      </c>
      <c r="W1960" t="s">
        <v>7100</v>
      </c>
      <c r="Z1960" t="s">
        <v>46</v>
      </c>
      <c r="AA1960" t="s">
        <v>7101</v>
      </c>
      <c r="AB1960" t="s">
        <v>3109</v>
      </c>
      <c r="AC1960">
        <f>COUNTIF(C:C,QLKV_gui_ket_qua_ra_soat[[#This Row],[Mã điểm bán]])</f>
        <v>1</v>
      </c>
    </row>
    <row r="1961" spans="1:29" x14ac:dyDescent="0.45">
      <c r="A1961" t="s">
        <v>6444</v>
      </c>
      <c r="B1961">
        <v>282</v>
      </c>
      <c r="C1961" t="s">
        <v>7295</v>
      </c>
      <c r="D1961" t="s">
        <v>7296</v>
      </c>
      <c r="E1961" t="s">
        <v>304</v>
      </c>
      <c r="F1961" t="s">
        <v>53</v>
      </c>
      <c r="G1961" t="s">
        <v>34</v>
      </c>
      <c r="H1961" t="s">
        <v>54</v>
      </c>
      <c r="I1961" t="s">
        <v>7297</v>
      </c>
      <c r="J1961" t="s">
        <v>38</v>
      </c>
      <c r="K1961" t="s">
        <v>38</v>
      </c>
      <c r="L1961" t="s">
        <v>40</v>
      </c>
      <c r="M1961" t="s">
        <v>38</v>
      </c>
      <c r="N1961" t="s">
        <v>38</v>
      </c>
      <c r="O1961" t="s">
        <v>39</v>
      </c>
      <c r="P1961" t="s">
        <v>38</v>
      </c>
      <c r="Q1961" t="s">
        <v>38</v>
      </c>
      <c r="R1961" t="s">
        <v>40</v>
      </c>
      <c r="S1961" t="s">
        <v>7298</v>
      </c>
      <c r="T1961" t="s">
        <v>7112</v>
      </c>
      <c r="U1961" t="s">
        <v>7106</v>
      </c>
      <c r="V1961" t="s">
        <v>6450</v>
      </c>
      <c r="W1961" t="s">
        <v>7100</v>
      </c>
      <c r="X1961" t="s">
        <v>46</v>
      </c>
      <c r="AC1961">
        <f>COUNTIF(C:C,QLKV_gui_ket_qua_ra_soat[[#This Row],[Mã điểm bán]])</f>
        <v>1</v>
      </c>
    </row>
    <row r="1962" spans="1:29" x14ac:dyDescent="0.45">
      <c r="A1962" t="s">
        <v>6444</v>
      </c>
      <c r="B1962">
        <v>283</v>
      </c>
      <c r="C1962" t="s">
        <v>7299</v>
      </c>
      <c r="D1962" t="s">
        <v>7300</v>
      </c>
      <c r="E1962" t="s">
        <v>261</v>
      </c>
      <c r="F1962" t="s">
        <v>115</v>
      </c>
      <c r="G1962" t="s">
        <v>34</v>
      </c>
      <c r="H1962" t="s">
        <v>356</v>
      </c>
      <c r="I1962" t="s">
        <v>7301</v>
      </c>
      <c r="J1962" t="s">
        <v>38</v>
      </c>
      <c r="K1962" t="s">
        <v>38</v>
      </c>
      <c r="L1962" t="s">
        <v>40</v>
      </c>
      <c r="M1962" t="s">
        <v>38</v>
      </c>
      <c r="N1962" t="s">
        <v>38</v>
      </c>
      <c r="O1962" t="s">
        <v>39</v>
      </c>
      <c r="P1962" t="s">
        <v>38</v>
      </c>
      <c r="Q1962" t="s">
        <v>38</v>
      </c>
      <c r="R1962" t="s">
        <v>40</v>
      </c>
      <c r="S1962" t="s">
        <v>7302</v>
      </c>
      <c r="T1962" t="s">
        <v>7112</v>
      </c>
      <c r="U1962" t="s">
        <v>7106</v>
      </c>
      <c r="V1962" t="s">
        <v>6450</v>
      </c>
      <c r="W1962" t="s">
        <v>7100</v>
      </c>
      <c r="X1962" t="s">
        <v>46</v>
      </c>
      <c r="AB1962" t="s">
        <v>4223</v>
      </c>
      <c r="AC1962">
        <f>COUNTIF(C:C,QLKV_gui_ket_qua_ra_soat[[#This Row],[Mã điểm bán]])</f>
        <v>1</v>
      </c>
    </row>
    <row r="1963" spans="1:29" x14ac:dyDescent="0.45">
      <c r="A1963" t="s">
        <v>6444</v>
      </c>
      <c r="B1963">
        <v>284</v>
      </c>
      <c r="C1963" t="s">
        <v>7303</v>
      </c>
      <c r="D1963" t="s">
        <v>7304</v>
      </c>
      <c r="E1963" t="s">
        <v>87</v>
      </c>
      <c r="F1963" t="s">
        <v>53</v>
      </c>
      <c r="G1963" t="s">
        <v>34</v>
      </c>
      <c r="H1963" t="s">
        <v>54</v>
      </c>
      <c r="I1963" t="s">
        <v>755</v>
      </c>
      <c r="J1963" t="s">
        <v>38</v>
      </c>
      <c r="K1963" t="s">
        <v>38</v>
      </c>
      <c r="L1963" t="s">
        <v>40</v>
      </c>
      <c r="M1963" t="s">
        <v>38</v>
      </c>
      <c r="N1963" t="s">
        <v>38</v>
      </c>
      <c r="O1963" t="s">
        <v>39</v>
      </c>
      <c r="P1963" t="s">
        <v>38</v>
      </c>
      <c r="Q1963" t="s">
        <v>38</v>
      </c>
      <c r="R1963" t="s">
        <v>40</v>
      </c>
      <c r="S1963" t="s">
        <v>41</v>
      </c>
      <c r="T1963" t="s">
        <v>7112</v>
      </c>
      <c r="U1963" t="s">
        <v>7106</v>
      </c>
      <c r="V1963" t="s">
        <v>6450</v>
      </c>
      <c r="W1963" t="s">
        <v>7100</v>
      </c>
      <c r="X1963" t="s">
        <v>46</v>
      </c>
      <c r="AC1963">
        <f>COUNTIF(C:C,QLKV_gui_ket_qua_ra_soat[[#This Row],[Mã điểm bán]])</f>
        <v>1</v>
      </c>
    </row>
    <row r="1964" spans="1:29" x14ac:dyDescent="0.45">
      <c r="A1964" t="s">
        <v>6444</v>
      </c>
      <c r="B1964">
        <v>285</v>
      </c>
      <c r="C1964" t="s">
        <v>7305</v>
      </c>
      <c r="D1964" t="s">
        <v>7306</v>
      </c>
      <c r="E1964" t="s">
        <v>307</v>
      </c>
      <c r="F1964" t="s">
        <v>1160</v>
      </c>
      <c r="G1964" t="s">
        <v>34</v>
      </c>
      <c r="H1964" t="s">
        <v>35</v>
      </c>
      <c r="I1964" t="s">
        <v>7307</v>
      </c>
      <c r="J1964" t="s">
        <v>38</v>
      </c>
      <c r="K1964" t="s">
        <v>38</v>
      </c>
      <c r="L1964" t="s">
        <v>40</v>
      </c>
      <c r="M1964" t="s">
        <v>38</v>
      </c>
      <c r="N1964" t="s">
        <v>38</v>
      </c>
      <c r="O1964" t="s">
        <v>39</v>
      </c>
      <c r="P1964" t="s">
        <v>38</v>
      </c>
      <c r="Q1964" t="s">
        <v>38</v>
      </c>
      <c r="R1964" t="s">
        <v>40</v>
      </c>
      <c r="S1964" t="s">
        <v>7308</v>
      </c>
      <c r="T1964" t="s">
        <v>7112</v>
      </c>
      <c r="U1964" t="s">
        <v>7106</v>
      </c>
      <c r="V1964" t="s">
        <v>6450</v>
      </c>
      <c r="W1964" t="s">
        <v>7100</v>
      </c>
      <c r="X1964" t="s">
        <v>46</v>
      </c>
      <c r="AB1964" t="s">
        <v>4223</v>
      </c>
      <c r="AC1964">
        <f>COUNTIF(C:C,QLKV_gui_ket_qua_ra_soat[[#This Row],[Mã điểm bán]])</f>
        <v>1</v>
      </c>
    </row>
    <row r="1965" spans="1:29" x14ac:dyDescent="0.45">
      <c r="A1965" t="s">
        <v>6444</v>
      </c>
      <c r="B1965">
        <v>286</v>
      </c>
      <c r="C1965" t="s">
        <v>7309</v>
      </c>
      <c r="D1965" t="s">
        <v>4103</v>
      </c>
      <c r="E1965" t="s">
        <v>3429</v>
      </c>
      <c r="F1965" t="s">
        <v>401</v>
      </c>
      <c r="G1965" t="s">
        <v>177</v>
      </c>
      <c r="H1965" t="s">
        <v>54</v>
      </c>
      <c r="I1965" t="s">
        <v>6268</v>
      </c>
      <c r="J1965" t="s">
        <v>56</v>
      </c>
      <c r="K1965" t="s">
        <v>56</v>
      </c>
      <c r="L1965" t="s">
        <v>39</v>
      </c>
      <c r="M1965" t="s">
        <v>56</v>
      </c>
      <c r="N1965" t="s">
        <v>56</v>
      </c>
      <c r="O1965" t="s">
        <v>39</v>
      </c>
      <c r="P1965" t="s">
        <v>56</v>
      </c>
      <c r="Q1965" t="s">
        <v>56</v>
      </c>
      <c r="R1965" t="s">
        <v>39</v>
      </c>
      <c r="S1965" t="s">
        <v>41</v>
      </c>
      <c r="T1965" t="s">
        <v>7310</v>
      </c>
      <c r="U1965" t="s">
        <v>7311</v>
      </c>
      <c r="V1965" t="s">
        <v>6450</v>
      </c>
      <c r="W1965" t="s">
        <v>7312</v>
      </c>
      <c r="Y1965" t="s">
        <v>46</v>
      </c>
      <c r="AC1965">
        <f>COUNTIF(C:C,QLKV_gui_ket_qua_ra_soat[[#This Row],[Mã điểm bán]])</f>
        <v>1</v>
      </c>
    </row>
    <row r="1966" spans="1:29" x14ac:dyDescent="0.45">
      <c r="A1966" t="s">
        <v>6444</v>
      </c>
      <c r="B1966">
        <v>287</v>
      </c>
      <c r="C1966" t="s">
        <v>7313</v>
      </c>
      <c r="D1966" t="s">
        <v>7314</v>
      </c>
      <c r="E1966" t="s">
        <v>882</v>
      </c>
      <c r="F1966" t="s">
        <v>53</v>
      </c>
      <c r="G1966" t="s">
        <v>177</v>
      </c>
      <c r="H1966" t="s">
        <v>54</v>
      </c>
      <c r="I1966" t="s">
        <v>7315</v>
      </c>
      <c r="J1966" t="s">
        <v>56</v>
      </c>
      <c r="K1966" t="s">
        <v>56</v>
      </c>
      <c r="L1966" t="s">
        <v>39</v>
      </c>
      <c r="M1966" t="s">
        <v>56</v>
      </c>
      <c r="N1966" t="s">
        <v>56</v>
      </c>
      <c r="O1966" t="s">
        <v>39</v>
      </c>
      <c r="P1966" t="s">
        <v>56</v>
      </c>
      <c r="Q1966" t="s">
        <v>56</v>
      </c>
      <c r="R1966" t="s">
        <v>39</v>
      </c>
      <c r="S1966" t="s">
        <v>41</v>
      </c>
      <c r="T1966" t="s">
        <v>7310</v>
      </c>
      <c r="U1966" t="s">
        <v>7311</v>
      </c>
      <c r="V1966" t="s">
        <v>6450</v>
      </c>
      <c r="W1966" t="s">
        <v>7312</v>
      </c>
      <c r="Y1966" t="s">
        <v>46</v>
      </c>
      <c r="AC1966">
        <f>COUNTIF(C:C,QLKV_gui_ket_qua_ra_soat[[#This Row],[Mã điểm bán]])</f>
        <v>1</v>
      </c>
    </row>
    <row r="1967" spans="1:29" x14ac:dyDescent="0.45">
      <c r="A1967" t="s">
        <v>6444</v>
      </c>
      <c r="B1967">
        <v>288</v>
      </c>
      <c r="C1967" t="s">
        <v>7316</v>
      </c>
      <c r="D1967" t="s">
        <v>7317</v>
      </c>
      <c r="E1967" t="s">
        <v>1043</v>
      </c>
      <c r="F1967" t="s">
        <v>53</v>
      </c>
      <c r="G1967" t="s">
        <v>177</v>
      </c>
      <c r="H1967" t="s">
        <v>54</v>
      </c>
      <c r="I1967" t="s">
        <v>7318</v>
      </c>
      <c r="J1967" t="s">
        <v>37</v>
      </c>
      <c r="K1967" t="s">
        <v>38</v>
      </c>
      <c r="L1967" t="s">
        <v>39</v>
      </c>
      <c r="M1967" t="s">
        <v>38</v>
      </c>
      <c r="N1967" t="s">
        <v>38</v>
      </c>
      <c r="O1967" t="s">
        <v>39</v>
      </c>
      <c r="P1967" t="s">
        <v>38</v>
      </c>
      <c r="Q1967" t="s">
        <v>38</v>
      </c>
      <c r="R1967" t="s">
        <v>39</v>
      </c>
      <c r="S1967" t="s">
        <v>5625</v>
      </c>
      <c r="T1967" t="s">
        <v>7319</v>
      </c>
      <c r="U1967" t="s">
        <v>7311</v>
      </c>
      <c r="V1967" t="s">
        <v>6450</v>
      </c>
      <c r="W1967" t="s">
        <v>5607</v>
      </c>
      <c r="Y1967" t="s">
        <v>46</v>
      </c>
      <c r="AC1967">
        <f>COUNTIF(C:C,QLKV_gui_ket_qua_ra_soat[[#This Row],[Mã điểm bán]])</f>
        <v>1</v>
      </c>
    </row>
    <row r="1968" spans="1:29" x14ac:dyDescent="0.45">
      <c r="A1968" t="s">
        <v>6444</v>
      </c>
      <c r="B1968">
        <v>289</v>
      </c>
      <c r="C1968" t="s">
        <v>7320</v>
      </c>
      <c r="D1968" t="s">
        <v>7321</v>
      </c>
      <c r="E1968" t="s">
        <v>882</v>
      </c>
      <c r="F1968" t="s">
        <v>53</v>
      </c>
      <c r="G1968" t="s">
        <v>177</v>
      </c>
      <c r="H1968" t="s">
        <v>620</v>
      </c>
      <c r="I1968" t="s">
        <v>7322</v>
      </c>
      <c r="J1968" t="s">
        <v>56</v>
      </c>
      <c r="K1968" t="s">
        <v>56</v>
      </c>
      <c r="L1968" t="s">
        <v>39</v>
      </c>
      <c r="M1968" t="s">
        <v>56</v>
      </c>
      <c r="N1968" t="s">
        <v>56</v>
      </c>
      <c r="O1968" t="s">
        <v>39</v>
      </c>
      <c r="P1968" t="s">
        <v>37</v>
      </c>
      <c r="Q1968" t="s">
        <v>37</v>
      </c>
      <c r="R1968" t="s">
        <v>39</v>
      </c>
      <c r="S1968" t="s">
        <v>41</v>
      </c>
      <c r="T1968" t="s">
        <v>7310</v>
      </c>
      <c r="U1968" t="s">
        <v>7311</v>
      </c>
      <c r="V1968" t="s">
        <v>6450</v>
      </c>
      <c r="W1968" t="s">
        <v>5607</v>
      </c>
      <c r="Y1968" t="s">
        <v>46</v>
      </c>
      <c r="AC1968">
        <f>COUNTIF(C:C,QLKV_gui_ket_qua_ra_soat[[#This Row],[Mã điểm bán]])</f>
        <v>1</v>
      </c>
    </row>
    <row r="1969" spans="1:29" x14ac:dyDescent="0.45">
      <c r="A1969" t="s">
        <v>6444</v>
      </c>
      <c r="B1969">
        <v>290</v>
      </c>
      <c r="C1969" t="s">
        <v>7323</v>
      </c>
      <c r="D1969" t="s">
        <v>7324</v>
      </c>
      <c r="E1969" t="s">
        <v>7325</v>
      </c>
      <c r="F1969" t="s">
        <v>53</v>
      </c>
      <c r="G1969" t="s">
        <v>34</v>
      </c>
      <c r="H1969" t="s">
        <v>54</v>
      </c>
      <c r="I1969" t="s">
        <v>7326</v>
      </c>
      <c r="J1969" t="s">
        <v>56</v>
      </c>
      <c r="K1969" t="s">
        <v>56</v>
      </c>
      <c r="L1969" t="s">
        <v>39</v>
      </c>
      <c r="M1969" t="s">
        <v>37</v>
      </c>
      <c r="N1969" t="s">
        <v>37</v>
      </c>
      <c r="O1969" t="s">
        <v>39</v>
      </c>
      <c r="P1969" t="s">
        <v>38</v>
      </c>
      <c r="Q1969" t="s">
        <v>38</v>
      </c>
      <c r="R1969" t="s">
        <v>39</v>
      </c>
      <c r="S1969" t="s">
        <v>1291</v>
      </c>
      <c r="T1969" t="s">
        <v>7327</v>
      </c>
      <c r="U1969" t="s">
        <v>7311</v>
      </c>
      <c r="V1969" t="s">
        <v>6450</v>
      </c>
      <c r="W1969" t="s">
        <v>7312</v>
      </c>
      <c r="Y1969" t="s">
        <v>46</v>
      </c>
      <c r="AC1969">
        <f>COUNTIF(C:C,QLKV_gui_ket_qua_ra_soat[[#This Row],[Mã điểm bán]])</f>
        <v>1</v>
      </c>
    </row>
    <row r="1970" spans="1:29" x14ac:dyDescent="0.45">
      <c r="A1970" t="s">
        <v>6444</v>
      </c>
      <c r="B1970">
        <v>291</v>
      </c>
      <c r="C1970" t="s">
        <v>7328</v>
      </c>
      <c r="D1970" t="s">
        <v>7329</v>
      </c>
      <c r="E1970" t="s">
        <v>64</v>
      </c>
      <c r="F1970" t="s">
        <v>829</v>
      </c>
      <c r="G1970" t="s">
        <v>34</v>
      </c>
      <c r="H1970" t="s">
        <v>54</v>
      </c>
      <c r="I1970" t="s">
        <v>7330</v>
      </c>
      <c r="J1970" t="s">
        <v>37</v>
      </c>
      <c r="K1970" t="s">
        <v>56</v>
      </c>
      <c r="L1970" t="s">
        <v>39</v>
      </c>
      <c r="M1970" t="s">
        <v>37</v>
      </c>
      <c r="N1970" t="s">
        <v>37</v>
      </c>
      <c r="O1970" t="s">
        <v>39</v>
      </c>
      <c r="P1970" t="s">
        <v>38</v>
      </c>
      <c r="Q1970" t="s">
        <v>38</v>
      </c>
      <c r="R1970" t="s">
        <v>39</v>
      </c>
      <c r="S1970" t="s">
        <v>1291</v>
      </c>
      <c r="T1970" t="s">
        <v>7327</v>
      </c>
      <c r="U1970" t="s">
        <v>7311</v>
      </c>
      <c r="V1970" t="s">
        <v>6450</v>
      </c>
      <c r="W1970" t="s">
        <v>7312</v>
      </c>
      <c r="Y1970" t="s">
        <v>46</v>
      </c>
      <c r="AC1970">
        <f>COUNTIF(C:C,QLKV_gui_ket_qua_ra_soat[[#This Row],[Mã điểm bán]])</f>
        <v>1</v>
      </c>
    </row>
    <row r="1971" spans="1:29" x14ac:dyDescent="0.45">
      <c r="A1971" t="s">
        <v>6444</v>
      </c>
      <c r="B1971">
        <v>292</v>
      </c>
      <c r="C1971" t="s">
        <v>7331</v>
      </c>
      <c r="D1971" t="s">
        <v>7332</v>
      </c>
      <c r="E1971" t="s">
        <v>109</v>
      </c>
      <c r="F1971" t="s">
        <v>1827</v>
      </c>
      <c r="G1971" t="s">
        <v>34</v>
      </c>
      <c r="H1971" t="s">
        <v>54</v>
      </c>
      <c r="I1971" t="s">
        <v>7333</v>
      </c>
      <c r="J1971" t="s">
        <v>56</v>
      </c>
      <c r="K1971" t="s">
        <v>56</v>
      </c>
      <c r="L1971" t="s">
        <v>39</v>
      </c>
      <c r="M1971" t="s">
        <v>37</v>
      </c>
      <c r="N1971" t="s">
        <v>37</v>
      </c>
      <c r="O1971" t="s">
        <v>39</v>
      </c>
      <c r="P1971" t="s">
        <v>38</v>
      </c>
      <c r="Q1971" t="s">
        <v>38</v>
      </c>
      <c r="R1971" t="s">
        <v>39</v>
      </c>
      <c r="S1971" t="s">
        <v>7334</v>
      </c>
      <c r="T1971" t="s">
        <v>7327</v>
      </c>
      <c r="U1971" t="s">
        <v>7311</v>
      </c>
      <c r="V1971" t="s">
        <v>6450</v>
      </c>
      <c r="W1971" t="s">
        <v>7312</v>
      </c>
      <c r="Y1971" t="s">
        <v>46</v>
      </c>
      <c r="AC1971">
        <f>COUNTIF(C:C,QLKV_gui_ket_qua_ra_soat[[#This Row],[Mã điểm bán]])</f>
        <v>1</v>
      </c>
    </row>
    <row r="1972" spans="1:29" x14ac:dyDescent="0.45">
      <c r="A1972" t="s">
        <v>6444</v>
      </c>
      <c r="B1972">
        <v>293</v>
      </c>
      <c r="C1972" t="s">
        <v>7335</v>
      </c>
      <c r="D1972" t="s">
        <v>5273</v>
      </c>
      <c r="E1972" t="s">
        <v>772</v>
      </c>
      <c r="F1972" t="s">
        <v>467</v>
      </c>
      <c r="G1972" t="s">
        <v>177</v>
      </c>
      <c r="H1972" t="s">
        <v>54</v>
      </c>
      <c r="I1972" t="s">
        <v>7336</v>
      </c>
      <c r="J1972" t="s">
        <v>56</v>
      </c>
      <c r="K1972" t="s">
        <v>37</v>
      </c>
      <c r="L1972" t="s">
        <v>39</v>
      </c>
      <c r="M1972" t="s">
        <v>56</v>
      </c>
      <c r="N1972" t="s">
        <v>56</v>
      </c>
      <c r="O1972" t="s">
        <v>39</v>
      </c>
      <c r="P1972" t="s">
        <v>37</v>
      </c>
      <c r="Q1972" t="s">
        <v>37</v>
      </c>
      <c r="R1972" t="s">
        <v>39</v>
      </c>
      <c r="S1972" t="s">
        <v>7337</v>
      </c>
      <c r="T1972" t="s">
        <v>7310</v>
      </c>
      <c r="U1972" t="s">
        <v>7311</v>
      </c>
      <c r="V1972" t="s">
        <v>6450</v>
      </c>
      <c r="W1972" t="s">
        <v>7312</v>
      </c>
      <c r="Y1972" t="s">
        <v>46</v>
      </c>
      <c r="AC1972">
        <f>COUNTIF(C:C,QLKV_gui_ket_qua_ra_soat[[#This Row],[Mã điểm bán]])</f>
        <v>1</v>
      </c>
    </row>
    <row r="1973" spans="1:29" x14ac:dyDescent="0.45">
      <c r="A1973" t="s">
        <v>6444</v>
      </c>
      <c r="B1973">
        <v>294</v>
      </c>
      <c r="C1973" t="s">
        <v>7338</v>
      </c>
      <c r="D1973" t="s">
        <v>7339</v>
      </c>
      <c r="E1973" t="s">
        <v>304</v>
      </c>
      <c r="F1973" t="s">
        <v>53</v>
      </c>
      <c r="G1973" t="s">
        <v>177</v>
      </c>
      <c r="H1973" t="s">
        <v>54</v>
      </c>
      <c r="I1973" t="s">
        <v>7315</v>
      </c>
      <c r="J1973" t="s">
        <v>56</v>
      </c>
      <c r="K1973" t="s">
        <v>56</v>
      </c>
      <c r="L1973" t="s">
        <v>39</v>
      </c>
      <c r="M1973" t="s">
        <v>56</v>
      </c>
      <c r="N1973" t="s">
        <v>56</v>
      </c>
      <c r="O1973" t="s">
        <v>39</v>
      </c>
      <c r="P1973" t="s">
        <v>37</v>
      </c>
      <c r="Q1973" t="s">
        <v>37</v>
      </c>
      <c r="R1973" t="s">
        <v>40</v>
      </c>
      <c r="S1973" t="s">
        <v>41</v>
      </c>
      <c r="T1973" t="s">
        <v>7310</v>
      </c>
      <c r="U1973" t="s">
        <v>7311</v>
      </c>
      <c r="V1973" t="s">
        <v>6450</v>
      </c>
      <c r="W1973" t="s">
        <v>5607</v>
      </c>
      <c r="Y1973" t="s">
        <v>46</v>
      </c>
      <c r="AC1973">
        <f>COUNTIF(C:C,QLKV_gui_ket_qua_ra_soat[[#This Row],[Mã điểm bán]])</f>
        <v>1</v>
      </c>
    </row>
    <row r="1974" spans="1:29" x14ac:dyDescent="0.45">
      <c r="A1974" t="s">
        <v>6444</v>
      </c>
      <c r="B1974">
        <v>295</v>
      </c>
      <c r="C1974" t="s">
        <v>7340</v>
      </c>
      <c r="D1974" t="s">
        <v>7341</v>
      </c>
      <c r="E1974" t="s">
        <v>3538</v>
      </c>
      <c r="F1974" t="s">
        <v>1573</v>
      </c>
      <c r="G1974" t="s">
        <v>177</v>
      </c>
      <c r="H1974" t="s">
        <v>54</v>
      </c>
      <c r="I1974" t="s">
        <v>7342</v>
      </c>
      <c r="J1974" t="s">
        <v>37</v>
      </c>
      <c r="K1974" t="s">
        <v>37</v>
      </c>
      <c r="L1974" t="s">
        <v>39</v>
      </c>
      <c r="M1974" t="s">
        <v>56</v>
      </c>
      <c r="N1974" t="s">
        <v>37</v>
      </c>
      <c r="O1974" t="s">
        <v>121</v>
      </c>
      <c r="P1974" t="s">
        <v>37</v>
      </c>
      <c r="Q1974" t="s">
        <v>37</v>
      </c>
      <c r="R1974" t="s">
        <v>39</v>
      </c>
      <c r="S1974" t="s">
        <v>5363</v>
      </c>
      <c r="T1974" t="s">
        <v>7319</v>
      </c>
      <c r="U1974" t="s">
        <v>7311</v>
      </c>
      <c r="V1974" t="s">
        <v>6450</v>
      </c>
      <c r="W1974" t="s">
        <v>7312</v>
      </c>
      <c r="Y1974" t="s">
        <v>46</v>
      </c>
      <c r="AC1974">
        <f>COUNTIF(C:C,QLKV_gui_ket_qua_ra_soat[[#This Row],[Mã điểm bán]])</f>
        <v>1</v>
      </c>
    </row>
    <row r="1975" spans="1:29" x14ac:dyDescent="0.45">
      <c r="A1975" t="s">
        <v>6444</v>
      </c>
      <c r="B1975">
        <v>296</v>
      </c>
      <c r="C1975" t="s">
        <v>7343</v>
      </c>
      <c r="D1975" t="s">
        <v>7344</v>
      </c>
      <c r="E1975" t="s">
        <v>857</v>
      </c>
      <c r="F1975" t="s">
        <v>53</v>
      </c>
      <c r="G1975" t="s">
        <v>34</v>
      </c>
      <c r="H1975" t="s">
        <v>54</v>
      </c>
      <c r="I1975" t="s">
        <v>7345</v>
      </c>
      <c r="J1975" t="s">
        <v>56</v>
      </c>
      <c r="K1975" t="s">
        <v>56</v>
      </c>
      <c r="L1975" t="s">
        <v>39</v>
      </c>
      <c r="M1975" t="s">
        <v>37</v>
      </c>
      <c r="N1975" t="s">
        <v>37</v>
      </c>
      <c r="O1975" t="s">
        <v>39</v>
      </c>
      <c r="P1975" t="s">
        <v>38</v>
      </c>
      <c r="Q1975" t="s">
        <v>38</v>
      </c>
      <c r="R1975" t="s">
        <v>39</v>
      </c>
      <c r="S1975" t="s">
        <v>1291</v>
      </c>
      <c r="T1975" t="s">
        <v>7327</v>
      </c>
      <c r="U1975" t="s">
        <v>7311</v>
      </c>
      <c r="V1975" t="s">
        <v>6450</v>
      </c>
      <c r="W1975" t="s">
        <v>5607</v>
      </c>
      <c r="Y1975" t="s">
        <v>46</v>
      </c>
      <c r="AC1975">
        <f>COUNTIF(C:C,QLKV_gui_ket_qua_ra_soat[[#This Row],[Mã điểm bán]])</f>
        <v>1</v>
      </c>
    </row>
    <row r="1976" spans="1:29" x14ac:dyDescent="0.45">
      <c r="A1976" t="s">
        <v>6444</v>
      </c>
      <c r="B1976">
        <v>297</v>
      </c>
      <c r="C1976" t="s">
        <v>7346</v>
      </c>
      <c r="D1976" t="s">
        <v>7347</v>
      </c>
      <c r="E1976" t="s">
        <v>304</v>
      </c>
      <c r="F1976" t="s">
        <v>53</v>
      </c>
      <c r="G1976" t="s">
        <v>34</v>
      </c>
      <c r="H1976" t="s">
        <v>54</v>
      </c>
      <c r="I1976" t="s">
        <v>7345</v>
      </c>
      <c r="J1976" t="s">
        <v>37</v>
      </c>
      <c r="K1976" t="s">
        <v>56</v>
      </c>
      <c r="L1976" t="s">
        <v>39</v>
      </c>
      <c r="M1976" t="s">
        <v>37</v>
      </c>
      <c r="N1976" t="s">
        <v>37</v>
      </c>
      <c r="O1976" t="s">
        <v>39</v>
      </c>
      <c r="P1976" t="s">
        <v>38</v>
      </c>
      <c r="Q1976" t="s">
        <v>38</v>
      </c>
      <c r="R1976" t="s">
        <v>39</v>
      </c>
      <c r="S1976" t="s">
        <v>1291</v>
      </c>
      <c r="T1976" t="s">
        <v>7327</v>
      </c>
      <c r="U1976" t="s">
        <v>7311</v>
      </c>
      <c r="V1976" t="s">
        <v>6450</v>
      </c>
      <c r="W1976" t="s">
        <v>7312</v>
      </c>
      <c r="Y1976" t="s">
        <v>46</v>
      </c>
      <c r="AC1976">
        <f>COUNTIF(C:C,QLKV_gui_ket_qua_ra_soat[[#This Row],[Mã điểm bán]])</f>
        <v>1</v>
      </c>
    </row>
    <row r="1977" spans="1:29" x14ac:dyDescent="0.45">
      <c r="A1977" t="s">
        <v>6444</v>
      </c>
      <c r="B1977">
        <v>298</v>
      </c>
      <c r="C1977" t="s">
        <v>7348</v>
      </c>
      <c r="D1977" t="s">
        <v>7349</v>
      </c>
      <c r="E1977" t="s">
        <v>7350</v>
      </c>
      <c r="F1977" t="s">
        <v>7351</v>
      </c>
      <c r="G1977" t="s">
        <v>177</v>
      </c>
      <c r="H1977" t="s">
        <v>54</v>
      </c>
      <c r="I1977" t="s">
        <v>7352</v>
      </c>
      <c r="J1977" t="s">
        <v>37</v>
      </c>
      <c r="K1977" t="s">
        <v>37</v>
      </c>
      <c r="L1977" t="s">
        <v>39</v>
      </c>
      <c r="M1977" t="s">
        <v>56</v>
      </c>
      <c r="N1977" t="s">
        <v>56</v>
      </c>
      <c r="O1977" t="s">
        <v>121</v>
      </c>
      <c r="P1977" t="s">
        <v>37</v>
      </c>
      <c r="Q1977" t="s">
        <v>37</v>
      </c>
      <c r="R1977" t="s">
        <v>39</v>
      </c>
      <c r="S1977" t="s">
        <v>5363</v>
      </c>
      <c r="T1977" t="s">
        <v>7319</v>
      </c>
      <c r="U1977" t="s">
        <v>7311</v>
      </c>
      <c r="V1977" t="s">
        <v>6450</v>
      </c>
      <c r="W1977" t="s">
        <v>7312</v>
      </c>
      <c r="Y1977" t="s">
        <v>46</v>
      </c>
      <c r="AC1977">
        <f>COUNTIF(C:C,QLKV_gui_ket_qua_ra_soat[[#This Row],[Mã điểm bán]])</f>
        <v>1</v>
      </c>
    </row>
    <row r="1978" spans="1:29" x14ac:dyDescent="0.45">
      <c r="A1978" t="s">
        <v>6444</v>
      </c>
      <c r="B1978">
        <v>299</v>
      </c>
      <c r="C1978" t="s">
        <v>7353</v>
      </c>
      <c r="D1978" t="s">
        <v>7354</v>
      </c>
      <c r="E1978" t="s">
        <v>665</v>
      </c>
      <c r="F1978" t="s">
        <v>53</v>
      </c>
      <c r="G1978" t="s">
        <v>177</v>
      </c>
      <c r="H1978" t="s">
        <v>54</v>
      </c>
      <c r="I1978" t="s">
        <v>7355</v>
      </c>
      <c r="J1978" t="s">
        <v>41</v>
      </c>
      <c r="K1978" t="s">
        <v>41</v>
      </c>
      <c r="L1978" t="s">
        <v>41</v>
      </c>
      <c r="M1978" t="s">
        <v>41</v>
      </c>
      <c r="N1978" t="s">
        <v>41</v>
      </c>
      <c r="O1978" t="s">
        <v>41</v>
      </c>
      <c r="P1978" t="s">
        <v>41</v>
      </c>
      <c r="Q1978" t="s">
        <v>41</v>
      </c>
      <c r="R1978" t="s">
        <v>41</v>
      </c>
      <c r="S1978" t="s">
        <v>41</v>
      </c>
      <c r="T1978" t="s">
        <v>7310</v>
      </c>
      <c r="U1978" t="s">
        <v>7311</v>
      </c>
      <c r="V1978" t="s">
        <v>6450</v>
      </c>
      <c r="W1978" t="s">
        <v>7312</v>
      </c>
      <c r="Y1978" t="s">
        <v>46</v>
      </c>
      <c r="AC1978">
        <f>COUNTIF(C:C,QLKV_gui_ket_qua_ra_soat[[#This Row],[Mã điểm bán]])</f>
        <v>1</v>
      </c>
    </row>
    <row r="1979" spans="1:29" x14ac:dyDescent="0.45">
      <c r="A1979" t="s">
        <v>6444</v>
      </c>
      <c r="B1979">
        <v>300</v>
      </c>
      <c r="C1979" t="s">
        <v>7356</v>
      </c>
      <c r="D1979" t="s">
        <v>7357</v>
      </c>
      <c r="E1979" t="s">
        <v>109</v>
      </c>
      <c r="F1979" t="s">
        <v>1024</v>
      </c>
      <c r="G1979" t="s">
        <v>177</v>
      </c>
      <c r="H1979" t="s">
        <v>54</v>
      </c>
      <c r="I1979" t="s">
        <v>7358</v>
      </c>
      <c r="J1979" t="s">
        <v>37</v>
      </c>
      <c r="K1979" t="s">
        <v>37</v>
      </c>
      <c r="L1979" t="s">
        <v>40</v>
      </c>
      <c r="M1979" t="s">
        <v>775</v>
      </c>
      <c r="N1979" t="s">
        <v>775</v>
      </c>
      <c r="O1979" t="s">
        <v>121</v>
      </c>
      <c r="P1979" t="s">
        <v>37</v>
      </c>
      <c r="Q1979" t="s">
        <v>37</v>
      </c>
      <c r="R1979" t="s">
        <v>40</v>
      </c>
      <c r="S1979" t="s">
        <v>7359</v>
      </c>
      <c r="T1979" t="s">
        <v>7310</v>
      </c>
      <c r="U1979" t="s">
        <v>7311</v>
      </c>
      <c r="V1979" t="s">
        <v>6450</v>
      </c>
      <c r="W1979" t="s">
        <v>7312</v>
      </c>
      <c r="Y1979" t="s">
        <v>46</v>
      </c>
      <c r="AC1979">
        <f>COUNTIF(C:C,QLKV_gui_ket_qua_ra_soat[[#This Row],[Mã điểm bán]])</f>
        <v>1</v>
      </c>
    </row>
    <row r="1980" spans="1:29" x14ac:dyDescent="0.45">
      <c r="A1980" t="s">
        <v>6444</v>
      </c>
      <c r="B1980">
        <v>301</v>
      </c>
      <c r="C1980" t="s">
        <v>7360</v>
      </c>
      <c r="D1980" t="s">
        <v>7361</v>
      </c>
      <c r="E1980" t="s">
        <v>269</v>
      </c>
      <c r="F1980" t="s">
        <v>53</v>
      </c>
      <c r="G1980" t="s">
        <v>34</v>
      </c>
      <c r="H1980" t="s">
        <v>54</v>
      </c>
      <c r="I1980" t="s">
        <v>7362</v>
      </c>
      <c r="J1980" t="s">
        <v>56</v>
      </c>
      <c r="K1980" t="s">
        <v>56</v>
      </c>
      <c r="L1980" t="s">
        <v>39</v>
      </c>
      <c r="M1980" t="s">
        <v>37</v>
      </c>
      <c r="N1980" t="s">
        <v>37</v>
      </c>
      <c r="O1980" t="s">
        <v>39</v>
      </c>
      <c r="P1980" t="s">
        <v>38</v>
      </c>
      <c r="Q1980" t="s">
        <v>38</v>
      </c>
      <c r="R1980" t="s">
        <v>40</v>
      </c>
      <c r="S1980" t="s">
        <v>1291</v>
      </c>
      <c r="T1980" t="s">
        <v>7327</v>
      </c>
      <c r="U1980" t="s">
        <v>7311</v>
      </c>
      <c r="V1980" t="s">
        <v>6450</v>
      </c>
      <c r="W1980" t="s">
        <v>5607</v>
      </c>
      <c r="Y1980" t="s">
        <v>46</v>
      </c>
      <c r="AC1980">
        <f>COUNTIF(C:C,QLKV_gui_ket_qua_ra_soat[[#This Row],[Mã điểm bán]])</f>
        <v>1</v>
      </c>
    </row>
    <row r="1981" spans="1:29" x14ac:dyDescent="0.45">
      <c r="A1981" t="s">
        <v>6444</v>
      </c>
      <c r="B1981">
        <v>302</v>
      </c>
      <c r="C1981" t="s">
        <v>7363</v>
      </c>
      <c r="D1981" t="s">
        <v>7364</v>
      </c>
      <c r="E1981" t="s">
        <v>7365</v>
      </c>
      <c r="F1981" t="s">
        <v>7366</v>
      </c>
      <c r="G1981" t="s">
        <v>34</v>
      </c>
      <c r="H1981" t="s">
        <v>54</v>
      </c>
      <c r="I1981" t="s">
        <v>7367</v>
      </c>
      <c r="J1981" t="s">
        <v>37</v>
      </c>
      <c r="K1981" t="s">
        <v>37</v>
      </c>
      <c r="L1981" t="s">
        <v>39</v>
      </c>
      <c r="M1981" t="s">
        <v>56</v>
      </c>
      <c r="N1981" t="s">
        <v>56</v>
      </c>
      <c r="O1981" t="s">
        <v>39</v>
      </c>
      <c r="P1981" t="s">
        <v>38</v>
      </c>
      <c r="Q1981" t="s">
        <v>37</v>
      </c>
      <c r="R1981" t="s">
        <v>39</v>
      </c>
      <c r="S1981" t="s">
        <v>41</v>
      </c>
      <c r="T1981" t="s">
        <v>7368</v>
      </c>
      <c r="U1981" t="s">
        <v>7369</v>
      </c>
      <c r="V1981" t="s">
        <v>6450</v>
      </c>
      <c r="W1981" t="s">
        <v>7312</v>
      </c>
      <c r="Z1981" t="s">
        <v>46</v>
      </c>
      <c r="AA1981" t="s">
        <v>7370</v>
      </c>
      <c r="AC1981">
        <f>COUNTIF(C:C,QLKV_gui_ket_qua_ra_soat[[#This Row],[Mã điểm bán]])</f>
        <v>1</v>
      </c>
    </row>
    <row r="1982" spans="1:29" x14ac:dyDescent="0.45">
      <c r="A1982" t="s">
        <v>6444</v>
      </c>
      <c r="B1982">
        <v>303</v>
      </c>
      <c r="C1982" t="s">
        <v>7371</v>
      </c>
      <c r="D1982" t="s">
        <v>7372</v>
      </c>
      <c r="E1982" t="s">
        <v>86</v>
      </c>
      <c r="F1982" t="s">
        <v>535</v>
      </c>
      <c r="G1982" t="s">
        <v>177</v>
      </c>
      <c r="H1982" t="s">
        <v>54</v>
      </c>
      <c r="I1982" t="s">
        <v>7373</v>
      </c>
      <c r="J1982" t="s">
        <v>56</v>
      </c>
      <c r="K1982" t="s">
        <v>37</v>
      </c>
      <c r="L1982" t="s">
        <v>40</v>
      </c>
      <c r="M1982" t="s">
        <v>56</v>
      </c>
      <c r="N1982" t="s">
        <v>56</v>
      </c>
      <c r="O1982" t="s">
        <v>39</v>
      </c>
      <c r="P1982" t="s">
        <v>37</v>
      </c>
      <c r="Q1982" t="s">
        <v>37</v>
      </c>
      <c r="R1982" t="s">
        <v>40</v>
      </c>
      <c r="S1982" t="s">
        <v>41</v>
      </c>
      <c r="T1982" t="s">
        <v>7310</v>
      </c>
      <c r="U1982" t="s">
        <v>7311</v>
      </c>
      <c r="V1982" t="s">
        <v>6450</v>
      </c>
      <c r="W1982" t="s">
        <v>5607</v>
      </c>
      <c r="Y1982" t="s">
        <v>46</v>
      </c>
      <c r="AC1982">
        <f>COUNTIF(C:C,QLKV_gui_ket_qua_ra_soat[[#This Row],[Mã điểm bán]])</f>
        <v>1</v>
      </c>
    </row>
    <row r="1983" spans="1:29" x14ac:dyDescent="0.45">
      <c r="A1983" t="s">
        <v>6444</v>
      </c>
      <c r="B1983">
        <v>304</v>
      </c>
      <c r="C1983" t="s">
        <v>7374</v>
      </c>
      <c r="D1983" t="s">
        <v>7375</v>
      </c>
      <c r="E1983" t="s">
        <v>857</v>
      </c>
      <c r="F1983" t="s">
        <v>53</v>
      </c>
      <c r="G1983" t="s">
        <v>34</v>
      </c>
      <c r="H1983" t="s">
        <v>54</v>
      </c>
      <c r="I1983" t="s">
        <v>7376</v>
      </c>
      <c r="J1983" t="s">
        <v>56</v>
      </c>
      <c r="K1983" t="s">
        <v>56</v>
      </c>
      <c r="L1983" t="s">
        <v>39</v>
      </c>
      <c r="M1983" t="s">
        <v>37</v>
      </c>
      <c r="N1983" t="s">
        <v>37</v>
      </c>
      <c r="O1983" t="s">
        <v>39</v>
      </c>
      <c r="P1983" t="s">
        <v>38</v>
      </c>
      <c r="Q1983" t="s">
        <v>38</v>
      </c>
      <c r="R1983" t="s">
        <v>39</v>
      </c>
      <c r="S1983" t="s">
        <v>1291</v>
      </c>
      <c r="T1983" t="s">
        <v>7327</v>
      </c>
      <c r="U1983" t="s">
        <v>7311</v>
      </c>
      <c r="V1983" t="s">
        <v>6450</v>
      </c>
      <c r="W1983" t="s">
        <v>7312</v>
      </c>
      <c r="Y1983" t="s">
        <v>46</v>
      </c>
      <c r="AC1983">
        <f>COUNTIF(C:C,QLKV_gui_ket_qua_ra_soat[[#This Row],[Mã điểm bán]])</f>
        <v>1</v>
      </c>
    </row>
    <row r="1984" spans="1:29" x14ac:dyDescent="0.45">
      <c r="A1984" t="s">
        <v>6444</v>
      </c>
      <c r="B1984">
        <v>305</v>
      </c>
      <c r="C1984" t="s">
        <v>7377</v>
      </c>
      <c r="D1984" t="s">
        <v>7378</v>
      </c>
      <c r="E1984" t="s">
        <v>7379</v>
      </c>
      <c r="F1984" t="s">
        <v>401</v>
      </c>
      <c r="G1984" t="s">
        <v>34</v>
      </c>
      <c r="H1984" t="s">
        <v>54</v>
      </c>
      <c r="I1984" t="s">
        <v>7380</v>
      </c>
      <c r="J1984" t="s">
        <v>56</v>
      </c>
      <c r="K1984" t="s">
        <v>56</v>
      </c>
      <c r="L1984" t="s">
        <v>39</v>
      </c>
      <c r="M1984" t="s">
        <v>37</v>
      </c>
      <c r="N1984" t="s">
        <v>37</v>
      </c>
      <c r="O1984" t="s">
        <v>39</v>
      </c>
      <c r="P1984" t="s">
        <v>38</v>
      </c>
      <c r="Q1984" t="s">
        <v>38</v>
      </c>
      <c r="R1984" t="s">
        <v>39</v>
      </c>
      <c r="S1984" t="s">
        <v>1291</v>
      </c>
      <c r="T1984" t="s">
        <v>7327</v>
      </c>
      <c r="U1984" t="s">
        <v>7311</v>
      </c>
      <c r="V1984" t="s">
        <v>6450</v>
      </c>
      <c r="W1984" t="s">
        <v>5607</v>
      </c>
      <c r="Y1984" t="s">
        <v>46</v>
      </c>
      <c r="AC1984">
        <f>COUNTIF(C:C,QLKV_gui_ket_qua_ra_soat[[#This Row],[Mã điểm bán]])</f>
        <v>1</v>
      </c>
    </row>
    <row r="1985" spans="1:29" x14ac:dyDescent="0.45">
      <c r="A1985" t="s">
        <v>6444</v>
      </c>
      <c r="B1985">
        <v>306</v>
      </c>
      <c r="C1985" t="s">
        <v>7381</v>
      </c>
      <c r="D1985" t="s">
        <v>7382</v>
      </c>
      <c r="E1985" t="s">
        <v>269</v>
      </c>
      <c r="F1985" t="s">
        <v>53</v>
      </c>
      <c r="G1985" t="s">
        <v>34</v>
      </c>
      <c r="H1985" t="s">
        <v>54</v>
      </c>
      <c r="I1985" t="s">
        <v>7326</v>
      </c>
      <c r="J1985" t="s">
        <v>56</v>
      </c>
      <c r="K1985" t="s">
        <v>56</v>
      </c>
      <c r="L1985" t="s">
        <v>39</v>
      </c>
      <c r="M1985" t="s">
        <v>37</v>
      </c>
      <c r="N1985" t="s">
        <v>37</v>
      </c>
      <c r="O1985" t="s">
        <v>39</v>
      </c>
      <c r="P1985" t="s">
        <v>38</v>
      </c>
      <c r="Q1985" t="s">
        <v>38</v>
      </c>
      <c r="R1985" t="s">
        <v>39</v>
      </c>
      <c r="S1985" t="s">
        <v>5460</v>
      </c>
      <c r="T1985" t="s">
        <v>7327</v>
      </c>
      <c r="U1985" t="s">
        <v>7311</v>
      </c>
      <c r="V1985" t="s">
        <v>6450</v>
      </c>
      <c r="W1985" t="s">
        <v>7312</v>
      </c>
      <c r="Y1985" t="s">
        <v>46</v>
      </c>
      <c r="AC1985">
        <f>COUNTIF(C:C,QLKV_gui_ket_qua_ra_soat[[#This Row],[Mã điểm bán]])</f>
        <v>1</v>
      </c>
    </row>
    <row r="1986" spans="1:29" x14ac:dyDescent="0.45">
      <c r="A1986" t="s">
        <v>6444</v>
      </c>
      <c r="B1986">
        <v>307</v>
      </c>
      <c r="C1986" t="s">
        <v>7383</v>
      </c>
      <c r="D1986" t="s">
        <v>7384</v>
      </c>
      <c r="E1986" t="s">
        <v>207</v>
      </c>
      <c r="F1986" t="s">
        <v>535</v>
      </c>
      <c r="G1986" t="s">
        <v>177</v>
      </c>
      <c r="H1986" t="s">
        <v>54</v>
      </c>
      <c r="I1986" t="s">
        <v>7385</v>
      </c>
      <c r="J1986" t="s">
        <v>56</v>
      </c>
      <c r="K1986" t="s">
        <v>56</v>
      </c>
      <c r="L1986" t="s">
        <v>39</v>
      </c>
      <c r="M1986" t="s">
        <v>775</v>
      </c>
      <c r="N1986" t="s">
        <v>775</v>
      </c>
      <c r="O1986" t="s">
        <v>39</v>
      </c>
      <c r="P1986" t="s">
        <v>56</v>
      </c>
      <c r="Q1986" t="s">
        <v>56</v>
      </c>
      <c r="R1986" t="s">
        <v>39</v>
      </c>
      <c r="S1986" t="s">
        <v>41</v>
      </c>
      <c r="T1986" t="s">
        <v>7310</v>
      </c>
      <c r="U1986" t="s">
        <v>7311</v>
      </c>
      <c r="V1986" t="s">
        <v>6450</v>
      </c>
      <c r="W1986" t="s">
        <v>7312</v>
      </c>
      <c r="Y1986" t="s">
        <v>46</v>
      </c>
      <c r="AC1986">
        <f>COUNTIF(C:C,QLKV_gui_ket_qua_ra_soat[[#This Row],[Mã điểm bán]])</f>
        <v>1</v>
      </c>
    </row>
    <row r="1987" spans="1:29" x14ac:dyDescent="0.45">
      <c r="A1987" t="s">
        <v>6444</v>
      </c>
      <c r="B1987">
        <v>308</v>
      </c>
      <c r="C1987" t="s">
        <v>7386</v>
      </c>
      <c r="D1987" t="s">
        <v>7387</v>
      </c>
      <c r="E1987" t="s">
        <v>87</v>
      </c>
      <c r="F1987" t="s">
        <v>53</v>
      </c>
      <c r="G1987" t="s">
        <v>177</v>
      </c>
      <c r="H1987" t="s">
        <v>54</v>
      </c>
      <c r="I1987" t="s">
        <v>7322</v>
      </c>
      <c r="J1987" t="s">
        <v>56</v>
      </c>
      <c r="K1987" t="s">
        <v>56</v>
      </c>
      <c r="L1987" t="s">
        <v>39</v>
      </c>
      <c r="M1987" t="s">
        <v>56</v>
      </c>
      <c r="N1987" t="s">
        <v>56</v>
      </c>
      <c r="O1987" t="s">
        <v>39</v>
      </c>
      <c r="P1987" t="s">
        <v>56</v>
      </c>
      <c r="Q1987" t="s">
        <v>37</v>
      </c>
      <c r="R1987" t="s">
        <v>39</v>
      </c>
      <c r="S1987" t="s">
        <v>41</v>
      </c>
      <c r="T1987" t="s">
        <v>7310</v>
      </c>
      <c r="U1987" t="s">
        <v>7311</v>
      </c>
      <c r="V1987" t="s">
        <v>6450</v>
      </c>
      <c r="W1987" t="s">
        <v>7312</v>
      </c>
      <c r="Y1987" t="s">
        <v>46</v>
      </c>
      <c r="AC1987">
        <f>COUNTIF(C:C,QLKV_gui_ket_qua_ra_soat[[#This Row],[Mã điểm bán]])</f>
        <v>1</v>
      </c>
    </row>
    <row r="1988" spans="1:29" x14ac:dyDescent="0.45">
      <c r="A1988" t="s">
        <v>6444</v>
      </c>
      <c r="B1988">
        <v>309</v>
      </c>
      <c r="C1988" t="s">
        <v>7388</v>
      </c>
      <c r="D1988" t="s">
        <v>7389</v>
      </c>
      <c r="E1988" t="s">
        <v>64</v>
      </c>
      <c r="F1988" t="s">
        <v>401</v>
      </c>
      <c r="G1988" t="s">
        <v>34</v>
      </c>
      <c r="H1988" t="s">
        <v>1648</v>
      </c>
      <c r="I1988" t="s">
        <v>7390</v>
      </c>
      <c r="J1988" t="s">
        <v>56</v>
      </c>
      <c r="K1988" t="s">
        <v>56</v>
      </c>
      <c r="L1988" t="s">
        <v>39</v>
      </c>
      <c r="M1988" t="s">
        <v>37</v>
      </c>
      <c r="N1988" t="s">
        <v>37</v>
      </c>
      <c r="O1988" t="s">
        <v>39</v>
      </c>
      <c r="P1988" t="s">
        <v>38</v>
      </c>
      <c r="Q1988" t="s">
        <v>38</v>
      </c>
      <c r="R1988" t="s">
        <v>39</v>
      </c>
      <c r="S1988" t="s">
        <v>1291</v>
      </c>
      <c r="T1988" t="s">
        <v>7327</v>
      </c>
      <c r="U1988" t="s">
        <v>7311</v>
      </c>
      <c r="V1988" t="s">
        <v>6450</v>
      </c>
      <c r="W1988" t="s">
        <v>5607</v>
      </c>
      <c r="Y1988" t="s">
        <v>46</v>
      </c>
      <c r="AC1988">
        <f>COUNTIF(C:C,QLKV_gui_ket_qua_ra_soat[[#This Row],[Mã điểm bán]])</f>
        <v>1</v>
      </c>
    </row>
    <row r="1989" spans="1:29" x14ac:dyDescent="0.45">
      <c r="A1989" t="s">
        <v>6444</v>
      </c>
      <c r="B1989">
        <v>310</v>
      </c>
      <c r="C1989" t="s">
        <v>7391</v>
      </c>
      <c r="D1989" t="s">
        <v>7392</v>
      </c>
      <c r="E1989" t="s">
        <v>1043</v>
      </c>
      <c r="F1989" t="s">
        <v>53</v>
      </c>
      <c r="G1989" t="s">
        <v>34</v>
      </c>
      <c r="H1989" t="s">
        <v>54</v>
      </c>
      <c r="I1989" t="s">
        <v>7326</v>
      </c>
      <c r="J1989" t="s">
        <v>56</v>
      </c>
      <c r="K1989" t="s">
        <v>56</v>
      </c>
      <c r="L1989" t="s">
        <v>39</v>
      </c>
      <c r="M1989" t="s">
        <v>37</v>
      </c>
      <c r="N1989" t="s">
        <v>37</v>
      </c>
      <c r="O1989" t="s">
        <v>39</v>
      </c>
      <c r="P1989" t="s">
        <v>38</v>
      </c>
      <c r="Q1989" t="s">
        <v>38</v>
      </c>
      <c r="R1989" t="s">
        <v>39</v>
      </c>
      <c r="S1989" t="s">
        <v>1291</v>
      </c>
      <c r="T1989" t="s">
        <v>7327</v>
      </c>
      <c r="U1989" t="s">
        <v>7311</v>
      </c>
      <c r="V1989" t="s">
        <v>6450</v>
      </c>
      <c r="W1989" t="s">
        <v>5607</v>
      </c>
      <c r="Y1989" t="s">
        <v>46</v>
      </c>
      <c r="AC1989">
        <f>COUNTIF(C:C,QLKV_gui_ket_qua_ra_soat[[#This Row],[Mã điểm bán]])</f>
        <v>1</v>
      </c>
    </row>
    <row r="1990" spans="1:29" x14ac:dyDescent="0.45">
      <c r="A1990" t="s">
        <v>6444</v>
      </c>
      <c r="B1990">
        <v>311</v>
      </c>
      <c r="C1990" t="s">
        <v>7393</v>
      </c>
      <c r="D1990" t="s">
        <v>5055</v>
      </c>
      <c r="E1990" t="s">
        <v>190</v>
      </c>
      <c r="F1990" t="s">
        <v>53</v>
      </c>
      <c r="G1990" t="s">
        <v>177</v>
      </c>
      <c r="H1990" t="s">
        <v>54</v>
      </c>
      <c r="I1990" t="s">
        <v>7315</v>
      </c>
      <c r="J1990" t="s">
        <v>56</v>
      </c>
      <c r="K1990" t="s">
        <v>37</v>
      </c>
      <c r="L1990" t="s">
        <v>39</v>
      </c>
      <c r="M1990" t="s">
        <v>56</v>
      </c>
      <c r="N1990" t="s">
        <v>56</v>
      </c>
      <c r="O1990" t="s">
        <v>39</v>
      </c>
      <c r="P1990" t="s">
        <v>56</v>
      </c>
      <c r="Q1990" t="s">
        <v>37</v>
      </c>
      <c r="R1990" t="s">
        <v>39</v>
      </c>
      <c r="S1990" t="s">
        <v>41</v>
      </c>
      <c r="T1990" t="s">
        <v>7310</v>
      </c>
      <c r="U1990" t="s">
        <v>7311</v>
      </c>
      <c r="V1990" t="s">
        <v>6450</v>
      </c>
      <c r="W1990" t="s">
        <v>7312</v>
      </c>
      <c r="Y1990" t="s">
        <v>46</v>
      </c>
      <c r="AC1990">
        <f>COUNTIF(C:C,QLKV_gui_ket_qua_ra_soat[[#This Row],[Mã điểm bán]])</f>
        <v>1</v>
      </c>
    </row>
    <row r="1991" spans="1:29" x14ac:dyDescent="0.45">
      <c r="A1991" t="s">
        <v>6444</v>
      </c>
      <c r="B1991">
        <v>312</v>
      </c>
      <c r="C1991" t="s">
        <v>7394</v>
      </c>
      <c r="D1991" t="s">
        <v>6305</v>
      </c>
      <c r="E1991" t="s">
        <v>304</v>
      </c>
      <c r="F1991" t="s">
        <v>53</v>
      </c>
      <c r="G1991" t="s">
        <v>177</v>
      </c>
      <c r="H1991" t="s">
        <v>54</v>
      </c>
      <c r="I1991" t="s">
        <v>7318</v>
      </c>
      <c r="J1991" t="s">
        <v>37</v>
      </c>
      <c r="K1991" t="s">
        <v>37</v>
      </c>
      <c r="L1991" t="s">
        <v>39</v>
      </c>
      <c r="M1991" t="s">
        <v>37</v>
      </c>
      <c r="N1991" t="s">
        <v>37</v>
      </c>
      <c r="O1991" t="s">
        <v>39</v>
      </c>
      <c r="P1991" t="s">
        <v>38</v>
      </c>
      <c r="Q1991" t="s">
        <v>38</v>
      </c>
      <c r="R1991" t="s">
        <v>39</v>
      </c>
      <c r="S1991" t="s">
        <v>41</v>
      </c>
      <c r="T1991" t="s">
        <v>7319</v>
      </c>
      <c r="U1991" t="s">
        <v>7311</v>
      </c>
      <c r="V1991" t="s">
        <v>6450</v>
      </c>
      <c r="W1991" t="s">
        <v>7312</v>
      </c>
      <c r="Y1991" t="s">
        <v>46</v>
      </c>
      <c r="AC1991">
        <f>COUNTIF(C:C,QLKV_gui_ket_qua_ra_soat[[#This Row],[Mã điểm bán]])</f>
        <v>1</v>
      </c>
    </row>
    <row r="1992" spans="1:29" x14ac:dyDescent="0.45">
      <c r="A1992" t="s">
        <v>6444</v>
      </c>
      <c r="B1992">
        <v>313</v>
      </c>
      <c r="C1992" t="s">
        <v>7395</v>
      </c>
      <c r="D1992" t="s">
        <v>7396</v>
      </c>
      <c r="E1992" t="s">
        <v>109</v>
      </c>
      <c r="F1992" t="s">
        <v>53</v>
      </c>
      <c r="G1992" t="s">
        <v>177</v>
      </c>
      <c r="H1992" t="s">
        <v>54</v>
      </c>
      <c r="I1992" t="s">
        <v>7315</v>
      </c>
      <c r="J1992" t="s">
        <v>56</v>
      </c>
      <c r="K1992" t="s">
        <v>56</v>
      </c>
      <c r="L1992" t="s">
        <v>39</v>
      </c>
      <c r="M1992" t="s">
        <v>56</v>
      </c>
      <c r="N1992" t="s">
        <v>56</v>
      </c>
      <c r="O1992" t="s">
        <v>39</v>
      </c>
      <c r="P1992" t="s">
        <v>56</v>
      </c>
      <c r="Q1992" t="s">
        <v>56</v>
      </c>
      <c r="R1992" t="s">
        <v>39</v>
      </c>
      <c r="S1992" t="s">
        <v>41</v>
      </c>
      <c r="T1992" t="s">
        <v>7310</v>
      </c>
      <c r="U1992" t="s">
        <v>7311</v>
      </c>
      <c r="V1992" t="s">
        <v>6450</v>
      </c>
      <c r="W1992" t="s">
        <v>7312</v>
      </c>
      <c r="AC1992">
        <f>COUNTIF(C:C,QLKV_gui_ket_qua_ra_soat[[#This Row],[Mã điểm bán]])</f>
        <v>1</v>
      </c>
    </row>
    <row r="1993" spans="1:29" x14ac:dyDescent="0.45">
      <c r="A1993" t="s">
        <v>6444</v>
      </c>
      <c r="B1993">
        <v>314</v>
      </c>
      <c r="C1993" t="s">
        <v>7397</v>
      </c>
      <c r="D1993" t="s">
        <v>6058</v>
      </c>
      <c r="E1993" t="s">
        <v>7398</v>
      </c>
      <c r="F1993" t="s">
        <v>286</v>
      </c>
      <c r="G1993" t="s">
        <v>34</v>
      </c>
      <c r="H1993" t="s">
        <v>54</v>
      </c>
      <c r="I1993" t="s">
        <v>7399</v>
      </c>
      <c r="J1993" t="s">
        <v>38</v>
      </c>
      <c r="K1993" t="s">
        <v>38</v>
      </c>
      <c r="L1993" t="s">
        <v>40</v>
      </c>
      <c r="M1993" t="s">
        <v>37</v>
      </c>
      <c r="N1993" t="s">
        <v>37</v>
      </c>
      <c r="O1993" t="s">
        <v>39</v>
      </c>
      <c r="P1993" t="s">
        <v>37</v>
      </c>
      <c r="Q1993" t="s">
        <v>56</v>
      </c>
      <c r="R1993" t="s">
        <v>39</v>
      </c>
      <c r="S1993" t="s">
        <v>41</v>
      </c>
      <c r="T1993" t="s">
        <v>7368</v>
      </c>
      <c r="U1993" t="s">
        <v>7369</v>
      </c>
      <c r="V1993" t="s">
        <v>6450</v>
      </c>
      <c r="W1993" t="s">
        <v>7312</v>
      </c>
      <c r="Z1993" t="s">
        <v>46</v>
      </c>
      <c r="AA1993" t="s">
        <v>6457</v>
      </c>
      <c r="AB1993" t="s">
        <v>5658</v>
      </c>
      <c r="AC1993">
        <f>COUNTIF(C:C,QLKV_gui_ket_qua_ra_soat[[#This Row],[Mã điểm bán]])</f>
        <v>1</v>
      </c>
    </row>
    <row r="1994" spans="1:29" x14ac:dyDescent="0.45">
      <c r="A1994" t="s">
        <v>6444</v>
      </c>
      <c r="B1994">
        <v>315</v>
      </c>
      <c r="C1994" t="s">
        <v>7400</v>
      </c>
      <c r="D1994" t="s">
        <v>7401</v>
      </c>
      <c r="E1994" t="s">
        <v>304</v>
      </c>
      <c r="F1994" t="s">
        <v>53</v>
      </c>
      <c r="G1994" t="s">
        <v>34</v>
      </c>
      <c r="H1994" t="s">
        <v>54</v>
      </c>
      <c r="I1994" t="s">
        <v>237</v>
      </c>
      <c r="J1994" t="s">
        <v>56</v>
      </c>
      <c r="K1994" t="s">
        <v>56</v>
      </c>
      <c r="L1994" t="s">
        <v>39</v>
      </c>
      <c r="M1994" t="s">
        <v>37</v>
      </c>
      <c r="N1994" t="s">
        <v>37</v>
      </c>
      <c r="O1994" t="s">
        <v>39</v>
      </c>
      <c r="P1994" t="s">
        <v>38</v>
      </c>
      <c r="Q1994" t="s">
        <v>38</v>
      </c>
      <c r="R1994" t="s">
        <v>39</v>
      </c>
      <c r="S1994" t="s">
        <v>5460</v>
      </c>
      <c r="T1994" t="s">
        <v>7327</v>
      </c>
      <c r="U1994" t="s">
        <v>7311</v>
      </c>
      <c r="V1994" t="s">
        <v>6450</v>
      </c>
      <c r="W1994" t="s">
        <v>5607</v>
      </c>
      <c r="X1994" t="s">
        <v>46</v>
      </c>
      <c r="AC1994">
        <f>COUNTIF(C:C,QLKV_gui_ket_qua_ra_soat[[#This Row],[Mã điểm bán]])</f>
        <v>1</v>
      </c>
    </row>
    <row r="1995" spans="1:29" x14ac:dyDescent="0.45">
      <c r="A1995" t="s">
        <v>6444</v>
      </c>
      <c r="B1995">
        <v>316</v>
      </c>
      <c r="C1995" t="s">
        <v>7402</v>
      </c>
      <c r="D1995" t="s">
        <v>7403</v>
      </c>
      <c r="E1995" t="s">
        <v>157</v>
      </c>
      <c r="F1995" t="s">
        <v>478</v>
      </c>
      <c r="G1995" t="s">
        <v>34</v>
      </c>
      <c r="H1995" t="s">
        <v>54</v>
      </c>
      <c r="I1995" t="s">
        <v>7404</v>
      </c>
      <c r="J1995" t="s">
        <v>38</v>
      </c>
      <c r="K1995" t="s">
        <v>38</v>
      </c>
      <c r="L1995" t="s">
        <v>40</v>
      </c>
      <c r="M1995" t="s">
        <v>56</v>
      </c>
      <c r="N1995" t="s">
        <v>56</v>
      </c>
      <c r="O1995" t="s">
        <v>39</v>
      </c>
      <c r="P1995" t="s">
        <v>37</v>
      </c>
      <c r="Q1995" t="s">
        <v>37</v>
      </c>
      <c r="R1995" t="s">
        <v>39</v>
      </c>
      <c r="S1995" t="s">
        <v>41</v>
      </c>
      <c r="T1995" t="s">
        <v>7368</v>
      </c>
      <c r="U1995" t="s">
        <v>7369</v>
      </c>
      <c r="V1995" t="s">
        <v>6450</v>
      </c>
      <c r="W1995" t="s">
        <v>7312</v>
      </c>
      <c r="X1995" t="s">
        <v>46</v>
      </c>
      <c r="AB1995" t="s">
        <v>3109</v>
      </c>
      <c r="AC1995">
        <f>COUNTIF(C:C,QLKV_gui_ket_qua_ra_soat[[#This Row],[Mã điểm bán]])</f>
        <v>1</v>
      </c>
    </row>
    <row r="1996" spans="1:29" x14ac:dyDescent="0.45">
      <c r="A1996" t="s">
        <v>6444</v>
      </c>
      <c r="B1996">
        <v>317</v>
      </c>
      <c r="C1996" t="s">
        <v>7405</v>
      </c>
      <c r="D1996" t="s">
        <v>7406</v>
      </c>
      <c r="E1996" t="s">
        <v>269</v>
      </c>
      <c r="F1996" t="s">
        <v>53</v>
      </c>
      <c r="G1996" t="s">
        <v>34</v>
      </c>
      <c r="H1996" t="s">
        <v>54</v>
      </c>
      <c r="I1996" t="s">
        <v>7345</v>
      </c>
      <c r="J1996" t="s">
        <v>56</v>
      </c>
      <c r="K1996" t="s">
        <v>56</v>
      </c>
      <c r="L1996" t="s">
        <v>39</v>
      </c>
      <c r="M1996" t="s">
        <v>37</v>
      </c>
      <c r="N1996" t="s">
        <v>37</v>
      </c>
      <c r="O1996" t="s">
        <v>39</v>
      </c>
      <c r="P1996" t="s">
        <v>38</v>
      </c>
      <c r="Q1996" t="s">
        <v>38</v>
      </c>
      <c r="R1996" t="s">
        <v>39</v>
      </c>
      <c r="S1996" t="s">
        <v>1291</v>
      </c>
      <c r="T1996" t="s">
        <v>7327</v>
      </c>
      <c r="U1996" t="s">
        <v>7311</v>
      </c>
      <c r="V1996" t="s">
        <v>6450</v>
      </c>
      <c r="W1996" t="s">
        <v>7312</v>
      </c>
      <c r="X1996" t="s">
        <v>46</v>
      </c>
      <c r="AC1996">
        <f>COUNTIF(C:C,QLKV_gui_ket_qua_ra_soat[[#This Row],[Mã điểm bán]])</f>
        <v>1</v>
      </c>
    </row>
    <row r="1997" spans="1:29" x14ac:dyDescent="0.45">
      <c r="A1997" t="s">
        <v>6444</v>
      </c>
      <c r="B1997">
        <v>318</v>
      </c>
      <c r="C1997" t="s">
        <v>7407</v>
      </c>
      <c r="D1997" t="s">
        <v>2055</v>
      </c>
      <c r="E1997" t="s">
        <v>304</v>
      </c>
      <c r="F1997" t="s">
        <v>53</v>
      </c>
      <c r="G1997" t="s">
        <v>34</v>
      </c>
      <c r="H1997" t="s">
        <v>54</v>
      </c>
      <c r="I1997" t="s">
        <v>7376</v>
      </c>
      <c r="J1997" t="s">
        <v>56</v>
      </c>
      <c r="K1997" t="s">
        <v>56</v>
      </c>
      <c r="L1997" t="s">
        <v>39</v>
      </c>
      <c r="M1997" t="s">
        <v>37</v>
      </c>
      <c r="N1997" t="s">
        <v>37</v>
      </c>
      <c r="O1997" t="s">
        <v>39</v>
      </c>
      <c r="P1997" t="s">
        <v>38</v>
      </c>
      <c r="Q1997" t="s">
        <v>38</v>
      </c>
      <c r="R1997" t="s">
        <v>39</v>
      </c>
      <c r="S1997" t="s">
        <v>627</v>
      </c>
      <c r="T1997" t="s">
        <v>7327</v>
      </c>
      <c r="U1997" t="s">
        <v>7311</v>
      </c>
      <c r="V1997" t="s">
        <v>6450</v>
      </c>
      <c r="W1997" t="s">
        <v>7312</v>
      </c>
      <c r="X1997" t="s">
        <v>46</v>
      </c>
      <c r="AC1997">
        <f>COUNTIF(C:C,QLKV_gui_ket_qua_ra_soat[[#This Row],[Mã điểm bán]])</f>
        <v>1</v>
      </c>
    </row>
    <row r="1998" spans="1:29" x14ac:dyDescent="0.45">
      <c r="A1998" t="s">
        <v>6444</v>
      </c>
      <c r="B1998">
        <v>319</v>
      </c>
      <c r="C1998" t="s">
        <v>7408</v>
      </c>
      <c r="D1998" t="s">
        <v>7409</v>
      </c>
      <c r="E1998" t="s">
        <v>304</v>
      </c>
      <c r="F1998" t="s">
        <v>53</v>
      </c>
      <c r="G1998" t="s">
        <v>34</v>
      </c>
      <c r="H1998" t="s">
        <v>54</v>
      </c>
      <c r="I1998" t="s">
        <v>7326</v>
      </c>
      <c r="J1998" t="s">
        <v>56</v>
      </c>
      <c r="K1998" t="s">
        <v>56</v>
      </c>
      <c r="L1998" t="s">
        <v>39</v>
      </c>
      <c r="M1998" t="s">
        <v>37</v>
      </c>
      <c r="N1998" t="s">
        <v>37</v>
      </c>
      <c r="O1998" t="s">
        <v>39</v>
      </c>
      <c r="P1998" t="s">
        <v>38</v>
      </c>
      <c r="Q1998" t="s">
        <v>38</v>
      </c>
      <c r="R1998" t="s">
        <v>39</v>
      </c>
      <c r="S1998" t="s">
        <v>1291</v>
      </c>
      <c r="T1998" t="s">
        <v>7327</v>
      </c>
      <c r="U1998" t="s">
        <v>7311</v>
      </c>
      <c r="V1998" t="s">
        <v>6450</v>
      </c>
      <c r="W1998" t="s">
        <v>7312</v>
      </c>
      <c r="X1998" t="s">
        <v>46</v>
      </c>
      <c r="AC1998">
        <f>COUNTIF(C:C,QLKV_gui_ket_qua_ra_soat[[#This Row],[Mã điểm bán]])</f>
        <v>1</v>
      </c>
    </row>
    <row r="1999" spans="1:29" x14ac:dyDescent="0.45">
      <c r="A1999" t="s">
        <v>6444</v>
      </c>
      <c r="B1999">
        <v>320</v>
      </c>
      <c r="C1999" t="s">
        <v>7410</v>
      </c>
      <c r="D1999" t="s">
        <v>7411</v>
      </c>
      <c r="E1999" t="s">
        <v>69</v>
      </c>
      <c r="F1999" t="s">
        <v>417</v>
      </c>
      <c r="G1999" t="s">
        <v>177</v>
      </c>
      <c r="H1999" t="s">
        <v>54</v>
      </c>
      <c r="I1999" t="s">
        <v>7412</v>
      </c>
      <c r="J1999" t="s">
        <v>56</v>
      </c>
      <c r="K1999" t="s">
        <v>37</v>
      </c>
      <c r="L1999" t="s">
        <v>121</v>
      </c>
      <c r="M1999" t="s">
        <v>37</v>
      </c>
      <c r="N1999" t="s">
        <v>37</v>
      </c>
      <c r="O1999" t="s">
        <v>39</v>
      </c>
      <c r="P1999" t="s">
        <v>38</v>
      </c>
      <c r="Q1999" t="s">
        <v>38</v>
      </c>
      <c r="R1999" t="s">
        <v>39</v>
      </c>
      <c r="S1999" t="s">
        <v>5363</v>
      </c>
      <c r="T1999" t="s">
        <v>7319</v>
      </c>
      <c r="U1999" t="s">
        <v>7311</v>
      </c>
      <c r="V1999" t="s">
        <v>6450</v>
      </c>
      <c r="W1999" t="s">
        <v>5607</v>
      </c>
      <c r="X1999" t="s">
        <v>46</v>
      </c>
      <c r="AC1999">
        <f>COUNTIF(C:C,QLKV_gui_ket_qua_ra_soat[[#This Row],[Mã điểm bán]])</f>
        <v>1</v>
      </c>
    </row>
    <row r="2000" spans="1:29" x14ac:dyDescent="0.45">
      <c r="A2000" t="s">
        <v>6444</v>
      </c>
      <c r="B2000">
        <v>321</v>
      </c>
      <c r="C2000" t="s">
        <v>7413</v>
      </c>
      <c r="D2000" t="s">
        <v>7414</v>
      </c>
      <c r="E2000" t="s">
        <v>2420</v>
      </c>
      <c r="F2000" t="s">
        <v>7415</v>
      </c>
      <c r="G2000" t="s">
        <v>177</v>
      </c>
      <c r="H2000" t="s">
        <v>54</v>
      </c>
      <c r="I2000" t="s">
        <v>7416</v>
      </c>
      <c r="J2000" t="s">
        <v>56</v>
      </c>
      <c r="K2000" t="s">
        <v>56</v>
      </c>
      <c r="L2000" t="s">
        <v>39</v>
      </c>
      <c r="M2000" t="s">
        <v>56</v>
      </c>
      <c r="N2000" t="s">
        <v>56</v>
      </c>
      <c r="O2000" t="s">
        <v>39</v>
      </c>
      <c r="P2000" t="s">
        <v>56</v>
      </c>
      <c r="Q2000" t="s">
        <v>56</v>
      </c>
      <c r="R2000" t="s">
        <v>39</v>
      </c>
      <c r="S2000" t="s">
        <v>41</v>
      </c>
      <c r="T2000" t="s">
        <v>7310</v>
      </c>
      <c r="U2000" t="s">
        <v>7311</v>
      </c>
      <c r="V2000" t="s">
        <v>6450</v>
      </c>
      <c r="W2000" t="s">
        <v>7312</v>
      </c>
      <c r="X2000" t="s">
        <v>46</v>
      </c>
      <c r="AC2000">
        <f>COUNTIF(C:C,QLKV_gui_ket_qua_ra_soat[[#This Row],[Mã điểm bán]])</f>
        <v>1</v>
      </c>
    </row>
    <row r="2001" spans="1:29" x14ac:dyDescent="0.45">
      <c r="A2001" t="s">
        <v>6444</v>
      </c>
      <c r="B2001">
        <v>322</v>
      </c>
      <c r="C2001" t="s">
        <v>7417</v>
      </c>
      <c r="D2001" t="s">
        <v>7418</v>
      </c>
      <c r="E2001" t="s">
        <v>64</v>
      </c>
      <c r="F2001" t="s">
        <v>53</v>
      </c>
      <c r="G2001" t="s">
        <v>177</v>
      </c>
      <c r="H2001" t="s">
        <v>54</v>
      </c>
      <c r="I2001" t="s">
        <v>7322</v>
      </c>
      <c r="J2001" t="s">
        <v>56</v>
      </c>
      <c r="K2001" t="s">
        <v>56</v>
      </c>
      <c r="L2001" t="s">
        <v>39</v>
      </c>
      <c r="M2001" t="s">
        <v>56</v>
      </c>
      <c r="N2001" t="s">
        <v>56</v>
      </c>
      <c r="O2001" t="s">
        <v>39</v>
      </c>
      <c r="P2001" t="s">
        <v>37</v>
      </c>
      <c r="Q2001" t="s">
        <v>37</v>
      </c>
      <c r="R2001" t="s">
        <v>40</v>
      </c>
      <c r="S2001" t="s">
        <v>7419</v>
      </c>
      <c r="T2001" t="s">
        <v>7310</v>
      </c>
      <c r="U2001" t="s">
        <v>7311</v>
      </c>
      <c r="V2001" t="s">
        <v>6450</v>
      </c>
      <c r="W2001" t="s">
        <v>5607</v>
      </c>
      <c r="X2001" t="s">
        <v>46</v>
      </c>
      <c r="AC2001">
        <f>COUNTIF(C:C,QLKV_gui_ket_qua_ra_soat[[#This Row],[Mã điểm bán]])</f>
        <v>1</v>
      </c>
    </row>
    <row r="2002" spans="1:29" x14ac:dyDescent="0.45">
      <c r="A2002" t="s">
        <v>6444</v>
      </c>
      <c r="B2002">
        <v>323</v>
      </c>
      <c r="C2002" t="s">
        <v>7420</v>
      </c>
      <c r="D2002" t="s">
        <v>7421</v>
      </c>
      <c r="E2002" t="s">
        <v>69</v>
      </c>
      <c r="F2002" t="s">
        <v>53</v>
      </c>
      <c r="G2002" t="s">
        <v>177</v>
      </c>
      <c r="H2002" t="s">
        <v>54</v>
      </c>
      <c r="I2002" t="s">
        <v>7318</v>
      </c>
      <c r="J2002" t="s">
        <v>37</v>
      </c>
      <c r="K2002" t="s">
        <v>37</v>
      </c>
      <c r="L2002" t="s">
        <v>39</v>
      </c>
      <c r="M2002" t="s">
        <v>37</v>
      </c>
      <c r="N2002" t="s">
        <v>37</v>
      </c>
      <c r="O2002" t="s">
        <v>39</v>
      </c>
      <c r="P2002" t="s">
        <v>38</v>
      </c>
      <c r="Q2002" t="s">
        <v>38</v>
      </c>
      <c r="R2002" t="s">
        <v>39</v>
      </c>
      <c r="S2002" t="s">
        <v>5625</v>
      </c>
      <c r="T2002" t="s">
        <v>7319</v>
      </c>
      <c r="U2002" t="s">
        <v>7311</v>
      </c>
      <c r="V2002" t="s">
        <v>6450</v>
      </c>
      <c r="W2002" t="s">
        <v>7312</v>
      </c>
      <c r="X2002" t="s">
        <v>46</v>
      </c>
      <c r="AC2002">
        <f>COUNTIF(C:C,QLKV_gui_ket_qua_ra_soat[[#This Row],[Mã điểm bán]])</f>
        <v>1</v>
      </c>
    </row>
    <row r="2003" spans="1:29" x14ac:dyDescent="0.45">
      <c r="A2003" t="s">
        <v>6444</v>
      </c>
      <c r="B2003">
        <v>324</v>
      </c>
      <c r="C2003" t="s">
        <v>7422</v>
      </c>
      <c r="D2003" t="s">
        <v>4941</v>
      </c>
      <c r="E2003" t="s">
        <v>304</v>
      </c>
      <c r="F2003" t="s">
        <v>53</v>
      </c>
      <c r="G2003" t="s">
        <v>34</v>
      </c>
      <c r="H2003" t="s">
        <v>4335</v>
      </c>
      <c r="I2003" t="s">
        <v>7322</v>
      </c>
      <c r="J2003" t="s">
        <v>1034</v>
      </c>
      <c r="K2003" t="s">
        <v>37</v>
      </c>
      <c r="L2003" t="s">
        <v>39</v>
      </c>
      <c r="M2003" t="s">
        <v>37</v>
      </c>
      <c r="N2003" t="s">
        <v>37</v>
      </c>
      <c r="O2003" t="s">
        <v>39</v>
      </c>
      <c r="P2003" t="s">
        <v>38</v>
      </c>
      <c r="Q2003" t="s">
        <v>38</v>
      </c>
      <c r="R2003" t="s">
        <v>40</v>
      </c>
      <c r="S2003" t="s">
        <v>7423</v>
      </c>
      <c r="T2003" t="s">
        <v>7310</v>
      </c>
      <c r="U2003" t="s">
        <v>7311</v>
      </c>
      <c r="V2003" t="s">
        <v>6450</v>
      </c>
      <c r="W2003" t="s">
        <v>7312</v>
      </c>
      <c r="X2003" t="s">
        <v>46</v>
      </c>
      <c r="AC2003">
        <f>COUNTIF(C:C,QLKV_gui_ket_qua_ra_soat[[#This Row],[Mã điểm bán]])</f>
        <v>1</v>
      </c>
    </row>
    <row r="2004" spans="1:29" x14ac:dyDescent="0.45">
      <c r="A2004" t="s">
        <v>6444</v>
      </c>
      <c r="B2004">
        <v>325</v>
      </c>
      <c r="C2004" t="s">
        <v>7424</v>
      </c>
      <c r="D2004" t="s">
        <v>7425</v>
      </c>
      <c r="E2004" t="s">
        <v>176</v>
      </c>
      <c r="F2004" t="s">
        <v>53</v>
      </c>
      <c r="G2004" t="s">
        <v>177</v>
      </c>
      <c r="H2004" t="s">
        <v>54</v>
      </c>
      <c r="I2004" t="s">
        <v>7426</v>
      </c>
      <c r="J2004" t="s">
        <v>37</v>
      </c>
      <c r="K2004" t="s">
        <v>37</v>
      </c>
      <c r="L2004" t="s">
        <v>39</v>
      </c>
      <c r="M2004" t="s">
        <v>56</v>
      </c>
      <c r="N2004" t="s">
        <v>56</v>
      </c>
      <c r="O2004" t="s">
        <v>39</v>
      </c>
      <c r="P2004" t="s">
        <v>56</v>
      </c>
      <c r="Q2004" t="s">
        <v>56</v>
      </c>
      <c r="R2004" t="s">
        <v>39</v>
      </c>
      <c r="S2004" t="s">
        <v>41</v>
      </c>
      <c r="T2004" t="s">
        <v>7310</v>
      </c>
      <c r="U2004" t="s">
        <v>7311</v>
      </c>
      <c r="V2004" t="s">
        <v>6450</v>
      </c>
      <c r="W2004" t="s">
        <v>5607</v>
      </c>
      <c r="X2004" t="s">
        <v>46</v>
      </c>
      <c r="AC2004">
        <f>COUNTIF(C:C,QLKV_gui_ket_qua_ra_soat[[#This Row],[Mã điểm bán]])</f>
        <v>1</v>
      </c>
    </row>
    <row r="2005" spans="1:29" x14ac:dyDescent="0.45">
      <c r="A2005" t="s">
        <v>6444</v>
      </c>
      <c r="B2005">
        <v>326</v>
      </c>
      <c r="C2005" t="s">
        <v>7427</v>
      </c>
      <c r="D2005" t="s">
        <v>7428</v>
      </c>
      <c r="E2005" t="s">
        <v>967</v>
      </c>
      <c r="F2005" t="s">
        <v>535</v>
      </c>
      <c r="G2005" t="s">
        <v>177</v>
      </c>
      <c r="H2005" t="s">
        <v>54</v>
      </c>
      <c r="I2005" t="s">
        <v>7429</v>
      </c>
      <c r="J2005" t="s">
        <v>38</v>
      </c>
      <c r="K2005" t="s">
        <v>38</v>
      </c>
      <c r="L2005" t="s">
        <v>40</v>
      </c>
      <c r="M2005" t="s">
        <v>37</v>
      </c>
      <c r="N2005" t="s">
        <v>38</v>
      </c>
      <c r="O2005" t="s">
        <v>39</v>
      </c>
      <c r="P2005" t="s">
        <v>38</v>
      </c>
      <c r="Q2005" t="s">
        <v>38</v>
      </c>
      <c r="R2005" t="s">
        <v>40</v>
      </c>
      <c r="S2005" t="s">
        <v>7430</v>
      </c>
      <c r="T2005" t="s">
        <v>7310</v>
      </c>
      <c r="U2005" t="s">
        <v>7311</v>
      </c>
      <c r="V2005" t="s">
        <v>6450</v>
      </c>
      <c r="W2005" t="s">
        <v>7312</v>
      </c>
      <c r="X2005" t="s">
        <v>46</v>
      </c>
      <c r="AC2005">
        <f>COUNTIF(C:C,QLKV_gui_ket_qua_ra_soat[[#This Row],[Mã điểm bán]])</f>
        <v>1</v>
      </c>
    </row>
    <row r="2006" spans="1:29" x14ac:dyDescent="0.45">
      <c r="A2006" t="s">
        <v>6444</v>
      </c>
      <c r="B2006">
        <v>327</v>
      </c>
      <c r="C2006" t="s">
        <v>7431</v>
      </c>
      <c r="D2006" t="s">
        <v>4220</v>
      </c>
      <c r="E2006" t="s">
        <v>64</v>
      </c>
      <c r="F2006" t="s">
        <v>3698</v>
      </c>
      <c r="G2006" t="s">
        <v>34</v>
      </c>
      <c r="H2006" t="s">
        <v>54</v>
      </c>
      <c r="I2006" t="s">
        <v>7432</v>
      </c>
      <c r="J2006" t="s">
        <v>37</v>
      </c>
      <c r="K2006" t="s">
        <v>37</v>
      </c>
      <c r="L2006" t="s">
        <v>39</v>
      </c>
      <c r="M2006" t="s">
        <v>37</v>
      </c>
      <c r="N2006" t="s">
        <v>37</v>
      </c>
      <c r="O2006" t="s">
        <v>121</v>
      </c>
      <c r="P2006" t="s">
        <v>38</v>
      </c>
      <c r="Q2006" t="s">
        <v>37</v>
      </c>
      <c r="R2006" t="s">
        <v>39</v>
      </c>
      <c r="S2006" t="s">
        <v>5363</v>
      </c>
      <c r="T2006" t="s">
        <v>7319</v>
      </c>
      <c r="U2006" t="s">
        <v>7311</v>
      </c>
      <c r="V2006" t="s">
        <v>6450</v>
      </c>
      <c r="W2006" t="s">
        <v>7312</v>
      </c>
      <c r="X2006" t="s">
        <v>46</v>
      </c>
      <c r="AC2006">
        <f>COUNTIF(C:C,QLKV_gui_ket_qua_ra_soat[[#This Row],[Mã điểm bán]])</f>
        <v>1</v>
      </c>
    </row>
    <row r="2007" spans="1:29" x14ac:dyDescent="0.45">
      <c r="A2007" t="s">
        <v>6444</v>
      </c>
      <c r="B2007">
        <v>328</v>
      </c>
      <c r="C2007" t="s">
        <v>7433</v>
      </c>
      <c r="D2007" t="s">
        <v>7434</v>
      </c>
      <c r="E2007" t="s">
        <v>176</v>
      </c>
      <c r="F2007" t="s">
        <v>166</v>
      </c>
      <c r="G2007" t="s">
        <v>34</v>
      </c>
      <c r="H2007" t="s">
        <v>54</v>
      </c>
      <c r="I2007" t="s">
        <v>7435</v>
      </c>
      <c r="J2007" t="s">
        <v>37</v>
      </c>
      <c r="K2007" t="s">
        <v>38</v>
      </c>
      <c r="L2007" t="s">
        <v>40</v>
      </c>
      <c r="M2007" t="s">
        <v>775</v>
      </c>
      <c r="N2007" t="s">
        <v>775</v>
      </c>
      <c r="O2007" t="s">
        <v>39</v>
      </c>
      <c r="P2007" t="s">
        <v>37</v>
      </c>
      <c r="Q2007" t="s">
        <v>38</v>
      </c>
      <c r="R2007" t="s">
        <v>40</v>
      </c>
      <c r="S2007" t="s">
        <v>7436</v>
      </c>
      <c r="T2007" t="s">
        <v>7310</v>
      </c>
      <c r="U2007" t="s">
        <v>7311</v>
      </c>
      <c r="V2007" t="s">
        <v>6450</v>
      </c>
      <c r="W2007" t="s">
        <v>7312</v>
      </c>
      <c r="X2007" t="s">
        <v>46</v>
      </c>
      <c r="AC2007">
        <f>COUNTIF(C:C,QLKV_gui_ket_qua_ra_soat[[#This Row],[Mã điểm bán]])</f>
        <v>1</v>
      </c>
    </row>
    <row r="2008" spans="1:29" x14ac:dyDescent="0.45">
      <c r="A2008" t="s">
        <v>6444</v>
      </c>
      <c r="B2008">
        <v>329</v>
      </c>
      <c r="C2008" t="s">
        <v>7437</v>
      </c>
      <c r="D2008" t="s">
        <v>7438</v>
      </c>
      <c r="E2008" t="s">
        <v>69</v>
      </c>
      <c r="F2008" t="s">
        <v>53</v>
      </c>
      <c r="G2008" t="s">
        <v>34</v>
      </c>
      <c r="H2008" t="s">
        <v>54</v>
      </c>
      <c r="I2008" t="s">
        <v>7326</v>
      </c>
      <c r="J2008" t="s">
        <v>56</v>
      </c>
      <c r="K2008" t="s">
        <v>56</v>
      </c>
      <c r="L2008" t="s">
        <v>39</v>
      </c>
      <c r="M2008" t="s">
        <v>37</v>
      </c>
      <c r="N2008" t="s">
        <v>37</v>
      </c>
      <c r="O2008" t="s">
        <v>39</v>
      </c>
      <c r="P2008" t="s">
        <v>38</v>
      </c>
      <c r="Q2008" t="s">
        <v>38</v>
      </c>
      <c r="R2008" t="s">
        <v>40</v>
      </c>
      <c r="S2008" t="s">
        <v>1291</v>
      </c>
      <c r="T2008" t="s">
        <v>7327</v>
      </c>
      <c r="U2008" t="s">
        <v>7311</v>
      </c>
      <c r="V2008" t="s">
        <v>6450</v>
      </c>
      <c r="W2008" t="s">
        <v>7312</v>
      </c>
      <c r="X2008" t="s">
        <v>46</v>
      </c>
      <c r="AC2008">
        <f>COUNTIF(C:C,QLKV_gui_ket_qua_ra_soat[[#This Row],[Mã điểm bán]])</f>
        <v>1</v>
      </c>
    </row>
    <row r="2009" spans="1:29" x14ac:dyDescent="0.45">
      <c r="A2009" t="s">
        <v>6444</v>
      </c>
      <c r="B2009">
        <v>330</v>
      </c>
      <c r="C2009" t="s">
        <v>7439</v>
      </c>
      <c r="D2009" t="s">
        <v>7440</v>
      </c>
      <c r="E2009" t="s">
        <v>304</v>
      </c>
      <c r="F2009" t="s">
        <v>53</v>
      </c>
      <c r="G2009" t="s">
        <v>34</v>
      </c>
      <c r="H2009" t="s">
        <v>54</v>
      </c>
      <c r="I2009" t="s">
        <v>237</v>
      </c>
      <c r="J2009" t="s">
        <v>56</v>
      </c>
      <c r="K2009" t="s">
        <v>56</v>
      </c>
      <c r="L2009" t="s">
        <v>39</v>
      </c>
      <c r="M2009" t="s">
        <v>37</v>
      </c>
      <c r="N2009" t="s">
        <v>37</v>
      </c>
      <c r="O2009" t="s">
        <v>39</v>
      </c>
      <c r="P2009" t="s">
        <v>38</v>
      </c>
      <c r="Q2009" t="s">
        <v>38</v>
      </c>
      <c r="R2009" t="s">
        <v>39</v>
      </c>
      <c r="S2009" t="s">
        <v>1291</v>
      </c>
      <c r="T2009" t="s">
        <v>7327</v>
      </c>
      <c r="U2009" t="s">
        <v>7311</v>
      </c>
      <c r="V2009" t="s">
        <v>6450</v>
      </c>
      <c r="W2009" t="s">
        <v>5607</v>
      </c>
      <c r="X2009" t="s">
        <v>46</v>
      </c>
      <c r="AC2009">
        <f>COUNTIF(C:C,QLKV_gui_ket_qua_ra_soat[[#This Row],[Mã điểm bán]])</f>
        <v>1</v>
      </c>
    </row>
    <row r="2010" spans="1:29" x14ac:dyDescent="0.45">
      <c r="A2010" t="s">
        <v>6444</v>
      </c>
      <c r="B2010">
        <v>331</v>
      </c>
      <c r="C2010" t="s">
        <v>7441</v>
      </c>
      <c r="D2010" t="s">
        <v>7442</v>
      </c>
      <c r="E2010" t="s">
        <v>1823</v>
      </c>
      <c r="F2010" t="s">
        <v>401</v>
      </c>
      <c r="G2010" t="s">
        <v>34</v>
      </c>
      <c r="H2010" t="s">
        <v>54</v>
      </c>
      <c r="I2010" t="s">
        <v>7443</v>
      </c>
      <c r="J2010" t="s">
        <v>38</v>
      </c>
      <c r="K2010" t="s">
        <v>38</v>
      </c>
      <c r="L2010" t="s">
        <v>40</v>
      </c>
      <c r="M2010" t="s">
        <v>56</v>
      </c>
      <c r="N2010" t="s">
        <v>56</v>
      </c>
      <c r="O2010" t="s">
        <v>39</v>
      </c>
      <c r="P2010" t="s">
        <v>56</v>
      </c>
      <c r="Q2010" t="s">
        <v>56</v>
      </c>
      <c r="R2010" t="s">
        <v>39</v>
      </c>
      <c r="S2010" t="s">
        <v>41</v>
      </c>
      <c r="T2010" t="s">
        <v>7368</v>
      </c>
      <c r="U2010" t="s">
        <v>7369</v>
      </c>
      <c r="V2010" t="s">
        <v>6450</v>
      </c>
      <c r="W2010" t="s">
        <v>5607</v>
      </c>
      <c r="X2010" t="s">
        <v>46</v>
      </c>
      <c r="AB2010" t="s">
        <v>3109</v>
      </c>
      <c r="AC2010">
        <f>COUNTIF(C:C,QLKV_gui_ket_qua_ra_soat[[#This Row],[Mã điểm bán]])</f>
        <v>1</v>
      </c>
    </row>
    <row r="2011" spans="1:29" x14ac:dyDescent="0.45">
      <c r="A2011" t="s">
        <v>6444</v>
      </c>
      <c r="B2011">
        <v>332</v>
      </c>
      <c r="C2011" t="s">
        <v>7444</v>
      </c>
      <c r="D2011" t="s">
        <v>7445</v>
      </c>
      <c r="E2011" t="s">
        <v>828</v>
      </c>
      <c r="F2011" t="s">
        <v>53</v>
      </c>
      <c r="G2011" t="s">
        <v>34</v>
      </c>
      <c r="H2011" t="s">
        <v>54</v>
      </c>
      <c r="I2011" t="s">
        <v>7446</v>
      </c>
      <c r="J2011" t="s">
        <v>38</v>
      </c>
      <c r="K2011" t="s">
        <v>38</v>
      </c>
      <c r="L2011" t="s">
        <v>39</v>
      </c>
      <c r="M2011" t="s">
        <v>56</v>
      </c>
      <c r="N2011" t="s">
        <v>56</v>
      </c>
      <c r="O2011" t="s">
        <v>39</v>
      </c>
      <c r="P2011" t="s">
        <v>38</v>
      </c>
      <c r="Q2011" t="s">
        <v>38</v>
      </c>
      <c r="R2011" t="s">
        <v>39</v>
      </c>
      <c r="S2011" t="s">
        <v>41</v>
      </c>
      <c r="T2011" t="s">
        <v>7368</v>
      </c>
      <c r="U2011" t="s">
        <v>7369</v>
      </c>
      <c r="V2011" t="s">
        <v>6450</v>
      </c>
      <c r="W2011" t="s">
        <v>7312</v>
      </c>
      <c r="Z2011" t="s">
        <v>46</v>
      </c>
      <c r="AA2011" t="s">
        <v>6457</v>
      </c>
      <c r="AB2011" t="s">
        <v>3109</v>
      </c>
      <c r="AC2011">
        <f>COUNTIF(C:C,QLKV_gui_ket_qua_ra_soat[[#This Row],[Mã điểm bán]])</f>
        <v>1</v>
      </c>
    </row>
    <row r="2012" spans="1:29" x14ac:dyDescent="0.45">
      <c r="A2012" t="s">
        <v>6444</v>
      </c>
      <c r="B2012">
        <v>333</v>
      </c>
      <c r="C2012" t="s">
        <v>7447</v>
      </c>
      <c r="D2012" t="s">
        <v>4409</v>
      </c>
      <c r="E2012" t="s">
        <v>416</v>
      </c>
      <c r="F2012" t="s">
        <v>115</v>
      </c>
      <c r="G2012" t="s">
        <v>177</v>
      </c>
      <c r="H2012" t="s">
        <v>171</v>
      </c>
      <c r="I2012" t="s">
        <v>7448</v>
      </c>
      <c r="J2012" t="s">
        <v>37</v>
      </c>
      <c r="K2012" t="s">
        <v>37</v>
      </c>
      <c r="L2012" t="s">
        <v>40</v>
      </c>
      <c r="M2012" t="s">
        <v>37</v>
      </c>
      <c r="N2012" t="s">
        <v>37</v>
      </c>
      <c r="O2012" t="s">
        <v>39</v>
      </c>
      <c r="P2012" t="s">
        <v>37</v>
      </c>
      <c r="Q2012" t="s">
        <v>37</v>
      </c>
      <c r="R2012" t="s">
        <v>40</v>
      </c>
      <c r="S2012" t="s">
        <v>7449</v>
      </c>
      <c r="T2012" t="s">
        <v>7310</v>
      </c>
      <c r="U2012" t="s">
        <v>7311</v>
      </c>
      <c r="V2012" t="s">
        <v>6450</v>
      </c>
      <c r="W2012" t="s">
        <v>7312</v>
      </c>
      <c r="X2012" t="s">
        <v>46</v>
      </c>
      <c r="AC2012">
        <f>COUNTIF(C:C,QLKV_gui_ket_qua_ra_soat[[#This Row],[Mã điểm bán]])</f>
        <v>1</v>
      </c>
    </row>
    <row r="2013" spans="1:29" x14ac:dyDescent="0.45">
      <c r="A2013" t="s">
        <v>6444</v>
      </c>
      <c r="B2013">
        <v>334</v>
      </c>
      <c r="C2013" t="s">
        <v>7450</v>
      </c>
      <c r="D2013" t="s">
        <v>7451</v>
      </c>
      <c r="E2013" t="s">
        <v>109</v>
      </c>
      <c r="F2013" t="s">
        <v>401</v>
      </c>
      <c r="G2013" t="s">
        <v>177</v>
      </c>
      <c r="H2013" t="s">
        <v>54</v>
      </c>
      <c r="I2013" t="s">
        <v>7452</v>
      </c>
      <c r="J2013" t="s">
        <v>56</v>
      </c>
      <c r="K2013" t="s">
        <v>56</v>
      </c>
      <c r="L2013" t="s">
        <v>39</v>
      </c>
      <c r="M2013" t="s">
        <v>775</v>
      </c>
      <c r="N2013" t="s">
        <v>775</v>
      </c>
      <c r="O2013" t="s">
        <v>39</v>
      </c>
      <c r="P2013" t="s">
        <v>56</v>
      </c>
      <c r="Q2013" t="s">
        <v>37</v>
      </c>
      <c r="R2013" t="s">
        <v>40</v>
      </c>
      <c r="S2013" t="s">
        <v>7453</v>
      </c>
      <c r="T2013" t="s">
        <v>7310</v>
      </c>
      <c r="U2013" t="s">
        <v>7311</v>
      </c>
      <c r="V2013" t="s">
        <v>6450</v>
      </c>
      <c r="W2013" t="s">
        <v>7312</v>
      </c>
      <c r="X2013" t="s">
        <v>46</v>
      </c>
      <c r="AC2013">
        <f>COUNTIF(C:C,QLKV_gui_ket_qua_ra_soat[[#This Row],[Mã điểm bán]])</f>
        <v>1</v>
      </c>
    </row>
    <row r="2014" spans="1:29" x14ac:dyDescent="0.45">
      <c r="A2014" t="s">
        <v>6444</v>
      </c>
      <c r="B2014">
        <v>335</v>
      </c>
      <c r="C2014" t="s">
        <v>7454</v>
      </c>
      <c r="D2014" t="s">
        <v>7455</v>
      </c>
      <c r="E2014" t="s">
        <v>857</v>
      </c>
      <c r="F2014" t="s">
        <v>53</v>
      </c>
      <c r="G2014" t="s">
        <v>34</v>
      </c>
      <c r="H2014" t="s">
        <v>54</v>
      </c>
      <c r="I2014" t="s">
        <v>7456</v>
      </c>
      <c r="J2014" t="s">
        <v>56</v>
      </c>
      <c r="K2014" t="s">
        <v>56</v>
      </c>
      <c r="L2014" t="s">
        <v>39</v>
      </c>
      <c r="M2014" t="s">
        <v>37</v>
      </c>
      <c r="N2014" t="s">
        <v>37</v>
      </c>
      <c r="O2014" t="s">
        <v>39</v>
      </c>
      <c r="P2014" t="s">
        <v>38</v>
      </c>
      <c r="Q2014" t="s">
        <v>38</v>
      </c>
      <c r="R2014" t="s">
        <v>39</v>
      </c>
      <c r="S2014" t="s">
        <v>1291</v>
      </c>
      <c r="T2014" t="s">
        <v>7327</v>
      </c>
      <c r="U2014" t="s">
        <v>7311</v>
      </c>
      <c r="V2014" t="s">
        <v>6450</v>
      </c>
      <c r="W2014" t="s">
        <v>7312</v>
      </c>
      <c r="X2014" t="s">
        <v>46</v>
      </c>
      <c r="AC2014">
        <f>COUNTIF(C:C,QLKV_gui_ket_qua_ra_soat[[#This Row],[Mã điểm bán]])</f>
        <v>1</v>
      </c>
    </row>
    <row r="2015" spans="1:29" x14ac:dyDescent="0.45">
      <c r="A2015" t="s">
        <v>6444</v>
      </c>
      <c r="B2015">
        <v>336</v>
      </c>
      <c r="C2015" t="s">
        <v>7457</v>
      </c>
      <c r="D2015" t="s">
        <v>7458</v>
      </c>
      <c r="E2015" t="s">
        <v>190</v>
      </c>
      <c r="F2015" t="s">
        <v>53</v>
      </c>
      <c r="G2015" t="s">
        <v>177</v>
      </c>
      <c r="H2015" t="s">
        <v>54</v>
      </c>
      <c r="I2015" t="s">
        <v>7459</v>
      </c>
      <c r="J2015" t="s">
        <v>56</v>
      </c>
      <c r="K2015" t="s">
        <v>56</v>
      </c>
      <c r="L2015" t="s">
        <v>39</v>
      </c>
      <c r="M2015" t="s">
        <v>56</v>
      </c>
      <c r="N2015" t="s">
        <v>56</v>
      </c>
      <c r="O2015" t="s">
        <v>39</v>
      </c>
      <c r="P2015" t="s">
        <v>56</v>
      </c>
      <c r="Q2015" t="s">
        <v>56</v>
      </c>
      <c r="R2015" t="s">
        <v>39</v>
      </c>
      <c r="S2015" t="s">
        <v>41</v>
      </c>
      <c r="T2015" t="s">
        <v>7310</v>
      </c>
      <c r="U2015" t="s">
        <v>7311</v>
      </c>
      <c r="V2015" t="s">
        <v>6450</v>
      </c>
      <c r="W2015" t="s">
        <v>7312</v>
      </c>
      <c r="X2015" t="s">
        <v>46</v>
      </c>
      <c r="AC2015">
        <f>COUNTIF(C:C,QLKV_gui_ket_qua_ra_soat[[#This Row],[Mã điểm bán]])</f>
        <v>1</v>
      </c>
    </row>
    <row r="2016" spans="1:29" x14ac:dyDescent="0.45">
      <c r="A2016" t="s">
        <v>6444</v>
      </c>
      <c r="B2016">
        <v>337</v>
      </c>
      <c r="C2016" t="s">
        <v>7460</v>
      </c>
      <c r="D2016" t="s">
        <v>3106</v>
      </c>
      <c r="E2016" t="s">
        <v>176</v>
      </c>
      <c r="F2016" t="s">
        <v>53</v>
      </c>
      <c r="G2016" t="s">
        <v>177</v>
      </c>
      <c r="H2016" t="s">
        <v>54</v>
      </c>
      <c r="I2016" t="s">
        <v>7315</v>
      </c>
      <c r="J2016" t="s">
        <v>37</v>
      </c>
      <c r="K2016" t="s">
        <v>37</v>
      </c>
      <c r="L2016" t="s">
        <v>39</v>
      </c>
      <c r="M2016" t="s">
        <v>56</v>
      </c>
      <c r="N2016" t="s">
        <v>56</v>
      </c>
      <c r="O2016" t="s">
        <v>39</v>
      </c>
      <c r="P2016" t="s">
        <v>37</v>
      </c>
      <c r="Q2016" t="s">
        <v>37</v>
      </c>
      <c r="R2016" t="s">
        <v>39</v>
      </c>
      <c r="S2016" t="s">
        <v>41</v>
      </c>
      <c r="T2016" t="s">
        <v>7310</v>
      </c>
      <c r="U2016" t="s">
        <v>7311</v>
      </c>
      <c r="V2016" t="s">
        <v>6450</v>
      </c>
      <c r="W2016" t="s">
        <v>5607</v>
      </c>
      <c r="X2016" t="s">
        <v>46</v>
      </c>
      <c r="AC2016">
        <f>COUNTIF(C:C,QLKV_gui_ket_qua_ra_soat[[#This Row],[Mã điểm bán]])</f>
        <v>1</v>
      </c>
    </row>
    <row r="2017" spans="1:29" x14ac:dyDescent="0.45">
      <c r="A2017" t="s">
        <v>6444</v>
      </c>
      <c r="B2017">
        <v>338</v>
      </c>
      <c r="C2017" t="s">
        <v>7461</v>
      </c>
      <c r="D2017" t="s">
        <v>7462</v>
      </c>
      <c r="E2017" t="s">
        <v>87</v>
      </c>
      <c r="F2017" t="s">
        <v>53</v>
      </c>
      <c r="G2017" t="s">
        <v>177</v>
      </c>
      <c r="H2017" t="s">
        <v>54</v>
      </c>
      <c r="I2017" t="s">
        <v>7322</v>
      </c>
      <c r="J2017" t="s">
        <v>56</v>
      </c>
      <c r="K2017" t="s">
        <v>56</v>
      </c>
      <c r="L2017" t="s">
        <v>39</v>
      </c>
      <c r="M2017" t="s">
        <v>56</v>
      </c>
      <c r="N2017" t="s">
        <v>56</v>
      </c>
      <c r="O2017" t="s">
        <v>39</v>
      </c>
      <c r="P2017" t="s">
        <v>56</v>
      </c>
      <c r="Q2017" t="s">
        <v>56</v>
      </c>
      <c r="R2017" t="s">
        <v>39</v>
      </c>
      <c r="S2017" t="s">
        <v>41</v>
      </c>
      <c r="T2017" t="s">
        <v>7310</v>
      </c>
      <c r="U2017" t="s">
        <v>7311</v>
      </c>
      <c r="V2017" t="s">
        <v>6450</v>
      </c>
      <c r="W2017" t="s">
        <v>7312</v>
      </c>
      <c r="X2017" t="s">
        <v>46</v>
      </c>
      <c r="AC2017">
        <f>COUNTIF(C:C,QLKV_gui_ket_qua_ra_soat[[#This Row],[Mã điểm bán]])</f>
        <v>1</v>
      </c>
    </row>
    <row r="2018" spans="1:29" x14ac:dyDescent="0.45">
      <c r="A2018" t="s">
        <v>6444</v>
      </c>
      <c r="B2018">
        <v>339</v>
      </c>
      <c r="C2018" t="s">
        <v>7463</v>
      </c>
      <c r="D2018" t="s">
        <v>7464</v>
      </c>
      <c r="E2018" t="s">
        <v>132</v>
      </c>
      <c r="F2018" t="s">
        <v>5415</v>
      </c>
      <c r="G2018" t="s">
        <v>177</v>
      </c>
      <c r="H2018" t="s">
        <v>54</v>
      </c>
      <c r="I2018" t="s">
        <v>7465</v>
      </c>
      <c r="J2018" t="s">
        <v>56</v>
      </c>
      <c r="K2018" t="s">
        <v>56</v>
      </c>
      <c r="L2018" t="s">
        <v>39</v>
      </c>
      <c r="M2018" t="s">
        <v>56</v>
      </c>
      <c r="N2018" t="s">
        <v>56</v>
      </c>
      <c r="O2018" t="s">
        <v>39</v>
      </c>
      <c r="P2018" t="s">
        <v>56</v>
      </c>
      <c r="Q2018" t="s">
        <v>56</v>
      </c>
      <c r="R2018" t="s">
        <v>39</v>
      </c>
      <c r="S2018" t="s">
        <v>41</v>
      </c>
      <c r="T2018" t="s">
        <v>7310</v>
      </c>
      <c r="U2018" t="s">
        <v>7311</v>
      </c>
      <c r="V2018" t="s">
        <v>6450</v>
      </c>
      <c r="W2018" t="s">
        <v>7312</v>
      </c>
      <c r="X2018" t="s">
        <v>46</v>
      </c>
      <c r="AC2018">
        <f>COUNTIF(C:C,QLKV_gui_ket_qua_ra_soat[[#This Row],[Mã điểm bán]])</f>
        <v>1</v>
      </c>
    </row>
    <row r="2019" spans="1:29" x14ac:dyDescent="0.45">
      <c r="A2019" t="s">
        <v>6444</v>
      </c>
      <c r="B2019">
        <v>340</v>
      </c>
      <c r="C2019" t="s">
        <v>7466</v>
      </c>
      <c r="D2019" t="s">
        <v>5674</v>
      </c>
      <c r="E2019" t="s">
        <v>176</v>
      </c>
      <c r="F2019" t="s">
        <v>441</v>
      </c>
      <c r="G2019" t="s">
        <v>177</v>
      </c>
      <c r="H2019" t="s">
        <v>54</v>
      </c>
      <c r="I2019" t="s">
        <v>7467</v>
      </c>
      <c r="J2019" t="s">
        <v>37</v>
      </c>
      <c r="K2019" t="s">
        <v>37</v>
      </c>
      <c r="L2019" t="s">
        <v>40</v>
      </c>
      <c r="M2019" t="s">
        <v>56</v>
      </c>
      <c r="N2019" t="s">
        <v>56</v>
      </c>
      <c r="O2019" t="s">
        <v>39</v>
      </c>
      <c r="P2019" t="s">
        <v>37</v>
      </c>
      <c r="Q2019" t="s">
        <v>37</v>
      </c>
      <c r="R2019" t="s">
        <v>40</v>
      </c>
      <c r="S2019" t="s">
        <v>41</v>
      </c>
      <c r="T2019" t="s">
        <v>7310</v>
      </c>
      <c r="U2019" t="s">
        <v>7311</v>
      </c>
      <c r="V2019" t="s">
        <v>6450</v>
      </c>
      <c r="W2019" t="s">
        <v>5607</v>
      </c>
      <c r="X2019" t="s">
        <v>46</v>
      </c>
      <c r="AC2019">
        <f>COUNTIF(C:C,QLKV_gui_ket_qua_ra_soat[[#This Row],[Mã điểm bán]])</f>
        <v>1</v>
      </c>
    </row>
    <row r="2020" spans="1:29" x14ac:dyDescent="0.45">
      <c r="A2020" t="s">
        <v>6444</v>
      </c>
      <c r="B2020">
        <v>341</v>
      </c>
      <c r="C2020" t="s">
        <v>7468</v>
      </c>
      <c r="D2020" t="s">
        <v>7469</v>
      </c>
      <c r="E2020" t="s">
        <v>69</v>
      </c>
      <c r="F2020" t="s">
        <v>53</v>
      </c>
      <c r="G2020" t="s">
        <v>177</v>
      </c>
      <c r="H2020" t="s">
        <v>54</v>
      </c>
      <c r="I2020" t="s">
        <v>7470</v>
      </c>
      <c r="J2020" t="s">
        <v>56</v>
      </c>
      <c r="K2020" t="s">
        <v>37</v>
      </c>
      <c r="L2020" t="s">
        <v>39</v>
      </c>
      <c r="M2020" t="s">
        <v>37</v>
      </c>
      <c r="N2020" t="s">
        <v>37</v>
      </c>
      <c r="O2020" t="s">
        <v>39</v>
      </c>
      <c r="P2020" t="s">
        <v>37</v>
      </c>
      <c r="Q2020" t="s">
        <v>37</v>
      </c>
      <c r="R2020" t="s">
        <v>39</v>
      </c>
      <c r="S2020" t="s">
        <v>7471</v>
      </c>
      <c r="T2020" t="s">
        <v>7319</v>
      </c>
      <c r="U2020" t="s">
        <v>7311</v>
      </c>
      <c r="V2020" t="s">
        <v>6450</v>
      </c>
      <c r="W2020" t="s">
        <v>5607</v>
      </c>
      <c r="Z2020" t="s">
        <v>46</v>
      </c>
      <c r="AA2020" t="s">
        <v>7370</v>
      </c>
      <c r="AB2020" t="s">
        <v>4223</v>
      </c>
      <c r="AC2020">
        <f>COUNTIF(C:C,QLKV_gui_ket_qua_ra_soat[[#This Row],[Mã điểm bán]])</f>
        <v>1</v>
      </c>
    </row>
    <row r="2021" spans="1:29" x14ac:dyDescent="0.45">
      <c r="A2021" t="s">
        <v>6444</v>
      </c>
      <c r="B2021">
        <v>342</v>
      </c>
      <c r="C2021" t="s">
        <v>7472</v>
      </c>
      <c r="D2021" t="s">
        <v>7473</v>
      </c>
      <c r="E2021" t="s">
        <v>2678</v>
      </c>
      <c r="F2021" t="s">
        <v>7474</v>
      </c>
      <c r="G2021" t="s">
        <v>34</v>
      </c>
      <c r="H2021" t="s">
        <v>54</v>
      </c>
      <c r="I2021" t="s">
        <v>7475</v>
      </c>
      <c r="J2021" t="s">
        <v>38</v>
      </c>
      <c r="K2021" t="s">
        <v>38</v>
      </c>
      <c r="L2021" t="s">
        <v>40</v>
      </c>
      <c r="M2021" t="s">
        <v>56</v>
      </c>
      <c r="N2021" t="s">
        <v>56</v>
      </c>
      <c r="O2021" t="s">
        <v>39</v>
      </c>
      <c r="P2021" t="s">
        <v>38</v>
      </c>
      <c r="Q2021" t="s">
        <v>38</v>
      </c>
      <c r="R2021" t="s">
        <v>40</v>
      </c>
      <c r="S2021" t="s">
        <v>41</v>
      </c>
      <c r="T2021" t="s">
        <v>7368</v>
      </c>
      <c r="U2021" t="s">
        <v>7369</v>
      </c>
      <c r="V2021" t="s">
        <v>6450</v>
      </c>
      <c r="W2021" t="s">
        <v>7312</v>
      </c>
      <c r="X2021" t="s">
        <v>46</v>
      </c>
      <c r="AB2021" t="s">
        <v>3109</v>
      </c>
      <c r="AC2021">
        <f>COUNTIF(C:C,QLKV_gui_ket_qua_ra_soat[[#This Row],[Mã điểm bán]])</f>
        <v>1</v>
      </c>
    </row>
    <row r="2022" spans="1:29" x14ac:dyDescent="0.45">
      <c r="A2022" t="s">
        <v>6444</v>
      </c>
      <c r="B2022">
        <v>343</v>
      </c>
      <c r="C2022" t="s">
        <v>7476</v>
      </c>
      <c r="D2022" t="s">
        <v>7477</v>
      </c>
      <c r="E2022" t="s">
        <v>330</v>
      </c>
      <c r="F2022" t="s">
        <v>331</v>
      </c>
      <c r="G2022" t="s">
        <v>34</v>
      </c>
      <c r="H2022" t="s">
        <v>54</v>
      </c>
      <c r="I2022" t="s">
        <v>7478</v>
      </c>
      <c r="J2022" t="s">
        <v>38</v>
      </c>
      <c r="K2022" t="s">
        <v>38</v>
      </c>
      <c r="L2022" t="s">
        <v>40</v>
      </c>
      <c r="M2022" t="s">
        <v>56</v>
      </c>
      <c r="N2022" t="s">
        <v>37</v>
      </c>
      <c r="O2022" t="s">
        <v>39</v>
      </c>
      <c r="P2022" t="s">
        <v>56</v>
      </c>
      <c r="Q2022" t="s">
        <v>56</v>
      </c>
      <c r="R2022" t="s">
        <v>39</v>
      </c>
      <c r="S2022" t="s">
        <v>41</v>
      </c>
      <c r="T2022" t="s">
        <v>7368</v>
      </c>
      <c r="U2022" t="s">
        <v>7369</v>
      </c>
      <c r="V2022" t="s">
        <v>6450</v>
      </c>
      <c r="W2022" t="s">
        <v>5607</v>
      </c>
      <c r="Z2022" t="s">
        <v>46</v>
      </c>
      <c r="AA2022" t="s">
        <v>7370</v>
      </c>
      <c r="AB2022" t="s">
        <v>3109</v>
      </c>
      <c r="AC2022">
        <f>COUNTIF(C:C,QLKV_gui_ket_qua_ra_soat[[#This Row],[Mã điểm bán]])</f>
        <v>1</v>
      </c>
    </row>
    <row r="2023" spans="1:29" x14ac:dyDescent="0.45">
      <c r="A2023" t="s">
        <v>6444</v>
      </c>
      <c r="B2023">
        <v>344</v>
      </c>
      <c r="C2023" t="s">
        <v>7479</v>
      </c>
      <c r="D2023" t="s">
        <v>7480</v>
      </c>
      <c r="E2023" t="s">
        <v>1735</v>
      </c>
      <c r="F2023" t="s">
        <v>1787</v>
      </c>
      <c r="G2023" t="s">
        <v>34</v>
      </c>
      <c r="H2023" t="s">
        <v>54</v>
      </c>
      <c r="I2023" t="s">
        <v>7481</v>
      </c>
      <c r="J2023" t="s">
        <v>38</v>
      </c>
      <c r="K2023" t="s">
        <v>38</v>
      </c>
      <c r="L2023" t="s">
        <v>40</v>
      </c>
      <c r="M2023" t="s">
        <v>37</v>
      </c>
      <c r="N2023" t="s">
        <v>37</v>
      </c>
      <c r="O2023" t="s">
        <v>39</v>
      </c>
      <c r="P2023" t="s">
        <v>37</v>
      </c>
      <c r="Q2023" t="s">
        <v>56</v>
      </c>
      <c r="R2023" t="s">
        <v>39</v>
      </c>
      <c r="S2023" t="s">
        <v>41</v>
      </c>
      <c r="T2023" t="s">
        <v>7368</v>
      </c>
      <c r="U2023" t="s">
        <v>7369</v>
      </c>
      <c r="V2023" t="s">
        <v>6450</v>
      </c>
      <c r="W2023" t="s">
        <v>7312</v>
      </c>
      <c r="X2023" t="s">
        <v>46</v>
      </c>
      <c r="AB2023" t="s">
        <v>5658</v>
      </c>
      <c r="AC2023">
        <f>COUNTIF(C:C,QLKV_gui_ket_qua_ra_soat[[#This Row],[Mã điểm bán]])</f>
        <v>1</v>
      </c>
    </row>
    <row r="2024" spans="1:29" x14ac:dyDescent="0.45">
      <c r="A2024" t="s">
        <v>6444</v>
      </c>
      <c r="B2024">
        <v>345</v>
      </c>
      <c r="C2024" t="s">
        <v>7482</v>
      </c>
      <c r="D2024" t="s">
        <v>7483</v>
      </c>
      <c r="E2024" t="s">
        <v>4381</v>
      </c>
      <c r="F2024" t="s">
        <v>7484</v>
      </c>
      <c r="G2024" t="s">
        <v>34</v>
      </c>
      <c r="H2024" t="s">
        <v>54</v>
      </c>
      <c r="I2024" t="s">
        <v>7485</v>
      </c>
      <c r="J2024" t="s">
        <v>38</v>
      </c>
      <c r="K2024" t="s">
        <v>38</v>
      </c>
      <c r="L2024" t="s">
        <v>40</v>
      </c>
      <c r="M2024" t="s">
        <v>37</v>
      </c>
      <c r="N2024" t="s">
        <v>37</v>
      </c>
      <c r="O2024" t="s">
        <v>39</v>
      </c>
      <c r="P2024" t="s">
        <v>37</v>
      </c>
      <c r="Q2024" t="s">
        <v>56</v>
      </c>
      <c r="R2024" t="s">
        <v>39</v>
      </c>
      <c r="S2024" t="s">
        <v>41</v>
      </c>
      <c r="T2024" t="s">
        <v>7368</v>
      </c>
      <c r="U2024" t="s">
        <v>7369</v>
      </c>
      <c r="V2024" t="s">
        <v>6450</v>
      </c>
      <c r="W2024" t="s">
        <v>7312</v>
      </c>
      <c r="X2024" t="s">
        <v>46</v>
      </c>
      <c r="AC2024">
        <f>COUNTIF(C:C,QLKV_gui_ket_qua_ra_soat[[#This Row],[Mã điểm bán]])</f>
        <v>1</v>
      </c>
    </row>
    <row r="2025" spans="1:29" x14ac:dyDescent="0.45">
      <c r="A2025" t="s">
        <v>6444</v>
      </c>
      <c r="B2025">
        <v>346</v>
      </c>
      <c r="C2025" t="s">
        <v>7486</v>
      </c>
      <c r="D2025" t="s">
        <v>7487</v>
      </c>
      <c r="E2025" t="s">
        <v>344</v>
      </c>
      <c r="F2025" t="s">
        <v>426</v>
      </c>
      <c r="G2025" t="s">
        <v>177</v>
      </c>
      <c r="H2025" t="s">
        <v>54</v>
      </c>
      <c r="I2025" t="s">
        <v>6268</v>
      </c>
      <c r="J2025" t="s">
        <v>56</v>
      </c>
      <c r="K2025" t="s">
        <v>56</v>
      </c>
      <c r="L2025" t="s">
        <v>39</v>
      </c>
      <c r="M2025" t="s">
        <v>56</v>
      </c>
      <c r="N2025" t="s">
        <v>56</v>
      </c>
      <c r="O2025" t="s">
        <v>39</v>
      </c>
      <c r="P2025" t="s">
        <v>37</v>
      </c>
      <c r="Q2025" t="s">
        <v>37</v>
      </c>
      <c r="R2025" t="s">
        <v>39</v>
      </c>
      <c r="S2025" t="s">
        <v>7488</v>
      </c>
      <c r="T2025" t="s">
        <v>7310</v>
      </c>
      <c r="U2025" t="s">
        <v>7311</v>
      </c>
      <c r="V2025" t="s">
        <v>6450</v>
      </c>
      <c r="W2025" t="s">
        <v>5607</v>
      </c>
      <c r="Z2025" t="s">
        <v>46</v>
      </c>
      <c r="AA2025" t="s">
        <v>7370</v>
      </c>
      <c r="AB2025" t="s">
        <v>4223</v>
      </c>
      <c r="AC2025">
        <f>COUNTIF(C:C,QLKV_gui_ket_qua_ra_soat[[#This Row],[Mã điểm bán]])</f>
        <v>1</v>
      </c>
    </row>
    <row r="2026" spans="1:29" x14ac:dyDescent="0.45">
      <c r="A2026" t="s">
        <v>6444</v>
      </c>
      <c r="B2026">
        <v>347</v>
      </c>
      <c r="C2026" t="s">
        <v>7489</v>
      </c>
      <c r="D2026" t="s">
        <v>7490</v>
      </c>
      <c r="E2026" t="s">
        <v>291</v>
      </c>
      <c r="F2026" t="s">
        <v>456</v>
      </c>
      <c r="G2026" t="s">
        <v>177</v>
      </c>
      <c r="H2026" t="s">
        <v>54</v>
      </c>
      <c r="I2026" t="s">
        <v>7491</v>
      </c>
      <c r="J2026" t="s">
        <v>56</v>
      </c>
      <c r="K2026" t="s">
        <v>37</v>
      </c>
      <c r="L2026" t="s">
        <v>39</v>
      </c>
      <c r="M2026" t="s">
        <v>37</v>
      </c>
      <c r="N2026" t="s">
        <v>37</v>
      </c>
      <c r="O2026" t="s">
        <v>39</v>
      </c>
      <c r="P2026" t="s">
        <v>37</v>
      </c>
      <c r="Q2026" t="s">
        <v>37</v>
      </c>
      <c r="R2026" t="s">
        <v>39</v>
      </c>
      <c r="S2026" t="s">
        <v>5363</v>
      </c>
      <c r="T2026" t="s">
        <v>7319</v>
      </c>
      <c r="U2026" t="s">
        <v>7311</v>
      </c>
      <c r="V2026" t="s">
        <v>6450</v>
      </c>
      <c r="W2026" t="s">
        <v>7312</v>
      </c>
      <c r="Z2026" t="s">
        <v>46</v>
      </c>
      <c r="AA2026" t="s">
        <v>7370</v>
      </c>
      <c r="AB2026" t="s">
        <v>4223</v>
      </c>
      <c r="AC2026">
        <f>COUNTIF(C:C,QLKV_gui_ket_qua_ra_soat[[#This Row],[Mã điểm bán]])</f>
        <v>1</v>
      </c>
    </row>
    <row r="2027" spans="1:29" x14ac:dyDescent="0.45">
      <c r="A2027" t="s">
        <v>6444</v>
      </c>
      <c r="B2027">
        <v>348</v>
      </c>
      <c r="C2027" t="s">
        <v>7492</v>
      </c>
      <c r="D2027" t="s">
        <v>7493</v>
      </c>
      <c r="E2027" t="s">
        <v>344</v>
      </c>
      <c r="F2027" t="s">
        <v>401</v>
      </c>
      <c r="G2027" t="s">
        <v>177</v>
      </c>
      <c r="H2027" t="s">
        <v>54</v>
      </c>
      <c r="I2027" t="s">
        <v>7494</v>
      </c>
      <c r="J2027" t="s">
        <v>37</v>
      </c>
      <c r="K2027" t="s">
        <v>37</v>
      </c>
      <c r="L2027" t="s">
        <v>39</v>
      </c>
      <c r="M2027" t="s">
        <v>37</v>
      </c>
      <c r="N2027" t="s">
        <v>56</v>
      </c>
      <c r="O2027" t="s">
        <v>121</v>
      </c>
      <c r="P2027" t="s">
        <v>38</v>
      </c>
      <c r="Q2027" t="s">
        <v>38</v>
      </c>
      <c r="R2027" t="s">
        <v>39</v>
      </c>
      <c r="S2027" t="s">
        <v>7495</v>
      </c>
      <c r="T2027" t="s">
        <v>7319</v>
      </c>
      <c r="U2027" t="s">
        <v>7311</v>
      </c>
      <c r="V2027" t="s">
        <v>6450</v>
      </c>
      <c r="W2027" t="s">
        <v>5607</v>
      </c>
      <c r="Z2027" t="s">
        <v>46</v>
      </c>
      <c r="AA2027" t="s">
        <v>7370</v>
      </c>
      <c r="AB2027" t="s">
        <v>4223</v>
      </c>
      <c r="AC2027">
        <f>COUNTIF(C:C,QLKV_gui_ket_qua_ra_soat[[#This Row],[Mã điểm bán]])</f>
        <v>1</v>
      </c>
    </row>
    <row r="2028" spans="1:29" x14ac:dyDescent="0.45">
      <c r="A2028" t="s">
        <v>6444</v>
      </c>
      <c r="B2028">
        <v>349</v>
      </c>
      <c r="C2028" t="s">
        <v>7496</v>
      </c>
      <c r="D2028" t="s">
        <v>7497</v>
      </c>
      <c r="E2028" t="s">
        <v>68</v>
      </c>
      <c r="F2028" t="s">
        <v>53</v>
      </c>
      <c r="G2028" t="s">
        <v>177</v>
      </c>
      <c r="H2028" t="s">
        <v>54</v>
      </c>
      <c r="I2028" t="s">
        <v>7498</v>
      </c>
      <c r="J2028" t="s">
        <v>38</v>
      </c>
      <c r="K2028" t="s">
        <v>37</v>
      </c>
      <c r="L2028" t="s">
        <v>39</v>
      </c>
      <c r="M2028" t="s">
        <v>37</v>
      </c>
      <c r="N2028" t="s">
        <v>37</v>
      </c>
      <c r="O2028" t="s">
        <v>39</v>
      </c>
      <c r="P2028" t="s">
        <v>38</v>
      </c>
      <c r="Q2028" t="s">
        <v>38</v>
      </c>
      <c r="R2028" t="s">
        <v>39</v>
      </c>
      <c r="S2028" t="s">
        <v>5625</v>
      </c>
      <c r="T2028" t="s">
        <v>7319</v>
      </c>
      <c r="U2028" t="s">
        <v>7311</v>
      </c>
      <c r="V2028" t="s">
        <v>6450</v>
      </c>
      <c r="W2028" t="s">
        <v>7312</v>
      </c>
      <c r="Z2028" t="s">
        <v>46</v>
      </c>
      <c r="AA2028" t="s">
        <v>7370</v>
      </c>
      <c r="AB2028" t="s">
        <v>4223</v>
      </c>
      <c r="AC2028">
        <f>COUNTIF(C:C,QLKV_gui_ket_qua_ra_soat[[#This Row],[Mã điểm bán]])</f>
        <v>1</v>
      </c>
    </row>
    <row r="2029" spans="1:29" x14ac:dyDescent="0.45">
      <c r="A2029" t="s">
        <v>6444</v>
      </c>
      <c r="B2029">
        <v>350</v>
      </c>
      <c r="C2029" t="s">
        <v>7499</v>
      </c>
      <c r="D2029" t="s">
        <v>4825</v>
      </c>
      <c r="E2029" t="s">
        <v>91</v>
      </c>
      <c r="F2029" t="s">
        <v>53</v>
      </c>
      <c r="G2029" t="s">
        <v>34</v>
      </c>
      <c r="H2029" t="s">
        <v>319</v>
      </c>
      <c r="I2029" t="s">
        <v>7500</v>
      </c>
      <c r="J2029" t="s">
        <v>37</v>
      </c>
      <c r="K2029" t="s">
        <v>37</v>
      </c>
      <c r="L2029" t="s">
        <v>39</v>
      </c>
      <c r="M2029" t="s">
        <v>56</v>
      </c>
      <c r="N2029" t="s">
        <v>56</v>
      </c>
      <c r="O2029" t="s">
        <v>39</v>
      </c>
      <c r="P2029" t="s">
        <v>38</v>
      </c>
      <c r="Q2029" t="s">
        <v>38</v>
      </c>
      <c r="R2029" t="s">
        <v>39</v>
      </c>
      <c r="S2029" t="s">
        <v>41</v>
      </c>
      <c r="T2029" t="s">
        <v>7327</v>
      </c>
      <c r="U2029" t="s">
        <v>7311</v>
      </c>
      <c r="V2029" t="s">
        <v>6450</v>
      </c>
      <c r="W2029" t="s">
        <v>5607</v>
      </c>
      <c r="Z2029" t="s">
        <v>46</v>
      </c>
      <c r="AA2029" t="s">
        <v>7370</v>
      </c>
      <c r="AB2029" t="s">
        <v>4223</v>
      </c>
      <c r="AC2029">
        <f>COUNTIF(C:C,QLKV_gui_ket_qua_ra_soat[[#This Row],[Mã điểm bán]])</f>
        <v>1</v>
      </c>
    </row>
    <row r="2030" spans="1:29" x14ac:dyDescent="0.45">
      <c r="A2030" t="s">
        <v>6444</v>
      </c>
      <c r="B2030">
        <v>351</v>
      </c>
      <c r="C2030" t="s">
        <v>7501</v>
      </c>
      <c r="D2030" t="s">
        <v>7502</v>
      </c>
      <c r="E2030" t="s">
        <v>91</v>
      </c>
      <c r="F2030" t="s">
        <v>401</v>
      </c>
      <c r="G2030" t="s">
        <v>177</v>
      </c>
      <c r="H2030" t="s">
        <v>54</v>
      </c>
      <c r="I2030" t="s">
        <v>7503</v>
      </c>
      <c r="J2030" t="s">
        <v>37</v>
      </c>
      <c r="K2030" t="s">
        <v>37</v>
      </c>
      <c r="L2030" t="s">
        <v>39</v>
      </c>
      <c r="M2030" t="s">
        <v>37</v>
      </c>
      <c r="N2030" t="s">
        <v>37</v>
      </c>
      <c r="O2030" t="s">
        <v>39</v>
      </c>
      <c r="P2030" t="s">
        <v>38</v>
      </c>
      <c r="Q2030" t="s">
        <v>37</v>
      </c>
      <c r="R2030" t="s">
        <v>39</v>
      </c>
      <c r="S2030" t="s">
        <v>5625</v>
      </c>
      <c r="T2030" t="s">
        <v>7319</v>
      </c>
      <c r="U2030" t="s">
        <v>7311</v>
      </c>
      <c r="V2030" t="s">
        <v>6450</v>
      </c>
      <c r="W2030" t="s">
        <v>5607</v>
      </c>
      <c r="Z2030" t="s">
        <v>46</v>
      </c>
      <c r="AA2030" t="s">
        <v>7370</v>
      </c>
      <c r="AB2030" t="s">
        <v>4223</v>
      </c>
      <c r="AC2030">
        <f>COUNTIF(C:C,QLKV_gui_ket_qua_ra_soat[[#This Row],[Mã điểm bán]])</f>
        <v>1</v>
      </c>
    </row>
    <row r="2031" spans="1:29" x14ac:dyDescent="0.45">
      <c r="A2031" t="s">
        <v>6444</v>
      </c>
      <c r="B2031">
        <v>352</v>
      </c>
      <c r="C2031" t="s">
        <v>7504</v>
      </c>
      <c r="D2031" t="s">
        <v>7505</v>
      </c>
      <c r="E2031" t="s">
        <v>176</v>
      </c>
      <c r="F2031" t="s">
        <v>53</v>
      </c>
      <c r="G2031" t="s">
        <v>177</v>
      </c>
      <c r="H2031" t="s">
        <v>54</v>
      </c>
      <c r="I2031" t="s">
        <v>7506</v>
      </c>
      <c r="J2031" t="s">
        <v>56</v>
      </c>
      <c r="K2031" t="s">
        <v>37</v>
      </c>
      <c r="L2031" t="s">
        <v>39</v>
      </c>
      <c r="M2031" t="s">
        <v>37</v>
      </c>
      <c r="N2031" t="s">
        <v>38</v>
      </c>
      <c r="O2031" t="s">
        <v>39</v>
      </c>
      <c r="P2031" t="s">
        <v>38</v>
      </c>
      <c r="Q2031" t="s">
        <v>37</v>
      </c>
      <c r="R2031" t="s">
        <v>39</v>
      </c>
      <c r="S2031" t="s">
        <v>4892</v>
      </c>
      <c r="T2031" t="s">
        <v>7319</v>
      </c>
      <c r="U2031" t="s">
        <v>7311</v>
      </c>
      <c r="V2031" t="s">
        <v>6450</v>
      </c>
      <c r="W2031" t="s">
        <v>7312</v>
      </c>
      <c r="Z2031" t="s">
        <v>46</v>
      </c>
      <c r="AA2031" t="s">
        <v>7370</v>
      </c>
      <c r="AB2031" t="s">
        <v>4223</v>
      </c>
      <c r="AC2031">
        <f>COUNTIF(C:C,QLKV_gui_ket_qua_ra_soat[[#This Row],[Mã điểm bán]])</f>
        <v>1</v>
      </c>
    </row>
    <row r="2032" spans="1:29" x14ac:dyDescent="0.45">
      <c r="A2032" t="s">
        <v>6444</v>
      </c>
      <c r="B2032">
        <v>353</v>
      </c>
      <c r="C2032" t="s">
        <v>7507</v>
      </c>
      <c r="D2032" t="s">
        <v>7508</v>
      </c>
      <c r="E2032" t="s">
        <v>206</v>
      </c>
      <c r="F2032" t="s">
        <v>325</v>
      </c>
      <c r="G2032" t="s">
        <v>177</v>
      </c>
      <c r="H2032" t="s">
        <v>54</v>
      </c>
      <c r="I2032" t="s">
        <v>7509</v>
      </c>
      <c r="J2032" t="s">
        <v>56</v>
      </c>
      <c r="K2032" t="s">
        <v>38</v>
      </c>
      <c r="L2032" t="s">
        <v>39</v>
      </c>
      <c r="M2032" t="s">
        <v>37</v>
      </c>
      <c r="N2032" t="s">
        <v>37</v>
      </c>
      <c r="O2032" t="s">
        <v>39</v>
      </c>
      <c r="P2032" t="s">
        <v>37</v>
      </c>
      <c r="Q2032" t="s">
        <v>38</v>
      </c>
      <c r="R2032" t="s">
        <v>39</v>
      </c>
      <c r="S2032" t="s">
        <v>5460</v>
      </c>
      <c r="T2032" t="s">
        <v>7319</v>
      </c>
      <c r="U2032" t="s">
        <v>7311</v>
      </c>
      <c r="V2032" t="s">
        <v>6450</v>
      </c>
      <c r="W2032" t="s">
        <v>7312</v>
      </c>
      <c r="Z2032" t="s">
        <v>46</v>
      </c>
      <c r="AA2032" t="s">
        <v>7370</v>
      </c>
      <c r="AB2032" t="s">
        <v>4223</v>
      </c>
      <c r="AC2032">
        <f>COUNTIF(C:C,QLKV_gui_ket_qua_ra_soat[[#This Row],[Mã điểm bán]])</f>
        <v>1</v>
      </c>
    </row>
    <row r="2033" spans="1:29" x14ac:dyDescent="0.45">
      <c r="A2033" t="s">
        <v>6444</v>
      </c>
      <c r="B2033">
        <v>354</v>
      </c>
      <c r="C2033" t="s">
        <v>7510</v>
      </c>
      <c r="D2033" t="s">
        <v>7511</v>
      </c>
      <c r="E2033" t="s">
        <v>91</v>
      </c>
      <c r="F2033" t="s">
        <v>166</v>
      </c>
      <c r="G2033" t="s">
        <v>177</v>
      </c>
      <c r="H2033" t="s">
        <v>54</v>
      </c>
      <c r="I2033" t="s">
        <v>6268</v>
      </c>
      <c r="J2033" t="s">
        <v>56</v>
      </c>
      <c r="K2033" t="s">
        <v>56</v>
      </c>
      <c r="L2033" t="s">
        <v>40</v>
      </c>
      <c r="M2033" t="s">
        <v>56</v>
      </c>
      <c r="N2033" t="s">
        <v>56</v>
      </c>
      <c r="O2033" t="s">
        <v>40</v>
      </c>
      <c r="P2033" t="s">
        <v>56</v>
      </c>
      <c r="Q2033" t="s">
        <v>56</v>
      </c>
      <c r="R2033" t="s">
        <v>40</v>
      </c>
      <c r="S2033" t="s">
        <v>41</v>
      </c>
      <c r="T2033" t="s">
        <v>7310</v>
      </c>
      <c r="U2033" t="s">
        <v>7311</v>
      </c>
      <c r="V2033" t="s">
        <v>6450</v>
      </c>
      <c r="W2033" t="s">
        <v>5607</v>
      </c>
      <c r="Z2033" t="s">
        <v>46</v>
      </c>
      <c r="AA2033" t="s">
        <v>6457</v>
      </c>
      <c r="AB2033" t="s">
        <v>4223</v>
      </c>
      <c r="AC2033">
        <f>COUNTIF(C:C,QLKV_gui_ket_qua_ra_soat[[#This Row],[Mã điểm bán]])</f>
        <v>1</v>
      </c>
    </row>
    <row r="2034" spans="1:29" x14ac:dyDescent="0.45">
      <c r="A2034" t="s">
        <v>6444</v>
      </c>
      <c r="B2034">
        <v>355</v>
      </c>
      <c r="C2034" t="s">
        <v>7512</v>
      </c>
      <c r="D2034" t="s">
        <v>7513</v>
      </c>
      <c r="E2034" t="s">
        <v>206</v>
      </c>
      <c r="F2034" t="s">
        <v>2432</v>
      </c>
      <c r="G2034" t="s">
        <v>177</v>
      </c>
      <c r="H2034" t="s">
        <v>171</v>
      </c>
      <c r="I2034" t="s">
        <v>7514</v>
      </c>
      <c r="J2034" t="s">
        <v>37</v>
      </c>
      <c r="K2034" t="s">
        <v>37</v>
      </c>
      <c r="L2034" t="s">
        <v>39</v>
      </c>
      <c r="M2034" t="s">
        <v>37</v>
      </c>
      <c r="N2034" t="s">
        <v>38</v>
      </c>
      <c r="O2034" t="s">
        <v>39</v>
      </c>
      <c r="P2034" t="s">
        <v>38</v>
      </c>
      <c r="Q2034" t="s">
        <v>37</v>
      </c>
      <c r="R2034" t="s">
        <v>39</v>
      </c>
      <c r="S2034" t="s">
        <v>7515</v>
      </c>
      <c r="T2034" t="s">
        <v>7319</v>
      </c>
      <c r="U2034" t="s">
        <v>7311</v>
      </c>
      <c r="V2034" t="s">
        <v>6450</v>
      </c>
      <c r="W2034" t="s">
        <v>5607</v>
      </c>
      <c r="Z2034" t="s">
        <v>46</v>
      </c>
      <c r="AA2034" t="s">
        <v>7370</v>
      </c>
      <c r="AB2034" t="s">
        <v>4223</v>
      </c>
      <c r="AC2034">
        <f>COUNTIF(C:C,QLKV_gui_ket_qua_ra_soat[[#This Row],[Mã điểm bán]])</f>
        <v>1</v>
      </c>
    </row>
    <row r="2035" spans="1:29" x14ac:dyDescent="0.45">
      <c r="A2035" t="s">
        <v>6444</v>
      </c>
      <c r="B2035">
        <v>356</v>
      </c>
      <c r="C2035" t="s">
        <v>7516</v>
      </c>
      <c r="D2035" t="s">
        <v>4658</v>
      </c>
      <c r="E2035" t="s">
        <v>416</v>
      </c>
      <c r="F2035" t="s">
        <v>53</v>
      </c>
      <c r="G2035" t="s">
        <v>177</v>
      </c>
      <c r="H2035" t="s">
        <v>54</v>
      </c>
      <c r="I2035" t="s">
        <v>7517</v>
      </c>
      <c r="J2035" t="s">
        <v>37</v>
      </c>
      <c r="K2035" t="s">
        <v>37</v>
      </c>
      <c r="L2035" t="s">
        <v>39</v>
      </c>
      <c r="M2035" t="s">
        <v>38</v>
      </c>
      <c r="N2035" t="s">
        <v>38</v>
      </c>
      <c r="O2035" t="s">
        <v>39</v>
      </c>
      <c r="P2035" t="s">
        <v>38</v>
      </c>
      <c r="Q2035" t="s">
        <v>38</v>
      </c>
      <c r="R2035" t="s">
        <v>40</v>
      </c>
      <c r="S2035" t="s">
        <v>7515</v>
      </c>
      <c r="T2035" t="s">
        <v>7319</v>
      </c>
      <c r="U2035" t="s">
        <v>7311</v>
      </c>
      <c r="V2035" t="s">
        <v>6450</v>
      </c>
      <c r="W2035" t="s">
        <v>7312</v>
      </c>
      <c r="Z2035" t="s">
        <v>46</v>
      </c>
      <c r="AA2035" t="s">
        <v>7370</v>
      </c>
      <c r="AB2035" t="s">
        <v>4223</v>
      </c>
      <c r="AC2035">
        <f>COUNTIF(C:C,QLKV_gui_ket_qua_ra_soat[[#This Row],[Mã điểm bán]])</f>
        <v>1</v>
      </c>
    </row>
    <row r="2036" spans="1:29" x14ac:dyDescent="0.45">
      <c r="A2036" t="s">
        <v>6444</v>
      </c>
      <c r="B2036">
        <v>357</v>
      </c>
      <c r="C2036" t="s">
        <v>7518</v>
      </c>
      <c r="D2036" t="s">
        <v>7519</v>
      </c>
      <c r="E2036" t="s">
        <v>290</v>
      </c>
      <c r="F2036" t="s">
        <v>3264</v>
      </c>
      <c r="G2036" t="s">
        <v>177</v>
      </c>
      <c r="H2036" t="s">
        <v>54</v>
      </c>
      <c r="I2036" t="s">
        <v>7520</v>
      </c>
      <c r="J2036" t="s">
        <v>37</v>
      </c>
      <c r="K2036" t="s">
        <v>38</v>
      </c>
      <c r="L2036" t="s">
        <v>39</v>
      </c>
      <c r="M2036" t="s">
        <v>56</v>
      </c>
      <c r="N2036" t="s">
        <v>56</v>
      </c>
      <c r="O2036" t="s">
        <v>39</v>
      </c>
      <c r="P2036" t="s">
        <v>37</v>
      </c>
      <c r="Q2036" t="s">
        <v>37</v>
      </c>
      <c r="R2036" t="s">
        <v>39</v>
      </c>
      <c r="S2036" t="s">
        <v>7521</v>
      </c>
      <c r="T2036" t="s">
        <v>7310</v>
      </c>
      <c r="U2036" t="s">
        <v>7311</v>
      </c>
      <c r="V2036" t="s">
        <v>6450</v>
      </c>
      <c r="W2036" t="s">
        <v>7312</v>
      </c>
      <c r="Z2036" t="s">
        <v>46</v>
      </c>
      <c r="AA2036" t="s">
        <v>6457</v>
      </c>
      <c r="AB2036" t="s">
        <v>4223</v>
      </c>
      <c r="AC2036">
        <f>COUNTIF(C:C,QLKV_gui_ket_qua_ra_soat[[#This Row],[Mã điểm bán]])</f>
        <v>1</v>
      </c>
    </row>
    <row r="2037" spans="1:29" x14ac:dyDescent="0.45">
      <c r="A2037" t="s">
        <v>6444</v>
      </c>
      <c r="B2037">
        <v>358</v>
      </c>
      <c r="C2037" t="s">
        <v>7522</v>
      </c>
      <c r="D2037" t="s">
        <v>7523</v>
      </c>
      <c r="E2037" t="s">
        <v>7524</v>
      </c>
      <c r="F2037" t="s">
        <v>426</v>
      </c>
      <c r="G2037" t="s">
        <v>34</v>
      </c>
      <c r="H2037" t="s">
        <v>685</v>
      </c>
      <c r="J2037" t="s">
        <v>37</v>
      </c>
      <c r="K2037" t="s">
        <v>38</v>
      </c>
      <c r="L2037" t="s">
        <v>39</v>
      </c>
      <c r="M2037" t="s">
        <v>56</v>
      </c>
      <c r="N2037" t="s">
        <v>56</v>
      </c>
      <c r="O2037" t="s">
        <v>39</v>
      </c>
      <c r="P2037" t="s">
        <v>38</v>
      </c>
      <c r="Q2037" t="s">
        <v>38</v>
      </c>
      <c r="R2037" t="s">
        <v>39</v>
      </c>
      <c r="S2037" t="s">
        <v>41</v>
      </c>
      <c r="T2037" t="s">
        <v>7327</v>
      </c>
      <c r="U2037" t="s">
        <v>7311</v>
      </c>
      <c r="V2037" t="s">
        <v>6450</v>
      </c>
      <c r="W2037" t="s">
        <v>5607</v>
      </c>
      <c r="Z2037" t="s">
        <v>46</v>
      </c>
      <c r="AA2037" t="s">
        <v>6457</v>
      </c>
      <c r="AB2037" t="s">
        <v>4223</v>
      </c>
      <c r="AC2037">
        <f>COUNTIF(C:C,QLKV_gui_ket_qua_ra_soat[[#This Row],[Mã điểm bán]])</f>
        <v>1</v>
      </c>
    </row>
    <row r="2038" spans="1:29" x14ac:dyDescent="0.45">
      <c r="A2038" t="s">
        <v>6444</v>
      </c>
      <c r="B2038">
        <v>359</v>
      </c>
      <c r="C2038" t="s">
        <v>7525</v>
      </c>
      <c r="D2038" t="s">
        <v>7526</v>
      </c>
      <c r="E2038" t="s">
        <v>68</v>
      </c>
      <c r="F2038" t="s">
        <v>53</v>
      </c>
      <c r="G2038" t="s">
        <v>177</v>
      </c>
      <c r="H2038" t="s">
        <v>54</v>
      </c>
      <c r="I2038" t="s">
        <v>7527</v>
      </c>
      <c r="J2038" t="s">
        <v>56</v>
      </c>
      <c r="K2038" t="s">
        <v>37</v>
      </c>
      <c r="L2038" t="s">
        <v>39</v>
      </c>
      <c r="M2038" t="s">
        <v>37</v>
      </c>
      <c r="N2038" t="s">
        <v>37</v>
      </c>
      <c r="O2038" t="s">
        <v>39</v>
      </c>
      <c r="P2038" t="s">
        <v>38</v>
      </c>
      <c r="Q2038" t="s">
        <v>38</v>
      </c>
      <c r="R2038" t="s">
        <v>39</v>
      </c>
      <c r="S2038" t="s">
        <v>5460</v>
      </c>
      <c r="T2038" t="s">
        <v>7319</v>
      </c>
      <c r="U2038" t="s">
        <v>7311</v>
      </c>
      <c r="V2038" t="s">
        <v>6450</v>
      </c>
      <c r="W2038" t="s">
        <v>5607</v>
      </c>
      <c r="Z2038" t="s">
        <v>46</v>
      </c>
      <c r="AA2038" t="s">
        <v>7370</v>
      </c>
      <c r="AB2038" t="s">
        <v>4223</v>
      </c>
      <c r="AC2038">
        <f>COUNTIF(C:C,QLKV_gui_ket_qua_ra_soat[[#This Row],[Mã điểm bán]])</f>
        <v>1</v>
      </c>
    </row>
    <row r="2039" spans="1:29" x14ac:dyDescent="0.45">
      <c r="A2039" t="s">
        <v>6444</v>
      </c>
      <c r="B2039">
        <v>360</v>
      </c>
      <c r="C2039" t="s">
        <v>7528</v>
      </c>
      <c r="D2039" t="s">
        <v>7529</v>
      </c>
      <c r="E2039" t="s">
        <v>7530</v>
      </c>
      <c r="F2039" t="s">
        <v>115</v>
      </c>
      <c r="G2039" t="s">
        <v>34</v>
      </c>
      <c r="H2039" t="s">
        <v>2256</v>
      </c>
      <c r="I2039" t="s">
        <v>7531</v>
      </c>
      <c r="J2039" t="s">
        <v>56</v>
      </c>
      <c r="K2039" t="s">
        <v>56</v>
      </c>
      <c r="L2039" t="s">
        <v>39</v>
      </c>
      <c r="M2039" t="s">
        <v>37</v>
      </c>
      <c r="N2039" t="s">
        <v>37</v>
      </c>
      <c r="O2039" t="s">
        <v>39</v>
      </c>
      <c r="P2039" t="s">
        <v>38</v>
      </c>
      <c r="Q2039" t="s">
        <v>38</v>
      </c>
      <c r="R2039" t="s">
        <v>39</v>
      </c>
      <c r="S2039" t="s">
        <v>1291</v>
      </c>
      <c r="T2039" t="s">
        <v>7327</v>
      </c>
      <c r="U2039" t="s">
        <v>7311</v>
      </c>
      <c r="V2039" t="s">
        <v>6450</v>
      </c>
      <c r="W2039" t="s">
        <v>5607</v>
      </c>
      <c r="Z2039" t="s">
        <v>46</v>
      </c>
      <c r="AA2039" t="s">
        <v>7370</v>
      </c>
      <c r="AB2039" t="s">
        <v>4223</v>
      </c>
      <c r="AC2039">
        <f>COUNTIF(C:C,QLKV_gui_ket_qua_ra_soat[[#This Row],[Mã điểm bán]])</f>
        <v>1</v>
      </c>
    </row>
    <row r="2040" spans="1:29" x14ac:dyDescent="0.45">
      <c r="A2040" t="s">
        <v>6444</v>
      </c>
      <c r="B2040">
        <v>361</v>
      </c>
      <c r="C2040" t="s">
        <v>7532</v>
      </c>
      <c r="D2040" t="s">
        <v>7533</v>
      </c>
      <c r="E2040" t="s">
        <v>138</v>
      </c>
      <c r="F2040" t="s">
        <v>401</v>
      </c>
      <c r="G2040" t="s">
        <v>177</v>
      </c>
      <c r="H2040" t="s">
        <v>54</v>
      </c>
      <c r="I2040" t="s">
        <v>7534</v>
      </c>
      <c r="J2040" t="s">
        <v>37</v>
      </c>
      <c r="K2040" t="s">
        <v>37</v>
      </c>
      <c r="L2040" t="s">
        <v>39</v>
      </c>
      <c r="M2040" t="s">
        <v>37</v>
      </c>
      <c r="N2040" t="s">
        <v>37</v>
      </c>
      <c r="O2040" t="s">
        <v>121</v>
      </c>
      <c r="P2040" t="s">
        <v>38</v>
      </c>
      <c r="Q2040" t="s">
        <v>38</v>
      </c>
      <c r="R2040" t="s">
        <v>39</v>
      </c>
      <c r="S2040" t="s">
        <v>7535</v>
      </c>
      <c r="T2040" t="s">
        <v>7319</v>
      </c>
      <c r="U2040" t="s">
        <v>7311</v>
      </c>
      <c r="V2040" t="s">
        <v>6450</v>
      </c>
      <c r="W2040" t="s">
        <v>5607</v>
      </c>
      <c r="Z2040" t="s">
        <v>46</v>
      </c>
      <c r="AA2040" t="s">
        <v>7370</v>
      </c>
      <c r="AB2040" t="s">
        <v>4223</v>
      </c>
      <c r="AC2040">
        <f>COUNTIF(C:C,QLKV_gui_ket_qua_ra_soat[[#This Row],[Mã điểm bán]])</f>
        <v>1</v>
      </c>
    </row>
    <row r="2041" spans="1:29" x14ac:dyDescent="0.45">
      <c r="A2041" t="s">
        <v>6444</v>
      </c>
      <c r="B2041">
        <v>362</v>
      </c>
      <c r="C2041" t="s">
        <v>7536</v>
      </c>
      <c r="D2041" t="s">
        <v>7537</v>
      </c>
      <c r="E2041" t="s">
        <v>7538</v>
      </c>
      <c r="F2041" t="s">
        <v>1827</v>
      </c>
      <c r="G2041" t="s">
        <v>177</v>
      </c>
      <c r="H2041" t="s">
        <v>214</v>
      </c>
      <c r="I2041" t="s">
        <v>7539</v>
      </c>
      <c r="J2041" t="s">
        <v>37</v>
      </c>
      <c r="K2041" t="s">
        <v>37</v>
      </c>
      <c r="L2041" t="s">
        <v>40</v>
      </c>
      <c r="M2041" t="s">
        <v>775</v>
      </c>
      <c r="N2041" t="s">
        <v>775</v>
      </c>
      <c r="O2041" t="s">
        <v>39</v>
      </c>
      <c r="P2041" t="s">
        <v>38</v>
      </c>
      <c r="Q2041" t="s">
        <v>38</v>
      </c>
      <c r="R2041" t="s">
        <v>40</v>
      </c>
      <c r="S2041" t="s">
        <v>7540</v>
      </c>
      <c r="T2041" t="s">
        <v>7310</v>
      </c>
      <c r="U2041" t="s">
        <v>7311</v>
      </c>
      <c r="V2041" t="s">
        <v>6450</v>
      </c>
      <c r="W2041" t="s">
        <v>7312</v>
      </c>
      <c r="Z2041" t="s">
        <v>46</v>
      </c>
      <c r="AA2041" t="s">
        <v>6457</v>
      </c>
      <c r="AB2041" t="s">
        <v>4223</v>
      </c>
      <c r="AC2041">
        <f>COUNTIF(C:C,QLKV_gui_ket_qua_ra_soat[[#This Row],[Mã điểm bán]])</f>
        <v>1</v>
      </c>
    </row>
    <row r="2042" spans="1:29" x14ac:dyDescent="0.45">
      <c r="A2042" t="s">
        <v>6444</v>
      </c>
      <c r="B2042">
        <v>363</v>
      </c>
      <c r="C2042" t="s">
        <v>7541</v>
      </c>
      <c r="D2042" t="s">
        <v>7542</v>
      </c>
      <c r="E2042" t="s">
        <v>1680</v>
      </c>
      <c r="F2042" t="s">
        <v>191</v>
      </c>
      <c r="G2042" t="s">
        <v>34</v>
      </c>
      <c r="H2042" t="s">
        <v>54</v>
      </c>
      <c r="I2042" t="s">
        <v>7543</v>
      </c>
      <c r="J2042" t="s">
        <v>37</v>
      </c>
      <c r="K2042" t="s">
        <v>37</v>
      </c>
      <c r="L2042" t="s">
        <v>39</v>
      </c>
      <c r="M2042" t="s">
        <v>56</v>
      </c>
      <c r="N2042" t="s">
        <v>56</v>
      </c>
      <c r="O2042" t="s">
        <v>39</v>
      </c>
      <c r="P2042" t="s">
        <v>56</v>
      </c>
      <c r="Q2042" t="s">
        <v>56</v>
      </c>
      <c r="R2042" t="s">
        <v>39</v>
      </c>
      <c r="S2042" t="s">
        <v>41</v>
      </c>
      <c r="T2042" t="s">
        <v>7368</v>
      </c>
      <c r="U2042" t="s">
        <v>7369</v>
      </c>
      <c r="V2042" t="s">
        <v>6450</v>
      </c>
      <c r="W2042" t="s">
        <v>5607</v>
      </c>
      <c r="X2042" t="s">
        <v>46</v>
      </c>
      <c r="AC2042">
        <f>COUNTIF(C:C,QLKV_gui_ket_qua_ra_soat[[#This Row],[Mã điểm bán]])</f>
        <v>1</v>
      </c>
    </row>
    <row r="2043" spans="1:29" x14ac:dyDescent="0.45">
      <c r="A2043" t="s">
        <v>6444</v>
      </c>
      <c r="B2043">
        <v>364</v>
      </c>
      <c r="C2043" t="s">
        <v>7544</v>
      </c>
      <c r="D2043" t="s">
        <v>7545</v>
      </c>
      <c r="E2043" t="s">
        <v>7546</v>
      </c>
      <c r="F2043" t="s">
        <v>166</v>
      </c>
      <c r="G2043" t="s">
        <v>34</v>
      </c>
      <c r="H2043" t="s">
        <v>54</v>
      </c>
      <c r="I2043" t="s">
        <v>7547</v>
      </c>
      <c r="J2043" t="s">
        <v>38</v>
      </c>
      <c r="K2043" t="s">
        <v>38</v>
      </c>
      <c r="L2043" t="s">
        <v>40</v>
      </c>
      <c r="M2043" t="s">
        <v>56</v>
      </c>
      <c r="N2043" t="s">
        <v>56</v>
      </c>
      <c r="O2043" t="s">
        <v>39</v>
      </c>
      <c r="P2043" t="s">
        <v>37</v>
      </c>
      <c r="Q2043" t="s">
        <v>37</v>
      </c>
      <c r="R2043" t="s">
        <v>39</v>
      </c>
      <c r="S2043" t="s">
        <v>41</v>
      </c>
      <c r="T2043" t="s">
        <v>7368</v>
      </c>
      <c r="U2043" t="s">
        <v>7369</v>
      </c>
      <c r="V2043" t="s">
        <v>6450</v>
      </c>
      <c r="W2043" t="s">
        <v>5607</v>
      </c>
      <c r="X2043" t="s">
        <v>46</v>
      </c>
      <c r="AC2043">
        <f>COUNTIF(C:C,QLKV_gui_ket_qua_ra_soat[[#This Row],[Mã điểm bán]])</f>
        <v>1</v>
      </c>
    </row>
    <row r="2044" spans="1:29" x14ac:dyDescent="0.45">
      <c r="A2044" t="s">
        <v>6444</v>
      </c>
      <c r="B2044">
        <v>365</v>
      </c>
      <c r="C2044" t="s">
        <v>7548</v>
      </c>
      <c r="D2044" t="s">
        <v>7549</v>
      </c>
      <c r="E2044" t="s">
        <v>431</v>
      </c>
      <c r="F2044" t="s">
        <v>7550</v>
      </c>
      <c r="G2044" t="s">
        <v>34</v>
      </c>
      <c r="H2044" t="s">
        <v>54</v>
      </c>
      <c r="I2044" t="s">
        <v>7551</v>
      </c>
      <c r="J2044" t="s">
        <v>38</v>
      </c>
      <c r="K2044" t="s">
        <v>38</v>
      </c>
      <c r="L2044" t="s">
        <v>40</v>
      </c>
      <c r="M2044" t="s">
        <v>37</v>
      </c>
      <c r="N2044" t="s">
        <v>37</v>
      </c>
      <c r="O2044" t="s">
        <v>39</v>
      </c>
      <c r="P2044" t="s">
        <v>37</v>
      </c>
      <c r="Q2044" t="s">
        <v>37</v>
      </c>
      <c r="R2044" t="s">
        <v>39</v>
      </c>
      <c r="S2044" t="s">
        <v>41</v>
      </c>
      <c r="T2044" t="s">
        <v>7368</v>
      </c>
      <c r="U2044" t="s">
        <v>7369</v>
      </c>
      <c r="V2044" t="s">
        <v>6450</v>
      </c>
      <c r="W2044" t="s">
        <v>7312</v>
      </c>
      <c r="X2044" t="s">
        <v>46</v>
      </c>
      <c r="AC2044">
        <f>COUNTIF(C:C,QLKV_gui_ket_qua_ra_soat[[#This Row],[Mã điểm bán]])</f>
        <v>1</v>
      </c>
    </row>
    <row r="2045" spans="1:29" x14ac:dyDescent="0.45">
      <c r="A2045" t="s">
        <v>6444</v>
      </c>
      <c r="B2045">
        <v>366</v>
      </c>
      <c r="C2045" t="s">
        <v>7552</v>
      </c>
      <c r="D2045" t="s">
        <v>7519</v>
      </c>
      <c r="E2045" t="s">
        <v>7553</v>
      </c>
      <c r="F2045" t="s">
        <v>7554</v>
      </c>
      <c r="G2045" t="s">
        <v>34</v>
      </c>
      <c r="H2045" t="s">
        <v>54</v>
      </c>
      <c r="I2045" t="s">
        <v>7555</v>
      </c>
      <c r="J2045" t="s">
        <v>38</v>
      </c>
      <c r="K2045" t="s">
        <v>38</v>
      </c>
      <c r="L2045" t="s">
        <v>40</v>
      </c>
      <c r="M2045" t="s">
        <v>56</v>
      </c>
      <c r="N2045" t="s">
        <v>56</v>
      </c>
      <c r="O2045" t="s">
        <v>39</v>
      </c>
      <c r="P2045" t="s">
        <v>38</v>
      </c>
      <c r="Q2045" t="s">
        <v>37</v>
      </c>
      <c r="R2045" t="s">
        <v>39</v>
      </c>
      <c r="S2045" t="s">
        <v>41</v>
      </c>
      <c r="T2045" t="s">
        <v>7368</v>
      </c>
      <c r="U2045" t="s">
        <v>7369</v>
      </c>
      <c r="V2045" t="s">
        <v>6450</v>
      </c>
      <c r="W2045" t="s">
        <v>7312</v>
      </c>
      <c r="Z2045" t="s">
        <v>46</v>
      </c>
      <c r="AA2045" t="s">
        <v>6457</v>
      </c>
      <c r="AB2045" t="s">
        <v>5658</v>
      </c>
      <c r="AC2045">
        <f>COUNTIF(C:C,QLKV_gui_ket_qua_ra_soat[[#This Row],[Mã điểm bán]])</f>
        <v>1</v>
      </c>
    </row>
    <row r="2046" spans="1:29" x14ac:dyDescent="0.45">
      <c r="A2046" t="s">
        <v>6444</v>
      </c>
      <c r="B2046">
        <v>367</v>
      </c>
      <c r="C2046" t="s">
        <v>7556</v>
      </c>
      <c r="D2046" t="s">
        <v>7557</v>
      </c>
      <c r="E2046" t="s">
        <v>91</v>
      </c>
      <c r="F2046" t="s">
        <v>53</v>
      </c>
      <c r="G2046" t="s">
        <v>34</v>
      </c>
      <c r="H2046" t="s">
        <v>54</v>
      </c>
      <c r="I2046" t="s">
        <v>7326</v>
      </c>
      <c r="J2046" t="s">
        <v>56</v>
      </c>
      <c r="K2046" t="s">
        <v>56</v>
      </c>
      <c r="L2046" t="s">
        <v>39</v>
      </c>
      <c r="M2046" t="s">
        <v>37</v>
      </c>
      <c r="N2046" t="s">
        <v>37</v>
      </c>
      <c r="O2046" t="s">
        <v>39</v>
      </c>
      <c r="P2046" t="s">
        <v>38</v>
      </c>
      <c r="Q2046" t="s">
        <v>38</v>
      </c>
      <c r="R2046" t="s">
        <v>39</v>
      </c>
      <c r="S2046" t="s">
        <v>1291</v>
      </c>
      <c r="T2046" t="s">
        <v>7327</v>
      </c>
      <c r="U2046" t="s">
        <v>7311</v>
      </c>
      <c r="V2046" t="s">
        <v>6450</v>
      </c>
      <c r="W2046" t="s">
        <v>7312</v>
      </c>
      <c r="Z2046" t="s">
        <v>46</v>
      </c>
      <c r="AA2046" t="s">
        <v>6457</v>
      </c>
      <c r="AB2046" t="s">
        <v>4223</v>
      </c>
      <c r="AC2046">
        <f>COUNTIF(C:C,QLKV_gui_ket_qua_ra_soat[[#This Row],[Mã điểm bán]])</f>
        <v>1</v>
      </c>
    </row>
    <row r="2047" spans="1:29" x14ac:dyDescent="0.45">
      <c r="A2047" t="s">
        <v>6444</v>
      </c>
      <c r="B2047">
        <v>368</v>
      </c>
      <c r="C2047" t="s">
        <v>7558</v>
      </c>
      <c r="D2047" t="s">
        <v>7559</v>
      </c>
      <c r="E2047" t="s">
        <v>529</v>
      </c>
      <c r="F2047" t="s">
        <v>286</v>
      </c>
      <c r="G2047" t="s">
        <v>177</v>
      </c>
      <c r="H2047" t="s">
        <v>54</v>
      </c>
      <c r="I2047" t="s">
        <v>7560</v>
      </c>
      <c r="J2047" t="s">
        <v>37</v>
      </c>
      <c r="K2047" t="s">
        <v>38</v>
      </c>
      <c r="L2047" t="s">
        <v>39</v>
      </c>
      <c r="M2047" t="s">
        <v>37</v>
      </c>
      <c r="N2047" t="s">
        <v>37</v>
      </c>
      <c r="O2047" t="s">
        <v>39</v>
      </c>
      <c r="P2047" t="s">
        <v>38</v>
      </c>
      <c r="Q2047" t="s">
        <v>38</v>
      </c>
      <c r="R2047" t="s">
        <v>40</v>
      </c>
      <c r="S2047" t="s">
        <v>7515</v>
      </c>
      <c r="T2047" t="s">
        <v>7319</v>
      </c>
      <c r="U2047" t="s">
        <v>7311</v>
      </c>
      <c r="V2047" t="s">
        <v>6450</v>
      </c>
      <c r="W2047" t="s">
        <v>5607</v>
      </c>
      <c r="Z2047" t="s">
        <v>46</v>
      </c>
      <c r="AA2047" t="s">
        <v>7370</v>
      </c>
      <c r="AB2047" t="s">
        <v>4223</v>
      </c>
      <c r="AC2047">
        <f>COUNTIF(C:C,QLKV_gui_ket_qua_ra_soat[[#This Row],[Mã điểm bán]])</f>
        <v>1</v>
      </c>
    </row>
    <row r="2048" spans="1:29" x14ac:dyDescent="0.45">
      <c r="A2048" t="s">
        <v>6444</v>
      </c>
      <c r="B2048">
        <v>369</v>
      </c>
      <c r="C2048" t="s">
        <v>7561</v>
      </c>
      <c r="D2048" t="s">
        <v>7562</v>
      </c>
      <c r="E2048" t="s">
        <v>157</v>
      </c>
      <c r="F2048" t="s">
        <v>441</v>
      </c>
      <c r="G2048" t="s">
        <v>177</v>
      </c>
      <c r="H2048" t="s">
        <v>54</v>
      </c>
      <c r="I2048" t="s">
        <v>7563</v>
      </c>
      <c r="J2048" t="s">
        <v>37</v>
      </c>
      <c r="K2048" t="s">
        <v>37</v>
      </c>
      <c r="L2048" t="s">
        <v>39</v>
      </c>
      <c r="M2048" t="s">
        <v>37</v>
      </c>
      <c r="N2048" t="s">
        <v>37</v>
      </c>
      <c r="O2048" t="s">
        <v>39</v>
      </c>
      <c r="P2048" t="s">
        <v>38</v>
      </c>
      <c r="Q2048" t="s">
        <v>38</v>
      </c>
      <c r="R2048" t="s">
        <v>39</v>
      </c>
      <c r="S2048" t="s">
        <v>5363</v>
      </c>
      <c r="T2048" t="s">
        <v>7319</v>
      </c>
      <c r="U2048" t="s">
        <v>7311</v>
      </c>
      <c r="V2048" t="s">
        <v>6450</v>
      </c>
      <c r="W2048" t="s">
        <v>7312</v>
      </c>
      <c r="Z2048" t="s">
        <v>46</v>
      </c>
      <c r="AA2048" t="s">
        <v>7370</v>
      </c>
      <c r="AB2048" t="s">
        <v>4223</v>
      </c>
      <c r="AC2048">
        <f>COUNTIF(C:C,QLKV_gui_ket_qua_ra_soat[[#This Row],[Mã điểm bán]])</f>
        <v>1</v>
      </c>
    </row>
    <row r="2049" spans="1:29" x14ac:dyDescent="0.45">
      <c r="A2049" t="s">
        <v>6444</v>
      </c>
      <c r="B2049">
        <v>370</v>
      </c>
      <c r="C2049" t="s">
        <v>7564</v>
      </c>
      <c r="D2049" t="s">
        <v>7347</v>
      </c>
      <c r="E2049" t="s">
        <v>344</v>
      </c>
      <c r="F2049" t="s">
        <v>1279</v>
      </c>
      <c r="G2049" t="s">
        <v>177</v>
      </c>
      <c r="H2049" t="s">
        <v>54</v>
      </c>
      <c r="I2049" t="s">
        <v>7565</v>
      </c>
      <c r="J2049" t="s">
        <v>56</v>
      </c>
      <c r="K2049" t="s">
        <v>56</v>
      </c>
      <c r="L2049" t="s">
        <v>121</v>
      </c>
      <c r="M2049" t="s">
        <v>775</v>
      </c>
      <c r="N2049" t="s">
        <v>775</v>
      </c>
      <c r="O2049" t="s">
        <v>39</v>
      </c>
      <c r="P2049" t="s">
        <v>37</v>
      </c>
      <c r="Q2049" t="s">
        <v>37</v>
      </c>
      <c r="R2049" t="s">
        <v>39</v>
      </c>
      <c r="S2049" t="s">
        <v>7566</v>
      </c>
      <c r="T2049" t="s">
        <v>7310</v>
      </c>
      <c r="U2049" t="s">
        <v>7311</v>
      </c>
      <c r="V2049" t="s">
        <v>6450</v>
      </c>
      <c r="W2049" t="s">
        <v>7312</v>
      </c>
      <c r="Z2049" t="s">
        <v>46</v>
      </c>
      <c r="AA2049" t="s">
        <v>6457</v>
      </c>
      <c r="AB2049" t="s">
        <v>4223</v>
      </c>
      <c r="AC2049">
        <f>COUNTIF(C:C,QLKV_gui_ket_qua_ra_soat[[#This Row],[Mã điểm bán]])</f>
        <v>1</v>
      </c>
    </row>
    <row r="2050" spans="1:29" x14ac:dyDescent="0.45">
      <c r="A2050" t="s">
        <v>6444</v>
      </c>
      <c r="B2050">
        <v>371</v>
      </c>
      <c r="C2050" t="s">
        <v>7567</v>
      </c>
      <c r="D2050" t="s">
        <v>7568</v>
      </c>
      <c r="E2050" t="s">
        <v>176</v>
      </c>
      <c r="F2050" t="s">
        <v>53</v>
      </c>
      <c r="G2050" t="s">
        <v>177</v>
      </c>
      <c r="H2050" t="s">
        <v>54</v>
      </c>
      <c r="I2050" t="s">
        <v>7318</v>
      </c>
      <c r="J2050" t="s">
        <v>37</v>
      </c>
      <c r="K2050" t="s">
        <v>37</v>
      </c>
      <c r="L2050" t="s">
        <v>39</v>
      </c>
      <c r="M2050" t="s">
        <v>37</v>
      </c>
      <c r="N2050" t="s">
        <v>37</v>
      </c>
      <c r="O2050" t="s">
        <v>39</v>
      </c>
      <c r="P2050" t="s">
        <v>38</v>
      </c>
      <c r="Q2050" t="s">
        <v>38</v>
      </c>
      <c r="R2050" t="s">
        <v>39</v>
      </c>
      <c r="S2050" t="s">
        <v>5363</v>
      </c>
      <c r="T2050" t="s">
        <v>7319</v>
      </c>
      <c r="U2050" t="s">
        <v>7311</v>
      </c>
      <c r="V2050" t="s">
        <v>6450</v>
      </c>
      <c r="W2050" t="s">
        <v>7312</v>
      </c>
      <c r="Z2050" t="s">
        <v>46</v>
      </c>
      <c r="AA2050" t="s">
        <v>7370</v>
      </c>
      <c r="AB2050" t="s">
        <v>4223</v>
      </c>
      <c r="AC2050">
        <f>COUNTIF(C:C,QLKV_gui_ket_qua_ra_soat[[#This Row],[Mã điểm bán]])</f>
        <v>1</v>
      </c>
    </row>
    <row r="2051" spans="1:29" x14ac:dyDescent="0.45">
      <c r="A2051" t="s">
        <v>6444</v>
      </c>
      <c r="B2051">
        <v>372</v>
      </c>
      <c r="C2051" t="s">
        <v>7569</v>
      </c>
      <c r="D2051" t="s">
        <v>7570</v>
      </c>
      <c r="E2051" t="s">
        <v>529</v>
      </c>
      <c r="F2051" t="s">
        <v>456</v>
      </c>
      <c r="G2051" t="s">
        <v>177</v>
      </c>
      <c r="H2051" t="s">
        <v>54</v>
      </c>
      <c r="I2051" t="s">
        <v>7571</v>
      </c>
      <c r="J2051" t="s">
        <v>56</v>
      </c>
      <c r="K2051" t="s">
        <v>37</v>
      </c>
      <c r="L2051" t="s">
        <v>39</v>
      </c>
      <c r="M2051" t="s">
        <v>37</v>
      </c>
      <c r="N2051" t="s">
        <v>37</v>
      </c>
      <c r="O2051" t="s">
        <v>39</v>
      </c>
      <c r="P2051" t="s">
        <v>38</v>
      </c>
      <c r="Q2051" t="s">
        <v>38</v>
      </c>
      <c r="R2051" t="s">
        <v>39</v>
      </c>
      <c r="S2051" t="s">
        <v>7572</v>
      </c>
      <c r="T2051" t="s">
        <v>7319</v>
      </c>
      <c r="U2051" t="s">
        <v>7311</v>
      </c>
      <c r="V2051" t="s">
        <v>6450</v>
      </c>
      <c r="W2051" t="s">
        <v>7312</v>
      </c>
      <c r="Z2051" t="s">
        <v>46</v>
      </c>
      <c r="AA2051" t="s">
        <v>7370</v>
      </c>
      <c r="AB2051" t="s">
        <v>4223</v>
      </c>
      <c r="AC2051">
        <f>COUNTIF(C:C,QLKV_gui_ket_qua_ra_soat[[#This Row],[Mã điểm bán]])</f>
        <v>1</v>
      </c>
    </row>
    <row r="2052" spans="1:29" x14ac:dyDescent="0.45">
      <c r="A2052" t="s">
        <v>6444</v>
      </c>
      <c r="B2052">
        <v>373</v>
      </c>
      <c r="C2052" t="s">
        <v>7573</v>
      </c>
      <c r="D2052" t="s">
        <v>7574</v>
      </c>
      <c r="E2052" t="s">
        <v>529</v>
      </c>
      <c r="F2052" t="s">
        <v>401</v>
      </c>
      <c r="G2052" t="s">
        <v>34</v>
      </c>
      <c r="H2052" t="s">
        <v>54</v>
      </c>
      <c r="I2052" t="s">
        <v>7575</v>
      </c>
      <c r="J2052" t="s">
        <v>56</v>
      </c>
      <c r="K2052" t="s">
        <v>37</v>
      </c>
      <c r="L2052" t="s">
        <v>39</v>
      </c>
      <c r="M2052" t="s">
        <v>56</v>
      </c>
      <c r="N2052" t="s">
        <v>56</v>
      </c>
      <c r="O2052" t="s">
        <v>39</v>
      </c>
      <c r="P2052" t="s">
        <v>56</v>
      </c>
      <c r="Q2052" t="s">
        <v>37</v>
      </c>
      <c r="R2052" t="s">
        <v>39</v>
      </c>
      <c r="S2052" t="s">
        <v>7576</v>
      </c>
      <c r="T2052" t="s">
        <v>7310</v>
      </c>
      <c r="U2052" t="s">
        <v>7311</v>
      </c>
      <c r="V2052" t="s">
        <v>6450</v>
      </c>
      <c r="W2052" t="s">
        <v>7312</v>
      </c>
      <c r="Z2052" t="s">
        <v>46</v>
      </c>
      <c r="AA2052" t="s">
        <v>6457</v>
      </c>
      <c r="AB2052" t="s">
        <v>4223</v>
      </c>
      <c r="AC2052">
        <f>COUNTIF(C:C,QLKV_gui_ket_qua_ra_soat[[#This Row],[Mã điểm bán]])</f>
        <v>1</v>
      </c>
    </row>
    <row r="2053" spans="1:29" x14ac:dyDescent="0.45">
      <c r="A2053" t="s">
        <v>6444</v>
      </c>
      <c r="B2053">
        <v>374</v>
      </c>
      <c r="C2053" t="s">
        <v>7577</v>
      </c>
      <c r="D2053" t="s">
        <v>7578</v>
      </c>
      <c r="E2053" t="s">
        <v>529</v>
      </c>
      <c r="F2053" t="s">
        <v>53</v>
      </c>
      <c r="G2053" t="s">
        <v>34</v>
      </c>
      <c r="H2053" t="s">
        <v>479</v>
      </c>
      <c r="I2053" t="s">
        <v>7345</v>
      </c>
      <c r="J2053" t="s">
        <v>56</v>
      </c>
      <c r="K2053" t="s">
        <v>56</v>
      </c>
      <c r="L2053" t="s">
        <v>39</v>
      </c>
      <c r="M2053" t="s">
        <v>37</v>
      </c>
      <c r="N2053" t="s">
        <v>37</v>
      </c>
      <c r="O2053" t="s">
        <v>39</v>
      </c>
      <c r="P2053" t="s">
        <v>37</v>
      </c>
      <c r="Q2053" t="s">
        <v>37</v>
      </c>
      <c r="R2053" t="s">
        <v>39</v>
      </c>
      <c r="S2053" t="s">
        <v>1291</v>
      </c>
      <c r="T2053" t="s">
        <v>7327</v>
      </c>
      <c r="U2053" t="s">
        <v>7311</v>
      </c>
      <c r="V2053" t="s">
        <v>6450</v>
      </c>
      <c r="W2053" t="s">
        <v>7312</v>
      </c>
      <c r="Z2053" t="s">
        <v>46</v>
      </c>
      <c r="AA2053" t="s">
        <v>6457</v>
      </c>
      <c r="AB2053" t="s">
        <v>4223</v>
      </c>
      <c r="AC2053">
        <f>COUNTIF(C:C,QLKV_gui_ket_qua_ra_soat[[#This Row],[Mã điểm bán]])</f>
        <v>1</v>
      </c>
    </row>
    <row r="2054" spans="1:29" x14ac:dyDescent="0.45">
      <c r="A2054" t="s">
        <v>6444</v>
      </c>
      <c r="B2054">
        <v>375</v>
      </c>
      <c r="C2054" t="s">
        <v>7579</v>
      </c>
      <c r="D2054" t="s">
        <v>7580</v>
      </c>
      <c r="E2054" t="s">
        <v>87</v>
      </c>
      <c r="F2054" t="s">
        <v>53</v>
      </c>
      <c r="G2054" t="s">
        <v>177</v>
      </c>
      <c r="H2054" t="s">
        <v>54</v>
      </c>
      <c r="I2054" t="s">
        <v>7322</v>
      </c>
      <c r="J2054" t="s">
        <v>37</v>
      </c>
      <c r="K2054" t="s">
        <v>37</v>
      </c>
      <c r="L2054" t="s">
        <v>40</v>
      </c>
      <c r="M2054" t="s">
        <v>37</v>
      </c>
      <c r="N2054" t="s">
        <v>37</v>
      </c>
      <c r="O2054" t="s">
        <v>40</v>
      </c>
      <c r="P2054" t="s">
        <v>38</v>
      </c>
      <c r="Q2054" t="s">
        <v>38</v>
      </c>
      <c r="R2054" t="s">
        <v>40</v>
      </c>
      <c r="S2054" t="s">
        <v>7581</v>
      </c>
      <c r="T2054" t="s">
        <v>7310</v>
      </c>
      <c r="U2054" t="s">
        <v>7311</v>
      </c>
      <c r="V2054" t="s">
        <v>6450</v>
      </c>
      <c r="W2054" t="s">
        <v>5607</v>
      </c>
      <c r="X2054" t="s">
        <v>46</v>
      </c>
      <c r="AC2054">
        <f>COUNTIF(C:C,QLKV_gui_ket_qua_ra_soat[[#This Row],[Mã điểm bán]])</f>
        <v>1</v>
      </c>
    </row>
    <row r="2055" spans="1:29" x14ac:dyDescent="0.45">
      <c r="A2055" t="s">
        <v>6444</v>
      </c>
      <c r="B2055">
        <v>376</v>
      </c>
      <c r="C2055" t="s">
        <v>7582</v>
      </c>
      <c r="D2055" t="s">
        <v>7583</v>
      </c>
      <c r="E2055" t="s">
        <v>69</v>
      </c>
      <c r="F2055" t="s">
        <v>53</v>
      </c>
      <c r="G2055" t="s">
        <v>177</v>
      </c>
      <c r="H2055" t="s">
        <v>54</v>
      </c>
      <c r="I2055" t="s">
        <v>7322</v>
      </c>
      <c r="J2055" t="s">
        <v>56</v>
      </c>
      <c r="K2055" t="s">
        <v>37</v>
      </c>
      <c r="L2055" t="s">
        <v>40</v>
      </c>
      <c r="M2055" t="s">
        <v>56</v>
      </c>
      <c r="N2055" t="s">
        <v>56</v>
      </c>
      <c r="O2055" t="s">
        <v>39</v>
      </c>
      <c r="P2055" t="s">
        <v>56</v>
      </c>
      <c r="Q2055" t="s">
        <v>38</v>
      </c>
      <c r="R2055" t="s">
        <v>40</v>
      </c>
      <c r="S2055" t="s">
        <v>41</v>
      </c>
      <c r="T2055" t="s">
        <v>7310</v>
      </c>
      <c r="U2055" t="s">
        <v>7311</v>
      </c>
      <c r="V2055" t="s">
        <v>6450</v>
      </c>
      <c r="W2055" t="s">
        <v>5607</v>
      </c>
      <c r="X2055" t="s">
        <v>46</v>
      </c>
      <c r="AC2055">
        <f>COUNTIF(C:C,QLKV_gui_ket_qua_ra_soat[[#This Row],[Mã điểm bán]])</f>
        <v>1</v>
      </c>
    </row>
    <row r="2056" spans="1:29" x14ac:dyDescent="0.45">
      <c r="A2056" t="s">
        <v>6444</v>
      </c>
      <c r="B2056">
        <v>377</v>
      </c>
      <c r="C2056" t="s">
        <v>7584</v>
      </c>
      <c r="D2056" t="s">
        <v>7585</v>
      </c>
      <c r="E2056" t="s">
        <v>304</v>
      </c>
      <c r="F2056" t="s">
        <v>53</v>
      </c>
      <c r="G2056" t="s">
        <v>34</v>
      </c>
      <c r="H2056" t="s">
        <v>54</v>
      </c>
      <c r="I2056" t="s">
        <v>7326</v>
      </c>
      <c r="J2056" t="s">
        <v>56</v>
      </c>
      <c r="K2056" t="s">
        <v>56</v>
      </c>
      <c r="L2056" t="s">
        <v>39</v>
      </c>
      <c r="M2056" t="s">
        <v>37</v>
      </c>
      <c r="N2056" t="s">
        <v>37</v>
      </c>
      <c r="O2056" t="s">
        <v>39</v>
      </c>
      <c r="P2056" t="s">
        <v>38</v>
      </c>
      <c r="Q2056" t="s">
        <v>38</v>
      </c>
      <c r="R2056" t="s">
        <v>39</v>
      </c>
      <c r="S2056" t="s">
        <v>1291</v>
      </c>
      <c r="T2056" t="s">
        <v>7327</v>
      </c>
      <c r="U2056" t="s">
        <v>7311</v>
      </c>
      <c r="V2056" t="s">
        <v>6450</v>
      </c>
      <c r="W2056" t="s">
        <v>7312</v>
      </c>
      <c r="X2056" t="s">
        <v>46</v>
      </c>
      <c r="AC2056">
        <f>COUNTIF(C:C,QLKV_gui_ket_qua_ra_soat[[#This Row],[Mã điểm bán]])</f>
        <v>1</v>
      </c>
    </row>
    <row r="2057" spans="1:29" x14ac:dyDescent="0.45">
      <c r="A2057" t="s">
        <v>6444</v>
      </c>
      <c r="B2057">
        <v>378</v>
      </c>
      <c r="C2057" t="s">
        <v>7586</v>
      </c>
      <c r="D2057" t="s">
        <v>7587</v>
      </c>
      <c r="E2057" t="s">
        <v>69</v>
      </c>
      <c r="F2057" t="s">
        <v>53</v>
      </c>
      <c r="G2057" t="s">
        <v>177</v>
      </c>
      <c r="H2057" t="s">
        <v>54</v>
      </c>
      <c r="I2057" t="s">
        <v>7588</v>
      </c>
      <c r="J2057" t="s">
        <v>37</v>
      </c>
      <c r="K2057" t="s">
        <v>37</v>
      </c>
      <c r="L2057" t="s">
        <v>39</v>
      </c>
      <c r="M2057" t="s">
        <v>38</v>
      </c>
      <c r="N2057" t="s">
        <v>37</v>
      </c>
      <c r="O2057" t="s">
        <v>39</v>
      </c>
      <c r="P2057" t="s">
        <v>38</v>
      </c>
      <c r="Q2057" t="s">
        <v>38</v>
      </c>
      <c r="R2057" t="s">
        <v>39</v>
      </c>
      <c r="S2057" t="s">
        <v>7515</v>
      </c>
      <c r="T2057" t="s">
        <v>7319</v>
      </c>
      <c r="U2057" t="s">
        <v>7311</v>
      </c>
      <c r="V2057" t="s">
        <v>6450</v>
      </c>
      <c r="W2057" t="s">
        <v>7312</v>
      </c>
      <c r="X2057" t="s">
        <v>46</v>
      </c>
      <c r="AC2057">
        <f>COUNTIF(C:C,QLKV_gui_ket_qua_ra_soat[[#This Row],[Mã điểm bán]])</f>
        <v>1</v>
      </c>
    </row>
    <row r="2058" spans="1:29" x14ac:dyDescent="0.45">
      <c r="A2058" t="s">
        <v>6444</v>
      </c>
      <c r="B2058">
        <v>379</v>
      </c>
      <c r="C2058" t="s">
        <v>7589</v>
      </c>
      <c r="D2058" t="s">
        <v>4437</v>
      </c>
      <c r="E2058" t="s">
        <v>69</v>
      </c>
      <c r="F2058" t="s">
        <v>53</v>
      </c>
      <c r="G2058" t="s">
        <v>177</v>
      </c>
      <c r="H2058" t="s">
        <v>54</v>
      </c>
      <c r="I2058" t="s">
        <v>7318</v>
      </c>
      <c r="J2058" t="s">
        <v>37</v>
      </c>
      <c r="K2058" t="s">
        <v>37</v>
      </c>
      <c r="L2058" t="s">
        <v>39</v>
      </c>
      <c r="M2058" t="s">
        <v>37</v>
      </c>
      <c r="N2058" t="s">
        <v>38</v>
      </c>
      <c r="O2058" t="s">
        <v>39</v>
      </c>
      <c r="P2058" t="s">
        <v>37</v>
      </c>
      <c r="Q2058" t="s">
        <v>37</v>
      </c>
      <c r="R2058" t="s">
        <v>39</v>
      </c>
      <c r="S2058" t="s">
        <v>41</v>
      </c>
      <c r="T2058" t="s">
        <v>7319</v>
      </c>
      <c r="U2058" t="s">
        <v>7311</v>
      </c>
      <c r="V2058" t="s">
        <v>6450</v>
      </c>
      <c r="W2058" t="s">
        <v>7312</v>
      </c>
      <c r="X2058" t="s">
        <v>46</v>
      </c>
      <c r="AC2058">
        <f>COUNTIF(C:C,QLKV_gui_ket_qua_ra_soat[[#This Row],[Mã điểm bán]])</f>
        <v>1</v>
      </c>
    </row>
    <row r="2059" spans="1:29" x14ac:dyDescent="0.45">
      <c r="A2059" t="s">
        <v>6444</v>
      </c>
      <c r="B2059">
        <v>380</v>
      </c>
      <c r="C2059" t="s">
        <v>7590</v>
      </c>
      <c r="D2059" t="s">
        <v>6526</v>
      </c>
      <c r="E2059" t="s">
        <v>579</v>
      </c>
      <c r="F2059" t="s">
        <v>53</v>
      </c>
      <c r="G2059" t="s">
        <v>34</v>
      </c>
      <c r="H2059" t="s">
        <v>54</v>
      </c>
      <c r="I2059" t="s">
        <v>7591</v>
      </c>
      <c r="J2059" t="s">
        <v>38</v>
      </c>
      <c r="K2059" t="s">
        <v>38</v>
      </c>
      <c r="L2059" t="s">
        <v>40</v>
      </c>
      <c r="M2059" t="s">
        <v>37</v>
      </c>
      <c r="N2059" t="s">
        <v>37</v>
      </c>
      <c r="O2059" t="s">
        <v>39</v>
      </c>
      <c r="P2059" t="s">
        <v>37</v>
      </c>
      <c r="Q2059" t="s">
        <v>37</v>
      </c>
      <c r="R2059" t="s">
        <v>39</v>
      </c>
      <c r="S2059" t="s">
        <v>41</v>
      </c>
      <c r="T2059" t="s">
        <v>7368</v>
      </c>
      <c r="U2059" t="s">
        <v>7369</v>
      </c>
      <c r="V2059" t="s">
        <v>6450</v>
      </c>
      <c r="W2059" t="s">
        <v>7312</v>
      </c>
      <c r="X2059" t="s">
        <v>46</v>
      </c>
      <c r="AC2059">
        <f>COUNTIF(C:C,QLKV_gui_ket_qua_ra_soat[[#This Row],[Mã điểm bán]])</f>
        <v>1</v>
      </c>
    </row>
    <row r="2060" spans="1:29" x14ac:dyDescent="0.45">
      <c r="A2060" t="s">
        <v>6444</v>
      </c>
      <c r="B2060">
        <v>381</v>
      </c>
      <c r="C2060" t="s">
        <v>7592</v>
      </c>
      <c r="D2060" t="s">
        <v>7593</v>
      </c>
      <c r="E2060" t="s">
        <v>69</v>
      </c>
      <c r="F2060" t="s">
        <v>53</v>
      </c>
      <c r="G2060" t="s">
        <v>177</v>
      </c>
      <c r="H2060" t="s">
        <v>54</v>
      </c>
      <c r="I2060" t="s">
        <v>7322</v>
      </c>
      <c r="J2060" t="s">
        <v>56</v>
      </c>
      <c r="K2060" t="s">
        <v>56</v>
      </c>
      <c r="L2060" t="s">
        <v>39</v>
      </c>
      <c r="M2060" t="s">
        <v>56</v>
      </c>
      <c r="N2060" t="s">
        <v>56</v>
      </c>
      <c r="O2060" t="s">
        <v>39</v>
      </c>
      <c r="P2060" t="s">
        <v>56</v>
      </c>
      <c r="Q2060" t="s">
        <v>56</v>
      </c>
      <c r="R2060" t="s">
        <v>39</v>
      </c>
      <c r="S2060" t="s">
        <v>41</v>
      </c>
      <c r="T2060" t="s">
        <v>7310</v>
      </c>
      <c r="U2060" t="s">
        <v>7311</v>
      </c>
      <c r="V2060" t="s">
        <v>6450</v>
      </c>
      <c r="W2060" t="s">
        <v>5607</v>
      </c>
      <c r="X2060" t="s">
        <v>46</v>
      </c>
      <c r="AC2060">
        <f>COUNTIF(C:C,QLKV_gui_ket_qua_ra_soat[[#This Row],[Mã điểm bán]])</f>
        <v>1</v>
      </c>
    </row>
    <row r="2061" spans="1:29" x14ac:dyDescent="0.45">
      <c r="A2061" t="s">
        <v>6444</v>
      </c>
      <c r="B2061">
        <v>382</v>
      </c>
      <c r="C2061" t="s">
        <v>7594</v>
      </c>
      <c r="D2061" t="s">
        <v>7595</v>
      </c>
      <c r="E2061" t="s">
        <v>7596</v>
      </c>
      <c r="F2061" t="s">
        <v>7597</v>
      </c>
      <c r="G2061" t="s">
        <v>34</v>
      </c>
      <c r="H2061" t="s">
        <v>54</v>
      </c>
      <c r="I2061" t="s">
        <v>7598</v>
      </c>
      <c r="J2061" t="s">
        <v>38</v>
      </c>
      <c r="K2061" t="s">
        <v>38</v>
      </c>
      <c r="L2061" t="s">
        <v>40</v>
      </c>
      <c r="M2061" t="s">
        <v>37</v>
      </c>
      <c r="N2061" t="s">
        <v>37</v>
      </c>
      <c r="O2061" t="s">
        <v>39</v>
      </c>
      <c r="P2061" t="s">
        <v>37</v>
      </c>
      <c r="Q2061" t="s">
        <v>37</v>
      </c>
      <c r="R2061" t="s">
        <v>39</v>
      </c>
      <c r="S2061" t="s">
        <v>41</v>
      </c>
      <c r="T2061" t="s">
        <v>7368</v>
      </c>
      <c r="U2061" t="s">
        <v>7369</v>
      </c>
      <c r="V2061" t="s">
        <v>6450</v>
      </c>
      <c r="W2061" t="s">
        <v>7312</v>
      </c>
      <c r="X2061" t="s">
        <v>46</v>
      </c>
      <c r="AB2061" t="s">
        <v>4223</v>
      </c>
      <c r="AC2061">
        <f>COUNTIF(C:C,QLKV_gui_ket_qua_ra_soat[[#This Row],[Mã điểm bán]])</f>
        <v>1</v>
      </c>
    </row>
    <row r="2062" spans="1:29" x14ac:dyDescent="0.45">
      <c r="A2062" t="s">
        <v>6444</v>
      </c>
      <c r="B2062">
        <v>383</v>
      </c>
      <c r="C2062" t="s">
        <v>7599</v>
      </c>
      <c r="D2062" t="s">
        <v>7600</v>
      </c>
      <c r="E2062" t="s">
        <v>7601</v>
      </c>
      <c r="F2062" t="s">
        <v>191</v>
      </c>
      <c r="G2062" t="s">
        <v>34</v>
      </c>
      <c r="H2062" t="s">
        <v>54</v>
      </c>
      <c r="I2062" t="s">
        <v>7602</v>
      </c>
      <c r="J2062" t="s">
        <v>38</v>
      </c>
      <c r="K2062" t="s">
        <v>38</v>
      </c>
      <c r="L2062" t="s">
        <v>40</v>
      </c>
      <c r="M2062" t="s">
        <v>56</v>
      </c>
      <c r="N2062" t="s">
        <v>56</v>
      </c>
      <c r="O2062" t="s">
        <v>39</v>
      </c>
      <c r="P2062" t="s">
        <v>38</v>
      </c>
      <c r="Q2062" t="s">
        <v>56</v>
      </c>
      <c r="R2062" t="s">
        <v>39</v>
      </c>
      <c r="S2062" t="s">
        <v>41</v>
      </c>
      <c r="T2062" t="s">
        <v>7368</v>
      </c>
      <c r="U2062" t="s">
        <v>7369</v>
      </c>
      <c r="V2062" t="s">
        <v>6450</v>
      </c>
      <c r="W2062" t="s">
        <v>7312</v>
      </c>
      <c r="X2062" t="s">
        <v>46</v>
      </c>
      <c r="AC2062">
        <f>COUNTIF(C:C,QLKV_gui_ket_qua_ra_soat[[#This Row],[Mã điểm bán]])</f>
        <v>1</v>
      </c>
    </row>
    <row r="2063" spans="1:29" x14ac:dyDescent="0.45">
      <c r="A2063" t="s">
        <v>6444</v>
      </c>
      <c r="B2063">
        <v>384</v>
      </c>
      <c r="C2063" t="s">
        <v>7603</v>
      </c>
      <c r="D2063" t="s">
        <v>7604</v>
      </c>
      <c r="E2063" t="s">
        <v>828</v>
      </c>
      <c r="F2063" t="s">
        <v>53</v>
      </c>
      <c r="G2063" t="s">
        <v>34</v>
      </c>
      <c r="H2063" t="s">
        <v>54</v>
      </c>
      <c r="I2063" t="s">
        <v>7605</v>
      </c>
      <c r="J2063" t="s">
        <v>38</v>
      </c>
      <c r="K2063" t="s">
        <v>38</v>
      </c>
      <c r="L2063" t="s">
        <v>40</v>
      </c>
      <c r="M2063" t="s">
        <v>37</v>
      </c>
      <c r="N2063" t="s">
        <v>37</v>
      </c>
      <c r="O2063" t="s">
        <v>39</v>
      </c>
      <c r="P2063" t="s">
        <v>37</v>
      </c>
      <c r="Q2063" t="s">
        <v>37</v>
      </c>
      <c r="R2063" t="s">
        <v>39</v>
      </c>
      <c r="S2063" t="s">
        <v>41</v>
      </c>
      <c r="T2063" t="s">
        <v>7368</v>
      </c>
      <c r="U2063" t="s">
        <v>7369</v>
      </c>
      <c r="V2063" t="s">
        <v>6450</v>
      </c>
      <c r="W2063" t="s">
        <v>5607</v>
      </c>
      <c r="X2063" t="s">
        <v>46</v>
      </c>
      <c r="AC2063">
        <f>COUNTIF(C:C,QLKV_gui_ket_qua_ra_soat[[#This Row],[Mã điểm bán]])</f>
        <v>1</v>
      </c>
    </row>
    <row r="2064" spans="1:29" x14ac:dyDescent="0.45">
      <c r="A2064" t="s">
        <v>6444</v>
      </c>
      <c r="B2064">
        <v>385</v>
      </c>
      <c r="C2064" t="s">
        <v>7606</v>
      </c>
      <c r="D2064" t="s">
        <v>4103</v>
      </c>
      <c r="E2064" t="s">
        <v>176</v>
      </c>
      <c r="F2064" t="s">
        <v>53</v>
      </c>
      <c r="G2064" t="s">
        <v>177</v>
      </c>
      <c r="H2064" t="s">
        <v>54</v>
      </c>
      <c r="I2064" t="s">
        <v>7315</v>
      </c>
      <c r="J2064" t="s">
        <v>56</v>
      </c>
      <c r="K2064" t="s">
        <v>56</v>
      </c>
      <c r="L2064" t="s">
        <v>39</v>
      </c>
      <c r="M2064" t="s">
        <v>56</v>
      </c>
      <c r="N2064" t="s">
        <v>56</v>
      </c>
      <c r="O2064" t="s">
        <v>39</v>
      </c>
      <c r="P2064" t="s">
        <v>56</v>
      </c>
      <c r="Q2064" t="s">
        <v>37</v>
      </c>
      <c r="R2064" t="s">
        <v>39</v>
      </c>
      <c r="S2064" t="s">
        <v>7607</v>
      </c>
      <c r="T2064" t="s">
        <v>7310</v>
      </c>
      <c r="U2064" t="s">
        <v>7311</v>
      </c>
      <c r="V2064" t="s">
        <v>6450</v>
      </c>
      <c r="W2064" t="s">
        <v>5607</v>
      </c>
      <c r="X2064" t="s">
        <v>46</v>
      </c>
      <c r="AC2064">
        <f>COUNTIF(C:C,QLKV_gui_ket_qua_ra_soat[[#This Row],[Mã điểm bán]])</f>
        <v>1</v>
      </c>
    </row>
    <row r="2065" spans="1:29" x14ac:dyDescent="0.45">
      <c r="A2065" t="s">
        <v>6444</v>
      </c>
      <c r="B2065">
        <v>386</v>
      </c>
      <c r="C2065" t="s">
        <v>7608</v>
      </c>
      <c r="D2065" t="s">
        <v>7609</v>
      </c>
      <c r="E2065" t="s">
        <v>4483</v>
      </c>
      <c r="F2065" t="s">
        <v>53</v>
      </c>
      <c r="G2065" t="s">
        <v>34</v>
      </c>
      <c r="H2065" t="s">
        <v>54</v>
      </c>
      <c r="I2065" t="s">
        <v>7610</v>
      </c>
      <c r="J2065" t="s">
        <v>38</v>
      </c>
      <c r="K2065" t="s">
        <v>38</v>
      </c>
      <c r="L2065" t="s">
        <v>40</v>
      </c>
      <c r="M2065" t="s">
        <v>37</v>
      </c>
      <c r="N2065" t="s">
        <v>56</v>
      </c>
      <c r="O2065" t="s">
        <v>39</v>
      </c>
      <c r="P2065" t="s">
        <v>56</v>
      </c>
      <c r="Q2065" t="s">
        <v>56</v>
      </c>
      <c r="R2065" t="s">
        <v>39</v>
      </c>
      <c r="S2065" t="s">
        <v>41</v>
      </c>
      <c r="T2065" t="s">
        <v>7368</v>
      </c>
      <c r="U2065" t="s">
        <v>7369</v>
      </c>
      <c r="V2065" t="s">
        <v>6450</v>
      </c>
      <c r="W2065" t="s">
        <v>5607</v>
      </c>
      <c r="X2065" t="s">
        <v>46</v>
      </c>
      <c r="AC2065">
        <f>COUNTIF(C:C,QLKV_gui_ket_qua_ra_soat[[#This Row],[Mã điểm bán]])</f>
        <v>1</v>
      </c>
    </row>
    <row r="2066" spans="1:29" x14ac:dyDescent="0.45">
      <c r="A2066" t="s">
        <v>6444</v>
      </c>
      <c r="B2066">
        <v>387</v>
      </c>
      <c r="C2066" t="s">
        <v>7611</v>
      </c>
      <c r="D2066" t="s">
        <v>7612</v>
      </c>
      <c r="E2066" t="s">
        <v>6343</v>
      </c>
      <c r="F2066" t="s">
        <v>467</v>
      </c>
      <c r="G2066" t="s">
        <v>34</v>
      </c>
      <c r="H2066" t="s">
        <v>54</v>
      </c>
      <c r="I2066" t="s">
        <v>7613</v>
      </c>
      <c r="J2066" t="s">
        <v>38</v>
      </c>
      <c r="K2066" t="s">
        <v>38</v>
      </c>
      <c r="L2066" t="s">
        <v>40</v>
      </c>
      <c r="M2066" t="s">
        <v>56</v>
      </c>
      <c r="N2066" t="s">
        <v>56</v>
      </c>
      <c r="O2066" t="s">
        <v>39</v>
      </c>
      <c r="P2066" t="s">
        <v>37</v>
      </c>
      <c r="Q2066" t="s">
        <v>37</v>
      </c>
      <c r="R2066" t="s">
        <v>39</v>
      </c>
      <c r="S2066" t="s">
        <v>41</v>
      </c>
      <c r="T2066" t="s">
        <v>7368</v>
      </c>
      <c r="U2066" t="s">
        <v>7369</v>
      </c>
      <c r="V2066" t="s">
        <v>6450</v>
      </c>
      <c r="W2066" t="s">
        <v>5607</v>
      </c>
      <c r="X2066" t="s">
        <v>46</v>
      </c>
      <c r="AC2066">
        <f>COUNTIF(C:C,QLKV_gui_ket_qua_ra_soat[[#This Row],[Mã điểm bán]])</f>
        <v>1</v>
      </c>
    </row>
    <row r="2067" spans="1:29" x14ac:dyDescent="0.45">
      <c r="A2067" t="s">
        <v>6444</v>
      </c>
      <c r="B2067">
        <v>388</v>
      </c>
      <c r="C2067" t="s">
        <v>7614</v>
      </c>
      <c r="D2067" t="s">
        <v>7615</v>
      </c>
      <c r="E2067" t="s">
        <v>304</v>
      </c>
      <c r="F2067" t="s">
        <v>53</v>
      </c>
      <c r="G2067" t="s">
        <v>34</v>
      </c>
      <c r="H2067" t="s">
        <v>54</v>
      </c>
      <c r="I2067" t="s">
        <v>237</v>
      </c>
      <c r="J2067" t="s">
        <v>37</v>
      </c>
      <c r="K2067" t="s">
        <v>37</v>
      </c>
      <c r="L2067" t="s">
        <v>39</v>
      </c>
      <c r="M2067" t="s">
        <v>37</v>
      </c>
      <c r="N2067" t="s">
        <v>37</v>
      </c>
      <c r="O2067" t="s">
        <v>39</v>
      </c>
      <c r="P2067" t="s">
        <v>37</v>
      </c>
      <c r="Q2067" t="s">
        <v>37</v>
      </c>
      <c r="R2067" t="s">
        <v>39</v>
      </c>
      <c r="S2067" t="s">
        <v>41</v>
      </c>
      <c r="T2067" t="s">
        <v>7327</v>
      </c>
      <c r="U2067" t="s">
        <v>7311</v>
      </c>
      <c r="V2067" t="s">
        <v>6450</v>
      </c>
      <c r="W2067" t="s">
        <v>5607</v>
      </c>
      <c r="X2067" t="s">
        <v>46</v>
      </c>
      <c r="AC2067">
        <f>COUNTIF(C:C,QLKV_gui_ket_qua_ra_soat[[#This Row],[Mã điểm bán]])</f>
        <v>1</v>
      </c>
    </row>
    <row r="2068" spans="1:29" x14ac:dyDescent="0.45">
      <c r="A2068" t="s">
        <v>6444</v>
      </c>
      <c r="B2068">
        <v>389</v>
      </c>
      <c r="C2068" t="s">
        <v>7616</v>
      </c>
      <c r="D2068" t="s">
        <v>7617</v>
      </c>
      <c r="E2068" t="s">
        <v>32</v>
      </c>
      <c r="F2068" t="s">
        <v>166</v>
      </c>
      <c r="G2068" t="s">
        <v>34</v>
      </c>
      <c r="H2068" t="s">
        <v>54</v>
      </c>
      <c r="I2068" t="s">
        <v>7547</v>
      </c>
      <c r="J2068" t="s">
        <v>38</v>
      </c>
      <c r="K2068" t="s">
        <v>38</v>
      </c>
      <c r="L2068" t="s">
        <v>40</v>
      </c>
      <c r="M2068" t="s">
        <v>56</v>
      </c>
      <c r="N2068" t="s">
        <v>37</v>
      </c>
      <c r="O2068" t="s">
        <v>39</v>
      </c>
      <c r="P2068" t="s">
        <v>56</v>
      </c>
      <c r="Q2068" t="s">
        <v>56</v>
      </c>
      <c r="R2068" t="s">
        <v>39</v>
      </c>
      <c r="S2068" t="s">
        <v>41</v>
      </c>
      <c r="T2068" t="s">
        <v>7368</v>
      </c>
      <c r="U2068" t="s">
        <v>7369</v>
      </c>
      <c r="V2068" t="s">
        <v>6450</v>
      </c>
      <c r="W2068" t="s">
        <v>5607</v>
      </c>
      <c r="X2068" t="s">
        <v>46</v>
      </c>
      <c r="AC2068">
        <f>COUNTIF(C:C,QLKV_gui_ket_qua_ra_soat[[#This Row],[Mã điểm bán]])</f>
        <v>1</v>
      </c>
    </row>
    <row r="2069" spans="1:29" x14ac:dyDescent="0.45">
      <c r="A2069" t="s">
        <v>6444</v>
      </c>
      <c r="B2069">
        <v>390</v>
      </c>
      <c r="C2069" t="s">
        <v>7618</v>
      </c>
      <c r="D2069" t="s">
        <v>7619</v>
      </c>
      <c r="E2069" t="s">
        <v>86</v>
      </c>
      <c r="F2069" t="s">
        <v>7620</v>
      </c>
      <c r="G2069" t="s">
        <v>177</v>
      </c>
      <c r="H2069" t="s">
        <v>54</v>
      </c>
      <c r="I2069" t="s">
        <v>7621</v>
      </c>
      <c r="J2069" t="s">
        <v>56</v>
      </c>
      <c r="K2069" t="s">
        <v>37</v>
      </c>
      <c r="L2069" t="s">
        <v>121</v>
      </c>
      <c r="M2069" t="s">
        <v>37</v>
      </c>
      <c r="N2069" t="s">
        <v>37</v>
      </c>
      <c r="O2069" t="s">
        <v>39</v>
      </c>
      <c r="P2069" t="s">
        <v>37</v>
      </c>
      <c r="Q2069" t="s">
        <v>37</v>
      </c>
      <c r="R2069" t="s">
        <v>40</v>
      </c>
      <c r="S2069" t="s">
        <v>5363</v>
      </c>
      <c r="T2069" t="s">
        <v>7319</v>
      </c>
      <c r="U2069" t="s">
        <v>7311</v>
      </c>
      <c r="V2069" t="s">
        <v>6450</v>
      </c>
      <c r="W2069" t="s">
        <v>7312</v>
      </c>
      <c r="X2069" t="s">
        <v>46</v>
      </c>
      <c r="AC2069">
        <f>COUNTIF(C:C,QLKV_gui_ket_qua_ra_soat[[#This Row],[Mã điểm bán]])</f>
        <v>1</v>
      </c>
    </row>
    <row r="2070" spans="1:29" x14ac:dyDescent="0.45">
      <c r="A2070" t="s">
        <v>6444</v>
      </c>
      <c r="B2070">
        <v>391</v>
      </c>
      <c r="C2070" t="s">
        <v>7622</v>
      </c>
      <c r="D2070" t="s">
        <v>5239</v>
      </c>
      <c r="E2070" t="s">
        <v>157</v>
      </c>
      <c r="F2070" t="s">
        <v>53</v>
      </c>
      <c r="G2070" t="s">
        <v>177</v>
      </c>
      <c r="H2070" t="s">
        <v>54</v>
      </c>
      <c r="I2070" t="s">
        <v>7623</v>
      </c>
      <c r="J2070" t="s">
        <v>37</v>
      </c>
      <c r="K2070" t="s">
        <v>37</v>
      </c>
      <c r="L2070" t="s">
        <v>39</v>
      </c>
      <c r="M2070" t="s">
        <v>56</v>
      </c>
      <c r="N2070" t="s">
        <v>56</v>
      </c>
      <c r="O2070" t="s">
        <v>39</v>
      </c>
      <c r="P2070" t="s">
        <v>56</v>
      </c>
      <c r="Q2070" t="s">
        <v>56</v>
      </c>
      <c r="R2070" t="s">
        <v>39</v>
      </c>
      <c r="S2070" t="s">
        <v>41</v>
      </c>
      <c r="T2070" t="s">
        <v>7310</v>
      </c>
      <c r="U2070" t="s">
        <v>7311</v>
      </c>
      <c r="V2070" t="s">
        <v>6450</v>
      </c>
      <c r="W2070" t="s">
        <v>5607</v>
      </c>
      <c r="X2070" t="s">
        <v>46</v>
      </c>
      <c r="AC2070">
        <f>COUNTIF(C:C,QLKV_gui_ket_qua_ra_soat[[#This Row],[Mã điểm bán]])</f>
        <v>1</v>
      </c>
    </row>
    <row r="2071" spans="1:29" x14ac:dyDescent="0.45">
      <c r="A2071" t="s">
        <v>6444</v>
      </c>
      <c r="B2071">
        <v>392</v>
      </c>
      <c r="C2071" t="s">
        <v>7624</v>
      </c>
      <c r="D2071" t="s">
        <v>7625</v>
      </c>
      <c r="E2071" t="s">
        <v>304</v>
      </c>
      <c r="F2071" t="s">
        <v>53</v>
      </c>
      <c r="G2071" t="s">
        <v>177</v>
      </c>
      <c r="H2071" t="s">
        <v>54</v>
      </c>
      <c r="I2071" t="s">
        <v>7318</v>
      </c>
      <c r="J2071" t="s">
        <v>56</v>
      </c>
      <c r="K2071" t="s">
        <v>37</v>
      </c>
      <c r="L2071" t="s">
        <v>39</v>
      </c>
      <c r="M2071" t="s">
        <v>37</v>
      </c>
      <c r="N2071" t="s">
        <v>37</v>
      </c>
      <c r="O2071" t="s">
        <v>39</v>
      </c>
      <c r="P2071" t="s">
        <v>37</v>
      </c>
      <c r="Q2071" t="s">
        <v>37</v>
      </c>
      <c r="R2071" t="s">
        <v>39</v>
      </c>
      <c r="S2071" t="s">
        <v>41</v>
      </c>
      <c r="T2071" t="s">
        <v>7319</v>
      </c>
      <c r="U2071" t="s">
        <v>7311</v>
      </c>
      <c r="V2071" t="s">
        <v>6450</v>
      </c>
      <c r="W2071" t="s">
        <v>7312</v>
      </c>
      <c r="X2071" t="s">
        <v>46</v>
      </c>
      <c r="AC2071">
        <f>COUNTIF(C:C,QLKV_gui_ket_qua_ra_soat[[#This Row],[Mã điểm bán]])</f>
        <v>1</v>
      </c>
    </row>
    <row r="2072" spans="1:29" x14ac:dyDescent="0.45">
      <c r="A2072" t="s">
        <v>6444</v>
      </c>
      <c r="B2072">
        <v>393</v>
      </c>
      <c r="C2072" t="s">
        <v>7626</v>
      </c>
      <c r="D2072" t="s">
        <v>7627</v>
      </c>
      <c r="E2072" t="s">
        <v>68</v>
      </c>
      <c r="F2072" t="s">
        <v>401</v>
      </c>
      <c r="G2072" t="s">
        <v>34</v>
      </c>
      <c r="H2072" t="s">
        <v>54</v>
      </c>
      <c r="I2072" t="s">
        <v>7628</v>
      </c>
      <c r="J2072" t="s">
        <v>56</v>
      </c>
      <c r="K2072" t="s">
        <v>56</v>
      </c>
      <c r="L2072" t="s">
        <v>39</v>
      </c>
      <c r="M2072" t="s">
        <v>37</v>
      </c>
      <c r="N2072" t="s">
        <v>37</v>
      </c>
      <c r="O2072" t="s">
        <v>39</v>
      </c>
      <c r="P2072" t="s">
        <v>38</v>
      </c>
      <c r="Q2072" t="s">
        <v>38</v>
      </c>
      <c r="R2072" t="s">
        <v>39</v>
      </c>
      <c r="S2072" t="s">
        <v>4783</v>
      </c>
      <c r="T2072" t="s">
        <v>7327</v>
      </c>
      <c r="U2072" t="s">
        <v>7311</v>
      </c>
      <c r="V2072" t="s">
        <v>6450</v>
      </c>
      <c r="W2072" t="s">
        <v>7312</v>
      </c>
      <c r="X2072" t="s">
        <v>46</v>
      </c>
      <c r="AC2072">
        <f>COUNTIF(C:C,QLKV_gui_ket_qua_ra_soat[[#This Row],[Mã điểm bán]])</f>
        <v>1</v>
      </c>
    </row>
    <row r="2073" spans="1:29" x14ac:dyDescent="0.45">
      <c r="A2073" t="s">
        <v>6444</v>
      </c>
      <c r="B2073">
        <v>394</v>
      </c>
      <c r="C2073" t="s">
        <v>7629</v>
      </c>
      <c r="D2073" t="s">
        <v>7630</v>
      </c>
      <c r="E2073" t="s">
        <v>68</v>
      </c>
      <c r="F2073" t="s">
        <v>401</v>
      </c>
      <c r="G2073" t="s">
        <v>34</v>
      </c>
      <c r="H2073" t="s">
        <v>2426</v>
      </c>
      <c r="I2073" t="s">
        <v>7631</v>
      </c>
      <c r="J2073" t="s">
        <v>56</v>
      </c>
      <c r="K2073" t="s">
        <v>56</v>
      </c>
      <c r="L2073" t="s">
        <v>39</v>
      </c>
      <c r="M2073" t="s">
        <v>37</v>
      </c>
      <c r="N2073" t="s">
        <v>37</v>
      </c>
      <c r="O2073" t="s">
        <v>39</v>
      </c>
      <c r="P2073" t="s">
        <v>38</v>
      </c>
      <c r="Q2073" t="s">
        <v>38</v>
      </c>
      <c r="R2073" t="s">
        <v>39</v>
      </c>
      <c r="S2073" t="s">
        <v>5460</v>
      </c>
      <c r="T2073" t="s">
        <v>7327</v>
      </c>
      <c r="U2073" t="s">
        <v>7311</v>
      </c>
      <c r="V2073" t="s">
        <v>6450</v>
      </c>
      <c r="W2073" t="s">
        <v>7312</v>
      </c>
      <c r="X2073" t="s">
        <v>46</v>
      </c>
      <c r="AC2073">
        <f>COUNTIF(C:C,QLKV_gui_ket_qua_ra_soat[[#This Row],[Mã điểm bán]])</f>
        <v>1</v>
      </c>
    </row>
    <row r="2074" spans="1:29" x14ac:dyDescent="0.45">
      <c r="A2074" t="s">
        <v>6444</v>
      </c>
      <c r="B2074">
        <v>395</v>
      </c>
      <c r="C2074" t="s">
        <v>7632</v>
      </c>
      <c r="D2074" t="s">
        <v>7633</v>
      </c>
      <c r="E2074" t="s">
        <v>69</v>
      </c>
      <c r="F2074" t="s">
        <v>53</v>
      </c>
      <c r="G2074" t="s">
        <v>177</v>
      </c>
      <c r="H2074" t="s">
        <v>54</v>
      </c>
      <c r="I2074" t="s">
        <v>7318</v>
      </c>
      <c r="J2074" t="s">
        <v>38</v>
      </c>
      <c r="K2074" t="s">
        <v>37</v>
      </c>
      <c r="L2074" t="s">
        <v>39</v>
      </c>
      <c r="M2074" t="s">
        <v>38</v>
      </c>
      <c r="N2074" t="s">
        <v>38</v>
      </c>
      <c r="O2074" t="s">
        <v>39</v>
      </c>
      <c r="P2074" t="s">
        <v>38</v>
      </c>
      <c r="Q2074" t="s">
        <v>38</v>
      </c>
      <c r="R2074" t="s">
        <v>39</v>
      </c>
      <c r="S2074" t="s">
        <v>4892</v>
      </c>
      <c r="T2074" t="s">
        <v>7319</v>
      </c>
      <c r="U2074" t="s">
        <v>7311</v>
      </c>
      <c r="V2074" t="s">
        <v>6450</v>
      </c>
      <c r="W2074" t="s">
        <v>5607</v>
      </c>
      <c r="X2074" t="s">
        <v>46</v>
      </c>
      <c r="AC2074">
        <f>COUNTIF(C:C,QLKV_gui_ket_qua_ra_soat[[#This Row],[Mã điểm bán]])</f>
        <v>1</v>
      </c>
    </row>
    <row r="2075" spans="1:29" x14ac:dyDescent="0.45">
      <c r="A2075" t="s">
        <v>6444</v>
      </c>
      <c r="B2075">
        <v>396</v>
      </c>
      <c r="C2075" t="s">
        <v>7634</v>
      </c>
      <c r="D2075" t="s">
        <v>7635</v>
      </c>
      <c r="E2075" t="s">
        <v>109</v>
      </c>
      <c r="F2075" t="s">
        <v>33</v>
      </c>
      <c r="G2075" t="s">
        <v>177</v>
      </c>
      <c r="H2075" t="s">
        <v>54</v>
      </c>
      <c r="I2075" t="s">
        <v>7636</v>
      </c>
      <c r="J2075" t="s">
        <v>56</v>
      </c>
      <c r="K2075" t="s">
        <v>37</v>
      </c>
      <c r="L2075" t="s">
        <v>39</v>
      </c>
      <c r="M2075" t="s">
        <v>37</v>
      </c>
      <c r="N2075" t="s">
        <v>37</v>
      </c>
      <c r="O2075" t="s">
        <v>39</v>
      </c>
      <c r="P2075" t="s">
        <v>37</v>
      </c>
      <c r="Q2075" t="s">
        <v>37</v>
      </c>
      <c r="R2075" t="s">
        <v>39</v>
      </c>
      <c r="S2075" t="s">
        <v>4892</v>
      </c>
      <c r="T2075" t="s">
        <v>7319</v>
      </c>
      <c r="U2075" t="s">
        <v>7311</v>
      </c>
      <c r="V2075" t="s">
        <v>6450</v>
      </c>
      <c r="W2075" t="s">
        <v>7312</v>
      </c>
      <c r="X2075" t="s">
        <v>46</v>
      </c>
      <c r="AC2075">
        <f>COUNTIF(C:C,QLKV_gui_ket_qua_ra_soat[[#This Row],[Mã điểm bán]])</f>
        <v>1</v>
      </c>
    </row>
    <row r="2076" spans="1:29" x14ac:dyDescent="0.45">
      <c r="A2076" t="s">
        <v>6444</v>
      </c>
      <c r="B2076">
        <v>397</v>
      </c>
      <c r="C2076" t="s">
        <v>7637</v>
      </c>
      <c r="D2076" t="s">
        <v>7638</v>
      </c>
      <c r="E2076" t="s">
        <v>68</v>
      </c>
      <c r="F2076" t="s">
        <v>456</v>
      </c>
      <c r="G2076" t="s">
        <v>34</v>
      </c>
      <c r="H2076" t="s">
        <v>54</v>
      </c>
      <c r="I2076" t="s">
        <v>7639</v>
      </c>
      <c r="J2076" t="s">
        <v>56</v>
      </c>
      <c r="K2076" t="s">
        <v>56</v>
      </c>
      <c r="L2076" t="s">
        <v>39</v>
      </c>
      <c r="M2076" t="s">
        <v>37</v>
      </c>
      <c r="N2076" t="s">
        <v>37</v>
      </c>
      <c r="O2076" t="s">
        <v>39</v>
      </c>
      <c r="P2076" t="s">
        <v>38</v>
      </c>
      <c r="Q2076" t="s">
        <v>38</v>
      </c>
      <c r="R2076" t="s">
        <v>39</v>
      </c>
      <c r="S2076" t="s">
        <v>1291</v>
      </c>
      <c r="T2076" t="s">
        <v>7327</v>
      </c>
      <c r="U2076" t="s">
        <v>7311</v>
      </c>
      <c r="V2076" t="s">
        <v>6450</v>
      </c>
      <c r="W2076" t="s">
        <v>7312</v>
      </c>
      <c r="X2076" t="s">
        <v>46</v>
      </c>
      <c r="AC2076">
        <f>COUNTIF(C:C,QLKV_gui_ket_qua_ra_soat[[#This Row],[Mã điểm bán]])</f>
        <v>1</v>
      </c>
    </row>
    <row r="2077" spans="1:29" x14ac:dyDescent="0.45">
      <c r="A2077" t="s">
        <v>6444</v>
      </c>
      <c r="B2077">
        <v>398</v>
      </c>
      <c r="C2077" t="s">
        <v>7640</v>
      </c>
      <c r="D2077" t="s">
        <v>7641</v>
      </c>
      <c r="E2077" t="s">
        <v>64</v>
      </c>
      <c r="F2077" t="s">
        <v>53</v>
      </c>
      <c r="G2077" t="s">
        <v>34</v>
      </c>
      <c r="H2077" t="s">
        <v>54</v>
      </c>
      <c r="I2077" t="s">
        <v>237</v>
      </c>
      <c r="J2077" t="s">
        <v>56</v>
      </c>
      <c r="K2077" t="s">
        <v>56</v>
      </c>
      <c r="L2077" t="s">
        <v>39</v>
      </c>
      <c r="M2077" t="s">
        <v>37</v>
      </c>
      <c r="N2077" t="s">
        <v>37</v>
      </c>
      <c r="O2077" t="s">
        <v>39</v>
      </c>
      <c r="P2077" t="s">
        <v>38</v>
      </c>
      <c r="Q2077" t="s">
        <v>38</v>
      </c>
      <c r="R2077" t="s">
        <v>39</v>
      </c>
      <c r="S2077" t="s">
        <v>1291</v>
      </c>
      <c r="T2077" t="s">
        <v>7327</v>
      </c>
      <c r="U2077" t="s">
        <v>7311</v>
      </c>
      <c r="V2077" t="s">
        <v>6450</v>
      </c>
      <c r="W2077" t="s">
        <v>5607</v>
      </c>
      <c r="X2077" t="s">
        <v>46</v>
      </c>
      <c r="AC2077">
        <f>COUNTIF(C:C,QLKV_gui_ket_qua_ra_soat[[#This Row],[Mã điểm bán]])</f>
        <v>1</v>
      </c>
    </row>
    <row r="2078" spans="1:29" x14ac:dyDescent="0.45">
      <c r="A2078" t="s">
        <v>6444</v>
      </c>
      <c r="B2078">
        <v>399</v>
      </c>
      <c r="C2078" t="s">
        <v>7642</v>
      </c>
      <c r="D2078" t="s">
        <v>7643</v>
      </c>
      <c r="E2078" t="s">
        <v>176</v>
      </c>
      <c r="F2078" t="s">
        <v>53</v>
      </c>
      <c r="G2078" t="s">
        <v>177</v>
      </c>
      <c r="H2078" t="s">
        <v>54</v>
      </c>
      <c r="I2078" t="s">
        <v>7506</v>
      </c>
      <c r="J2078" t="s">
        <v>56</v>
      </c>
      <c r="K2078" t="s">
        <v>37</v>
      </c>
      <c r="L2078" t="s">
        <v>39</v>
      </c>
      <c r="M2078" t="s">
        <v>37</v>
      </c>
      <c r="N2078" t="s">
        <v>37</v>
      </c>
      <c r="O2078" t="s">
        <v>39</v>
      </c>
      <c r="P2078" t="s">
        <v>38</v>
      </c>
      <c r="Q2078" t="s">
        <v>38</v>
      </c>
      <c r="R2078" t="s">
        <v>39</v>
      </c>
      <c r="S2078" t="s">
        <v>5625</v>
      </c>
      <c r="T2078" t="s">
        <v>7319</v>
      </c>
      <c r="U2078" t="s">
        <v>7311</v>
      </c>
      <c r="V2078" t="s">
        <v>6450</v>
      </c>
      <c r="W2078" t="s">
        <v>7312</v>
      </c>
      <c r="X2078" t="s">
        <v>46</v>
      </c>
      <c r="AC2078">
        <f>COUNTIF(C:C,QLKV_gui_ket_qua_ra_soat[[#This Row],[Mã điểm bán]])</f>
        <v>1</v>
      </c>
    </row>
    <row r="2079" spans="1:29" x14ac:dyDescent="0.45">
      <c r="A2079" t="s">
        <v>6444</v>
      </c>
      <c r="B2079">
        <v>400</v>
      </c>
      <c r="C2079" t="s">
        <v>7644</v>
      </c>
      <c r="D2079" t="s">
        <v>7645</v>
      </c>
      <c r="E2079" t="s">
        <v>64</v>
      </c>
      <c r="F2079" t="s">
        <v>53</v>
      </c>
      <c r="G2079" t="s">
        <v>177</v>
      </c>
      <c r="H2079" t="s">
        <v>54</v>
      </c>
      <c r="I2079" t="s">
        <v>7318</v>
      </c>
      <c r="J2079" t="s">
        <v>37</v>
      </c>
      <c r="K2079" t="s">
        <v>37</v>
      </c>
      <c r="L2079" t="s">
        <v>39</v>
      </c>
      <c r="M2079" t="s">
        <v>37</v>
      </c>
      <c r="N2079" t="s">
        <v>37</v>
      </c>
      <c r="O2079" t="s">
        <v>39</v>
      </c>
      <c r="P2079" t="s">
        <v>38</v>
      </c>
      <c r="Q2079" t="s">
        <v>38</v>
      </c>
      <c r="R2079" t="s">
        <v>39</v>
      </c>
      <c r="S2079" t="s">
        <v>41</v>
      </c>
      <c r="T2079" t="s">
        <v>7319</v>
      </c>
      <c r="U2079" t="s">
        <v>7311</v>
      </c>
      <c r="V2079" t="s">
        <v>6450</v>
      </c>
      <c r="W2079" t="s">
        <v>7312</v>
      </c>
      <c r="X2079" t="s">
        <v>46</v>
      </c>
      <c r="AC2079">
        <f>COUNTIF(C:C,QLKV_gui_ket_qua_ra_soat[[#This Row],[Mã điểm bán]])</f>
        <v>1</v>
      </c>
    </row>
    <row r="2080" spans="1:29" x14ac:dyDescent="0.45">
      <c r="A2080" t="s">
        <v>6444</v>
      </c>
      <c r="B2080">
        <v>401</v>
      </c>
      <c r="C2080" t="s">
        <v>7646</v>
      </c>
      <c r="D2080" t="s">
        <v>7647</v>
      </c>
      <c r="E2080" t="s">
        <v>176</v>
      </c>
      <c r="F2080" t="s">
        <v>401</v>
      </c>
      <c r="G2080" t="s">
        <v>34</v>
      </c>
      <c r="H2080" t="s">
        <v>54</v>
      </c>
      <c r="I2080" t="s">
        <v>7648</v>
      </c>
      <c r="J2080" t="s">
        <v>56</v>
      </c>
      <c r="K2080" t="s">
        <v>56</v>
      </c>
      <c r="L2080" t="s">
        <v>39</v>
      </c>
      <c r="M2080" t="s">
        <v>37</v>
      </c>
      <c r="N2080" t="s">
        <v>37</v>
      </c>
      <c r="O2080" t="s">
        <v>39</v>
      </c>
      <c r="P2080" t="s">
        <v>38</v>
      </c>
      <c r="Q2080" t="s">
        <v>38</v>
      </c>
      <c r="R2080" t="s">
        <v>39</v>
      </c>
      <c r="S2080" t="s">
        <v>4892</v>
      </c>
      <c r="T2080" t="s">
        <v>7327</v>
      </c>
      <c r="U2080" t="s">
        <v>7311</v>
      </c>
      <c r="V2080" t="s">
        <v>6450</v>
      </c>
      <c r="W2080" t="s">
        <v>5607</v>
      </c>
      <c r="X2080" t="s">
        <v>46</v>
      </c>
      <c r="AC2080">
        <f>COUNTIF(C:C,QLKV_gui_ket_qua_ra_soat[[#This Row],[Mã điểm bán]])</f>
        <v>1</v>
      </c>
    </row>
    <row r="2081" spans="1:29" x14ac:dyDescent="0.45">
      <c r="A2081" t="s">
        <v>6444</v>
      </c>
      <c r="B2081">
        <v>402</v>
      </c>
      <c r="C2081" t="s">
        <v>7649</v>
      </c>
      <c r="D2081" t="s">
        <v>4422</v>
      </c>
      <c r="E2081" t="s">
        <v>108</v>
      </c>
      <c r="F2081" t="s">
        <v>456</v>
      </c>
      <c r="G2081" t="s">
        <v>177</v>
      </c>
      <c r="H2081" t="s">
        <v>54</v>
      </c>
      <c r="I2081" t="s">
        <v>7650</v>
      </c>
      <c r="J2081" t="s">
        <v>56</v>
      </c>
      <c r="K2081" t="s">
        <v>56</v>
      </c>
      <c r="L2081" t="s">
        <v>39</v>
      </c>
      <c r="M2081" t="s">
        <v>775</v>
      </c>
      <c r="N2081" t="s">
        <v>775</v>
      </c>
      <c r="O2081" t="s">
        <v>39</v>
      </c>
      <c r="P2081" t="s">
        <v>37</v>
      </c>
      <c r="Q2081" t="s">
        <v>37</v>
      </c>
      <c r="R2081" t="s">
        <v>39</v>
      </c>
      <c r="S2081" t="s">
        <v>7651</v>
      </c>
      <c r="T2081" t="s">
        <v>7310</v>
      </c>
      <c r="U2081" t="s">
        <v>7311</v>
      </c>
      <c r="V2081" t="s">
        <v>6450</v>
      </c>
      <c r="W2081" t="s">
        <v>7312</v>
      </c>
      <c r="X2081" t="s">
        <v>46</v>
      </c>
      <c r="AC2081">
        <f>COUNTIF(C:C,QLKV_gui_ket_qua_ra_soat[[#This Row],[Mã điểm bán]])</f>
        <v>1</v>
      </c>
    </row>
    <row r="2082" spans="1:29" x14ac:dyDescent="0.45">
      <c r="A2082" t="s">
        <v>6444</v>
      </c>
      <c r="B2082">
        <v>403</v>
      </c>
      <c r="C2082" t="s">
        <v>7652</v>
      </c>
      <c r="D2082" t="s">
        <v>7653</v>
      </c>
      <c r="E2082" t="s">
        <v>69</v>
      </c>
      <c r="F2082" t="s">
        <v>53</v>
      </c>
      <c r="G2082" t="s">
        <v>177</v>
      </c>
      <c r="H2082" t="s">
        <v>54</v>
      </c>
      <c r="I2082" t="s">
        <v>7654</v>
      </c>
      <c r="J2082" t="s">
        <v>56</v>
      </c>
      <c r="K2082" t="s">
        <v>37</v>
      </c>
      <c r="L2082" t="s">
        <v>39</v>
      </c>
      <c r="M2082" t="s">
        <v>37</v>
      </c>
      <c r="N2082" t="s">
        <v>37</v>
      </c>
      <c r="O2082" t="s">
        <v>39</v>
      </c>
      <c r="P2082" t="s">
        <v>37</v>
      </c>
      <c r="Q2082" t="s">
        <v>37</v>
      </c>
      <c r="R2082" t="s">
        <v>39</v>
      </c>
      <c r="S2082" t="s">
        <v>41</v>
      </c>
      <c r="T2082" t="s">
        <v>7319</v>
      </c>
      <c r="U2082" t="s">
        <v>7311</v>
      </c>
      <c r="V2082" t="s">
        <v>6450</v>
      </c>
      <c r="W2082" t="s">
        <v>7312</v>
      </c>
      <c r="X2082" t="s">
        <v>46</v>
      </c>
      <c r="AC2082">
        <f>COUNTIF(C:C,QLKV_gui_ket_qua_ra_soat[[#This Row],[Mã điểm bán]])</f>
        <v>1</v>
      </c>
    </row>
    <row r="2083" spans="1:29" x14ac:dyDescent="0.45">
      <c r="A2083" t="s">
        <v>6444</v>
      </c>
      <c r="B2083">
        <v>404</v>
      </c>
      <c r="C2083" t="s">
        <v>7655</v>
      </c>
      <c r="D2083" t="s">
        <v>5733</v>
      </c>
      <c r="E2083" t="s">
        <v>304</v>
      </c>
      <c r="F2083" t="s">
        <v>53</v>
      </c>
      <c r="G2083" t="s">
        <v>34</v>
      </c>
      <c r="H2083" t="s">
        <v>54</v>
      </c>
      <c r="I2083" t="s">
        <v>7326</v>
      </c>
      <c r="J2083" t="s">
        <v>56</v>
      </c>
      <c r="K2083" t="s">
        <v>56</v>
      </c>
      <c r="L2083" t="s">
        <v>39</v>
      </c>
      <c r="M2083" t="s">
        <v>37</v>
      </c>
      <c r="N2083" t="s">
        <v>37</v>
      </c>
      <c r="O2083" t="s">
        <v>39</v>
      </c>
      <c r="P2083" t="s">
        <v>38</v>
      </c>
      <c r="Q2083" t="s">
        <v>38</v>
      </c>
      <c r="R2083" t="s">
        <v>39</v>
      </c>
      <c r="S2083" t="s">
        <v>1291</v>
      </c>
      <c r="T2083" t="s">
        <v>7327</v>
      </c>
      <c r="U2083" t="s">
        <v>7311</v>
      </c>
      <c r="V2083" t="s">
        <v>6450</v>
      </c>
      <c r="W2083" t="s">
        <v>7312</v>
      </c>
      <c r="X2083" t="s">
        <v>46</v>
      </c>
      <c r="AC2083">
        <f>COUNTIF(C:C,QLKV_gui_ket_qua_ra_soat[[#This Row],[Mã điểm bán]])</f>
        <v>1</v>
      </c>
    </row>
    <row r="2084" spans="1:29" x14ac:dyDescent="0.45">
      <c r="A2084" t="s">
        <v>6444</v>
      </c>
      <c r="B2084">
        <v>405</v>
      </c>
      <c r="C2084" t="s">
        <v>7656</v>
      </c>
      <c r="D2084" t="s">
        <v>7657</v>
      </c>
      <c r="E2084" t="s">
        <v>176</v>
      </c>
      <c r="F2084" t="s">
        <v>1024</v>
      </c>
      <c r="G2084" t="s">
        <v>177</v>
      </c>
      <c r="H2084" t="s">
        <v>54</v>
      </c>
      <c r="I2084" t="s">
        <v>7514</v>
      </c>
      <c r="J2084" t="s">
        <v>56</v>
      </c>
      <c r="K2084" t="s">
        <v>37</v>
      </c>
      <c r="L2084" t="s">
        <v>39</v>
      </c>
      <c r="M2084" t="s">
        <v>37</v>
      </c>
      <c r="N2084" t="s">
        <v>56</v>
      </c>
      <c r="O2084" t="s">
        <v>121</v>
      </c>
      <c r="P2084" t="s">
        <v>37</v>
      </c>
      <c r="Q2084" t="s">
        <v>37</v>
      </c>
      <c r="R2084" t="s">
        <v>39</v>
      </c>
      <c r="S2084" t="s">
        <v>7658</v>
      </c>
      <c r="T2084" t="s">
        <v>7319</v>
      </c>
      <c r="U2084" t="s">
        <v>7311</v>
      </c>
      <c r="V2084" t="s">
        <v>6450</v>
      </c>
      <c r="W2084" t="s">
        <v>7312</v>
      </c>
      <c r="X2084" t="s">
        <v>46</v>
      </c>
      <c r="AC2084">
        <f>COUNTIF(C:C,QLKV_gui_ket_qua_ra_soat[[#This Row],[Mã điểm bán]])</f>
        <v>1</v>
      </c>
    </row>
    <row r="2085" spans="1:29" x14ac:dyDescent="0.45">
      <c r="A2085" t="s">
        <v>6444</v>
      </c>
      <c r="B2085">
        <v>406</v>
      </c>
      <c r="C2085" t="s">
        <v>7659</v>
      </c>
      <c r="D2085" t="s">
        <v>4409</v>
      </c>
      <c r="E2085" t="s">
        <v>69</v>
      </c>
      <c r="F2085" t="s">
        <v>53</v>
      </c>
      <c r="G2085" t="s">
        <v>34</v>
      </c>
      <c r="H2085" t="s">
        <v>54</v>
      </c>
      <c r="I2085" t="s">
        <v>7345</v>
      </c>
      <c r="J2085" t="s">
        <v>56</v>
      </c>
      <c r="K2085" t="s">
        <v>56</v>
      </c>
      <c r="L2085" t="s">
        <v>39</v>
      </c>
      <c r="M2085" t="s">
        <v>37</v>
      </c>
      <c r="N2085" t="s">
        <v>37</v>
      </c>
      <c r="O2085" t="s">
        <v>39</v>
      </c>
      <c r="P2085" t="s">
        <v>38</v>
      </c>
      <c r="Q2085" t="s">
        <v>38</v>
      </c>
      <c r="R2085" t="s">
        <v>39</v>
      </c>
      <c r="S2085" t="s">
        <v>1291</v>
      </c>
      <c r="T2085" t="s">
        <v>7327</v>
      </c>
      <c r="U2085" t="s">
        <v>7311</v>
      </c>
      <c r="V2085" t="s">
        <v>6450</v>
      </c>
      <c r="W2085" t="s">
        <v>5607</v>
      </c>
      <c r="X2085" t="s">
        <v>46</v>
      </c>
      <c r="AC2085">
        <f>COUNTIF(C:C,QLKV_gui_ket_qua_ra_soat[[#This Row],[Mã điểm bán]])</f>
        <v>1</v>
      </c>
    </row>
    <row r="2086" spans="1:29" x14ac:dyDescent="0.45">
      <c r="A2086" t="s">
        <v>6444</v>
      </c>
      <c r="B2086">
        <v>407</v>
      </c>
      <c r="C2086" t="s">
        <v>7660</v>
      </c>
      <c r="D2086" t="s">
        <v>7661</v>
      </c>
      <c r="E2086" t="s">
        <v>304</v>
      </c>
      <c r="F2086" t="s">
        <v>53</v>
      </c>
      <c r="G2086" t="s">
        <v>177</v>
      </c>
      <c r="H2086" t="s">
        <v>54</v>
      </c>
      <c r="I2086" t="s">
        <v>7506</v>
      </c>
      <c r="J2086" t="s">
        <v>37</v>
      </c>
      <c r="K2086" t="s">
        <v>37</v>
      </c>
      <c r="L2086" t="s">
        <v>39</v>
      </c>
      <c r="M2086" t="s">
        <v>37</v>
      </c>
      <c r="N2086" t="s">
        <v>37</v>
      </c>
      <c r="O2086" t="s">
        <v>39</v>
      </c>
      <c r="P2086" t="s">
        <v>38</v>
      </c>
      <c r="Q2086" t="s">
        <v>38</v>
      </c>
      <c r="R2086" t="s">
        <v>39</v>
      </c>
      <c r="S2086" t="s">
        <v>5363</v>
      </c>
      <c r="T2086" t="s">
        <v>7319</v>
      </c>
      <c r="U2086" t="s">
        <v>7311</v>
      </c>
      <c r="V2086" t="s">
        <v>6450</v>
      </c>
      <c r="W2086" t="s">
        <v>5607</v>
      </c>
      <c r="X2086" t="s">
        <v>46</v>
      </c>
      <c r="AC2086">
        <f>COUNTIF(C:C,QLKV_gui_ket_qua_ra_soat[[#This Row],[Mã điểm bán]])</f>
        <v>1</v>
      </c>
    </row>
    <row r="2087" spans="1:29" x14ac:dyDescent="0.45">
      <c r="A2087" t="s">
        <v>6444</v>
      </c>
      <c r="B2087">
        <v>408</v>
      </c>
      <c r="C2087" t="s">
        <v>7662</v>
      </c>
      <c r="D2087" t="s">
        <v>7663</v>
      </c>
      <c r="E2087" t="s">
        <v>176</v>
      </c>
      <c r="F2087" t="s">
        <v>53</v>
      </c>
      <c r="G2087" t="s">
        <v>177</v>
      </c>
      <c r="H2087" t="s">
        <v>54</v>
      </c>
      <c r="I2087" t="s">
        <v>7315</v>
      </c>
      <c r="J2087" t="s">
        <v>37</v>
      </c>
      <c r="K2087" t="s">
        <v>38</v>
      </c>
      <c r="L2087" t="s">
        <v>40</v>
      </c>
      <c r="M2087" t="s">
        <v>56</v>
      </c>
      <c r="N2087" t="s">
        <v>56</v>
      </c>
      <c r="O2087" t="s">
        <v>39</v>
      </c>
      <c r="P2087" t="s">
        <v>56</v>
      </c>
      <c r="Q2087" t="s">
        <v>37</v>
      </c>
      <c r="R2087" t="s">
        <v>40</v>
      </c>
      <c r="S2087" t="s">
        <v>7664</v>
      </c>
      <c r="T2087" t="s">
        <v>7310</v>
      </c>
      <c r="U2087" t="s">
        <v>7311</v>
      </c>
      <c r="V2087" t="s">
        <v>6450</v>
      </c>
      <c r="W2087" t="s">
        <v>7312</v>
      </c>
      <c r="X2087" t="s">
        <v>46</v>
      </c>
      <c r="AC2087">
        <f>COUNTIF(C:C,QLKV_gui_ket_qua_ra_soat[[#This Row],[Mã điểm bán]])</f>
        <v>1</v>
      </c>
    </row>
    <row r="2088" spans="1:29" x14ac:dyDescent="0.45">
      <c r="A2088" t="s">
        <v>6444</v>
      </c>
      <c r="B2088">
        <v>409</v>
      </c>
      <c r="C2088" t="s">
        <v>7665</v>
      </c>
      <c r="D2088" t="s">
        <v>7666</v>
      </c>
      <c r="E2088" t="s">
        <v>563</v>
      </c>
      <c r="F2088" t="s">
        <v>224</v>
      </c>
      <c r="G2088" t="s">
        <v>34</v>
      </c>
      <c r="H2088" t="s">
        <v>1177</v>
      </c>
      <c r="I2088" t="s">
        <v>7667</v>
      </c>
      <c r="J2088" t="s">
        <v>56</v>
      </c>
      <c r="K2088" t="s">
        <v>56</v>
      </c>
      <c r="L2088" t="s">
        <v>39</v>
      </c>
      <c r="M2088" t="s">
        <v>37</v>
      </c>
      <c r="N2088" t="s">
        <v>37</v>
      </c>
      <c r="O2088" t="s">
        <v>39</v>
      </c>
      <c r="P2088" t="s">
        <v>38</v>
      </c>
      <c r="Q2088" t="s">
        <v>38</v>
      </c>
      <c r="R2088" t="s">
        <v>39</v>
      </c>
      <c r="S2088" t="s">
        <v>1291</v>
      </c>
      <c r="T2088" t="s">
        <v>7327</v>
      </c>
      <c r="U2088" t="s">
        <v>7311</v>
      </c>
      <c r="V2088" t="s">
        <v>6450</v>
      </c>
      <c r="W2088" t="s">
        <v>5607</v>
      </c>
      <c r="Z2088" t="s">
        <v>46</v>
      </c>
      <c r="AA2088" t="s">
        <v>6457</v>
      </c>
      <c r="AB2088" t="s">
        <v>4223</v>
      </c>
      <c r="AC2088">
        <f>COUNTIF(C:C,QLKV_gui_ket_qua_ra_soat[[#This Row],[Mã điểm bán]])</f>
        <v>1</v>
      </c>
    </row>
    <row r="2089" spans="1:29" x14ac:dyDescent="0.45">
      <c r="A2089" t="s">
        <v>6444</v>
      </c>
      <c r="B2089">
        <v>410</v>
      </c>
      <c r="C2089" t="s">
        <v>7668</v>
      </c>
      <c r="D2089" t="s">
        <v>7669</v>
      </c>
      <c r="E2089" t="s">
        <v>529</v>
      </c>
      <c r="F2089" t="s">
        <v>1573</v>
      </c>
      <c r="G2089" t="s">
        <v>177</v>
      </c>
      <c r="H2089" t="s">
        <v>350</v>
      </c>
      <c r="I2089" t="s">
        <v>7670</v>
      </c>
      <c r="J2089" t="s">
        <v>56</v>
      </c>
      <c r="K2089" t="s">
        <v>38</v>
      </c>
      <c r="L2089" t="s">
        <v>39</v>
      </c>
      <c r="M2089" t="s">
        <v>56</v>
      </c>
      <c r="N2089" t="s">
        <v>56</v>
      </c>
      <c r="O2089" t="s">
        <v>39</v>
      </c>
      <c r="P2089" t="s">
        <v>56</v>
      </c>
      <c r="Q2089" t="s">
        <v>56</v>
      </c>
      <c r="R2089" t="s">
        <v>39</v>
      </c>
      <c r="S2089" t="s">
        <v>41</v>
      </c>
      <c r="T2089" t="s">
        <v>7310</v>
      </c>
      <c r="U2089" t="s">
        <v>7311</v>
      </c>
      <c r="V2089" t="s">
        <v>6450</v>
      </c>
      <c r="W2089" t="s">
        <v>5607</v>
      </c>
      <c r="Z2089" t="s">
        <v>46</v>
      </c>
      <c r="AA2089" t="s">
        <v>6457</v>
      </c>
      <c r="AB2089" t="s">
        <v>4223</v>
      </c>
      <c r="AC2089">
        <f>COUNTIF(C:C,QLKV_gui_ket_qua_ra_soat[[#This Row],[Mã điểm bán]])</f>
        <v>1</v>
      </c>
    </row>
    <row r="2090" spans="1:29" x14ac:dyDescent="0.45">
      <c r="A2090" t="s">
        <v>6444</v>
      </c>
      <c r="B2090">
        <v>411</v>
      </c>
      <c r="C2090" t="s">
        <v>7671</v>
      </c>
      <c r="D2090" t="s">
        <v>7672</v>
      </c>
      <c r="E2090" t="s">
        <v>138</v>
      </c>
      <c r="F2090" t="s">
        <v>166</v>
      </c>
      <c r="G2090" t="s">
        <v>177</v>
      </c>
      <c r="H2090" t="s">
        <v>54</v>
      </c>
      <c r="I2090" t="s">
        <v>7673</v>
      </c>
      <c r="J2090" t="s">
        <v>38</v>
      </c>
      <c r="K2090" t="s">
        <v>38</v>
      </c>
      <c r="L2090" t="s">
        <v>39</v>
      </c>
      <c r="M2090" t="s">
        <v>38</v>
      </c>
      <c r="N2090" t="s">
        <v>37</v>
      </c>
      <c r="O2090" t="s">
        <v>39</v>
      </c>
      <c r="P2090" t="s">
        <v>38</v>
      </c>
      <c r="Q2090" t="s">
        <v>38</v>
      </c>
      <c r="R2090" t="s">
        <v>40</v>
      </c>
      <c r="S2090" t="s">
        <v>7515</v>
      </c>
      <c r="T2090" t="s">
        <v>7319</v>
      </c>
      <c r="U2090" t="s">
        <v>7311</v>
      </c>
      <c r="V2090" t="s">
        <v>6450</v>
      </c>
      <c r="W2090" t="s">
        <v>7312</v>
      </c>
      <c r="Z2090" t="s">
        <v>46</v>
      </c>
      <c r="AA2090" t="s">
        <v>7370</v>
      </c>
      <c r="AB2090" t="s">
        <v>4223</v>
      </c>
      <c r="AC2090">
        <f>COUNTIF(C:C,QLKV_gui_ket_qua_ra_soat[[#This Row],[Mã điểm bán]])</f>
        <v>1</v>
      </c>
    </row>
    <row r="2091" spans="1:29" x14ac:dyDescent="0.45">
      <c r="A2091" t="s">
        <v>6444</v>
      </c>
      <c r="B2091">
        <v>412</v>
      </c>
      <c r="C2091" t="s">
        <v>7674</v>
      </c>
      <c r="D2091" t="s">
        <v>7675</v>
      </c>
      <c r="E2091" t="s">
        <v>261</v>
      </c>
      <c r="F2091" t="s">
        <v>3264</v>
      </c>
      <c r="G2091" t="s">
        <v>34</v>
      </c>
      <c r="H2091" t="s">
        <v>2426</v>
      </c>
      <c r="I2091" t="s">
        <v>7667</v>
      </c>
      <c r="J2091" t="s">
        <v>56</v>
      </c>
      <c r="K2091" t="s">
        <v>56</v>
      </c>
      <c r="L2091" t="s">
        <v>39</v>
      </c>
      <c r="M2091" t="s">
        <v>37</v>
      </c>
      <c r="N2091" t="s">
        <v>37</v>
      </c>
      <c r="O2091" t="s">
        <v>39</v>
      </c>
      <c r="P2091" t="s">
        <v>38</v>
      </c>
      <c r="Q2091" t="s">
        <v>38</v>
      </c>
      <c r="R2091" t="s">
        <v>39</v>
      </c>
      <c r="S2091" t="s">
        <v>7676</v>
      </c>
      <c r="T2091" t="s">
        <v>7327</v>
      </c>
      <c r="U2091" t="s">
        <v>7311</v>
      </c>
      <c r="V2091" t="s">
        <v>6450</v>
      </c>
      <c r="W2091" t="s">
        <v>7312</v>
      </c>
      <c r="Z2091" t="s">
        <v>46</v>
      </c>
      <c r="AA2091" t="s">
        <v>6457</v>
      </c>
      <c r="AB2091" t="s">
        <v>4223</v>
      </c>
      <c r="AC2091">
        <f>COUNTIF(C:C,QLKV_gui_ket_qua_ra_soat[[#This Row],[Mã điểm bán]])</f>
        <v>1</v>
      </c>
    </row>
    <row r="2092" spans="1:29" x14ac:dyDescent="0.45">
      <c r="A2092" t="s">
        <v>6444</v>
      </c>
      <c r="B2092">
        <v>413</v>
      </c>
      <c r="C2092" t="s">
        <v>7677</v>
      </c>
      <c r="D2092" t="s">
        <v>7678</v>
      </c>
      <c r="E2092" t="s">
        <v>206</v>
      </c>
      <c r="F2092" t="s">
        <v>53</v>
      </c>
      <c r="G2092" t="s">
        <v>177</v>
      </c>
      <c r="H2092" t="s">
        <v>214</v>
      </c>
      <c r="I2092" t="s">
        <v>7679</v>
      </c>
      <c r="J2092" t="s">
        <v>37</v>
      </c>
      <c r="K2092" t="s">
        <v>37</v>
      </c>
      <c r="L2092" t="s">
        <v>39</v>
      </c>
      <c r="M2092" t="s">
        <v>38</v>
      </c>
      <c r="N2092" t="s">
        <v>38</v>
      </c>
      <c r="O2092" t="s">
        <v>39</v>
      </c>
      <c r="P2092" t="s">
        <v>38</v>
      </c>
      <c r="Q2092" t="s">
        <v>38</v>
      </c>
      <c r="R2092" t="s">
        <v>39</v>
      </c>
      <c r="S2092" t="s">
        <v>5363</v>
      </c>
      <c r="T2092" t="s">
        <v>7319</v>
      </c>
      <c r="U2092" t="s">
        <v>7311</v>
      </c>
      <c r="V2092" t="s">
        <v>6450</v>
      </c>
      <c r="W2092" t="s">
        <v>7312</v>
      </c>
      <c r="X2092" t="s">
        <v>46</v>
      </c>
      <c r="AB2092" t="s">
        <v>4223</v>
      </c>
      <c r="AC2092">
        <f>COUNTIF(C:C,QLKV_gui_ket_qua_ra_soat[[#This Row],[Mã điểm bán]])</f>
        <v>1</v>
      </c>
    </row>
    <row r="2093" spans="1:29" x14ac:dyDescent="0.45">
      <c r="A2093" t="s">
        <v>6444</v>
      </c>
      <c r="B2093">
        <v>414</v>
      </c>
      <c r="C2093" t="s">
        <v>7680</v>
      </c>
      <c r="D2093" t="s">
        <v>7681</v>
      </c>
      <c r="E2093" t="s">
        <v>7682</v>
      </c>
      <c r="F2093" t="s">
        <v>53</v>
      </c>
      <c r="G2093" t="s">
        <v>34</v>
      </c>
      <c r="H2093" t="s">
        <v>842</v>
      </c>
      <c r="I2093" t="s">
        <v>7683</v>
      </c>
      <c r="J2093" t="s">
        <v>56</v>
      </c>
      <c r="K2093" t="s">
        <v>56</v>
      </c>
      <c r="L2093" t="s">
        <v>39</v>
      </c>
      <c r="M2093" t="s">
        <v>37</v>
      </c>
      <c r="N2093" t="s">
        <v>37</v>
      </c>
      <c r="O2093" t="s">
        <v>39</v>
      </c>
      <c r="P2093" t="s">
        <v>38</v>
      </c>
      <c r="Q2093" t="s">
        <v>38</v>
      </c>
      <c r="R2093" t="s">
        <v>40</v>
      </c>
      <c r="S2093" t="s">
        <v>1291</v>
      </c>
      <c r="T2093" t="s">
        <v>7327</v>
      </c>
      <c r="U2093" t="s">
        <v>7311</v>
      </c>
      <c r="V2093" t="s">
        <v>6450</v>
      </c>
      <c r="W2093" t="s">
        <v>7312</v>
      </c>
      <c r="Z2093" t="s">
        <v>46</v>
      </c>
      <c r="AA2093" t="s">
        <v>6457</v>
      </c>
      <c r="AB2093" t="s">
        <v>4223</v>
      </c>
      <c r="AC2093">
        <f>COUNTIF(C:C,QLKV_gui_ket_qua_ra_soat[[#This Row],[Mã điểm bán]])</f>
        <v>1</v>
      </c>
    </row>
    <row r="2094" spans="1:29" x14ac:dyDescent="0.45">
      <c r="A2094" t="s">
        <v>6444</v>
      </c>
      <c r="B2094">
        <v>415</v>
      </c>
      <c r="C2094" t="s">
        <v>7684</v>
      </c>
      <c r="D2094" t="s">
        <v>7685</v>
      </c>
      <c r="E2094" t="s">
        <v>1870</v>
      </c>
      <c r="F2094" t="s">
        <v>461</v>
      </c>
      <c r="G2094" t="s">
        <v>177</v>
      </c>
      <c r="H2094" t="s">
        <v>171</v>
      </c>
      <c r="I2094" t="s">
        <v>7686</v>
      </c>
      <c r="J2094" t="s">
        <v>56</v>
      </c>
      <c r="K2094" t="s">
        <v>56</v>
      </c>
      <c r="L2094" t="s">
        <v>39</v>
      </c>
      <c r="M2094" t="s">
        <v>56</v>
      </c>
      <c r="N2094" t="s">
        <v>56</v>
      </c>
      <c r="O2094" t="s">
        <v>39</v>
      </c>
      <c r="P2094" t="s">
        <v>37</v>
      </c>
      <c r="Q2094" t="s">
        <v>56</v>
      </c>
      <c r="R2094" t="s">
        <v>39</v>
      </c>
      <c r="S2094" t="s">
        <v>41</v>
      </c>
      <c r="T2094" t="s">
        <v>7310</v>
      </c>
      <c r="U2094" t="s">
        <v>7311</v>
      </c>
      <c r="V2094" t="s">
        <v>6450</v>
      </c>
      <c r="W2094" t="s">
        <v>7312</v>
      </c>
      <c r="Z2094" t="s">
        <v>46</v>
      </c>
      <c r="AA2094" t="s">
        <v>6457</v>
      </c>
      <c r="AB2094" t="s">
        <v>4223</v>
      </c>
      <c r="AC2094">
        <f>COUNTIF(C:C,QLKV_gui_ket_qua_ra_soat[[#This Row],[Mã điểm bán]])</f>
        <v>1</v>
      </c>
    </row>
    <row r="2095" spans="1:29" x14ac:dyDescent="0.45">
      <c r="A2095" t="s">
        <v>6444</v>
      </c>
      <c r="B2095">
        <v>416</v>
      </c>
      <c r="C2095" t="s">
        <v>7687</v>
      </c>
      <c r="D2095" t="s">
        <v>7688</v>
      </c>
      <c r="E2095" t="s">
        <v>376</v>
      </c>
      <c r="F2095" t="s">
        <v>461</v>
      </c>
      <c r="G2095" t="s">
        <v>34</v>
      </c>
      <c r="H2095" t="s">
        <v>100</v>
      </c>
      <c r="I2095" t="s">
        <v>7689</v>
      </c>
      <c r="J2095" t="s">
        <v>56</v>
      </c>
      <c r="K2095" t="s">
        <v>56</v>
      </c>
      <c r="L2095" t="s">
        <v>39</v>
      </c>
      <c r="M2095" t="s">
        <v>56</v>
      </c>
      <c r="N2095" t="s">
        <v>56</v>
      </c>
      <c r="O2095" t="s">
        <v>39</v>
      </c>
      <c r="P2095" t="s">
        <v>56</v>
      </c>
      <c r="Q2095" t="s">
        <v>56</v>
      </c>
      <c r="R2095" t="s">
        <v>39</v>
      </c>
      <c r="S2095" t="s">
        <v>7690</v>
      </c>
      <c r="T2095" t="s">
        <v>7310</v>
      </c>
      <c r="U2095" t="s">
        <v>7311</v>
      </c>
      <c r="V2095" t="s">
        <v>6450</v>
      </c>
      <c r="W2095" t="s">
        <v>5607</v>
      </c>
      <c r="Z2095" t="s">
        <v>46</v>
      </c>
      <c r="AA2095" t="s">
        <v>6457</v>
      </c>
      <c r="AB2095" t="s">
        <v>4223</v>
      </c>
      <c r="AC2095">
        <f>COUNTIF(C:C,QLKV_gui_ket_qua_ra_soat[[#This Row],[Mã điểm bán]])</f>
        <v>1</v>
      </c>
    </row>
    <row r="2096" spans="1:29" x14ac:dyDescent="0.45">
      <c r="A2096" t="s">
        <v>6444</v>
      </c>
      <c r="B2096">
        <v>417</v>
      </c>
      <c r="C2096" t="s">
        <v>7691</v>
      </c>
      <c r="D2096" t="s">
        <v>7692</v>
      </c>
      <c r="E2096" t="s">
        <v>297</v>
      </c>
      <c r="F2096" t="s">
        <v>401</v>
      </c>
      <c r="G2096" t="s">
        <v>177</v>
      </c>
      <c r="H2096" t="s">
        <v>54</v>
      </c>
      <c r="I2096" t="s">
        <v>7693</v>
      </c>
      <c r="J2096" t="s">
        <v>56</v>
      </c>
      <c r="K2096" t="s">
        <v>56</v>
      </c>
      <c r="L2096" t="s">
        <v>39</v>
      </c>
      <c r="M2096" t="s">
        <v>56</v>
      </c>
      <c r="N2096" t="s">
        <v>56</v>
      </c>
      <c r="O2096" t="s">
        <v>39</v>
      </c>
      <c r="P2096" t="s">
        <v>37</v>
      </c>
      <c r="Q2096" t="s">
        <v>37</v>
      </c>
      <c r="R2096" t="s">
        <v>39</v>
      </c>
      <c r="S2096" t="s">
        <v>7694</v>
      </c>
      <c r="T2096" t="s">
        <v>7310</v>
      </c>
      <c r="U2096" t="s">
        <v>7311</v>
      </c>
      <c r="V2096" t="s">
        <v>6450</v>
      </c>
      <c r="W2096" t="s">
        <v>7312</v>
      </c>
      <c r="Z2096" t="s">
        <v>46</v>
      </c>
      <c r="AA2096" t="s">
        <v>6457</v>
      </c>
      <c r="AB2096" t="s">
        <v>5658</v>
      </c>
      <c r="AC2096">
        <f>COUNTIF(C:C,QLKV_gui_ket_qua_ra_soat[[#This Row],[Mã điểm bán]])</f>
        <v>1</v>
      </c>
    </row>
    <row r="2097" spans="1:29" x14ac:dyDescent="0.45">
      <c r="A2097" t="s">
        <v>6444</v>
      </c>
      <c r="B2097">
        <v>418</v>
      </c>
      <c r="C2097" t="s">
        <v>7695</v>
      </c>
      <c r="D2097" t="s">
        <v>7696</v>
      </c>
      <c r="E2097" t="s">
        <v>297</v>
      </c>
      <c r="F2097" t="s">
        <v>417</v>
      </c>
      <c r="G2097" t="s">
        <v>177</v>
      </c>
      <c r="H2097" t="s">
        <v>54</v>
      </c>
      <c r="I2097" t="s">
        <v>6268</v>
      </c>
      <c r="J2097" t="s">
        <v>56</v>
      </c>
      <c r="K2097" t="s">
        <v>56</v>
      </c>
      <c r="L2097" t="s">
        <v>39</v>
      </c>
      <c r="M2097" t="s">
        <v>775</v>
      </c>
      <c r="N2097" t="s">
        <v>775</v>
      </c>
      <c r="O2097" t="s">
        <v>121</v>
      </c>
      <c r="P2097" t="s">
        <v>56</v>
      </c>
      <c r="Q2097" t="s">
        <v>56</v>
      </c>
      <c r="R2097" t="s">
        <v>39</v>
      </c>
      <c r="S2097" t="s">
        <v>41</v>
      </c>
      <c r="T2097" t="s">
        <v>7310</v>
      </c>
      <c r="U2097" t="s">
        <v>7311</v>
      </c>
      <c r="V2097" t="s">
        <v>6450</v>
      </c>
      <c r="W2097" t="s">
        <v>5607</v>
      </c>
      <c r="X2097" t="s">
        <v>46</v>
      </c>
      <c r="AC2097">
        <f>COUNTIF(C:C,QLKV_gui_ket_qua_ra_soat[[#This Row],[Mã điểm bán]])</f>
        <v>1</v>
      </c>
    </row>
    <row r="2098" spans="1:29" x14ac:dyDescent="0.45">
      <c r="A2098" t="s">
        <v>6444</v>
      </c>
      <c r="B2098">
        <v>419</v>
      </c>
      <c r="C2098" t="s">
        <v>7697</v>
      </c>
      <c r="D2098" t="s">
        <v>7455</v>
      </c>
      <c r="E2098" t="s">
        <v>7698</v>
      </c>
      <c r="F2098" t="s">
        <v>4355</v>
      </c>
      <c r="G2098" t="s">
        <v>34</v>
      </c>
      <c r="H2098" t="s">
        <v>54</v>
      </c>
      <c r="I2098" t="s">
        <v>7699</v>
      </c>
      <c r="J2098" t="s">
        <v>37</v>
      </c>
      <c r="K2098" t="s">
        <v>37</v>
      </c>
      <c r="L2098" t="s">
        <v>39</v>
      </c>
      <c r="M2098" t="s">
        <v>56</v>
      </c>
      <c r="N2098" t="s">
        <v>56</v>
      </c>
      <c r="O2098" t="s">
        <v>39</v>
      </c>
      <c r="P2098" t="s">
        <v>38</v>
      </c>
      <c r="Q2098" t="s">
        <v>38</v>
      </c>
      <c r="R2098" t="s">
        <v>39</v>
      </c>
      <c r="S2098" t="s">
        <v>41</v>
      </c>
      <c r="T2098" t="s">
        <v>7368</v>
      </c>
      <c r="U2098" t="s">
        <v>7369</v>
      </c>
      <c r="V2098" t="s">
        <v>6450</v>
      </c>
      <c r="W2098" t="s">
        <v>7312</v>
      </c>
      <c r="Z2098" t="s">
        <v>46</v>
      </c>
      <c r="AA2098" t="s">
        <v>6457</v>
      </c>
      <c r="AB2098" t="s">
        <v>5658</v>
      </c>
      <c r="AC2098">
        <f>COUNTIF(C:C,QLKV_gui_ket_qua_ra_soat[[#This Row],[Mã điểm bán]])</f>
        <v>1</v>
      </c>
    </row>
    <row r="2099" spans="1:29" x14ac:dyDescent="0.45">
      <c r="A2099" t="s">
        <v>6444</v>
      </c>
      <c r="B2099">
        <v>420</v>
      </c>
      <c r="C2099" t="s">
        <v>7700</v>
      </c>
      <c r="D2099" t="s">
        <v>7701</v>
      </c>
      <c r="E2099" t="s">
        <v>882</v>
      </c>
      <c r="F2099" t="s">
        <v>166</v>
      </c>
      <c r="G2099" t="s">
        <v>34</v>
      </c>
      <c r="H2099" t="s">
        <v>54</v>
      </c>
      <c r="I2099" t="s">
        <v>7631</v>
      </c>
      <c r="J2099" t="s">
        <v>56</v>
      </c>
      <c r="K2099" t="s">
        <v>56</v>
      </c>
      <c r="L2099" t="s">
        <v>39</v>
      </c>
      <c r="M2099" t="s">
        <v>37</v>
      </c>
      <c r="N2099" t="s">
        <v>37</v>
      </c>
      <c r="O2099" t="s">
        <v>39</v>
      </c>
      <c r="P2099" t="s">
        <v>38</v>
      </c>
      <c r="Q2099" t="s">
        <v>38</v>
      </c>
      <c r="R2099" t="s">
        <v>39</v>
      </c>
      <c r="S2099" t="s">
        <v>1291</v>
      </c>
      <c r="T2099" t="s">
        <v>7327</v>
      </c>
      <c r="U2099" t="s">
        <v>7311</v>
      </c>
      <c r="V2099" t="s">
        <v>6450</v>
      </c>
      <c r="W2099" t="s">
        <v>7312</v>
      </c>
      <c r="X2099" t="s">
        <v>46</v>
      </c>
      <c r="AC2099">
        <f>COUNTIF(C:C,QLKV_gui_ket_qua_ra_soat[[#This Row],[Mã điểm bán]])</f>
        <v>1</v>
      </c>
    </row>
    <row r="2100" spans="1:29" x14ac:dyDescent="0.45">
      <c r="A2100" t="s">
        <v>6444</v>
      </c>
      <c r="B2100">
        <v>421</v>
      </c>
      <c r="C2100" t="s">
        <v>7702</v>
      </c>
      <c r="D2100" t="s">
        <v>7703</v>
      </c>
      <c r="E2100" t="s">
        <v>170</v>
      </c>
      <c r="F2100" t="s">
        <v>1573</v>
      </c>
      <c r="G2100" t="s">
        <v>177</v>
      </c>
      <c r="H2100" t="s">
        <v>54</v>
      </c>
      <c r="I2100" t="s">
        <v>7704</v>
      </c>
      <c r="J2100" t="s">
        <v>775</v>
      </c>
      <c r="K2100" t="s">
        <v>775</v>
      </c>
      <c r="L2100" t="s">
        <v>39</v>
      </c>
      <c r="M2100" t="s">
        <v>1034</v>
      </c>
      <c r="N2100" t="s">
        <v>1034</v>
      </c>
      <c r="O2100" t="s">
        <v>121</v>
      </c>
      <c r="P2100" t="s">
        <v>56</v>
      </c>
      <c r="Q2100" t="s">
        <v>56</v>
      </c>
      <c r="R2100" t="s">
        <v>39</v>
      </c>
      <c r="S2100" t="s">
        <v>7705</v>
      </c>
      <c r="T2100" t="s">
        <v>7310</v>
      </c>
      <c r="U2100" t="s">
        <v>7311</v>
      </c>
      <c r="V2100" t="s">
        <v>6450</v>
      </c>
      <c r="W2100" t="s">
        <v>7312</v>
      </c>
      <c r="X2100" t="s">
        <v>46</v>
      </c>
      <c r="AC2100">
        <f>COUNTIF(C:C,QLKV_gui_ket_qua_ra_soat[[#This Row],[Mã điểm bán]])</f>
        <v>1</v>
      </c>
    </row>
    <row r="2101" spans="1:29" x14ac:dyDescent="0.45">
      <c r="A2101" t="s">
        <v>6444</v>
      </c>
      <c r="B2101">
        <v>422</v>
      </c>
      <c r="C2101" t="s">
        <v>7706</v>
      </c>
      <c r="D2101" t="s">
        <v>7707</v>
      </c>
      <c r="E2101" t="s">
        <v>69</v>
      </c>
      <c r="F2101" t="s">
        <v>53</v>
      </c>
      <c r="G2101" t="s">
        <v>177</v>
      </c>
      <c r="H2101" t="s">
        <v>54</v>
      </c>
      <c r="I2101" t="s">
        <v>7708</v>
      </c>
      <c r="J2101" t="s">
        <v>37</v>
      </c>
      <c r="K2101" t="s">
        <v>37</v>
      </c>
      <c r="L2101" t="s">
        <v>39</v>
      </c>
      <c r="M2101" t="s">
        <v>37</v>
      </c>
      <c r="N2101" t="s">
        <v>38</v>
      </c>
      <c r="O2101" t="s">
        <v>39</v>
      </c>
      <c r="P2101" t="s">
        <v>38</v>
      </c>
      <c r="Q2101" t="s">
        <v>38</v>
      </c>
      <c r="R2101" t="s">
        <v>39</v>
      </c>
      <c r="S2101" t="s">
        <v>5363</v>
      </c>
      <c r="T2101" t="s">
        <v>7319</v>
      </c>
      <c r="U2101" t="s">
        <v>7311</v>
      </c>
      <c r="V2101" t="s">
        <v>6450</v>
      </c>
      <c r="W2101" t="s">
        <v>7312</v>
      </c>
      <c r="X2101" t="s">
        <v>46</v>
      </c>
      <c r="AC2101">
        <f>COUNTIF(C:C,QLKV_gui_ket_qua_ra_soat[[#This Row],[Mã điểm bán]])</f>
        <v>1</v>
      </c>
    </row>
    <row r="2102" spans="1:29" x14ac:dyDescent="0.45">
      <c r="A2102" t="s">
        <v>6444</v>
      </c>
      <c r="B2102">
        <v>423</v>
      </c>
      <c r="C2102" t="s">
        <v>7709</v>
      </c>
      <c r="D2102" t="s">
        <v>7710</v>
      </c>
      <c r="E2102" t="s">
        <v>109</v>
      </c>
      <c r="F2102" t="s">
        <v>53</v>
      </c>
      <c r="G2102" t="s">
        <v>177</v>
      </c>
      <c r="H2102" t="s">
        <v>54</v>
      </c>
      <c r="I2102" t="s">
        <v>7588</v>
      </c>
      <c r="J2102" t="s">
        <v>56</v>
      </c>
      <c r="K2102" t="s">
        <v>37</v>
      </c>
      <c r="L2102" t="s">
        <v>39</v>
      </c>
      <c r="M2102" t="s">
        <v>37</v>
      </c>
      <c r="N2102" t="s">
        <v>37</v>
      </c>
      <c r="O2102" t="s">
        <v>39</v>
      </c>
      <c r="P2102" t="s">
        <v>37</v>
      </c>
      <c r="Q2102" t="s">
        <v>37</v>
      </c>
      <c r="R2102" t="s">
        <v>39</v>
      </c>
      <c r="S2102" t="s">
        <v>41</v>
      </c>
      <c r="T2102" t="s">
        <v>7319</v>
      </c>
      <c r="U2102" t="s">
        <v>7311</v>
      </c>
      <c r="V2102" t="s">
        <v>6450</v>
      </c>
      <c r="W2102" t="s">
        <v>7312</v>
      </c>
      <c r="X2102" t="s">
        <v>46</v>
      </c>
      <c r="AC2102">
        <f>COUNTIF(C:C,QLKV_gui_ket_qua_ra_soat[[#This Row],[Mã điểm bán]])</f>
        <v>1</v>
      </c>
    </row>
    <row r="2103" spans="1:29" x14ac:dyDescent="0.45">
      <c r="A2103" t="s">
        <v>6444</v>
      </c>
      <c r="B2103">
        <v>424</v>
      </c>
      <c r="C2103" t="s">
        <v>7711</v>
      </c>
      <c r="D2103" t="s">
        <v>7712</v>
      </c>
      <c r="E2103" t="s">
        <v>69</v>
      </c>
      <c r="F2103" t="s">
        <v>53</v>
      </c>
      <c r="G2103" t="s">
        <v>177</v>
      </c>
      <c r="H2103" t="s">
        <v>54</v>
      </c>
      <c r="I2103" t="s">
        <v>7318</v>
      </c>
      <c r="J2103" t="s">
        <v>37</v>
      </c>
      <c r="K2103" t="s">
        <v>37</v>
      </c>
      <c r="L2103" t="s">
        <v>39</v>
      </c>
      <c r="M2103" t="s">
        <v>37</v>
      </c>
      <c r="N2103" t="s">
        <v>37</v>
      </c>
      <c r="O2103" t="s">
        <v>39</v>
      </c>
      <c r="P2103" t="s">
        <v>38</v>
      </c>
      <c r="Q2103" t="s">
        <v>37</v>
      </c>
      <c r="R2103" t="s">
        <v>39</v>
      </c>
      <c r="S2103" t="s">
        <v>4892</v>
      </c>
      <c r="T2103" t="s">
        <v>7319</v>
      </c>
      <c r="U2103" t="s">
        <v>7311</v>
      </c>
      <c r="V2103" t="s">
        <v>6450</v>
      </c>
      <c r="W2103" t="s">
        <v>5607</v>
      </c>
      <c r="X2103" t="s">
        <v>46</v>
      </c>
      <c r="AC2103">
        <f>COUNTIF(C:C,QLKV_gui_ket_qua_ra_soat[[#This Row],[Mã điểm bán]])</f>
        <v>1</v>
      </c>
    </row>
    <row r="2104" spans="1:29" x14ac:dyDescent="0.45">
      <c r="A2104" t="s">
        <v>6444</v>
      </c>
      <c r="B2104">
        <v>425</v>
      </c>
      <c r="C2104" t="s">
        <v>7713</v>
      </c>
      <c r="D2104" t="s">
        <v>7714</v>
      </c>
      <c r="E2104" t="s">
        <v>87</v>
      </c>
      <c r="F2104" t="s">
        <v>53</v>
      </c>
      <c r="G2104" t="s">
        <v>177</v>
      </c>
      <c r="H2104" t="s">
        <v>54</v>
      </c>
      <c r="I2104" t="s">
        <v>7318</v>
      </c>
      <c r="J2104" t="s">
        <v>37</v>
      </c>
      <c r="K2104" t="s">
        <v>37</v>
      </c>
      <c r="L2104" t="s">
        <v>39</v>
      </c>
      <c r="M2104" t="s">
        <v>37</v>
      </c>
      <c r="N2104" t="s">
        <v>37</v>
      </c>
      <c r="O2104" t="s">
        <v>39</v>
      </c>
      <c r="P2104" t="s">
        <v>38</v>
      </c>
      <c r="Q2104" t="s">
        <v>37</v>
      </c>
      <c r="R2104" t="s">
        <v>39</v>
      </c>
      <c r="S2104" t="s">
        <v>4892</v>
      </c>
      <c r="T2104" t="s">
        <v>7319</v>
      </c>
      <c r="U2104" t="s">
        <v>7311</v>
      </c>
      <c r="V2104" t="s">
        <v>6450</v>
      </c>
      <c r="W2104" t="s">
        <v>5607</v>
      </c>
      <c r="X2104" t="s">
        <v>46</v>
      </c>
      <c r="AC2104">
        <f>COUNTIF(C:C,QLKV_gui_ket_qua_ra_soat[[#This Row],[Mã điểm bán]])</f>
        <v>1</v>
      </c>
    </row>
    <row r="2105" spans="1:29" x14ac:dyDescent="0.45">
      <c r="A2105" t="s">
        <v>6444</v>
      </c>
      <c r="B2105">
        <v>426</v>
      </c>
      <c r="C2105" t="s">
        <v>7715</v>
      </c>
      <c r="D2105" t="s">
        <v>7716</v>
      </c>
      <c r="E2105" t="s">
        <v>109</v>
      </c>
      <c r="F2105" t="s">
        <v>53</v>
      </c>
      <c r="G2105" t="s">
        <v>177</v>
      </c>
      <c r="H2105" t="s">
        <v>54</v>
      </c>
      <c r="I2105" t="s">
        <v>7322</v>
      </c>
      <c r="J2105" t="s">
        <v>37</v>
      </c>
      <c r="K2105" t="s">
        <v>37</v>
      </c>
      <c r="L2105" t="s">
        <v>40</v>
      </c>
      <c r="M2105" t="s">
        <v>56</v>
      </c>
      <c r="N2105" t="s">
        <v>56</v>
      </c>
      <c r="O2105" t="s">
        <v>39</v>
      </c>
      <c r="P2105" t="s">
        <v>37</v>
      </c>
      <c r="Q2105" t="s">
        <v>37</v>
      </c>
      <c r="R2105" t="s">
        <v>40</v>
      </c>
      <c r="S2105" t="s">
        <v>41</v>
      </c>
      <c r="T2105" t="s">
        <v>7310</v>
      </c>
      <c r="U2105" t="s">
        <v>7311</v>
      </c>
      <c r="V2105" t="s">
        <v>6450</v>
      </c>
      <c r="W2105" t="s">
        <v>5607</v>
      </c>
      <c r="Z2105" t="s">
        <v>46</v>
      </c>
      <c r="AA2105" t="s">
        <v>7370</v>
      </c>
      <c r="AB2105" t="s">
        <v>3109</v>
      </c>
      <c r="AC2105">
        <f>COUNTIF(C:C,QLKV_gui_ket_qua_ra_soat[[#This Row],[Mã điểm bán]])</f>
        <v>1</v>
      </c>
    </row>
    <row r="2106" spans="1:29" x14ac:dyDescent="0.45">
      <c r="A2106" t="s">
        <v>6444</v>
      </c>
      <c r="B2106">
        <v>427</v>
      </c>
      <c r="C2106" t="s">
        <v>7717</v>
      </c>
      <c r="D2106" t="s">
        <v>7718</v>
      </c>
      <c r="E2106" t="s">
        <v>108</v>
      </c>
      <c r="F2106" t="s">
        <v>401</v>
      </c>
      <c r="G2106" t="s">
        <v>177</v>
      </c>
      <c r="H2106" t="s">
        <v>54</v>
      </c>
      <c r="I2106" t="s">
        <v>6268</v>
      </c>
      <c r="J2106" t="s">
        <v>775</v>
      </c>
      <c r="K2106" t="s">
        <v>56</v>
      </c>
      <c r="L2106" t="s">
        <v>39</v>
      </c>
      <c r="M2106" t="s">
        <v>775</v>
      </c>
      <c r="N2106" t="s">
        <v>1034</v>
      </c>
      <c r="O2106" t="s">
        <v>39</v>
      </c>
      <c r="P2106" t="s">
        <v>37</v>
      </c>
      <c r="Q2106" t="s">
        <v>37</v>
      </c>
      <c r="R2106" t="s">
        <v>40</v>
      </c>
      <c r="S2106" t="s">
        <v>7719</v>
      </c>
      <c r="T2106" t="s">
        <v>7310</v>
      </c>
      <c r="U2106" t="s">
        <v>7311</v>
      </c>
      <c r="V2106" t="s">
        <v>6450</v>
      </c>
      <c r="W2106" t="s">
        <v>7312</v>
      </c>
      <c r="Z2106" t="s">
        <v>46</v>
      </c>
      <c r="AA2106" t="s">
        <v>6457</v>
      </c>
      <c r="AB2106" t="s">
        <v>3109</v>
      </c>
      <c r="AC2106">
        <f>COUNTIF(C:C,QLKV_gui_ket_qua_ra_soat[[#This Row],[Mã điểm bán]])</f>
        <v>1</v>
      </c>
    </row>
    <row r="2107" spans="1:29" x14ac:dyDescent="0.45">
      <c r="A2107" t="s">
        <v>6444</v>
      </c>
      <c r="B2107">
        <v>428</v>
      </c>
      <c r="C2107" t="s">
        <v>7720</v>
      </c>
      <c r="D2107" t="s">
        <v>7721</v>
      </c>
      <c r="E2107" t="s">
        <v>344</v>
      </c>
      <c r="F2107" t="s">
        <v>401</v>
      </c>
      <c r="G2107" t="s">
        <v>177</v>
      </c>
      <c r="H2107" t="s">
        <v>54</v>
      </c>
      <c r="I2107" t="s">
        <v>7722</v>
      </c>
      <c r="J2107" t="s">
        <v>38</v>
      </c>
      <c r="K2107" t="s">
        <v>38</v>
      </c>
      <c r="L2107" t="s">
        <v>40</v>
      </c>
      <c r="M2107" t="s">
        <v>37</v>
      </c>
      <c r="N2107" t="s">
        <v>37</v>
      </c>
      <c r="O2107" t="s">
        <v>39</v>
      </c>
      <c r="P2107" t="s">
        <v>37</v>
      </c>
      <c r="Q2107" t="s">
        <v>37</v>
      </c>
      <c r="R2107" t="s">
        <v>39</v>
      </c>
      <c r="S2107" t="s">
        <v>41</v>
      </c>
      <c r="T2107" t="s">
        <v>7310</v>
      </c>
      <c r="U2107" t="s">
        <v>7311</v>
      </c>
      <c r="V2107" t="s">
        <v>6450</v>
      </c>
      <c r="W2107" t="s">
        <v>7312</v>
      </c>
      <c r="Z2107" t="s">
        <v>46</v>
      </c>
      <c r="AA2107" t="s">
        <v>6457</v>
      </c>
      <c r="AB2107" t="s">
        <v>3109</v>
      </c>
      <c r="AC2107">
        <f>COUNTIF(C:C,QLKV_gui_ket_qua_ra_soat[[#This Row],[Mã điểm bán]])</f>
        <v>1</v>
      </c>
    </row>
    <row r="2108" spans="1:29" x14ac:dyDescent="0.45">
      <c r="A2108" t="s">
        <v>6444</v>
      </c>
      <c r="B2108">
        <v>429</v>
      </c>
      <c r="C2108" t="s">
        <v>7723</v>
      </c>
      <c r="D2108" t="s">
        <v>7724</v>
      </c>
      <c r="E2108" t="s">
        <v>108</v>
      </c>
      <c r="F2108" t="s">
        <v>53</v>
      </c>
      <c r="G2108" t="s">
        <v>177</v>
      </c>
      <c r="H2108" t="s">
        <v>54</v>
      </c>
      <c r="I2108" t="s">
        <v>7315</v>
      </c>
      <c r="J2108" t="s">
        <v>37</v>
      </c>
      <c r="K2108" t="s">
        <v>37</v>
      </c>
      <c r="L2108" t="s">
        <v>39</v>
      </c>
      <c r="M2108" t="s">
        <v>56</v>
      </c>
      <c r="N2108" t="s">
        <v>56</v>
      </c>
      <c r="O2108" t="s">
        <v>39</v>
      </c>
      <c r="P2108" t="s">
        <v>37</v>
      </c>
      <c r="Q2108" t="s">
        <v>37</v>
      </c>
      <c r="R2108" t="s">
        <v>40</v>
      </c>
      <c r="S2108" t="s">
        <v>41</v>
      </c>
      <c r="T2108" t="s">
        <v>7310</v>
      </c>
      <c r="U2108" t="s">
        <v>7311</v>
      </c>
      <c r="V2108" t="s">
        <v>6450</v>
      </c>
      <c r="W2108" t="s">
        <v>5607</v>
      </c>
      <c r="Z2108" t="s">
        <v>46</v>
      </c>
      <c r="AA2108" t="s">
        <v>7370</v>
      </c>
      <c r="AB2108" t="s">
        <v>3109</v>
      </c>
      <c r="AC2108">
        <f>COUNTIF(C:C,QLKV_gui_ket_qua_ra_soat[[#This Row],[Mã điểm bán]])</f>
        <v>1</v>
      </c>
    </row>
    <row r="2109" spans="1:29" x14ac:dyDescent="0.45">
      <c r="A2109" t="s">
        <v>6444</v>
      </c>
      <c r="B2109">
        <v>430</v>
      </c>
      <c r="C2109" t="s">
        <v>7725</v>
      </c>
      <c r="D2109" t="s">
        <v>7726</v>
      </c>
      <c r="E2109" t="s">
        <v>185</v>
      </c>
      <c r="F2109" t="s">
        <v>53</v>
      </c>
      <c r="G2109" t="s">
        <v>177</v>
      </c>
      <c r="H2109" t="s">
        <v>54</v>
      </c>
      <c r="I2109" t="s">
        <v>609</v>
      </c>
      <c r="J2109" t="s">
        <v>56</v>
      </c>
      <c r="K2109" t="s">
        <v>37</v>
      </c>
      <c r="L2109" t="s">
        <v>39</v>
      </c>
      <c r="M2109" t="s">
        <v>37</v>
      </c>
      <c r="N2109" t="s">
        <v>37</v>
      </c>
      <c r="O2109" t="s">
        <v>39</v>
      </c>
      <c r="P2109" t="s">
        <v>37</v>
      </c>
      <c r="Q2109" t="s">
        <v>38</v>
      </c>
      <c r="R2109" t="s">
        <v>39</v>
      </c>
      <c r="S2109" t="s">
        <v>5363</v>
      </c>
      <c r="T2109" t="s">
        <v>7319</v>
      </c>
      <c r="U2109" t="s">
        <v>7311</v>
      </c>
      <c r="V2109" t="s">
        <v>6450</v>
      </c>
      <c r="W2109" t="s">
        <v>7312</v>
      </c>
      <c r="Z2109" t="s">
        <v>46</v>
      </c>
      <c r="AA2109" t="s">
        <v>7370</v>
      </c>
      <c r="AB2109" t="s">
        <v>3109</v>
      </c>
      <c r="AC2109">
        <f>COUNTIF(C:C,QLKV_gui_ket_qua_ra_soat[[#This Row],[Mã điểm bán]])</f>
        <v>1</v>
      </c>
    </row>
    <row r="2110" spans="1:29" x14ac:dyDescent="0.45">
      <c r="A2110" t="s">
        <v>6444</v>
      </c>
      <c r="B2110">
        <v>431</v>
      </c>
      <c r="C2110" t="s">
        <v>7727</v>
      </c>
      <c r="D2110" t="s">
        <v>7728</v>
      </c>
      <c r="E2110" t="s">
        <v>3429</v>
      </c>
      <c r="F2110" t="s">
        <v>115</v>
      </c>
      <c r="G2110" t="s">
        <v>177</v>
      </c>
      <c r="H2110" t="s">
        <v>54</v>
      </c>
      <c r="I2110" t="s">
        <v>7503</v>
      </c>
      <c r="J2110" t="s">
        <v>37</v>
      </c>
      <c r="K2110" t="s">
        <v>37</v>
      </c>
      <c r="L2110" t="s">
        <v>39</v>
      </c>
      <c r="M2110" t="s">
        <v>37</v>
      </c>
      <c r="N2110" t="s">
        <v>37</v>
      </c>
      <c r="O2110" t="s">
        <v>39</v>
      </c>
      <c r="P2110" t="s">
        <v>38</v>
      </c>
      <c r="Q2110" t="s">
        <v>37</v>
      </c>
      <c r="R2110" t="s">
        <v>39</v>
      </c>
      <c r="S2110" t="s">
        <v>5625</v>
      </c>
      <c r="T2110" t="s">
        <v>7319</v>
      </c>
      <c r="U2110" t="s">
        <v>7311</v>
      </c>
      <c r="V2110" t="s">
        <v>6450</v>
      </c>
      <c r="W2110" t="s">
        <v>7312</v>
      </c>
      <c r="Z2110" t="s">
        <v>46</v>
      </c>
      <c r="AA2110" t="s">
        <v>7370</v>
      </c>
      <c r="AB2110" t="s">
        <v>3109</v>
      </c>
      <c r="AC2110">
        <f>COUNTIF(C:C,QLKV_gui_ket_qua_ra_soat[[#This Row],[Mã điểm bán]])</f>
        <v>1</v>
      </c>
    </row>
    <row r="2111" spans="1:29" x14ac:dyDescent="0.45">
      <c r="A2111" t="s">
        <v>6444</v>
      </c>
      <c r="B2111">
        <v>432</v>
      </c>
      <c r="C2111" t="s">
        <v>7729</v>
      </c>
      <c r="D2111" t="s">
        <v>7730</v>
      </c>
      <c r="E2111" t="s">
        <v>109</v>
      </c>
      <c r="F2111" t="s">
        <v>53</v>
      </c>
      <c r="G2111" t="s">
        <v>177</v>
      </c>
      <c r="H2111" t="s">
        <v>54</v>
      </c>
      <c r="I2111" t="s">
        <v>7315</v>
      </c>
      <c r="J2111" t="s">
        <v>37</v>
      </c>
      <c r="K2111" t="s">
        <v>37</v>
      </c>
      <c r="L2111" t="s">
        <v>39</v>
      </c>
      <c r="M2111" t="s">
        <v>56</v>
      </c>
      <c r="N2111" t="s">
        <v>56</v>
      </c>
      <c r="O2111" t="s">
        <v>39</v>
      </c>
      <c r="P2111" t="s">
        <v>56</v>
      </c>
      <c r="Q2111" t="s">
        <v>37</v>
      </c>
      <c r="R2111" t="s">
        <v>39</v>
      </c>
      <c r="S2111" t="s">
        <v>41</v>
      </c>
      <c r="T2111" t="s">
        <v>7310</v>
      </c>
      <c r="U2111" t="s">
        <v>7311</v>
      </c>
      <c r="V2111" t="s">
        <v>6450</v>
      </c>
      <c r="W2111" t="s">
        <v>7312</v>
      </c>
      <c r="Z2111" t="s">
        <v>46</v>
      </c>
      <c r="AA2111" t="s">
        <v>6457</v>
      </c>
      <c r="AB2111" t="s">
        <v>3109</v>
      </c>
      <c r="AC2111">
        <f>COUNTIF(C:C,QLKV_gui_ket_qua_ra_soat[[#This Row],[Mã điểm bán]])</f>
        <v>1</v>
      </c>
    </row>
    <row r="2112" spans="1:29" x14ac:dyDescent="0.45">
      <c r="A2112" t="s">
        <v>6444</v>
      </c>
      <c r="B2112">
        <v>433</v>
      </c>
      <c r="C2112" t="s">
        <v>7731</v>
      </c>
      <c r="D2112" t="s">
        <v>436</v>
      </c>
      <c r="E2112" t="s">
        <v>69</v>
      </c>
      <c r="F2112" t="s">
        <v>53</v>
      </c>
      <c r="G2112" t="s">
        <v>34</v>
      </c>
      <c r="H2112" t="s">
        <v>54</v>
      </c>
      <c r="I2112" t="s">
        <v>7326</v>
      </c>
      <c r="J2112" t="s">
        <v>56</v>
      </c>
      <c r="K2112" t="s">
        <v>56</v>
      </c>
      <c r="L2112" t="s">
        <v>39</v>
      </c>
      <c r="M2112" t="s">
        <v>37</v>
      </c>
      <c r="N2112" t="s">
        <v>37</v>
      </c>
      <c r="O2112" t="s">
        <v>39</v>
      </c>
      <c r="P2112" t="s">
        <v>38</v>
      </c>
      <c r="Q2112" t="s">
        <v>38</v>
      </c>
      <c r="R2112" t="s">
        <v>39</v>
      </c>
      <c r="S2112" t="s">
        <v>1291</v>
      </c>
      <c r="T2112" t="s">
        <v>7327</v>
      </c>
      <c r="U2112" t="s">
        <v>7311</v>
      </c>
      <c r="V2112" t="s">
        <v>6450</v>
      </c>
      <c r="W2112" t="s">
        <v>7312</v>
      </c>
      <c r="Z2112" t="s">
        <v>46</v>
      </c>
      <c r="AA2112" t="s">
        <v>6457</v>
      </c>
      <c r="AB2112" t="s">
        <v>3109</v>
      </c>
      <c r="AC2112">
        <f>COUNTIF(C:C,QLKV_gui_ket_qua_ra_soat[[#This Row],[Mã điểm bán]])</f>
        <v>1</v>
      </c>
    </row>
    <row r="2113" spans="1:29" x14ac:dyDescent="0.45">
      <c r="A2113" t="s">
        <v>6444</v>
      </c>
      <c r="B2113">
        <v>434</v>
      </c>
      <c r="C2113" t="s">
        <v>7732</v>
      </c>
      <c r="D2113" t="s">
        <v>7733</v>
      </c>
      <c r="E2113" t="s">
        <v>69</v>
      </c>
      <c r="F2113" t="s">
        <v>53</v>
      </c>
      <c r="G2113" t="s">
        <v>34</v>
      </c>
      <c r="H2113" t="s">
        <v>54</v>
      </c>
      <c r="I2113" t="s">
        <v>7734</v>
      </c>
      <c r="J2113" t="s">
        <v>56</v>
      </c>
      <c r="K2113" t="s">
        <v>56</v>
      </c>
      <c r="L2113" t="s">
        <v>39</v>
      </c>
      <c r="M2113" t="s">
        <v>37</v>
      </c>
      <c r="N2113" t="s">
        <v>37</v>
      </c>
      <c r="O2113" t="s">
        <v>39</v>
      </c>
      <c r="P2113" t="s">
        <v>38</v>
      </c>
      <c r="Q2113" t="s">
        <v>38</v>
      </c>
      <c r="R2113" t="s">
        <v>39</v>
      </c>
      <c r="S2113" t="s">
        <v>1291</v>
      </c>
      <c r="T2113" t="s">
        <v>7327</v>
      </c>
      <c r="U2113" t="s">
        <v>7311</v>
      </c>
      <c r="V2113" t="s">
        <v>6450</v>
      </c>
      <c r="W2113" t="s">
        <v>7312</v>
      </c>
      <c r="Z2113" t="s">
        <v>46</v>
      </c>
      <c r="AA2113" t="s">
        <v>6457</v>
      </c>
      <c r="AB2113" t="s">
        <v>3109</v>
      </c>
      <c r="AC2113">
        <f>COUNTIF(C:C,QLKV_gui_ket_qua_ra_soat[[#This Row],[Mã điểm bán]])</f>
        <v>1</v>
      </c>
    </row>
    <row r="2114" spans="1:29" x14ac:dyDescent="0.45">
      <c r="A2114" t="s">
        <v>6444</v>
      </c>
      <c r="B2114">
        <v>435</v>
      </c>
      <c r="C2114" t="s">
        <v>7735</v>
      </c>
      <c r="D2114" t="s">
        <v>7736</v>
      </c>
      <c r="E2114" t="s">
        <v>69</v>
      </c>
      <c r="F2114" t="s">
        <v>53</v>
      </c>
      <c r="G2114" t="s">
        <v>177</v>
      </c>
      <c r="H2114" t="s">
        <v>54</v>
      </c>
      <c r="I2114" t="s">
        <v>7315</v>
      </c>
      <c r="J2114" t="s">
        <v>56</v>
      </c>
      <c r="K2114" t="s">
        <v>56</v>
      </c>
      <c r="L2114" t="s">
        <v>39</v>
      </c>
      <c r="M2114" t="s">
        <v>56</v>
      </c>
      <c r="N2114" t="s">
        <v>56</v>
      </c>
      <c r="O2114" t="s">
        <v>39</v>
      </c>
      <c r="P2114" t="s">
        <v>56</v>
      </c>
      <c r="Q2114" t="s">
        <v>56</v>
      </c>
      <c r="R2114" t="s">
        <v>39</v>
      </c>
      <c r="S2114" t="s">
        <v>41</v>
      </c>
      <c r="T2114" t="s">
        <v>7310</v>
      </c>
      <c r="U2114" t="s">
        <v>7311</v>
      </c>
      <c r="V2114" t="s">
        <v>6450</v>
      </c>
      <c r="W2114" t="s">
        <v>5607</v>
      </c>
      <c r="Z2114" t="s">
        <v>46</v>
      </c>
      <c r="AA2114" t="s">
        <v>7370</v>
      </c>
      <c r="AB2114" t="s">
        <v>3109</v>
      </c>
      <c r="AC2114">
        <f>COUNTIF(C:C,QLKV_gui_ket_qua_ra_soat[[#This Row],[Mã điểm bán]])</f>
        <v>1</v>
      </c>
    </row>
    <row r="2115" spans="1:29" x14ac:dyDescent="0.45">
      <c r="A2115" t="s">
        <v>6444</v>
      </c>
      <c r="B2115">
        <v>436</v>
      </c>
      <c r="C2115" t="s">
        <v>7737</v>
      </c>
      <c r="D2115" t="s">
        <v>7738</v>
      </c>
      <c r="E2115" t="s">
        <v>109</v>
      </c>
      <c r="F2115" t="s">
        <v>53</v>
      </c>
      <c r="G2115" t="s">
        <v>177</v>
      </c>
      <c r="H2115" t="s">
        <v>54</v>
      </c>
      <c r="I2115" t="s">
        <v>7654</v>
      </c>
      <c r="J2115" t="s">
        <v>37</v>
      </c>
      <c r="K2115" t="s">
        <v>37</v>
      </c>
      <c r="L2115" t="s">
        <v>39</v>
      </c>
      <c r="M2115" t="s">
        <v>37</v>
      </c>
      <c r="N2115" t="s">
        <v>37</v>
      </c>
      <c r="O2115" t="s">
        <v>39</v>
      </c>
      <c r="P2115" t="s">
        <v>38</v>
      </c>
      <c r="Q2115" t="s">
        <v>38</v>
      </c>
      <c r="R2115" t="s">
        <v>39</v>
      </c>
      <c r="S2115" t="s">
        <v>7515</v>
      </c>
      <c r="T2115" t="s">
        <v>7319</v>
      </c>
      <c r="U2115" t="s">
        <v>7311</v>
      </c>
      <c r="V2115" t="s">
        <v>6450</v>
      </c>
      <c r="W2115" t="s">
        <v>5607</v>
      </c>
      <c r="Z2115" t="s">
        <v>46</v>
      </c>
      <c r="AA2115" t="s">
        <v>7370</v>
      </c>
      <c r="AB2115" t="s">
        <v>3109</v>
      </c>
      <c r="AC2115">
        <f>COUNTIF(C:C,QLKV_gui_ket_qua_ra_soat[[#This Row],[Mã điểm bán]])</f>
        <v>1</v>
      </c>
    </row>
    <row r="2116" spans="1:29" x14ac:dyDescent="0.45">
      <c r="A2116" t="s">
        <v>6444</v>
      </c>
      <c r="B2116">
        <v>437</v>
      </c>
      <c r="C2116" t="s">
        <v>7739</v>
      </c>
      <c r="D2116" t="s">
        <v>7740</v>
      </c>
      <c r="E2116" t="s">
        <v>128</v>
      </c>
      <c r="F2116" t="s">
        <v>166</v>
      </c>
      <c r="G2116" t="s">
        <v>34</v>
      </c>
      <c r="H2116" t="s">
        <v>319</v>
      </c>
      <c r="I2116" t="s">
        <v>7531</v>
      </c>
      <c r="J2116" t="s">
        <v>56</v>
      </c>
      <c r="K2116" t="s">
        <v>56</v>
      </c>
      <c r="L2116" t="s">
        <v>39</v>
      </c>
      <c r="M2116" t="s">
        <v>37</v>
      </c>
      <c r="N2116" t="s">
        <v>37</v>
      </c>
      <c r="O2116" t="s">
        <v>39</v>
      </c>
      <c r="P2116" t="s">
        <v>38</v>
      </c>
      <c r="Q2116" t="s">
        <v>38</v>
      </c>
      <c r="R2116" t="s">
        <v>39</v>
      </c>
      <c r="S2116" t="s">
        <v>5460</v>
      </c>
      <c r="T2116" t="s">
        <v>7327</v>
      </c>
      <c r="U2116" t="s">
        <v>7311</v>
      </c>
      <c r="V2116" t="s">
        <v>6450</v>
      </c>
      <c r="W2116" t="s">
        <v>5607</v>
      </c>
      <c r="Z2116" t="s">
        <v>46</v>
      </c>
      <c r="AA2116" t="s">
        <v>7370</v>
      </c>
      <c r="AB2116" t="s">
        <v>5658</v>
      </c>
      <c r="AC2116">
        <f>COUNTIF(C:C,QLKV_gui_ket_qua_ra_soat[[#This Row],[Mã điểm bán]])</f>
        <v>1</v>
      </c>
    </row>
    <row r="2117" spans="1:29" x14ac:dyDescent="0.45">
      <c r="A2117" t="s">
        <v>6444</v>
      </c>
      <c r="B2117">
        <v>438</v>
      </c>
      <c r="C2117" t="s">
        <v>7741</v>
      </c>
      <c r="D2117" t="s">
        <v>7742</v>
      </c>
      <c r="E2117" t="s">
        <v>261</v>
      </c>
      <c r="F2117" t="s">
        <v>3156</v>
      </c>
      <c r="G2117" t="s">
        <v>34</v>
      </c>
      <c r="H2117" t="s">
        <v>54</v>
      </c>
      <c r="I2117" t="s">
        <v>7743</v>
      </c>
      <c r="J2117" t="s">
        <v>56</v>
      </c>
      <c r="K2117" t="s">
        <v>56</v>
      </c>
      <c r="L2117" t="s">
        <v>39</v>
      </c>
      <c r="M2117" t="s">
        <v>37</v>
      </c>
      <c r="N2117" t="s">
        <v>37</v>
      </c>
      <c r="O2117" t="s">
        <v>39</v>
      </c>
      <c r="P2117" t="s">
        <v>38</v>
      </c>
      <c r="Q2117" t="s">
        <v>38</v>
      </c>
      <c r="R2117" t="s">
        <v>39</v>
      </c>
      <c r="S2117" t="s">
        <v>7676</v>
      </c>
      <c r="T2117" t="s">
        <v>7327</v>
      </c>
      <c r="U2117" t="s">
        <v>7311</v>
      </c>
      <c r="V2117" t="s">
        <v>6450</v>
      </c>
      <c r="W2117" t="s">
        <v>7312</v>
      </c>
      <c r="Z2117" t="s">
        <v>46</v>
      </c>
      <c r="AA2117" t="s">
        <v>6457</v>
      </c>
      <c r="AB2117" t="s">
        <v>5658</v>
      </c>
      <c r="AC2117">
        <f>COUNTIF(C:C,QLKV_gui_ket_qua_ra_soat[[#This Row],[Mã điểm bán]])</f>
        <v>1</v>
      </c>
    </row>
    <row r="2118" spans="1:29" x14ac:dyDescent="0.45">
      <c r="A2118" t="s">
        <v>6444</v>
      </c>
      <c r="B2118">
        <v>439</v>
      </c>
      <c r="C2118" t="s">
        <v>7744</v>
      </c>
      <c r="D2118" t="s">
        <v>7745</v>
      </c>
      <c r="E2118" t="s">
        <v>4259</v>
      </c>
      <c r="F2118" t="s">
        <v>7746</v>
      </c>
      <c r="G2118" t="s">
        <v>177</v>
      </c>
      <c r="H2118" t="s">
        <v>171</v>
      </c>
      <c r="I2118" t="s">
        <v>7747</v>
      </c>
      <c r="J2118" t="s">
        <v>37</v>
      </c>
      <c r="K2118" t="s">
        <v>37</v>
      </c>
      <c r="L2118" t="s">
        <v>39</v>
      </c>
      <c r="M2118" t="s">
        <v>37</v>
      </c>
      <c r="N2118" t="s">
        <v>37</v>
      </c>
      <c r="O2118" t="s">
        <v>39</v>
      </c>
      <c r="P2118" t="s">
        <v>38</v>
      </c>
      <c r="Q2118" t="s">
        <v>38</v>
      </c>
      <c r="R2118" t="s">
        <v>39</v>
      </c>
      <c r="S2118" t="s">
        <v>5625</v>
      </c>
      <c r="T2118" t="s">
        <v>7319</v>
      </c>
      <c r="U2118" t="s">
        <v>7311</v>
      </c>
      <c r="V2118" t="s">
        <v>6450</v>
      </c>
      <c r="W2118" t="s">
        <v>7312</v>
      </c>
      <c r="Z2118" t="s">
        <v>46</v>
      </c>
      <c r="AA2118" t="s">
        <v>7370</v>
      </c>
      <c r="AB2118" t="s">
        <v>5658</v>
      </c>
      <c r="AC2118">
        <f>COUNTIF(C:C,QLKV_gui_ket_qua_ra_soat[[#This Row],[Mã điểm bán]])</f>
        <v>1</v>
      </c>
    </row>
    <row r="2119" spans="1:29" x14ac:dyDescent="0.45">
      <c r="A2119" t="s">
        <v>6444</v>
      </c>
      <c r="B2119">
        <v>440</v>
      </c>
      <c r="C2119" t="s">
        <v>7748</v>
      </c>
      <c r="D2119" t="s">
        <v>7749</v>
      </c>
      <c r="E2119" t="s">
        <v>2630</v>
      </c>
      <c r="F2119" t="s">
        <v>7750</v>
      </c>
      <c r="G2119" t="s">
        <v>34</v>
      </c>
      <c r="H2119" t="s">
        <v>171</v>
      </c>
      <c r="I2119" t="s">
        <v>7751</v>
      </c>
      <c r="J2119" t="s">
        <v>37</v>
      </c>
      <c r="K2119" t="s">
        <v>37</v>
      </c>
      <c r="L2119" t="s">
        <v>39</v>
      </c>
      <c r="M2119" t="s">
        <v>37</v>
      </c>
      <c r="N2119" t="s">
        <v>37</v>
      </c>
      <c r="O2119" t="s">
        <v>39</v>
      </c>
      <c r="P2119" t="s">
        <v>38</v>
      </c>
      <c r="Q2119" t="s">
        <v>38</v>
      </c>
      <c r="R2119" t="s">
        <v>39</v>
      </c>
      <c r="S2119" t="s">
        <v>7515</v>
      </c>
      <c r="T2119" t="s">
        <v>7319</v>
      </c>
      <c r="U2119" t="s">
        <v>7311</v>
      </c>
      <c r="V2119" t="s">
        <v>6450</v>
      </c>
      <c r="W2119" t="s">
        <v>7312</v>
      </c>
      <c r="Z2119" t="s">
        <v>46</v>
      </c>
      <c r="AA2119" t="s">
        <v>7370</v>
      </c>
      <c r="AB2119" t="s">
        <v>5658</v>
      </c>
      <c r="AC2119">
        <f>COUNTIF(C:C,QLKV_gui_ket_qua_ra_soat[[#This Row],[Mã điểm bán]])</f>
        <v>1</v>
      </c>
    </row>
    <row r="2120" spans="1:29" x14ac:dyDescent="0.45">
      <c r="A2120" t="s">
        <v>6444</v>
      </c>
      <c r="B2120">
        <v>441</v>
      </c>
      <c r="C2120" t="s">
        <v>7752</v>
      </c>
      <c r="D2120" t="s">
        <v>7753</v>
      </c>
      <c r="E2120" t="s">
        <v>682</v>
      </c>
      <c r="F2120" t="s">
        <v>286</v>
      </c>
      <c r="G2120" t="s">
        <v>177</v>
      </c>
      <c r="H2120" t="s">
        <v>54</v>
      </c>
      <c r="I2120" t="s">
        <v>7754</v>
      </c>
      <c r="J2120" t="s">
        <v>37</v>
      </c>
      <c r="K2120" t="s">
        <v>37</v>
      </c>
      <c r="L2120" t="s">
        <v>39</v>
      </c>
      <c r="M2120" t="s">
        <v>37</v>
      </c>
      <c r="N2120" t="s">
        <v>37</v>
      </c>
      <c r="O2120" t="s">
        <v>39</v>
      </c>
      <c r="P2120" t="s">
        <v>38</v>
      </c>
      <c r="Q2120" t="s">
        <v>37</v>
      </c>
      <c r="R2120" t="s">
        <v>39</v>
      </c>
      <c r="S2120" t="s">
        <v>5363</v>
      </c>
      <c r="T2120" t="s">
        <v>7319</v>
      </c>
      <c r="U2120" t="s">
        <v>7311</v>
      </c>
      <c r="V2120" t="s">
        <v>6450</v>
      </c>
      <c r="W2120" t="s">
        <v>7312</v>
      </c>
      <c r="Z2120" t="s">
        <v>46</v>
      </c>
      <c r="AA2120" t="s">
        <v>7370</v>
      </c>
      <c r="AB2120" t="s">
        <v>5658</v>
      </c>
      <c r="AC2120">
        <f>COUNTIF(C:C,QLKV_gui_ket_qua_ra_soat[[#This Row],[Mã điểm bán]])</f>
        <v>1</v>
      </c>
    </row>
    <row r="2121" spans="1:29" x14ac:dyDescent="0.45">
      <c r="A2121" t="s">
        <v>6444</v>
      </c>
      <c r="B2121">
        <v>442</v>
      </c>
      <c r="C2121" t="s">
        <v>7755</v>
      </c>
      <c r="D2121" t="s">
        <v>7756</v>
      </c>
      <c r="E2121" t="s">
        <v>113</v>
      </c>
      <c r="F2121" t="s">
        <v>417</v>
      </c>
      <c r="G2121" t="s">
        <v>177</v>
      </c>
      <c r="H2121" t="s">
        <v>54</v>
      </c>
      <c r="I2121" t="s">
        <v>7757</v>
      </c>
      <c r="J2121" t="s">
        <v>56</v>
      </c>
      <c r="K2121" t="s">
        <v>37</v>
      </c>
      <c r="L2121" t="s">
        <v>39</v>
      </c>
      <c r="M2121" t="s">
        <v>775</v>
      </c>
      <c r="N2121" t="s">
        <v>1034</v>
      </c>
      <c r="O2121" t="s">
        <v>39</v>
      </c>
      <c r="P2121" t="s">
        <v>37</v>
      </c>
      <c r="Q2121" t="s">
        <v>37</v>
      </c>
      <c r="R2121" t="s">
        <v>39</v>
      </c>
      <c r="S2121" t="s">
        <v>7758</v>
      </c>
      <c r="T2121" t="s">
        <v>7310</v>
      </c>
      <c r="U2121" t="s">
        <v>7311</v>
      </c>
      <c r="V2121" t="s">
        <v>6450</v>
      </c>
      <c r="W2121" t="s">
        <v>7312</v>
      </c>
      <c r="X2121" t="s">
        <v>46</v>
      </c>
      <c r="AC2121">
        <f>COUNTIF(C:C,QLKV_gui_ket_qua_ra_soat[[#This Row],[Mã điểm bán]])</f>
        <v>1</v>
      </c>
    </row>
    <row r="2122" spans="1:29" x14ac:dyDescent="0.45">
      <c r="A2122" t="s">
        <v>6444</v>
      </c>
      <c r="B2122">
        <v>443</v>
      </c>
      <c r="C2122" t="s">
        <v>7759</v>
      </c>
      <c r="D2122" t="s">
        <v>7760</v>
      </c>
      <c r="E2122" t="s">
        <v>69</v>
      </c>
      <c r="F2122" t="s">
        <v>53</v>
      </c>
      <c r="G2122" t="s">
        <v>34</v>
      </c>
      <c r="H2122" t="s">
        <v>708</v>
      </c>
      <c r="I2122" t="s">
        <v>7326</v>
      </c>
      <c r="J2122" t="s">
        <v>56</v>
      </c>
      <c r="K2122" t="s">
        <v>56</v>
      </c>
      <c r="L2122" t="s">
        <v>39</v>
      </c>
      <c r="M2122" t="s">
        <v>37</v>
      </c>
      <c r="N2122" t="s">
        <v>37</v>
      </c>
      <c r="O2122" t="s">
        <v>39</v>
      </c>
      <c r="P2122" t="s">
        <v>38</v>
      </c>
      <c r="Q2122" t="s">
        <v>38</v>
      </c>
      <c r="R2122" t="s">
        <v>39</v>
      </c>
      <c r="S2122" t="s">
        <v>1291</v>
      </c>
      <c r="T2122" t="s">
        <v>7327</v>
      </c>
      <c r="U2122" t="s">
        <v>7311</v>
      </c>
      <c r="V2122" t="s">
        <v>6450</v>
      </c>
      <c r="W2122" t="s">
        <v>7312</v>
      </c>
      <c r="Z2122" t="s">
        <v>46</v>
      </c>
      <c r="AA2122" t="s">
        <v>6457</v>
      </c>
      <c r="AB2122" t="s">
        <v>3109</v>
      </c>
      <c r="AC2122">
        <f>COUNTIF(C:C,QLKV_gui_ket_qua_ra_soat[[#This Row],[Mã điểm bán]])</f>
        <v>1</v>
      </c>
    </row>
    <row r="2123" spans="1:29" x14ac:dyDescent="0.45">
      <c r="A2123" t="s">
        <v>6444</v>
      </c>
      <c r="B2123">
        <v>444</v>
      </c>
      <c r="C2123" t="s">
        <v>7761</v>
      </c>
      <c r="D2123" t="s">
        <v>7762</v>
      </c>
      <c r="E2123" t="s">
        <v>64</v>
      </c>
      <c r="F2123" t="s">
        <v>53</v>
      </c>
      <c r="G2123" t="s">
        <v>177</v>
      </c>
      <c r="H2123" t="s">
        <v>54</v>
      </c>
      <c r="I2123" t="s">
        <v>7654</v>
      </c>
      <c r="J2123" t="s">
        <v>37</v>
      </c>
      <c r="K2123" t="s">
        <v>37</v>
      </c>
      <c r="L2123" t="s">
        <v>39</v>
      </c>
      <c r="M2123" t="s">
        <v>37</v>
      </c>
      <c r="N2123" t="s">
        <v>37</v>
      </c>
      <c r="O2123" t="s">
        <v>39</v>
      </c>
      <c r="P2123" t="s">
        <v>37</v>
      </c>
      <c r="Q2123" t="s">
        <v>37</v>
      </c>
      <c r="R2123" t="s">
        <v>39</v>
      </c>
      <c r="S2123" t="s">
        <v>5625</v>
      </c>
      <c r="T2123" t="s">
        <v>7319</v>
      </c>
      <c r="U2123" t="s">
        <v>7311</v>
      </c>
      <c r="V2123" t="s">
        <v>6450</v>
      </c>
      <c r="W2123" t="s">
        <v>7312</v>
      </c>
      <c r="Z2123" t="s">
        <v>46</v>
      </c>
      <c r="AA2123" t="s">
        <v>7370</v>
      </c>
      <c r="AB2123" t="s">
        <v>3109</v>
      </c>
      <c r="AC2123">
        <f>COUNTIF(C:C,QLKV_gui_ket_qua_ra_soat[[#This Row],[Mã điểm bán]])</f>
        <v>1</v>
      </c>
    </row>
    <row r="2124" spans="1:29" x14ac:dyDescent="0.45">
      <c r="A2124" t="s">
        <v>6444</v>
      </c>
      <c r="B2124">
        <v>445</v>
      </c>
      <c r="C2124" t="s">
        <v>7763</v>
      </c>
      <c r="D2124" t="s">
        <v>7764</v>
      </c>
      <c r="E2124" t="s">
        <v>176</v>
      </c>
      <c r="F2124" t="s">
        <v>53</v>
      </c>
      <c r="G2124" t="s">
        <v>177</v>
      </c>
      <c r="H2124" t="s">
        <v>54</v>
      </c>
      <c r="I2124" t="s">
        <v>7459</v>
      </c>
      <c r="J2124" t="s">
        <v>56</v>
      </c>
      <c r="K2124" t="s">
        <v>38</v>
      </c>
      <c r="L2124" t="s">
        <v>39</v>
      </c>
      <c r="M2124" t="s">
        <v>56</v>
      </c>
      <c r="N2124" t="s">
        <v>56</v>
      </c>
      <c r="O2124" t="s">
        <v>39</v>
      </c>
      <c r="P2124" t="s">
        <v>37</v>
      </c>
      <c r="Q2124" t="s">
        <v>37</v>
      </c>
      <c r="R2124" t="s">
        <v>39</v>
      </c>
      <c r="S2124" t="s">
        <v>41</v>
      </c>
      <c r="T2124" t="s">
        <v>7310</v>
      </c>
      <c r="U2124" t="s">
        <v>7311</v>
      </c>
      <c r="V2124" t="s">
        <v>6450</v>
      </c>
      <c r="W2124" t="s">
        <v>7312</v>
      </c>
      <c r="Z2124" t="s">
        <v>46</v>
      </c>
      <c r="AA2124" t="s">
        <v>6457</v>
      </c>
      <c r="AB2124" t="s">
        <v>3109</v>
      </c>
      <c r="AC2124">
        <f>COUNTIF(C:C,QLKV_gui_ket_qua_ra_soat[[#This Row],[Mã điểm bán]])</f>
        <v>1</v>
      </c>
    </row>
    <row r="2125" spans="1:29" x14ac:dyDescent="0.45">
      <c r="A2125" t="s">
        <v>6444</v>
      </c>
      <c r="B2125">
        <v>446</v>
      </c>
      <c r="C2125" t="s">
        <v>7765</v>
      </c>
      <c r="D2125" t="s">
        <v>7766</v>
      </c>
      <c r="E2125" t="s">
        <v>108</v>
      </c>
      <c r="F2125" t="s">
        <v>53</v>
      </c>
      <c r="G2125" t="s">
        <v>34</v>
      </c>
      <c r="H2125" t="s">
        <v>54</v>
      </c>
      <c r="I2125" t="s">
        <v>7322</v>
      </c>
      <c r="J2125" t="s">
        <v>37</v>
      </c>
      <c r="K2125" t="s">
        <v>38</v>
      </c>
      <c r="L2125" t="s">
        <v>40</v>
      </c>
      <c r="M2125" t="s">
        <v>56</v>
      </c>
      <c r="N2125" t="s">
        <v>56</v>
      </c>
      <c r="O2125" t="s">
        <v>39</v>
      </c>
      <c r="P2125" t="s">
        <v>56</v>
      </c>
      <c r="Q2125" t="s">
        <v>56</v>
      </c>
      <c r="R2125" t="s">
        <v>39</v>
      </c>
      <c r="S2125" t="s">
        <v>41</v>
      </c>
      <c r="T2125" t="s">
        <v>7310</v>
      </c>
      <c r="U2125" t="s">
        <v>7311</v>
      </c>
      <c r="V2125" t="s">
        <v>6450</v>
      </c>
      <c r="W2125" t="s">
        <v>5607</v>
      </c>
      <c r="Z2125" t="s">
        <v>46</v>
      </c>
      <c r="AA2125" t="s">
        <v>6457</v>
      </c>
      <c r="AB2125" t="s">
        <v>3109</v>
      </c>
      <c r="AC2125">
        <f>COUNTIF(C:C,QLKV_gui_ket_qua_ra_soat[[#This Row],[Mã điểm bán]])</f>
        <v>1</v>
      </c>
    </row>
    <row r="2126" spans="1:29" x14ac:dyDescent="0.45">
      <c r="A2126" t="s">
        <v>6444</v>
      </c>
      <c r="B2126">
        <v>447</v>
      </c>
      <c r="C2126" t="s">
        <v>7767</v>
      </c>
      <c r="D2126" t="s">
        <v>7768</v>
      </c>
      <c r="E2126" t="s">
        <v>157</v>
      </c>
      <c r="F2126" t="s">
        <v>191</v>
      </c>
      <c r="G2126" t="s">
        <v>34</v>
      </c>
      <c r="H2126" t="s">
        <v>54</v>
      </c>
      <c r="I2126" t="s">
        <v>7769</v>
      </c>
      <c r="J2126" t="s">
        <v>56</v>
      </c>
      <c r="K2126" t="s">
        <v>56</v>
      </c>
      <c r="L2126" t="s">
        <v>39</v>
      </c>
      <c r="M2126" t="s">
        <v>37</v>
      </c>
      <c r="N2126" t="s">
        <v>37</v>
      </c>
      <c r="O2126" t="s">
        <v>39</v>
      </c>
      <c r="P2126" t="s">
        <v>38</v>
      </c>
      <c r="Q2126" t="s">
        <v>38</v>
      </c>
      <c r="R2126" t="s">
        <v>39</v>
      </c>
      <c r="S2126" t="s">
        <v>1291</v>
      </c>
      <c r="T2126" t="s">
        <v>7327</v>
      </c>
      <c r="U2126" t="s">
        <v>7311</v>
      </c>
      <c r="V2126" t="s">
        <v>6450</v>
      </c>
      <c r="W2126" t="s">
        <v>5607</v>
      </c>
      <c r="Z2126" t="s">
        <v>46</v>
      </c>
      <c r="AA2126" t="s">
        <v>7370</v>
      </c>
      <c r="AB2126" t="s">
        <v>3109</v>
      </c>
      <c r="AC2126">
        <f>COUNTIF(C:C,QLKV_gui_ket_qua_ra_soat[[#This Row],[Mã điểm bán]])</f>
        <v>1</v>
      </c>
    </row>
    <row r="2127" spans="1:29" x14ac:dyDescent="0.45">
      <c r="A2127" t="s">
        <v>6444</v>
      </c>
      <c r="B2127">
        <v>448</v>
      </c>
      <c r="C2127" t="s">
        <v>7770</v>
      </c>
      <c r="D2127" t="s">
        <v>7771</v>
      </c>
      <c r="E2127" t="s">
        <v>3206</v>
      </c>
      <c r="F2127" t="s">
        <v>7772</v>
      </c>
      <c r="G2127" t="s">
        <v>34</v>
      </c>
      <c r="H2127" t="s">
        <v>54</v>
      </c>
      <c r="I2127" t="s">
        <v>7773</v>
      </c>
      <c r="J2127" t="s">
        <v>38</v>
      </c>
      <c r="K2127" t="s">
        <v>38</v>
      </c>
      <c r="L2127" t="s">
        <v>40</v>
      </c>
      <c r="M2127" t="s">
        <v>56</v>
      </c>
      <c r="N2127" t="s">
        <v>56</v>
      </c>
      <c r="O2127" t="s">
        <v>39</v>
      </c>
      <c r="P2127" t="s">
        <v>37</v>
      </c>
      <c r="Q2127" t="s">
        <v>37</v>
      </c>
      <c r="R2127" t="s">
        <v>39</v>
      </c>
      <c r="S2127" t="s">
        <v>41</v>
      </c>
      <c r="T2127" t="s">
        <v>7368</v>
      </c>
      <c r="U2127" t="s">
        <v>7369</v>
      </c>
      <c r="V2127" t="s">
        <v>6450</v>
      </c>
      <c r="W2127" t="s">
        <v>7312</v>
      </c>
      <c r="Y2127" t="s">
        <v>46</v>
      </c>
      <c r="AB2127" t="s">
        <v>5667</v>
      </c>
      <c r="AC2127">
        <f>COUNTIF(C:C,QLKV_gui_ket_qua_ra_soat[[#This Row],[Mã điểm bán]])</f>
        <v>1</v>
      </c>
    </row>
    <row r="2128" spans="1:29" x14ac:dyDescent="0.45">
      <c r="A2128" t="s">
        <v>6444</v>
      </c>
      <c r="B2128">
        <v>449</v>
      </c>
      <c r="C2128" t="s">
        <v>7774</v>
      </c>
      <c r="D2128" t="s">
        <v>7775</v>
      </c>
      <c r="E2128" t="s">
        <v>68</v>
      </c>
      <c r="F2128" t="s">
        <v>53</v>
      </c>
      <c r="G2128" t="s">
        <v>177</v>
      </c>
      <c r="H2128" t="s">
        <v>54</v>
      </c>
      <c r="I2128" t="s">
        <v>7654</v>
      </c>
      <c r="J2128" t="s">
        <v>56</v>
      </c>
      <c r="K2128" t="s">
        <v>37</v>
      </c>
      <c r="L2128" t="s">
        <v>39</v>
      </c>
      <c r="M2128" t="s">
        <v>37</v>
      </c>
      <c r="N2128" t="s">
        <v>37</v>
      </c>
      <c r="O2128" t="s">
        <v>39</v>
      </c>
      <c r="P2128" t="s">
        <v>37</v>
      </c>
      <c r="Q2128" t="s">
        <v>38</v>
      </c>
      <c r="R2128" t="s">
        <v>39</v>
      </c>
      <c r="S2128" t="s">
        <v>41</v>
      </c>
      <c r="T2128" t="s">
        <v>7319</v>
      </c>
      <c r="U2128" t="s">
        <v>7311</v>
      </c>
      <c r="V2128" t="s">
        <v>6450</v>
      </c>
      <c r="W2128" t="s">
        <v>7312</v>
      </c>
      <c r="Z2128" t="s">
        <v>46</v>
      </c>
      <c r="AA2128" t="s">
        <v>7370</v>
      </c>
      <c r="AB2128" t="s">
        <v>3109</v>
      </c>
      <c r="AC2128">
        <f>COUNTIF(C:C,QLKV_gui_ket_qua_ra_soat[[#This Row],[Mã điểm bán]])</f>
        <v>1</v>
      </c>
    </row>
    <row r="2129" spans="1:29" x14ac:dyDescent="0.45">
      <c r="A2129" t="s">
        <v>6444</v>
      </c>
      <c r="B2129">
        <v>450</v>
      </c>
      <c r="C2129" t="s">
        <v>7776</v>
      </c>
      <c r="D2129" t="s">
        <v>7777</v>
      </c>
      <c r="E2129" t="s">
        <v>416</v>
      </c>
      <c r="F2129" t="s">
        <v>1676</v>
      </c>
      <c r="G2129" t="s">
        <v>177</v>
      </c>
      <c r="H2129" t="s">
        <v>54</v>
      </c>
      <c r="I2129" t="s">
        <v>7778</v>
      </c>
      <c r="J2129" t="s">
        <v>56</v>
      </c>
      <c r="K2129" t="s">
        <v>37</v>
      </c>
      <c r="L2129" t="s">
        <v>39</v>
      </c>
      <c r="M2129" t="s">
        <v>37</v>
      </c>
      <c r="N2129" t="s">
        <v>37</v>
      </c>
      <c r="O2129" t="s">
        <v>39</v>
      </c>
      <c r="P2129" t="s">
        <v>38</v>
      </c>
      <c r="Q2129" t="s">
        <v>38</v>
      </c>
      <c r="R2129" t="s">
        <v>40</v>
      </c>
      <c r="S2129" t="s">
        <v>5363</v>
      </c>
      <c r="T2129" t="s">
        <v>7319</v>
      </c>
      <c r="U2129" t="s">
        <v>7311</v>
      </c>
      <c r="V2129" t="s">
        <v>6450</v>
      </c>
      <c r="W2129" t="s">
        <v>7312</v>
      </c>
      <c r="Z2129" t="s">
        <v>46</v>
      </c>
      <c r="AA2129" t="s">
        <v>7370</v>
      </c>
      <c r="AB2129" t="s">
        <v>3109</v>
      </c>
      <c r="AC2129">
        <f>COUNTIF(C:C,QLKV_gui_ket_qua_ra_soat[[#This Row],[Mã điểm bán]])</f>
        <v>1</v>
      </c>
    </row>
    <row r="2130" spans="1:29" x14ac:dyDescent="0.45">
      <c r="A2130" t="s">
        <v>6444</v>
      </c>
      <c r="B2130">
        <v>451</v>
      </c>
      <c r="C2130" t="s">
        <v>7779</v>
      </c>
      <c r="D2130" t="s">
        <v>7780</v>
      </c>
      <c r="E2130" t="s">
        <v>92</v>
      </c>
      <c r="F2130" t="s">
        <v>7781</v>
      </c>
      <c r="G2130" t="s">
        <v>177</v>
      </c>
      <c r="H2130" t="s">
        <v>54</v>
      </c>
      <c r="I2130" t="s">
        <v>7782</v>
      </c>
      <c r="J2130" t="s">
        <v>56</v>
      </c>
      <c r="K2130" t="s">
        <v>37</v>
      </c>
      <c r="L2130" t="s">
        <v>39</v>
      </c>
      <c r="M2130" t="s">
        <v>37</v>
      </c>
      <c r="N2130" t="s">
        <v>37</v>
      </c>
      <c r="O2130" t="s">
        <v>39</v>
      </c>
      <c r="P2130" t="s">
        <v>37</v>
      </c>
      <c r="Q2130" t="s">
        <v>37</v>
      </c>
      <c r="R2130" t="s">
        <v>39</v>
      </c>
      <c r="S2130" t="s">
        <v>5625</v>
      </c>
      <c r="T2130" t="s">
        <v>7319</v>
      </c>
      <c r="U2130" t="s">
        <v>7311</v>
      </c>
      <c r="V2130" t="s">
        <v>6450</v>
      </c>
      <c r="W2130" t="s">
        <v>7312</v>
      </c>
      <c r="Z2130" t="s">
        <v>46</v>
      </c>
      <c r="AA2130" t="s">
        <v>7370</v>
      </c>
      <c r="AB2130" t="s">
        <v>3109</v>
      </c>
      <c r="AC2130">
        <f>COUNTIF(C:C,QLKV_gui_ket_qua_ra_soat[[#This Row],[Mã điểm bán]])</f>
        <v>1</v>
      </c>
    </row>
    <row r="2131" spans="1:29" x14ac:dyDescent="0.45">
      <c r="A2131" t="s">
        <v>6444</v>
      </c>
      <c r="B2131">
        <v>452</v>
      </c>
      <c r="C2131" t="s">
        <v>7783</v>
      </c>
      <c r="D2131" t="s">
        <v>4103</v>
      </c>
      <c r="E2131" t="s">
        <v>69</v>
      </c>
      <c r="F2131" t="s">
        <v>53</v>
      </c>
      <c r="G2131" t="s">
        <v>177</v>
      </c>
      <c r="H2131" t="s">
        <v>54</v>
      </c>
      <c r="I2131" t="s">
        <v>7318</v>
      </c>
      <c r="J2131" t="s">
        <v>37</v>
      </c>
      <c r="K2131" t="s">
        <v>37</v>
      </c>
      <c r="L2131" t="s">
        <v>39</v>
      </c>
      <c r="M2131" t="s">
        <v>37</v>
      </c>
      <c r="N2131" t="s">
        <v>37</v>
      </c>
      <c r="O2131" t="s">
        <v>39</v>
      </c>
      <c r="P2131" t="s">
        <v>37</v>
      </c>
      <c r="Q2131" t="s">
        <v>37</v>
      </c>
      <c r="R2131" t="s">
        <v>39</v>
      </c>
      <c r="S2131" t="s">
        <v>41</v>
      </c>
      <c r="T2131" t="s">
        <v>7319</v>
      </c>
      <c r="U2131" t="s">
        <v>7311</v>
      </c>
      <c r="V2131" t="s">
        <v>6450</v>
      </c>
      <c r="W2131" t="s">
        <v>7312</v>
      </c>
      <c r="X2131" t="s">
        <v>46</v>
      </c>
      <c r="AB2131" t="s">
        <v>3101</v>
      </c>
      <c r="AC2131">
        <f>COUNTIF(C:C,QLKV_gui_ket_qua_ra_soat[[#This Row],[Mã điểm bán]])</f>
        <v>1</v>
      </c>
    </row>
    <row r="2132" spans="1:29" x14ac:dyDescent="0.45">
      <c r="A2132" t="s">
        <v>6444</v>
      </c>
      <c r="B2132">
        <v>453</v>
      </c>
      <c r="C2132" t="s">
        <v>7784</v>
      </c>
      <c r="D2132" t="s">
        <v>7785</v>
      </c>
      <c r="E2132" t="s">
        <v>7786</v>
      </c>
      <c r="F2132" t="s">
        <v>115</v>
      </c>
      <c r="G2132" t="s">
        <v>34</v>
      </c>
      <c r="H2132" t="s">
        <v>54</v>
      </c>
      <c r="I2132" t="s">
        <v>7787</v>
      </c>
      <c r="J2132" t="s">
        <v>38</v>
      </c>
      <c r="K2132" t="s">
        <v>38</v>
      </c>
      <c r="L2132" t="s">
        <v>40</v>
      </c>
      <c r="M2132" t="s">
        <v>56</v>
      </c>
      <c r="N2132" t="s">
        <v>56</v>
      </c>
      <c r="O2132" t="s">
        <v>39</v>
      </c>
      <c r="P2132" t="s">
        <v>37</v>
      </c>
      <c r="Q2132" t="s">
        <v>37</v>
      </c>
      <c r="R2132" t="s">
        <v>39</v>
      </c>
      <c r="S2132" t="s">
        <v>41</v>
      </c>
      <c r="T2132" t="s">
        <v>7368</v>
      </c>
      <c r="U2132" t="s">
        <v>7369</v>
      </c>
      <c r="V2132" t="s">
        <v>6450</v>
      </c>
      <c r="W2132" t="s">
        <v>5607</v>
      </c>
      <c r="X2132" t="s">
        <v>46</v>
      </c>
      <c r="AB2132" t="s">
        <v>4223</v>
      </c>
      <c r="AC2132">
        <f>COUNTIF(C:C,QLKV_gui_ket_qua_ra_soat[[#This Row],[Mã điểm bán]])</f>
        <v>1</v>
      </c>
    </row>
    <row r="2133" spans="1:29" x14ac:dyDescent="0.45">
      <c r="A2133" t="s">
        <v>6444</v>
      </c>
      <c r="B2133">
        <v>454</v>
      </c>
      <c r="C2133" t="s">
        <v>7788</v>
      </c>
      <c r="D2133" t="s">
        <v>7789</v>
      </c>
      <c r="E2133" t="s">
        <v>7791</v>
      </c>
      <c r="F2133" t="s">
        <v>76</v>
      </c>
      <c r="G2133" t="s">
        <v>34</v>
      </c>
      <c r="H2133" t="s">
        <v>54</v>
      </c>
      <c r="I2133" t="s">
        <v>7792</v>
      </c>
      <c r="J2133" t="s">
        <v>37</v>
      </c>
      <c r="K2133" t="s">
        <v>37</v>
      </c>
      <c r="L2133" t="s">
        <v>40</v>
      </c>
      <c r="M2133" t="s">
        <v>56</v>
      </c>
      <c r="N2133" t="s">
        <v>56</v>
      </c>
      <c r="O2133" t="s">
        <v>39</v>
      </c>
      <c r="P2133" t="s">
        <v>38</v>
      </c>
      <c r="Q2133" t="s">
        <v>38</v>
      </c>
      <c r="R2133" t="s">
        <v>39</v>
      </c>
      <c r="S2133" t="s">
        <v>41</v>
      </c>
      <c r="T2133" t="s">
        <v>7368</v>
      </c>
      <c r="U2133" t="s">
        <v>7369</v>
      </c>
      <c r="V2133" t="s">
        <v>6450</v>
      </c>
      <c r="W2133" t="s">
        <v>7312</v>
      </c>
      <c r="Z2133" t="s">
        <v>46</v>
      </c>
      <c r="AA2133" t="s">
        <v>6457</v>
      </c>
      <c r="AB2133" t="s">
        <v>4223</v>
      </c>
      <c r="AC2133">
        <f>COUNTIF(C:C,QLKV_gui_ket_qua_ra_soat[[#This Row],[Mã điểm bán]])</f>
        <v>1</v>
      </c>
    </row>
    <row r="2134" spans="1:29" x14ac:dyDescent="0.45">
      <c r="A2134" t="s">
        <v>6444</v>
      </c>
      <c r="B2134">
        <v>455</v>
      </c>
      <c r="C2134" t="s">
        <v>7793</v>
      </c>
      <c r="D2134" t="s">
        <v>2001</v>
      </c>
      <c r="E2134" t="s">
        <v>857</v>
      </c>
      <c r="F2134" t="s">
        <v>53</v>
      </c>
      <c r="G2134" t="s">
        <v>177</v>
      </c>
      <c r="H2134" t="s">
        <v>54</v>
      </c>
      <c r="I2134" t="s">
        <v>7318</v>
      </c>
      <c r="J2134" t="s">
        <v>56</v>
      </c>
      <c r="K2134" t="s">
        <v>37</v>
      </c>
      <c r="L2134" t="s">
        <v>39</v>
      </c>
      <c r="M2134" t="s">
        <v>37</v>
      </c>
      <c r="N2134" t="s">
        <v>37</v>
      </c>
      <c r="O2134" t="s">
        <v>39</v>
      </c>
      <c r="P2134" t="s">
        <v>37</v>
      </c>
      <c r="Q2134" t="s">
        <v>37</v>
      </c>
      <c r="R2134" t="s">
        <v>39</v>
      </c>
      <c r="S2134" t="s">
        <v>5363</v>
      </c>
      <c r="T2134" t="s">
        <v>7319</v>
      </c>
      <c r="U2134" t="s">
        <v>7311</v>
      </c>
      <c r="V2134" t="s">
        <v>6450</v>
      </c>
      <c r="W2134" t="s">
        <v>7312</v>
      </c>
      <c r="Z2134" t="s">
        <v>46</v>
      </c>
      <c r="AA2134" t="s">
        <v>7370</v>
      </c>
      <c r="AB2134" t="s">
        <v>3109</v>
      </c>
      <c r="AC2134">
        <f>COUNTIF(C:C,QLKV_gui_ket_qua_ra_soat[[#This Row],[Mã điểm bán]])</f>
        <v>1</v>
      </c>
    </row>
    <row r="2135" spans="1:29" x14ac:dyDescent="0.45">
      <c r="A2135" t="s">
        <v>6444</v>
      </c>
      <c r="B2135">
        <v>456</v>
      </c>
      <c r="C2135" t="s">
        <v>7794</v>
      </c>
      <c r="D2135" t="s">
        <v>7795</v>
      </c>
      <c r="E2135" t="s">
        <v>69</v>
      </c>
      <c r="F2135" t="s">
        <v>53</v>
      </c>
      <c r="G2135" t="s">
        <v>34</v>
      </c>
      <c r="H2135" t="s">
        <v>54</v>
      </c>
      <c r="I2135" t="s">
        <v>7326</v>
      </c>
      <c r="J2135" t="s">
        <v>56</v>
      </c>
      <c r="K2135" t="s">
        <v>56</v>
      </c>
      <c r="L2135" t="s">
        <v>39</v>
      </c>
      <c r="M2135" t="s">
        <v>37</v>
      </c>
      <c r="N2135" t="s">
        <v>37</v>
      </c>
      <c r="O2135" t="s">
        <v>39</v>
      </c>
      <c r="P2135" t="s">
        <v>38</v>
      </c>
      <c r="Q2135" t="s">
        <v>38</v>
      </c>
      <c r="R2135" t="s">
        <v>39</v>
      </c>
      <c r="S2135" t="s">
        <v>1291</v>
      </c>
      <c r="T2135" t="s">
        <v>7327</v>
      </c>
      <c r="U2135" t="s">
        <v>7311</v>
      </c>
      <c r="V2135" t="s">
        <v>6450</v>
      </c>
      <c r="W2135" t="s">
        <v>7312</v>
      </c>
      <c r="Z2135" t="s">
        <v>46</v>
      </c>
      <c r="AA2135" t="s">
        <v>7370</v>
      </c>
      <c r="AB2135" t="s">
        <v>3109</v>
      </c>
      <c r="AC2135">
        <f>COUNTIF(C:C,QLKV_gui_ket_qua_ra_soat[[#This Row],[Mã điểm bán]])</f>
        <v>1</v>
      </c>
    </row>
    <row r="2136" spans="1:29" x14ac:dyDescent="0.45">
      <c r="A2136" t="s">
        <v>6444</v>
      </c>
      <c r="B2136">
        <v>457</v>
      </c>
      <c r="C2136" t="s">
        <v>7796</v>
      </c>
      <c r="D2136" t="s">
        <v>7797</v>
      </c>
      <c r="E2136" t="s">
        <v>91</v>
      </c>
      <c r="F2136" t="s">
        <v>934</v>
      </c>
      <c r="G2136" t="s">
        <v>34</v>
      </c>
      <c r="H2136" t="s">
        <v>1706</v>
      </c>
      <c r="I2136" t="s">
        <v>7667</v>
      </c>
      <c r="J2136" t="s">
        <v>56</v>
      </c>
      <c r="K2136" t="s">
        <v>37</v>
      </c>
      <c r="L2136" t="s">
        <v>39</v>
      </c>
      <c r="M2136" t="s">
        <v>37</v>
      </c>
      <c r="N2136" t="s">
        <v>37</v>
      </c>
      <c r="O2136" t="s">
        <v>39</v>
      </c>
      <c r="P2136" t="s">
        <v>38</v>
      </c>
      <c r="Q2136" t="s">
        <v>38</v>
      </c>
      <c r="R2136" t="s">
        <v>39</v>
      </c>
      <c r="S2136" t="s">
        <v>7676</v>
      </c>
      <c r="T2136" t="s">
        <v>7327</v>
      </c>
      <c r="U2136" t="s">
        <v>7311</v>
      </c>
      <c r="V2136" t="s">
        <v>6450</v>
      </c>
      <c r="W2136" t="s">
        <v>5607</v>
      </c>
      <c r="Z2136" t="s">
        <v>46</v>
      </c>
      <c r="AA2136" t="s">
        <v>7370</v>
      </c>
      <c r="AB2136" t="s">
        <v>3109</v>
      </c>
      <c r="AC2136">
        <f>COUNTIF(C:C,QLKV_gui_ket_qua_ra_soat[[#This Row],[Mã điểm bán]])</f>
        <v>1</v>
      </c>
    </row>
    <row r="2137" spans="1:29" x14ac:dyDescent="0.45">
      <c r="A2137" t="s">
        <v>6444</v>
      </c>
      <c r="B2137">
        <v>458</v>
      </c>
      <c r="C2137" t="s">
        <v>7798</v>
      </c>
      <c r="D2137" t="s">
        <v>7799</v>
      </c>
      <c r="E2137" t="s">
        <v>307</v>
      </c>
      <c r="F2137" t="s">
        <v>456</v>
      </c>
      <c r="G2137" t="s">
        <v>177</v>
      </c>
      <c r="H2137" t="s">
        <v>54</v>
      </c>
      <c r="I2137" t="s">
        <v>7800</v>
      </c>
      <c r="J2137" t="s">
        <v>56</v>
      </c>
      <c r="K2137" t="s">
        <v>37</v>
      </c>
      <c r="L2137" t="s">
        <v>121</v>
      </c>
      <c r="M2137" t="s">
        <v>37</v>
      </c>
      <c r="N2137" t="s">
        <v>37</v>
      </c>
      <c r="O2137" t="s">
        <v>39</v>
      </c>
      <c r="P2137" t="s">
        <v>37</v>
      </c>
      <c r="Q2137" t="s">
        <v>37</v>
      </c>
      <c r="R2137" t="s">
        <v>39</v>
      </c>
      <c r="S2137" t="s">
        <v>41</v>
      </c>
      <c r="T2137" t="s">
        <v>7319</v>
      </c>
      <c r="U2137" t="s">
        <v>7311</v>
      </c>
      <c r="V2137" t="s">
        <v>6450</v>
      </c>
      <c r="W2137" t="s">
        <v>7312</v>
      </c>
      <c r="Z2137" t="s">
        <v>46</v>
      </c>
      <c r="AA2137" t="s">
        <v>7370</v>
      </c>
      <c r="AB2137" t="s">
        <v>5658</v>
      </c>
      <c r="AC2137">
        <f>COUNTIF(C:C,QLKV_gui_ket_qua_ra_soat[[#This Row],[Mã điểm bán]])</f>
        <v>1</v>
      </c>
    </row>
    <row r="2138" spans="1:29" x14ac:dyDescent="0.45">
      <c r="A2138" t="s">
        <v>6444</v>
      </c>
      <c r="B2138">
        <v>459</v>
      </c>
      <c r="C2138" t="s">
        <v>7801</v>
      </c>
      <c r="D2138" t="s">
        <v>7802</v>
      </c>
      <c r="E2138" t="s">
        <v>344</v>
      </c>
      <c r="F2138" t="s">
        <v>426</v>
      </c>
      <c r="G2138" t="s">
        <v>177</v>
      </c>
      <c r="H2138" t="s">
        <v>171</v>
      </c>
      <c r="I2138" t="s">
        <v>7448</v>
      </c>
      <c r="J2138" t="s">
        <v>37</v>
      </c>
      <c r="K2138" t="s">
        <v>37</v>
      </c>
      <c r="L2138" t="s">
        <v>40</v>
      </c>
      <c r="M2138" t="s">
        <v>775</v>
      </c>
      <c r="N2138" t="s">
        <v>775</v>
      </c>
      <c r="O2138" t="s">
        <v>39</v>
      </c>
      <c r="P2138" t="s">
        <v>38</v>
      </c>
      <c r="Q2138" t="s">
        <v>38</v>
      </c>
      <c r="R2138" t="s">
        <v>40</v>
      </c>
      <c r="S2138" t="s">
        <v>7803</v>
      </c>
      <c r="T2138" t="s">
        <v>7310</v>
      </c>
      <c r="U2138" t="s">
        <v>7311</v>
      </c>
      <c r="V2138" t="s">
        <v>6450</v>
      </c>
      <c r="W2138" t="s">
        <v>5607</v>
      </c>
      <c r="X2138" t="s">
        <v>46</v>
      </c>
      <c r="AB2138" t="s">
        <v>117</v>
      </c>
      <c r="AC2138">
        <f>COUNTIF(C:C,QLKV_gui_ket_qua_ra_soat[[#This Row],[Mã điểm bán]])</f>
        <v>1</v>
      </c>
    </row>
    <row r="2139" spans="1:29" x14ac:dyDescent="0.45">
      <c r="A2139" t="s">
        <v>6444</v>
      </c>
      <c r="B2139">
        <v>460</v>
      </c>
      <c r="C2139" t="s">
        <v>7804</v>
      </c>
      <c r="D2139" t="s">
        <v>7805</v>
      </c>
      <c r="E2139" t="s">
        <v>69</v>
      </c>
      <c r="F2139" t="s">
        <v>53</v>
      </c>
      <c r="G2139" t="s">
        <v>34</v>
      </c>
      <c r="H2139" t="s">
        <v>54</v>
      </c>
      <c r="I2139" t="s">
        <v>7806</v>
      </c>
      <c r="J2139" t="s">
        <v>56</v>
      </c>
      <c r="K2139" t="s">
        <v>56</v>
      </c>
      <c r="L2139" t="s">
        <v>39</v>
      </c>
      <c r="M2139" t="s">
        <v>37</v>
      </c>
      <c r="N2139" t="s">
        <v>37</v>
      </c>
      <c r="O2139" t="s">
        <v>39</v>
      </c>
      <c r="P2139" t="s">
        <v>38</v>
      </c>
      <c r="Q2139" t="s">
        <v>38</v>
      </c>
      <c r="R2139" t="s">
        <v>39</v>
      </c>
      <c r="S2139" t="s">
        <v>4783</v>
      </c>
      <c r="T2139" t="s">
        <v>7327</v>
      </c>
      <c r="U2139" t="s">
        <v>7311</v>
      </c>
      <c r="V2139" t="s">
        <v>6450</v>
      </c>
      <c r="W2139" t="s">
        <v>7312</v>
      </c>
      <c r="Z2139" t="s">
        <v>46</v>
      </c>
      <c r="AA2139" t="s">
        <v>7370</v>
      </c>
      <c r="AB2139" t="s">
        <v>3109</v>
      </c>
      <c r="AC2139">
        <f>COUNTIF(C:C,QLKV_gui_ket_qua_ra_soat[[#This Row],[Mã điểm bán]])</f>
        <v>1</v>
      </c>
    </row>
    <row r="2140" spans="1:29" x14ac:dyDescent="0.45">
      <c r="A2140" t="s">
        <v>6444</v>
      </c>
      <c r="B2140">
        <v>461</v>
      </c>
      <c r="C2140" t="s">
        <v>7807</v>
      </c>
      <c r="D2140" t="s">
        <v>7808</v>
      </c>
      <c r="E2140" t="s">
        <v>573</v>
      </c>
      <c r="F2140" t="s">
        <v>53</v>
      </c>
      <c r="G2140" t="s">
        <v>177</v>
      </c>
      <c r="H2140" t="s">
        <v>54</v>
      </c>
      <c r="I2140" t="s">
        <v>7654</v>
      </c>
      <c r="J2140" t="s">
        <v>37</v>
      </c>
      <c r="K2140" t="s">
        <v>37</v>
      </c>
      <c r="L2140" t="s">
        <v>39</v>
      </c>
      <c r="M2140" t="s">
        <v>38</v>
      </c>
      <c r="N2140" t="s">
        <v>38</v>
      </c>
      <c r="O2140" t="s">
        <v>39</v>
      </c>
      <c r="P2140" t="s">
        <v>38</v>
      </c>
      <c r="Q2140" t="s">
        <v>38</v>
      </c>
      <c r="R2140" t="s">
        <v>39</v>
      </c>
      <c r="S2140" t="s">
        <v>7515</v>
      </c>
      <c r="T2140" t="s">
        <v>7319</v>
      </c>
      <c r="U2140" t="s">
        <v>7311</v>
      </c>
      <c r="V2140" t="s">
        <v>6450</v>
      </c>
      <c r="W2140" t="s">
        <v>5607</v>
      </c>
      <c r="Z2140" t="s">
        <v>46</v>
      </c>
      <c r="AA2140" t="s">
        <v>7370</v>
      </c>
      <c r="AB2140" t="s">
        <v>3109</v>
      </c>
      <c r="AC2140">
        <f>COUNTIF(C:C,QLKV_gui_ket_qua_ra_soat[[#This Row],[Mã điểm bán]])</f>
        <v>1</v>
      </c>
    </row>
    <row r="2141" spans="1:29" x14ac:dyDescent="0.45">
      <c r="A2141" t="s">
        <v>6444</v>
      </c>
      <c r="B2141">
        <v>462</v>
      </c>
      <c r="C2141" t="s">
        <v>7809</v>
      </c>
      <c r="D2141" t="s">
        <v>7810</v>
      </c>
      <c r="E2141" t="s">
        <v>157</v>
      </c>
      <c r="F2141" t="s">
        <v>53</v>
      </c>
      <c r="G2141" t="s">
        <v>34</v>
      </c>
      <c r="H2141" t="s">
        <v>54</v>
      </c>
      <c r="I2141" t="s">
        <v>7322</v>
      </c>
      <c r="J2141" t="s">
        <v>56</v>
      </c>
      <c r="K2141" t="s">
        <v>56</v>
      </c>
      <c r="L2141" t="s">
        <v>39</v>
      </c>
      <c r="M2141" t="s">
        <v>56</v>
      </c>
      <c r="N2141" t="s">
        <v>56</v>
      </c>
      <c r="O2141" t="s">
        <v>39</v>
      </c>
      <c r="P2141" t="s">
        <v>37</v>
      </c>
      <c r="Q2141" t="s">
        <v>37</v>
      </c>
      <c r="R2141" t="s">
        <v>40</v>
      </c>
      <c r="S2141" t="s">
        <v>41</v>
      </c>
      <c r="T2141" t="s">
        <v>7310</v>
      </c>
      <c r="U2141" t="s">
        <v>7311</v>
      </c>
      <c r="V2141" t="s">
        <v>6450</v>
      </c>
      <c r="W2141" t="s">
        <v>5607</v>
      </c>
      <c r="Z2141" t="s">
        <v>46</v>
      </c>
      <c r="AA2141" t="s">
        <v>7370</v>
      </c>
      <c r="AB2141" t="s">
        <v>3109</v>
      </c>
      <c r="AC2141">
        <f>COUNTIF(C:C,QLKV_gui_ket_qua_ra_soat[[#This Row],[Mã điểm bán]])</f>
        <v>1</v>
      </c>
    </row>
    <row r="2142" spans="1:29" x14ac:dyDescent="0.45">
      <c r="A2142" t="s">
        <v>6444</v>
      </c>
      <c r="B2142">
        <v>463</v>
      </c>
      <c r="C2142" t="s">
        <v>7811</v>
      </c>
      <c r="D2142" t="s">
        <v>7812</v>
      </c>
      <c r="E2142" t="s">
        <v>113</v>
      </c>
      <c r="F2142" t="s">
        <v>2432</v>
      </c>
      <c r="G2142" t="s">
        <v>34</v>
      </c>
      <c r="H2142" t="s">
        <v>54</v>
      </c>
      <c r="I2142" t="s">
        <v>7813</v>
      </c>
      <c r="J2142" t="s">
        <v>37</v>
      </c>
      <c r="K2142" t="s">
        <v>37</v>
      </c>
      <c r="L2142" t="s">
        <v>39</v>
      </c>
      <c r="M2142" t="s">
        <v>37</v>
      </c>
      <c r="N2142" t="s">
        <v>37</v>
      </c>
      <c r="O2142" t="s">
        <v>39</v>
      </c>
      <c r="P2142" t="s">
        <v>37</v>
      </c>
      <c r="Q2142" t="s">
        <v>37</v>
      </c>
      <c r="R2142" t="s">
        <v>39</v>
      </c>
      <c r="S2142" t="s">
        <v>41</v>
      </c>
      <c r="T2142" t="s">
        <v>7327</v>
      </c>
      <c r="U2142" t="s">
        <v>7311</v>
      </c>
      <c r="V2142" t="s">
        <v>6450</v>
      </c>
      <c r="W2142" t="s">
        <v>7312</v>
      </c>
      <c r="Z2142" t="s">
        <v>46</v>
      </c>
      <c r="AA2142" t="s">
        <v>7370</v>
      </c>
      <c r="AB2142" t="s">
        <v>3109</v>
      </c>
      <c r="AC2142">
        <f>COUNTIF(C:C,QLKV_gui_ket_qua_ra_soat[[#This Row],[Mã điểm bán]])</f>
        <v>1</v>
      </c>
    </row>
    <row r="2143" spans="1:29" x14ac:dyDescent="0.45">
      <c r="A2143" t="s">
        <v>6444</v>
      </c>
      <c r="B2143">
        <v>464</v>
      </c>
      <c r="C2143" t="s">
        <v>7814</v>
      </c>
      <c r="D2143" t="s">
        <v>7815</v>
      </c>
      <c r="E2143" t="s">
        <v>113</v>
      </c>
      <c r="F2143" t="s">
        <v>1340</v>
      </c>
      <c r="G2143" t="s">
        <v>177</v>
      </c>
      <c r="H2143" t="s">
        <v>54</v>
      </c>
      <c r="I2143" t="s">
        <v>7816</v>
      </c>
      <c r="J2143" t="s">
        <v>56</v>
      </c>
      <c r="K2143" t="s">
        <v>37</v>
      </c>
      <c r="L2143" t="s">
        <v>121</v>
      </c>
      <c r="M2143" t="s">
        <v>37</v>
      </c>
      <c r="N2143" t="s">
        <v>37</v>
      </c>
      <c r="O2143" t="s">
        <v>39</v>
      </c>
      <c r="P2143" t="s">
        <v>38</v>
      </c>
      <c r="Q2143" t="s">
        <v>37</v>
      </c>
      <c r="R2143" t="s">
        <v>39</v>
      </c>
      <c r="S2143" t="s">
        <v>7817</v>
      </c>
      <c r="T2143" t="s">
        <v>7319</v>
      </c>
      <c r="U2143" t="s">
        <v>7311</v>
      </c>
      <c r="V2143" t="s">
        <v>6450</v>
      </c>
      <c r="W2143" t="s">
        <v>7312</v>
      </c>
      <c r="Z2143" t="s">
        <v>46</v>
      </c>
      <c r="AA2143" t="s">
        <v>7370</v>
      </c>
      <c r="AB2143" t="s">
        <v>3109</v>
      </c>
      <c r="AC2143">
        <f>COUNTIF(C:C,QLKV_gui_ket_qua_ra_soat[[#This Row],[Mã điểm bán]])</f>
        <v>1</v>
      </c>
    </row>
    <row r="2144" spans="1:29" x14ac:dyDescent="0.45">
      <c r="A2144" t="s">
        <v>6444</v>
      </c>
      <c r="B2144">
        <v>465</v>
      </c>
      <c r="C2144" t="s">
        <v>7818</v>
      </c>
      <c r="D2144" t="s">
        <v>7819</v>
      </c>
      <c r="E2144" t="s">
        <v>176</v>
      </c>
      <c r="F2144" t="s">
        <v>70</v>
      </c>
      <c r="G2144" t="s">
        <v>177</v>
      </c>
      <c r="H2144" t="s">
        <v>54</v>
      </c>
      <c r="I2144" t="s">
        <v>7820</v>
      </c>
      <c r="J2144" t="s">
        <v>37</v>
      </c>
      <c r="K2144" t="s">
        <v>37</v>
      </c>
      <c r="L2144" t="s">
        <v>39</v>
      </c>
      <c r="M2144" t="s">
        <v>38</v>
      </c>
      <c r="N2144" t="s">
        <v>38</v>
      </c>
      <c r="O2144" t="s">
        <v>39</v>
      </c>
      <c r="P2144" t="s">
        <v>38</v>
      </c>
      <c r="Q2144" t="s">
        <v>38</v>
      </c>
      <c r="R2144" t="s">
        <v>40</v>
      </c>
      <c r="S2144" t="s">
        <v>7821</v>
      </c>
      <c r="T2144" t="s">
        <v>7319</v>
      </c>
      <c r="U2144" t="s">
        <v>7311</v>
      </c>
      <c r="V2144" t="s">
        <v>6450</v>
      </c>
      <c r="W2144" t="s">
        <v>7312</v>
      </c>
      <c r="Z2144" t="s">
        <v>46</v>
      </c>
      <c r="AA2144" t="s">
        <v>7370</v>
      </c>
      <c r="AB2144" t="s">
        <v>3109</v>
      </c>
      <c r="AC2144">
        <f>COUNTIF(C:C,QLKV_gui_ket_qua_ra_soat[[#This Row],[Mã điểm bán]])</f>
        <v>1</v>
      </c>
    </row>
    <row r="2145" spans="1:29" x14ac:dyDescent="0.45">
      <c r="A2145" t="s">
        <v>6444</v>
      </c>
      <c r="B2145">
        <v>466</v>
      </c>
      <c r="C2145" t="s">
        <v>7822</v>
      </c>
      <c r="D2145" t="s">
        <v>7823</v>
      </c>
      <c r="E2145" t="s">
        <v>2678</v>
      </c>
      <c r="F2145" t="s">
        <v>53</v>
      </c>
      <c r="G2145" t="s">
        <v>34</v>
      </c>
      <c r="H2145" t="s">
        <v>54</v>
      </c>
      <c r="I2145" t="s">
        <v>7824</v>
      </c>
      <c r="J2145" t="s">
        <v>38</v>
      </c>
      <c r="K2145" t="s">
        <v>38</v>
      </c>
      <c r="L2145" t="s">
        <v>40</v>
      </c>
      <c r="M2145" t="s">
        <v>37</v>
      </c>
      <c r="N2145" t="s">
        <v>56</v>
      </c>
      <c r="O2145" t="s">
        <v>39</v>
      </c>
      <c r="P2145" t="s">
        <v>37</v>
      </c>
      <c r="Q2145" t="s">
        <v>37</v>
      </c>
      <c r="R2145" t="s">
        <v>39</v>
      </c>
      <c r="S2145" t="s">
        <v>41</v>
      </c>
      <c r="T2145" t="s">
        <v>7368</v>
      </c>
      <c r="U2145" t="s">
        <v>7369</v>
      </c>
      <c r="V2145" t="s">
        <v>6450</v>
      </c>
      <c r="W2145" t="s">
        <v>5607</v>
      </c>
      <c r="Z2145" t="s">
        <v>46</v>
      </c>
      <c r="AA2145" t="s">
        <v>6457</v>
      </c>
      <c r="AB2145" t="s">
        <v>4223</v>
      </c>
      <c r="AC2145">
        <f>COUNTIF(C:C,QLKV_gui_ket_qua_ra_soat[[#This Row],[Mã điểm bán]])</f>
        <v>1</v>
      </c>
    </row>
    <row r="2146" spans="1:29" x14ac:dyDescent="0.45">
      <c r="A2146" t="s">
        <v>6444</v>
      </c>
      <c r="B2146">
        <v>467</v>
      </c>
      <c r="C2146" t="s">
        <v>7825</v>
      </c>
      <c r="D2146" t="s">
        <v>7826</v>
      </c>
      <c r="E2146" t="s">
        <v>291</v>
      </c>
      <c r="F2146" t="s">
        <v>166</v>
      </c>
      <c r="G2146" t="s">
        <v>34</v>
      </c>
      <c r="H2146" t="s">
        <v>319</v>
      </c>
      <c r="I2146" t="s">
        <v>7827</v>
      </c>
      <c r="J2146" t="s">
        <v>38</v>
      </c>
      <c r="K2146" t="s">
        <v>56</v>
      </c>
      <c r="L2146" t="s">
        <v>39</v>
      </c>
      <c r="M2146" t="s">
        <v>37</v>
      </c>
      <c r="N2146" t="s">
        <v>37</v>
      </c>
      <c r="O2146" t="s">
        <v>39</v>
      </c>
      <c r="P2146" t="s">
        <v>38</v>
      </c>
      <c r="Q2146" t="s">
        <v>38</v>
      </c>
      <c r="R2146" t="s">
        <v>39</v>
      </c>
      <c r="S2146" t="s">
        <v>41</v>
      </c>
      <c r="T2146" t="s">
        <v>7327</v>
      </c>
      <c r="U2146" t="s">
        <v>7311</v>
      </c>
      <c r="V2146" t="s">
        <v>6450</v>
      </c>
      <c r="W2146" t="s">
        <v>5607</v>
      </c>
      <c r="Z2146" t="s">
        <v>46</v>
      </c>
      <c r="AA2146" t="s">
        <v>7370</v>
      </c>
      <c r="AB2146" t="s">
        <v>3109</v>
      </c>
      <c r="AC2146">
        <f>COUNTIF(C:C,QLKV_gui_ket_qua_ra_soat[[#This Row],[Mã điểm bán]])</f>
        <v>1</v>
      </c>
    </row>
    <row r="2147" spans="1:29" x14ac:dyDescent="0.45">
      <c r="A2147" t="s">
        <v>6444</v>
      </c>
      <c r="B2147">
        <v>468</v>
      </c>
      <c r="C2147" t="s">
        <v>7828</v>
      </c>
      <c r="D2147" t="s">
        <v>7829</v>
      </c>
      <c r="E2147" t="s">
        <v>2678</v>
      </c>
      <c r="F2147" t="s">
        <v>5505</v>
      </c>
      <c r="G2147" t="s">
        <v>34</v>
      </c>
      <c r="H2147" t="s">
        <v>54</v>
      </c>
      <c r="I2147" t="s">
        <v>7830</v>
      </c>
      <c r="J2147" t="s">
        <v>38</v>
      </c>
      <c r="K2147" t="s">
        <v>38</v>
      </c>
      <c r="L2147" t="s">
        <v>40</v>
      </c>
      <c r="M2147" t="s">
        <v>56</v>
      </c>
      <c r="N2147" t="s">
        <v>56</v>
      </c>
      <c r="O2147" t="s">
        <v>39</v>
      </c>
      <c r="P2147" t="s">
        <v>37</v>
      </c>
      <c r="Q2147" t="s">
        <v>56</v>
      </c>
      <c r="R2147" t="s">
        <v>39</v>
      </c>
      <c r="S2147" t="s">
        <v>41</v>
      </c>
      <c r="T2147" t="s">
        <v>7368</v>
      </c>
      <c r="U2147" t="s">
        <v>7369</v>
      </c>
      <c r="V2147" t="s">
        <v>6450</v>
      </c>
      <c r="W2147" t="s">
        <v>7312</v>
      </c>
      <c r="X2147" t="s">
        <v>46</v>
      </c>
      <c r="AB2147" t="s">
        <v>4223</v>
      </c>
      <c r="AC2147">
        <f>COUNTIF(C:C,QLKV_gui_ket_qua_ra_soat[[#This Row],[Mã điểm bán]])</f>
        <v>1</v>
      </c>
    </row>
    <row r="2148" spans="1:29" x14ac:dyDescent="0.45">
      <c r="A2148" t="s">
        <v>6444</v>
      </c>
      <c r="B2148">
        <v>469</v>
      </c>
      <c r="C2148" t="s">
        <v>7831</v>
      </c>
      <c r="D2148" t="s">
        <v>7832</v>
      </c>
      <c r="E2148" t="s">
        <v>92</v>
      </c>
      <c r="F2148" t="s">
        <v>417</v>
      </c>
      <c r="G2148" t="s">
        <v>177</v>
      </c>
      <c r="H2148" t="s">
        <v>54</v>
      </c>
      <c r="I2148" t="s">
        <v>7833</v>
      </c>
      <c r="J2148" t="s">
        <v>37</v>
      </c>
      <c r="K2148" t="s">
        <v>37</v>
      </c>
      <c r="L2148" t="s">
        <v>39</v>
      </c>
      <c r="M2148" t="s">
        <v>37</v>
      </c>
      <c r="N2148" t="s">
        <v>37</v>
      </c>
      <c r="O2148" t="s">
        <v>39</v>
      </c>
      <c r="P2148" t="s">
        <v>38</v>
      </c>
      <c r="Q2148" t="s">
        <v>37</v>
      </c>
      <c r="R2148" t="s">
        <v>39</v>
      </c>
      <c r="S2148" t="s">
        <v>7495</v>
      </c>
      <c r="T2148" t="s">
        <v>7319</v>
      </c>
      <c r="U2148" t="s">
        <v>7311</v>
      </c>
      <c r="V2148" t="s">
        <v>6450</v>
      </c>
      <c r="W2148" t="s">
        <v>5607</v>
      </c>
      <c r="Z2148" t="s">
        <v>46</v>
      </c>
      <c r="AA2148" t="s">
        <v>7370</v>
      </c>
      <c r="AB2148" t="s">
        <v>3109</v>
      </c>
      <c r="AC2148">
        <f>COUNTIF(C:C,QLKV_gui_ket_qua_ra_soat[[#This Row],[Mã điểm bán]])</f>
        <v>1</v>
      </c>
    </row>
    <row r="2149" spans="1:29" x14ac:dyDescent="0.45">
      <c r="A2149" t="s">
        <v>6444</v>
      </c>
      <c r="B2149">
        <v>470</v>
      </c>
      <c r="C2149" t="s">
        <v>7834</v>
      </c>
      <c r="D2149" t="s">
        <v>7835</v>
      </c>
      <c r="E2149" t="s">
        <v>206</v>
      </c>
      <c r="F2149" t="s">
        <v>456</v>
      </c>
      <c r="G2149" t="s">
        <v>34</v>
      </c>
      <c r="H2149" t="s">
        <v>2426</v>
      </c>
      <c r="I2149" t="s">
        <v>7836</v>
      </c>
      <c r="J2149" t="s">
        <v>56</v>
      </c>
      <c r="K2149" t="s">
        <v>56</v>
      </c>
      <c r="L2149" t="s">
        <v>39</v>
      </c>
      <c r="M2149" t="s">
        <v>37</v>
      </c>
      <c r="N2149" t="s">
        <v>37</v>
      </c>
      <c r="O2149" t="s">
        <v>39</v>
      </c>
      <c r="P2149" t="s">
        <v>38</v>
      </c>
      <c r="Q2149" t="s">
        <v>38</v>
      </c>
      <c r="R2149" t="s">
        <v>39</v>
      </c>
      <c r="S2149" t="s">
        <v>5460</v>
      </c>
      <c r="T2149" t="s">
        <v>7327</v>
      </c>
      <c r="U2149" t="s">
        <v>7311</v>
      </c>
      <c r="V2149" t="s">
        <v>6450</v>
      </c>
      <c r="W2149" t="s">
        <v>7312</v>
      </c>
      <c r="Z2149" t="s">
        <v>46</v>
      </c>
      <c r="AA2149" t="s">
        <v>7370</v>
      </c>
      <c r="AB2149" t="s">
        <v>3109</v>
      </c>
      <c r="AC2149">
        <f>COUNTIF(C:C,QLKV_gui_ket_qua_ra_soat[[#This Row],[Mã điểm bán]])</f>
        <v>1</v>
      </c>
    </row>
    <row r="2150" spans="1:29" x14ac:dyDescent="0.45">
      <c r="A2150" t="s">
        <v>6444</v>
      </c>
      <c r="B2150">
        <v>471</v>
      </c>
      <c r="C2150" t="s">
        <v>7837</v>
      </c>
      <c r="D2150" t="s">
        <v>7838</v>
      </c>
      <c r="E2150" t="s">
        <v>108</v>
      </c>
      <c r="F2150" t="s">
        <v>191</v>
      </c>
      <c r="G2150" t="s">
        <v>34</v>
      </c>
      <c r="H2150" t="s">
        <v>54</v>
      </c>
      <c r="I2150" t="s">
        <v>7839</v>
      </c>
      <c r="J2150" t="s">
        <v>56</v>
      </c>
      <c r="K2150" t="s">
        <v>56</v>
      </c>
      <c r="L2150" t="s">
        <v>39</v>
      </c>
      <c r="M2150" t="s">
        <v>37</v>
      </c>
      <c r="N2150" t="s">
        <v>37</v>
      </c>
      <c r="O2150" t="s">
        <v>39</v>
      </c>
      <c r="P2150" t="s">
        <v>38</v>
      </c>
      <c r="Q2150" t="s">
        <v>38</v>
      </c>
      <c r="R2150" t="s">
        <v>39</v>
      </c>
      <c r="S2150" t="s">
        <v>5460</v>
      </c>
      <c r="T2150" t="s">
        <v>7327</v>
      </c>
      <c r="U2150" t="s">
        <v>7311</v>
      </c>
      <c r="V2150" t="s">
        <v>6450</v>
      </c>
      <c r="W2150" t="s">
        <v>7312</v>
      </c>
      <c r="Z2150" t="s">
        <v>46</v>
      </c>
      <c r="AA2150" t="s">
        <v>7370</v>
      </c>
      <c r="AB2150" t="s">
        <v>3109</v>
      </c>
      <c r="AC2150">
        <f>COUNTIF(C:C,QLKV_gui_ket_qua_ra_soat[[#This Row],[Mã điểm bán]])</f>
        <v>1</v>
      </c>
    </row>
    <row r="2151" spans="1:29" x14ac:dyDescent="0.45">
      <c r="A2151" t="s">
        <v>6444</v>
      </c>
      <c r="B2151">
        <v>472</v>
      </c>
      <c r="C2151" t="s">
        <v>7840</v>
      </c>
      <c r="D2151" t="s">
        <v>7841</v>
      </c>
      <c r="E2151" t="s">
        <v>304</v>
      </c>
      <c r="F2151" t="s">
        <v>53</v>
      </c>
      <c r="G2151" t="s">
        <v>177</v>
      </c>
      <c r="H2151" t="s">
        <v>54</v>
      </c>
      <c r="I2151" t="s">
        <v>7842</v>
      </c>
      <c r="J2151" t="s">
        <v>37</v>
      </c>
      <c r="K2151" t="s">
        <v>37</v>
      </c>
      <c r="L2151" t="s">
        <v>39</v>
      </c>
      <c r="M2151" t="s">
        <v>37</v>
      </c>
      <c r="N2151" t="s">
        <v>37</v>
      </c>
      <c r="O2151" t="s">
        <v>39</v>
      </c>
      <c r="P2151" t="s">
        <v>37</v>
      </c>
      <c r="Q2151" t="s">
        <v>37</v>
      </c>
      <c r="R2151" t="s">
        <v>39</v>
      </c>
      <c r="S2151" t="s">
        <v>5460</v>
      </c>
      <c r="T2151" t="s">
        <v>7319</v>
      </c>
      <c r="U2151" t="s">
        <v>7311</v>
      </c>
      <c r="V2151" t="s">
        <v>6450</v>
      </c>
      <c r="W2151" t="s">
        <v>7312</v>
      </c>
      <c r="Z2151" t="s">
        <v>46</v>
      </c>
      <c r="AA2151" t="s">
        <v>7370</v>
      </c>
      <c r="AB2151" t="s">
        <v>3109</v>
      </c>
      <c r="AC2151">
        <f>COUNTIF(C:C,QLKV_gui_ket_qua_ra_soat[[#This Row],[Mã điểm bán]])</f>
        <v>1</v>
      </c>
    </row>
    <row r="2152" spans="1:29" x14ac:dyDescent="0.45">
      <c r="A2152" t="s">
        <v>6444</v>
      </c>
      <c r="B2152">
        <v>473</v>
      </c>
      <c r="C2152" t="s">
        <v>7843</v>
      </c>
      <c r="D2152" t="s">
        <v>3542</v>
      </c>
      <c r="E2152" t="s">
        <v>176</v>
      </c>
      <c r="F2152" t="s">
        <v>53</v>
      </c>
      <c r="G2152" t="s">
        <v>34</v>
      </c>
      <c r="H2152" t="s">
        <v>54</v>
      </c>
      <c r="I2152" t="s">
        <v>7806</v>
      </c>
      <c r="J2152" t="s">
        <v>56</v>
      </c>
      <c r="K2152" t="s">
        <v>56</v>
      </c>
      <c r="L2152" t="s">
        <v>39</v>
      </c>
      <c r="M2152" t="s">
        <v>37</v>
      </c>
      <c r="N2152" t="s">
        <v>37</v>
      </c>
      <c r="O2152" t="s">
        <v>39</v>
      </c>
      <c r="P2152" t="s">
        <v>38</v>
      </c>
      <c r="Q2152" t="s">
        <v>38</v>
      </c>
      <c r="R2152" t="s">
        <v>40</v>
      </c>
      <c r="S2152" t="s">
        <v>1291</v>
      </c>
      <c r="T2152" t="s">
        <v>7327</v>
      </c>
      <c r="U2152" t="s">
        <v>7311</v>
      </c>
      <c r="V2152" t="s">
        <v>6450</v>
      </c>
      <c r="W2152" t="s">
        <v>7312</v>
      </c>
      <c r="X2152" t="s">
        <v>46</v>
      </c>
      <c r="AC2152">
        <f>COUNTIF(C:C,QLKV_gui_ket_qua_ra_soat[[#This Row],[Mã điểm bán]])</f>
        <v>1</v>
      </c>
    </row>
    <row r="2153" spans="1:29" x14ac:dyDescent="0.45">
      <c r="A2153" t="s">
        <v>6444</v>
      </c>
      <c r="B2153">
        <v>474</v>
      </c>
      <c r="C2153" t="s">
        <v>7844</v>
      </c>
      <c r="D2153" t="s">
        <v>7845</v>
      </c>
      <c r="E2153" t="s">
        <v>1372</v>
      </c>
      <c r="F2153" t="s">
        <v>166</v>
      </c>
      <c r="G2153" t="s">
        <v>34</v>
      </c>
      <c r="H2153" t="s">
        <v>133</v>
      </c>
      <c r="I2153" t="s">
        <v>7846</v>
      </c>
      <c r="J2153" t="s">
        <v>38</v>
      </c>
      <c r="K2153" t="s">
        <v>38</v>
      </c>
      <c r="L2153" t="s">
        <v>40</v>
      </c>
      <c r="M2153" t="s">
        <v>56</v>
      </c>
      <c r="N2153" t="s">
        <v>56</v>
      </c>
      <c r="O2153" t="s">
        <v>39</v>
      </c>
      <c r="P2153" t="s">
        <v>37</v>
      </c>
      <c r="Q2153" t="s">
        <v>37</v>
      </c>
      <c r="R2153" t="s">
        <v>39</v>
      </c>
      <c r="S2153" t="s">
        <v>41</v>
      </c>
      <c r="T2153" t="s">
        <v>7368</v>
      </c>
      <c r="U2153" t="s">
        <v>7369</v>
      </c>
      <c r="V2153" t="s">
        <v>6450</v>
      </c>
      <c r="W2153" t="s">
        <v>5607</v>
      </c>
      <c r="X2153" t="s">
        <v>46</v>
      </c>
      <c r="AB2153" t="s">
        <v>3109</v>
      </c>
      <c r="AC2153">
        <f>COUNTIF(C:C,QLKV_gui_ket_qua_ra_soat[[#This Row],[Mã điểm bán]])</f>
        <v>1</v>
      </c>
    </row>
    <row r="2154" spans="1:29" x14ac:dyDescent="0.45">
      <c r="A2154" t="s">
        <v>6444</v>
      </c>
      <c r="B2154">
        <v>475</v>
      </c>
      <c r="C2154" t="s">
        <v>7847</v>
      </c>
      <c r="D2154" t="s">
        <v>7848</v>
      </c>
      <c r="E2154" t="s">
        <v>157</v>
      </c>
      <c r="F2154" t="s">
        <v>53</v>
      </c>
      <c r="G2154" t="s">
        <v>177</v>
      </c>
      <c r="H2154" t="s">
        <v>54</v>
      </c>
      <c r="I2154" t="s">
        <v>7506</v>
      </c>
      <c r="J2154" t="s">
        <v>37</v>
      </c>
      <c r="K2154" t="s">
        <v>37</v>
      </c>
      <c r="L2154" t="s">
        <v>39</v>
      </c>
      <c r="M2154" t="s">
        <v>37</v>
      </c>
      <c r="N2154" t="s">
        <v>37</v>
      </c>
      <c r="O2154" t="s">
        <v>39</v>
      </c>
      <c r="P2154" t="s">
        <v>37</v>
      </c>
      <c r="Q2154" t="s">
        <v>37</v>
      </c>
      <c r="R2154" t="s">
        <v>39</v>
      </c>
      <c r="S2154" t="s">
        <v>5625</v>
      </c>
      <c r="T2154" t="s">
        <v>7319</v>
      </c>
      <c r="U2154" t="s">
        <v>7311</v>
      </c>
      <c r="V2154" t="s">
        <v>6450</v>
      </c>
      <c r="W2154" t="s">
        <v>7312</v>
      </c>
      <c r="Z2154" t="s">
        <v>46</v>
      </c>
      <c r="AA2154" t="s">
        <v>7370</v>
      </c>
      <c r="AB2154" t="s">
        <v>3109</v>
      </c>
      <c r="AC2154">
        <f>COUNTIF(C:C,QLKV_gui_ket_qua_ra_soat[[#This Row],[Mã điểm bán]])</f>
        <v>1</v>
      </c>
    </row>
    <row r="2155" spans="1:29" x14ac:dyDescent="0.45">
      <c r="A2155" t="s">
        <v>6444</v>
      </c>
      <c r="B2155">
        <v>476</v>
      </c>
      <c r="C2155" t="s">
        <v>7849</v>
      </c>
      <c r="D2155" t="s">
        <v>7850</v>
      </c>
      <c r="E2155" t="s">
        <v>138</v>
      </c>
      <c r="F2155" t="s">
        <v>456</v>
      </c>
      <c r="G2155" t="s">
        <v>34</v>
      </c>
      <c r="H2155" t="s">
        <v>1877</v>
      </c>
      <c r="I2155" t="s">
        <v>7851</v>
      </c>
      <c r="J2155" t="s">
        <v>37</v>
      </c>
      <c r="K2155" t="s">
        <v>37</v>
      </c>
      <c r="L2155" t="s">
        <v>39</v>
      </c>
      <c r="M2155" t="s">
        <v>37</v>
      </c>
      <c r="N2155" t="s">
        <v>37</v>
      </c>
      <c r="O2155" t="s">
        <v>39</v>
      </c>
      <c r="P2155" t="s">
        <v>37</v>
      </c>
      <c r="Q2155" t="s">
        <v>37</v>
      </c>
      <c r="R2155" t="s">
        <v>39</v>
      </c>
      <c r="S2155" t="s">
        <v>41</v>
      </c>
      <c r="T2155" t="s">
        <v>7327</v>
      </c>
      <c r="U2155" t="s">
        <v>7311</v>
      </c>
      <c r="V2155" t="s">
        <v>6450</v>
      </c>
      <c r="W2155" t="s">
        <v>7312</v>
      </c>
      <c r="Z2155" t="s">
        <v>46</v>
      </c>
      <c r="AA2155" t="s">
        <v>7370</v>
      </c>
      <c r="AB2155" t="s">
        <v>3109</v>
      </c>
      <c r="AC2155">
        <f>COUNTIF(C:C,QLKV_gui_ket_qua_ra_soat[[#This Row],[Mã điểm bán]])</f>
        <v>1</v>
      </c>
    </row>
    <row r="2156" spans="1:29" x14ac:dyDescent="0.45">
      <c r="A2156" t="s">
        <v>6444</v>
      </c>
      <c r="B2156">
        <v>477</v>
      </c>
      <c r="C2156" t="s">
        <v>7852</v>
      </c>
      <c r="D2156" t="s">
        <v>7853</v>
      </c>
      <c r="E2156" t="s">
        <v>157</v>
      </c>
      <c r="F2156" t="s">
        <v>166</v>
      </c>
      <c r="G2156" t="s">
        <v>177</v>
      </c>
      <c r="H2156" t="s">
        <v>54</v>
      </c>
      <c r="I2156" t="s">
        <v>7854</v>
      </c>
      <c r="J2156" t="s">
        <v>37</v>
      </c>
      <c r="K2156" t="s">
        <v>37</v>
      </c>
      <c r="L2156" t="s">
        <v>39</v>
      </c>
      <c r="M2156" t="s">
        <v>37</v>
      </c>
      <c r="N2156" t="s">
        <v>37</v>
      </c>
      <c r="O2156" t="s">
        <v>39</v>
      </c>
      <c r="P2156" t="s">
        <v>38</v>
      </c>
      <c r="Q2156" t="s">
        <v>37</v>
      </c>
      <c r="R2156" t="s">
        <v>39</v>
      </c>
      <c r="S2156" t="s">
        <v>5363</v>
      </c>
      <c r="T2156" t="s">
        <v>7319</v>
      </c>
      <c r="U2156" t="s">
        <v>7311</v>
      </c>
      <c r="V2156" t="s">
        <v>6450</v>
      </c>
      <c r="W2156" t="s">
        <v>5607</v>
      </c>
      <c r="Z2156" t="s">
        <v>46</v>
      </c>
      <c r="AA2156" t="s">
        <v>7370</v>
      </c>
      <c r="AB2156" t="s">
        <v>3109</v>
      </c>
      <c r="AC2156">
        <f>COUNTIF(C:C,QLKV_gui_ket_qua_ra_soat[[#This Row],[Mã điểm bán]])</f>
        <v>1</v>
      </c>
    </row>
    <row r="2157" spans="1:29" x14ac:dyDescent="0.45">
      <c r="A2157" t="s">
        <v>6444</v>
      </c>
      <c r="B2157">
        <v>478</v>
      </c>
      <c r="C2157" t="s">
        <v>7855</v>
      </c>
      <c r="D2157" t="s">
        <v>3160</v>
      </c>
      <c r="E2157" t="s">
        <v>91</v>
      </c>
      <c r="F2157" t="s">
        <v>53</v>
      </c>
      <c r="G2157" t="s">
        <v>34</v>
      </c>
      <c r="H2157" t="s">
        <v>54</v>
      </c>
      <c r="I2157" t="s">
        <v>7322</v>
      </c>
      <c r="J2157" t="s">
        <v>37</v>
      </c>
      <c r="K2157" t="s">
        <v>38</v>
      </c>
      <c r="L2157" t="s">
        <v>40</v>
      </c>
      <c r="M2157" t="s">
        <v>37</v>
      </c>
      <c r="N2157" t="s">
        <v>38</v>
      </c>
      <c r="O2157" t="s">
        <v>40</v>
      </c>
      <c r="P2157" t="s">
        <v>38</v>
      </c>
      <c r="Q2157" t="s">
        <v>38</v>
      </c>
      <c r="R2157" t="s">
        <v>40</v>
      </c>
      <c r="S2157" t="s">
        <v>7856</v>
      </c>
      <c r="T2157" t="s">
        <v>7310</v>
      </c>
      <c r="U2157" t="s">
        <v>7311</v>
      </c>
      <c r="V2157" t="s">
        <v>6450</v>
      </c>
      <c r="W2157" t="s">
        <v>5607</v>
      </c>
      <c r="X2157" t="s">
        <v>46</v>
      </c>
      <c r="AC2157">
        <f>COUNTIF(C:C,QLKV_gui_ket_qua_ra_soat[[#This Row],[Mã điểm bán]])</f>
        <v>1</v>
      </c>
    </row>
    <row r="2158" spans="1:29" x14ac:dyDescent="0.45">
      <c r="A2158" t="s">
        <v>6444</v>
      </c>
      <c r="B2158">
        <v>479</v>
      </c>
      <c r="C2158" t="s">
        <v>7857</v>
      </c>
      <c r="D2158" t="s">
        <v>7858</v>
      </c>
      <c r="E2158" t="s">
        <v>91</v>
      </c>
      <c r="F2158" t="s">
        <v>1573</v>
      </c>
      <c r="G2158" t="s">
        <v>34</v>
      </c>
      <c r="H2158" t="s">
        <v>54</v>
      </c>
      <c r="I2158" t="s">
        <v>7859</v>
      </c>
      <c r="J2158" t="s">
        <v>37</v>
      </c>
      <c r="K2158" t="s">
        <v>37</v>
      </c>
      <c r="L2158" t="s">
        <v>39</v>
      </c>
      <c r="M2158" t="s">
        <v>56</v>
      </c>
      <c r="N2158" t="s">
        <v>37</v>
      </c>
      <c r="O2158" t="s">
        <v>121</v>
      </c>
      <c r="P2158" t="s">
        <v>38</v>
      </c>
      <c r="Q2158" t="s">
        <v>37</v>
      </c>
      <c r="R2158" t="s">
        <v>39</v>
      </c>
      <c r="S2158" t="s">
        <v>5460</v>
      </c>
      <c r="T2158" t="s">
        <v>7319</v>
      </c>
      <c r="U2158" t="s">
        <v>7311</v>
      </c>
      <c r="V2158" t="s">
        <v>6450</v>
      </c>
      <c r="W2158" t="s">
        <v>7312</v>
      </c>
      <c r="Z2158" t="s">
        <v>46</v>
      </c>
      <c r="AA2158" t="s">
        <v>7370</v>
      </c>
      <c r="AB2158" t="s">
        <v>3109</v>
      </c>
      <c r="AC2158">
        <f>COUNTIF(C:C,QLKV_gui_ket_qua_ra_soat[[#This Row],[Mã điểm bán]])</f>
        <v>1</v>
      </c>
    </row>
    <row r="2159" spans="1:29" x14ac:dyDescent="0.45">
      <c r="A2159" t="s">
        <v>6444</v>
      </c>
      <c r="B2159">
        <v>480</v>
      </c>
      <c r="C2159" t="s">
        <v>7860</v>
      </c>
      <c r="D2159" t="s">
        <v>7861</v>
      </c>
      <c r="E2159" t="s">
        <v>344</v>
      </c>
      <c r="F2159" t="s">
        <v>401</v>
      </c>
      <c r="G2159" t="s">
        <v>177</v>
      </c>
      <c r="H2159" t="s">
        <v>54</v>
      </c>
      <c r="I2159" t="s">
        <v>6268</v>
      </c>
      <c r="J2159" t="s">
        <v>37</v>
      </c>
      <c r="K2159" t="s">
        <v>37</v>
      </c>
      <c r="L2159" t="s">
        <v>39</v>
      </c>
      <c r="M2159" t="s">
        <v>56</v>
      </c>
      <c r="N2159" t="s">
        <v>56</v>
      </c>
      <c r="O2159" t="s">
        <v>39</v>
      </c>
      <c r="P2159" t="s">
        <v>37</v>
      </c>
      <c r="Q2159" t="s">
        <v>37</v>
      </c>
      <c r="R2159" t="s">
        <v>40</v>
      </c>
      <c r="S2159" t="s">
        <v>7862</v>
      </c>
      <c r="T2159" t="s">
        <v>7310</v>
      </c>
      <c r="U2159" t="s">
        <v>7311</v>
      </c>
      <c r="V2159" t="s">
        <v>6450</v>
      </c>
      <c r="W2159" t="s">
        <v>7312</v>
      </c>
      <c r="Z2159" t="s">
        <v>46</v>
      </c>
      <c r="AA2159" t="s">
        <v>7370</v>
      </c>
      <c r="AB2159" t="s">
        <v>3109</v>
      </c>
      <c r="AC2159">
        <f>COUNTIF(C:C,QLKV_gui_ket_qua_ra_soat[[#This Row],[Mã điểm bán]])</f>
        <v>1</v>
      </c>
    </row>
    <row r="2160" spans="1:29" x14ac:dyDescent="0.45">
      <c r="A2160" t="s">
        <v>6444</v>
      </c>
      <c r="B2160">
        <v>481</v>
      </c>
      <c r="C2160" t="s">
        <v>7863</v>
      </c>
      <c r="D2160" t="s">
        <v>2408</v>
      </c>
      <c r="E2160" t="s">
        <v>324</v>
      </c>
      <c r="F2160" t="s">
        <v>3069</v>
      </c>
      <c r="G2160" t="s">
        <v>177</v>
      </c>
      <c r="H2160" t="s">
        <v>54</v>
      </c>
      <c r="I2160" t="s">
        <v>7864</v>
      </c>
      <c r="J2160" t="s">
        <v>56</v>
      </c>
      <c r="K2160" t="s">
        <v>56</v>
      </c>
      <c r="L2160" t="s">
        <v>39</v>
      </c>
      <c r="M2160" t="s">
        <v>775</v>
      </c>
      <c r="N2160" t="s">
        <v>775</v>
      </c>
      <c r="O2160" t="s">
        <v>121</v>
      </c>
      <c r="P2160" t="s">
        <v>37</v>
      </c>
      <c r="Q2160" t="s">
        <v>37</v>
      </c>
      <c r="R2160" t="s">
        <v>39</v>
      </c>
      <c r="S2160" t="s">
        <v>7865</v>
      </c>
      <c r="T2160" t="s">
        <v>7310</v>
      </c>
      <c r="U2160" t="s">
        <v>7311</v>
      </c>
      <c r="V2160" t="s">
        <v>6450</v>
      </c>
      <c r="W2160" t="s">
        <v>7312</v>
      </c>
      <c r="Z2160" t="s">
        <v>46</v>
      </c>
      <c r="AA2160" t="s">
        <v>7370</v>
      </c>
      <c r="AB2160" t="s">
        <v>3109</v>
      </c>
      <c r="AC2160">
        <f>COUNTIF(C:C,QLKV_gui_ket_qua_ra_soat[[#This Row],[Mã điểm bán]])</f>
        <v>1</v>
      </c>
    </row>
    <row r="2161" spans="1:29" x14ac:dyDescent="0.45">
      <c r="A2161" t="s">
        <v>6444</v>
      </c>
      <c r="B2161">
        <v>482</v>
      </c>
      <c r="C2161" t="s">
        <v>7866</v>
      </c>
      <c r="D2161" t="s">
        <v>7867</v>
      </c>
      <c r="E2161" t="s">
        <v>255</v>
      </c>
      <c r="F2161" t="s">
        <v>829</v>
      </c>
      <c r="G2161" t="s">
        <v>177</v>
      </c>
      <c r="H2161" t="s">
        <v>54</v>
      </c>
      <c r="I2161" t="s">
        <v>7868</v>
      </c>
      <c r="J2161" t="s">
        <v>775</v>
      </c>
      <c r="K2161" t="s">
        <v>37</v>
      </c>
      <c r="L2161" t="s">
        <v>121</v>
      </c>
      <c r="M2161" t="s">
        <v>37</v>
      </c>
      <c r="N2161" t="s">
        <v>37</v>
      </c>
      <c r="O2161" t="s">
        <v>39</v>
      </c>
      <c r="P2161" t="s">
        <v>37</v>
      </c>
      <c r="Q2161" t="s">
        <v>37</v>
      </c>
      <c r="R2161" t="s">
        <v>39</v>
      </c>
      <c r="S2161" t="s">
        <v>7869</v>
      </c>
      <c r="T2161" t="s">
        <v>7319</v>
      </c>
      <c r="U2161" t="s">
        <v>7311</v>
      </c>
      <c r="V2161" t="s">
        <v>6450</v>
      </c>
      <c r="W2161" t="s">
        <v>7312</v>
      </c>
      <c r="Z2161" t="s">
        <v>46</v>
      </c>
      <c r="AA2161" t="s">
        <v>7370</v>
      </c>
      <c r="AB2161" t="s">
        <v>3109</v>
      </c>
      <c r="AC2161">
        <f>COUNTIF(C:C,QLKV_gui_ket_qua_ra_soat[[#This Row],[Mã điểm bán]])</f>
        <v>1</v>
      </c>
    </row>
    <row r="2162" spans="1:29" x14ac:dyDescent="0.45">
      <c r="A2162" t="s">
        <v>6444</v>
      </c>
      <c r="B2162">
        <v>483</v>
      </c>
      <c r="C2162" t="s">
        <v>7870</v>
      </c>
      <c r="D2162" t="s">
        <v>7871</v>
      </c>
      <c r="E2162" t="s">
        <v>69</v>
      </c>
      <c r="F2162" t="s">
        <v>53</v>
      </c>
      <c r="G2162" t="s">
        <v>34</v>
      </c>
      <c r="H2162" t="s">
        <v>54</v>
      </c>
      <c r="I2162" t="s">
        <v>237</v>
      </c>
      <c r="J2162" t="s">
        <v>56</v>
      </c>
      <c r="K2162" t="s">
        <v>56</v>
      </c>
      <c r="L2162" t="s">
        <v>39</v>
      </c>
      <c r="M2162" t="s">
        <v>37</v>
      </c>
      <c r="N2162" t="s">
        <v>37</v>
      </c>
      <c r="O2162" t="s">
        <v>39</v>
      </c>
      <c r="P2162" t="s">
        <v>38</v>
      </c>
      <c r="Q2162" t="s">
        <v>38</v>
      </c>
      <c r="R2162" t="s">
        <v>39</v>
      </c>
      <c r="S2162" t="s">
        <v>1291</v>
      </c>
      <c r="T2162" t="s">
        <v>7327</v>
      </c>
      <c r="U2162" t="s">
        <v>7311</v>
      </c>
      <c r="V2162" t="s">
        <v>6450</v>
      </c>
      <c r="W2162" t="s">
        <v>5607</v>
      </c>
      <c r="Z2162" t="s">
        <v>46</v>
      </c>
      <c r="AA2162" t="s">
        <v>7370</v>
      </c>
      <c r="AB2162" t="s">
        <v>3109</v>
      </c>
      <c r="AC2162">
        <f>COUNTIF(C:C,QLKV_gui_ket_qua_ra_soat[[#This Row],[Mã điểm bán]])</f>
        <v>1</v>
      </c>
    </row>
    <row r="2163" spans="1:29" x14ac:dyDescent="0.45">
      <c r="A2163" t="s">
        <v>6444</v>
      </c>
      <c r="B2163">
        <v>484</v>
      </c>
      <c r="C2163" t="s">
        <v>7872</v>
      </c>
      <c r="D2163" t="s">
        <v>7873</v>
      </c>
      <c r="E2163" t="s">
        <v>157</v>
      </c>
      <c r="F2163" t="s">
        <v>53</v>
      </c>
      <c r="G2163" t="s">
        <v>177</v>
      </c>
      <c r="H2163" t="s">
        <v>54</v>
      </c>
      <c r="I2163" t="s">
        <v>7506</v>
      </c>
      <c r="J2163" t="s">
        <v>38</v>
      </c>
      <c r="K2163" t="s">
        <v>37</v>
      </c>
      <c r="L2163" t="s">
        <v>39</v>
      </c>
      <c r="M2163" t="s">
        <v>37</v>
      </c>
      <c r="N2163" t="s">
        <v>37</v>
      </c>
      <c r="O2163" t="s">
        <v>39</v>
      </c>
      <c r="P2163" t="s">
        <v>38</v>
      </c>
      <c r="Q2163" t="s">
        <v>38</v>
      </c>
      <c r="R2163" t="s">
        <v>39</v>
      </c>
      <c r="S2163" t="s">
        <v>1291</v>
      </c>
      <c r="T2163" t="s">
        <v>7319</v>
      </c>
      <c r="U2163" t="s">
        <v>7311</v>
      </c>
      <c r="V2163" t="s">
        <v>6450</v>
      </c>
      <c r="W2163" t="s">
        <v>7312</v>
      </c>
      <c r="Z2163" t="s">
        <v>46</v>
      </c>
      <c r="AA2163" t="s">
        <v>7370</v>
      </c>
      <c r="AB2163" t="s">
        <v>3109</v>
      </c>
      <c r="AC2163">
        <f>COUNTIF(C:C,QLKV_gui_ket_qua_ra_soat[[#This Row],[Mã điểm bán]])</f>
        <v>1</v>
      </c>
    </row>
    <row r="2164" spans="1:29" x14ac:dyDescent="0.45">
      <c r="A2164" t="s">
        <v>6444</v>
      </c>
      <c r="B2164">
        <v>485</v>
      </c>
      <c r="C2164" t="s">
        <v>7874</v>
      </c>
      <c r="D2164" t="s">
        <v>7875</v>
      </c>
      <c r="E2164" t="s">
        <v>290</v>
      </c>
      <c r="F2164" t="s">
        <v>1573</v>
      </c>
      <c r="G2164" t="s">
        <v>177</v>
      </c>
      <c r="H2164" t="s">
        <v>54</v>
      </c>
      <c r="I2164" t="s">
        <v>7876</v>
      </c>
      <c r="J2164" t="s">
        <v>37</v>
      </c>
      <c r="K2164" t="s">
        <v>37</v>
      </c>
      <c r="L2164" t="s">
        <v>39</v>
      </c>
      <c r="M2164" t="s">
        <v>56</v>
      </c>
      <c r="N2164" t="s">
        <v>56</v>
      </c>
      <c r="O2164" t="s">
        <v>39</v>
      </c>
      <c r="P2164" t="s">
        <v>37</v>
      </c>
      <c r="Q2164" t="s">
        <v>37</v>
      </c>
      <c r="R2164" t="s">
        <v>39</v>
      </c>
      <c r="S2164" t="s">
        <v>7877</v>
      </c>
      <c r="T2164" t="s">
        <v>7310</v>
      </c>
      <c r="U2164" t="s">
        <v>7311</v>
      </c>
      <c r="V2164" t="s">
        <v>6450</v>
      </c>
      <c r="W2164" t="s">
        <v>7312</v>
      </c>
      <c r="Z2164" t="s">
        <v>46</v>
      </c>
      <c r="AA2164" t="s">
        <v>7370</v>
      </c>
      <c r="AB2164" t="s">
        <v>3109</v>
      </c>
      <c r="AC2164">
        <f>COUNTIF(C:C,QLKV_gui_ket_qua_ra_soat[[#This Row],[Mã điểm bán]])</f>
        <v>1</v>
      </c>
    </row>
    <row r="2165" spans="1:29" x14ac:dyDescent="0.45">
      <c r="A2165" t="s">
        <v>6444</v>
      </c>
      <c r="B2165">
        <v>486</v>
      </c>
      <c r="C2165" t="s">
        <v>7878</v>
      </c>
      <c r="D2165" t="s">
        <v>7879</v>
      </c>
      <c r="E2165" t="s">
        <v>157</v>
      </c>
      <c r="F2165" t="s">
        <v>53</v>
      </c>
      <c r="G2165" t="s">
        <v>177</v>
      </c>
      <c r="H2165" t="s">
        <v>54</v>
      </c>
      <c r="I2165" t="s">
        <v>7506</v>
      </c>
      <c r="J2165" t="s">
        <v>37</v>
      </c>
      <c r="K2165" t="s">
        <v>37</v>
      </c>
      <c r="L2165" t="s">
        <v>39</v>
      </c>
      <c r="M2165" t="s">
        <v>37</v>
      </c>
      <c r="N2165" t="s">
        <v>37</v>
      </c>
      <c r="O2165" t="s">
        <v>39</v>
      </c>
      <c r="P2165" t="s">
        <v>38</v>
      </c>
      <c r="Q2165" t="s">
        <v>38</v>
      </c>
      <c r="R2165" t="s">
        <v>39</v>
      </c>
      <c r="S2165" t="s">
        <v>5363</v>
      </c>
      <c r="T2165" t="s">
        <v>7319</v>
      </c>
      <c r="U2165" t="s">
        <v>7311</v>
      </c>
      <c r="V2165" t="s">
        <v>6450</v>
      </c>
      <c r="W2165" t="s">
        <v>7312</v>
      </c>
      <c r="Z2165" t="s">
        <v>46</v>
      </c>
      <c r="AA2165" t="s">
        <v>7370</v>
      </c>
      <c r="AB2165" t="s">
        <v>3109</v>
      </c>
      <c r="AC2165">
        <f>COUNTIF(C:C,QLKV_gui_ket_qua_ra_soat[[#This Row],[Mã điểm bán]])</f>
        <v>1</v>
      </c>
    </row>
    <row r="2166" spans="1:29" x14ac:dyDescent="0.45">
      <c r="A2166" t="s">
        <v>6444</v>
      </c>
      <c r="B2166">
        <v>487</v>
      </c>
      <c r="C2166" t="s">
        <v>7880</v>
      </c>
      <c r="D2166" t="s">
        <v>7881</v>
      </c>
      <c r="E2166" t="s">
        <v>967</v>
      </c>
      <c r="F2166" t="s">
        <v>7882</v>
      </c>
      <c r="G2166" t="s">
        <v>177</v>
      </c>
      <c r="H2166" t="s">
        <v>54</v>
      </c>
      <c r="I2166" t="s">
        <v>7883</v>
      </c>
      <c r="J2166" t="s">
        <v>775</v>
      </c>
      <c r="K2166" t="s">
        <v>775</v>
      </c>
      <c r="L2166" t="s">
        <v>39</v>
      </c>
      <c r="M2166" t="s">
        <v>775</v>
      </c>
      <c r="N2166" t="s">
        <v>775</v>
      </c>
      <c r="O2166" t="s">
        <v>39</v>
      </c>
      <c r="P2166" t="s">
        <v>56</v>
      </c>
      <c r="Q2166" t="s">
        <v>56</v>
      </c>
      <c r="R2166" t="s">
        <v>39</v>
      </c>
      <c r="S2166" t="s">
        <v>7884</v>
      </c>
      <c r="T2166" t="s">
        <v>7310</v>
      </c>
      <c r="U2166" t="s">
        <v>7311</v>
      </c>
      <c r="V2166" t="s">
        <v>6450</v>
      </c>
      <c r="W2166" t="s">
        <v>7312</v>
      </c>
      <c r="Y2166" t="s">
        <v>46</v>
      </c>
      <c r="AC2166">
        <f>COUNTIF(C:C,QLKV_gui_ket_qua_ra_soat[[#This Row],[Mã điểm bán]])</f>
        <v>1</v>
      </c>
    </row>
    <row r="2167" spans="1:29" x14ac:dyDescent="0.45">
      <c r="A2167" t="s">
        <v>6444</v>
      </c>
      <c r="B2167">
        <v>488</v>
      </c>
      <c r="C2167" t="s">
        <v>7885</v>
      </c>
      <c r="D2167" t="s">
        <v>3106</v>
      </c>
      <c r="E2167" t="s">
        <v>515</v>
      </c>
      <c r="F2167" t="s">
        <v>684</v>
      </c>
      <c r="G2167" t="s">
        <v>177</v>
      </c>
      <c r="H2167" t="s">
        <v>54</v>
      </c>
      <c r="I2167" t="s">
        <v>7886</v>
      </c>
      <c r="J2167" t="s">
        <v>37</v>
      </c>
      <c r="K2167" t="s">
        <v>37</v>
      </c>
      <c r="L2167" t="s">
        <v>39</v>
      </c>
      <c r="M2167" t="s">
        <v>37</v>
      </c>
      <c r="N2167" t="s">
        <v>37</v>
      </c>
      <c r="O2167" t="s">
        <v>121</v>
      </c>
      <c r="P2167" t="s">
        <v>37</v>
      </c>
      <c r="Q2167" t="s">
        <v>37</v>
      </c>
      <c r="R2167" t="s">
        <v>39</v>
      </c>
      <c r="S2167" t="s">
        <v>41</v>
      </c>
      <c r="T2167" t="s">
        <v>7319</v>
      </c>
      <c r="U2167" t="s">
        <v>7311</v>
      </c>
      <c r="V2167" t="s">
        <v>6450</v>
      </c>
      <c r="W2167" t="s">
        <v>7312</v>
      </c>
      <c r="Y2167" t="s">
        <v>46</v>
      </c>
      <c r="AC2167">
        <f>COUNTIF(C:C,QLKV_gui_ket_qua_ra_soat[[#This Row],[Mã điểm bán]])</f>
        <v>1</v>
      </c>
    </row>
    <row r="2168" spans="1:29" x14ac:dyDescent="0.45">
      <c r="A2168" t="s">
        <v>6444</v>
      </c>
      <c r="B2168">
        <v>489</v>
      </c>
      <c r="C2168" t="s">
        <v>7887</v>
      </c>
      <c r="D2168" t="s">
        <v>196</v>
      </c>
      <c r="E2168" t="s">
        <v>64</v>
      </c>
      <c r="F2168" t="s">
        <v>456</v>
      </c>
      <c r="G2168" t="s">
        <v>34</v>
      </c>
      <c r="H2168" t="s">
        <v>54</v>
      </c>
      <c r="I2168" t="s">
        <v>7888</v>
      </c>
      <c r="J2168" t="s">
        <v>56</v>
      </c>
      <c r="K2168" t="s">
        <v>56</v>
      </c>
      <c r="L2168" t="s">
        <v>39</v>
      </c>
      <c r="M2168" t="s">
        <v>37</v>
      </c>
      <c r="N2168" t="s">
        <v>37</v>
      </c>
      <c r="O2168" t="s">
        <v>39</v>
      </c>
      <c r="P2168" t="s">
        <v>38</v>
      </c>
      <c r="Q2168" t="s">
        <v>38</v>
      </c>
      <c r="R2168" t="s">
        <v>39</v>
      </c>
      <c r="S2168" t="s">
        <v>5460</v>
      </c>
      <c r="T2168" t="s">
        <v>7327</v>
      </c>
      <c r="U2168" t="s">
        <v>7311</v>
      </c>
      <c r="V2168" t="s">
        <v>6450</v>
      </c>
      <c r="W2168" t="s">
        <v>7312</v>
      </c>
      <c r="Y2168" t="s">
        <v>46</v>
      </c>
      <c r="AC2168">
        <f>COUNTIF(C:C,QLKV_gui_ket_qua_ra_soat[[#This Row],[Mã điểm bán]])</f>
        <v>1</v>
      </c>
    </row>
    <row r="2169" spans="1:29" x14ac:dyDescent="0.45">
      <c r="A2169" t="s">
        <v>6444</v>
      </c>
      <c r="B2169">
        <v>490</v>
      </c>
      <c r="C2169" t="s">
        <v>7889</v>
      </c>
      <c r="D2169" t="s">
        <v>7890</v>
      </c>
      <c r="E2169" t="s">
        <v>148</v>
      </c>
      <c r="F2169" t="s">
        <v>53</v>
      </c>
      <c r="G2169" t="s">
        <v>177</v>
      </c>
      <c r="H2169" t="s">
        <v>54</v>
      </c>
      <c r="I2169" t="s">
        <v>7315</v>
      </c>
      <c r="J2169" t="s">
        <v>56</v>
      </c>
      <c r="K2169" t="s">
        <v>37</v>
      </c>
      <c r="L2169" t="s">
        <v>39</v>
      </c>
      <c r="M2169" t="s">
        <v>56</v>
      </c>
      <c r="N2169" t="s">
        <v>56</v>
      </c>
      <c r="O2169" t="s">
        <v>39</v>
      </c>
      <c r="P2169" t="s">
        <v>56</v>
      </c>
      <c r="Q2169" t="s">
        <v>56</v>
      </c>
      <c r="R2169" t="s">
        <v>39</v>
      </c>
      <c r="S2169" t="s">
        <v>41</v>
      </c>
      <c r="T2169" t="s">
        <v>7310</v>
      </c>
      <c r="U2169" t="s">
        <v>7311</v>
      </c>
      <c r="V2169" t="s">
        <v>6450</v>
      </c>
      <c r="W2169" t="s">
        <v>7312</v>
      </c>
      <c r="Z2169" t="s">
        <v>46</v>
      </c>
      <c r="AA2169" t="s">
        <v>7370</v>
      </c>
      <c r="AB2169" t="s">
        <v>3109</v>
      </c>
      <c r="AC2169">
        <f>COUNTIF(C:C,QLKV_gui_ket_qua_ra_soat[[#This Row],[Mã điểm bán]])</f>
        <v>1</v>
      </c>
    </row>
    <row r="2170" spans="1:29" x14ac:dyDescent="0.45">
      <c r="A2170" t="s">
        <v>6444</v>
      </c>
      <c r="B2170">
        <v>491</v>
      </c>
      <c r="C2170" t="s">
        <v>7891</v>
      </c>
      <c r="D2170" t="s">
        <v>7892</v>
      </c>
      <c r="E2170" t="s">
        <v>108</v>
      </c>
      <c r="F2170" t="s">
        <v>53</v>
      </c>
      <c r="G2170" t="s">
        <v>34</v>
      </c>
      <c r="H2170" t="s">
        <v>54</v>
      </c>
      <c r="I2170" t="s">
        <v>7322</v>
      </c>
      <c r="J2170" t="s">
        <v>38</v>
      </c>
      <c r="K2170" t="s">
        <v>38</v>
      </c>
      <c r="L2170" t="s">
        <v>40</v>
      </c>
      <c r="M2170" t="s">
        <v>37</v>
      </c>
      <c r="N2170" t="s">
        <v>37</v>
      </c>
      <c r="O2170" t="s">
        <v>40</v>
      </c>
      <c r="P2170" t="s">
        <v>38</v>
      </c>
      <c r="Q2170" t="s">
        <v>38</v>
      </c>
      <c r="R2170" t="s">
        <v>40</v>
      </c>
      <c r="S2170" t="s">
        <v>7893</v>
      </c>
      <c r="T2170" t="s">
        <v>7310</v>
      </c>
      <c r="U2170" t="s">
        <v>7311</v>
      </c>
      <c r="V2170" t="s">
        <v>6450</v>
      </c>
      <c r="W2170" t="s">
        <v>5607</v>
      </c>
      <c r="Z2170" t="s">
        <v>46</v>
      </c>
      <c r="AA2170" t="s">
        <v>7370</v>
      </c>
      <c r="AB2170" t="s">
        <v>3109</v>
      </c>
      <c r="AC2170">
        <f>COUNTIF(C:C,QLKV_gui_ket_qua_ra_soat[[#This Row],[Mã điểm bán]])</f>
        <v>1</v>
      </c>
    </row>
    <row r="2171" spans="1:29" x14ac:dyDescent="0.45">
      <c r="A2171" t="s">
        <v>6444</v>
      </c>
      <c r="B2171">
        <v>492</v>
      </c>
      <c r="C2171" t="s">
        <v>7894</v>
      </c>
      <c r="D2171" t="s">
        <v>4499</v>
      </c>
      <c r="E2171" t="s">
        <v>108</v>
      </c>
      <c r="F2171" t="s">
        <v>53</v>
      </c>
      <c r="G2171" t="s">
        <v>177</v>
      </c>
      <c r="H2171" t="s">
        <v>54</v>
      </c>
      <c r="I2171" t="s">
        <v>7895</v>
      </c>
      <c r="J2171" t="s">
        <v>38</v>
      </c>
      <c r="K2171" t="s">
        <v>38</v>
      </c>
      <c r="L2171" t="s">
        <v>40</v>
      </c>
      <c r="M2171" t="s">
        <v>38</v>
      </c>
      <c r="N2171" t="s">
        <v>38</v>
      </c>
      <c r="O2171" t="s">
        <v>40</v>
      </c>
      <c r="P2171" t="s">
        <v>38</v>
      </c>
      <c r="Q2171" t="s">
        <v>38</v>
      </c>
      <c r="R2171" t="s">
        <v>40</v>
      </c>
      <c r="S2171" t="s">
        <v>7896</v>
      </c>
      <c r="T2171" t="s">
        <v>7310</v>
      </c>
      <c r="U2171" t="s">
        <v>7311</v>
      </c>
      <c r="V2171" t="s">
        <v>6450</v>
      </c>
      <c r="W2171" t="s">
        <v>7312</v>
      </c>
      <c r="X2171" t="s">
        <v>46</v>
      </c>
      <c r="AC2171">
        <f>COUNTIF(C:C,QLKV_gui_ket_qua_ra_soat[[#This Row],[Mã điểm bán]])</f>
        <v>1</v>
      </c>
    </row>
    <row r="2172" spans="1:29" x14ac:dyDescent="0.45">
      <c r="A2172" t="s">
        <v>6444</v>
      </c>
      <c r="B2172">
        <v>493</v>
      </c>
      <c r="C2172" t="s">
        <v>7897</v>
      </c>
      <c r="D2172" t="s">
        <v>7898</v>
      </c>
      <c r="E2172" t="s">
        <v>108</v>
      </c>
      <c r="F2172" t="s">
        <v>53</v>
      </c>
      <c r="G2172" t="s">
        <v>34</v>
      </c>
      <c r="H2172" t="s">
        <v>171</v>
      </c>
      <c r="I2172" t="s">
        <v>7899</v>
      </c>
      <c r="J2172" t="s">
        <v>37</v>
      </c>
      <c r="K2172" t="s">
        <v>38</v>
      </c>
      <c r="L2172" t="s">
        <v>39</v>
      </c>
      <c r="M2172" t="s">
        <v>775</v>
      </c>
      <c r="N2172" t="s">
        <v>56</v>
      </c>
      <c r="O2172" t="s">
        <v>39</v>
      </c>
      <c r="P2172" t="s">
        <v>38</v>
      </c>
      <c r="Q2172" t="s">
        <v>38</v>
      </c>
      <c r="R2172" t="s">
        <v>40</v>
      </c>
      <c r="S2172" t="s">
        <v>41</v>
      </c>
      <c r="T2172" t="s">
        <v>7310</v>
      </c>
      <c r="U2172" t="s">
        <v>7311</v>
      </c>
      <c r="V2172" t="s">
        <v>6450</v>
      </c>
      <c r="W2172" t="s">
        <v>7312</v>
      </c>
      <c r="Z2172" t="s">
        <v>46</v>
      </c>
      <c r="AA2172" t="s">
        <v>6457</v>
      </c>
      <c r="AB2172" t="s">
        <v>3109</v>
      </c>
      <c r="AC2172">
        <f>COUNTIF(C:C,QLKV_gui_ket_qua_ra_soat[[#This Row],[Mã điểm bán]])</f>
        <v>1</v>
      </c>
    </row>
    <row r="2173" spans="1:29" x14ac:dyDescent="0.45">
      <c r="A2173" t="s">
        <v>6444</v>
      </c>
      <c r="B2173">
        <v>494</v>
      </c>
      <c r="C2173" t="s">
        <v>7900</v>
      </c>
      <c r="D2173" t="s">
        <v>7901</v>
      </c>
      <c r="E2173" t="s">
        <v>113</v>
      </c>
      <c r="F2173" t="s">
        <v>115</v>
      </c>
      <c r="G2173" t="s">
        <v>177</v>
      </c>
      <c r="H2173" t="s">
        <v>620</v>
      </c>
      <c r="I2173" t="s">
        <v>6268</v>
      </c>
      <c r="J2173" t="s">
        <v>37</v>
      </c>
      <c r="K2173" t="s">
        <v>37</v>
      </c>
      <c r="L2173" t="s">
        <v>40</v>
      </c>
      <c r="M2173" t="s">
        <v>56</v>
      </c>
      <c r="N2173" t="s">
        <v>56</v>
      </c>
      <c r="O2173" t="s">
        <v>39</v>
      </c>
      <c r="P2173" t="s">
        <v>37</v>
      </c>
      <c r="Q2173" t="s">
        <v>37</v>
      </c>
      <c r="R2173" t="s">
        <v>40</v>
      </c>
      <c r="S2173" t="s">
        <v>41</v>
      </c>
      <c r="T2173" t="s">
        <v>7310</v>
      </c>
      <c r="U2173" t="s">
        <v>7311</v>
      </c>
      <c r="V2173" t="s">
        <v>6450</v>
      </c>
      <c r="W2173" t="s">
        <v>5607</v>
      </c>
      <c r="X2173" t="s">
        <v>46</v>
      </c>
      <c r="AC2173">
        <f>COUNTIF(C:C,QLKV_gui_ket_qua_ra_soat[[#This Row],[Mã điểm bán]])</f>
        <v>1</v>
      </c>
    </row>
    <row r="2174" spans="1:29" x14ac:dyDescent="0.45">
      <c r="A2174" t="s">
        <v>6444</v>
      </c>
      <c r="B2174">
        <v>495</v>
      </c>
      <c r="C2174" t="s">
        <v>7902</v>
      </c>
      <c r="D2174" t="s">
        <v>7903</v>
      </c>
      <c r="E2174" t="s">
        <v>108</v>
      </c>
      <c r="F2174" t="s">
        <v>666</v>
      </c>
      <c r="G2174" t="s">
        <v>177</v>
      </c>
      <c r="H2174" t="s">
        <v>54</v>
      </c>
      <c r="I2174" t="s">
        <v>7904</v>
      </c>
      <c r="J2174" t="s">
        <v>37</v>
      </c>
      <c r="K2174" t="s">
        <v>37</v>
      </c>
      <c r="L2174" t="s">
        <v>39</v>
      </c>
      <c r="M2174" t="s">
        <v>37</v>
      </c>
      <c r="N2174" t="s">
        <v>37</v>
      </c>
      <c r="O2174" t="s">
        <v>39</v>
      </c>
      <c r="P2174" t="s">
        <v>37</v>
      </c>
      <c r="Q2174" t="s">
        <v>37</v>
      </c>
      <c r="R2174" t="s">
        <v>39</v>
      </c>
      <c r="S2174" t="s">
        <v>5460</v>
      </c>
      <c r="T2174" t="s">
        <v>7319</v>
      </c>
      <c r="U2174" t="s">
        <v>7311</v>
      </c>
      <c r="V2174" t="s">
        <v>6450</v>
      </c>
      <c r="W2174" t="s">
        <v>7312</v>
      </c>
      <c r="X2174" t="s">
        <v>46</v>
      </c>
      <c r="AC2174">
        <f>COUNTIF(C:C,QLKV_gui_ket_qua_ra_soat[[#This Row],[Mã điểm bán]])</f>
        <v>1</v>
      </c>
    </row>
    <row r="2175" spans="1:29" x14ac:dyDescent="0.45">
      <c r="A2175" t="s">
        <v>6444</v>
      </c>
      <c r="B2175">
        <v>496</v>
      </c>
      <c r="C2175" t="s">
        <v>7905</v>
      </c>
      <c r="D2175" t="s">
        <v>5905</v>
      </c>
      <c r="E2175" t="s">
        <v>344</v>
      </c>
      <c r="F2175" t="s">
        <v>191</v>
      </c>
      <c r="G2175" t="s">
        <v>34</v>
      </c>
      <c r="H2175" t="s">
        <v>402</v>
      </c>
      <c r="I2175" t="s">
        <v>7906</v>
      </c>
      <c r="J2175" t="s">
        <v>56</v>
      </c>
      <c r="K2175" t="s">
        <v>56</v>
      </c>
      <c r="L2175" t="s">
        <v>39</v>
      </c>
      <c r="M2175" t="s">
        <v>37</v>
      </c>
      <c r="N2175" t="s">
        <v>37</v>
      </c>
      <c r="O2175" t="s">
        <v>39</v>
      </c>
      <c r="P2175" t="s">
        <v>38</v>
      </c>
      <c r="Q2175" t="s">
        <v>38</v>
      </c>
      <c r="R2175" t="s">
        <v>39</v>
      </c>
      <c r="S2175" t="s">
        <v>1291</v>
      </c>
      <c r="T2175" t="s">
        <v>7327</v>
      </c>
      <c r="U2175" t="s">
        <v>7311</v>
      </c>
      <c r="V2175" t="s">
        <v>6450</v>
      </c>
      <c r="W2175" t="s">
        <v>5607</v>
      </c>
      <c r="Z2175" t="s">
        <v>46</v>
      </c>
      <c r="AA2175" t="s">
        <v>7370</v>
      </c>
      <c r="AB2175" t="s">
        <v>3109</v>
      </c>
      <c r="AC2175">
        <f>COUNTIF(C:C,QLKV_gui_ket_qua_ra_soat[[#This Row],[Mã điểm bán]])</f>
        <v>1</v>
      </c>
    </row>
    <row r="2176" spans="1:29" x14ac:dyDescent="0.45">
      <c r="A2176" t="s">
        <v>6444</v>
      </c>
      <c r="B2176">
        <v>497</v>
      </c>
      <c r="C2176" t="s">
        <v>7907</v>
      </c>
      <c r="D2176" t="s">
        <v>7908</v>
      </c>
      <c r="E2176" t="s">
        <v>291</v>
      </c>
      <c r="F2176" t="s">
        <v>401</v>
      </c>
      <c r="G2176" t="s">
        <v>34</v>
      </c>
      <c r="H2176" t="s">
        <v>54</v>
      </c>
      <c r="I2176" t="s">
        <v>6268</v>
      </c>
      <c r="J2176" t="s">
        <v>56</v>
      </c>
      <c r="K2176" t="s">
        <v>56</v>
      </c>
      <c r="L2176" t="s">
        <v>39</v>
      </c>
      <c r="M2176" t="s">
        <v>56</v>
      </c>
      <c r="N2176" t="s">
        <v>56</v>
      </c>
      <c r="O2176" t="s">
        <v>39</v>
      </c>
      <c r="P2176" t="s">
        <v>37</v>
      </c>
      <c r="Q2176" t="s">
        <v>37</v>
      </c>
      <c r="R2176" t="s">
        <v>39</v>
      </c>
      <c r="S2176" t="s">
        <v>41</v>
      </c>
      <c r="T2176" t="s">
        <v>7310</v>
      </c>
      <c r="U2176" t="s">
        <v>7311</v>
      </c>
      <c r="V2176" t="s">
        <v>6450</v>
      </c>
      <c r="W2176" t="s">
        <v>5607</v>
      </c>
      <c r="Z2176" t="s">
        <v>46</v>
      </c>
      <c r="AA2176" t="s">
        <v>6457</v>
      </c>
      <c r="AB2176" t="s">
        <v>3109</v>
      </c>
      <c r="AC2176">
        <f>COUNTIF(C:C,QLKV_gui_ket_qua_ra_soat[[#This Row],[Mã điểm bán]])</f>
        <v>1</v>
      </c>
    </row>
    <row r="2177" spans="1:29" x14ac:dyDescent="0.45">
      <c r="A2177" t="s">
        <v>6444</v>
      </c>
      <c r="B2177">
        <v>498</v>
      </c>
      <c r="C2177" t="s">
        <v>7909</v>
      </c>
      <c r="D2177" t="s">
        <v>7910</v>
      </c>
      <c r="E2177" t="s">
        <v>297</v>
      </c>
      <c r="F2177" t="s">
        <v>53</v>
      </c>
      <c r="G2177" t="s">
        <v>34</v>
      </c>
      <c r="H2177" t="s">
        <v>54</v>
      </c>
      <c r="I2177" t="s">
        <v>7911</v>
      </c>
      <c r="J2177" t="s">
        <v>38</v>
      </c>
      <c r="K2177" t="s">
        <v>38</v>
      </c>
      <c r="L2177" t="s">
        <v>40</v>
      </c>
      <c r="M2177" t="s">
        <v>775</v>
      </c>
      <c r="N2177" t="s">
        <v>775</v>
      </c>
      <c r="O2177" t="s">
        <v>39</v>
      </c>
      <c r="P2177" t="s">
        <v>38</v>
      </c>
      <c r="Q2177" t="s">
        <v>38</v>
      </c>
      <c r="R2177" t="s">
        <v>40</v>
      </c>
      <c r="S2177" t="s">
        <v>7912</v>
      </c>
      <c r="T2177" t="s">
        <v>7310</v>
      </c>
      <c r="U2177" t="s">
        <v>7311</v>
      </c>
      <c r="V2177" t="s">
        <v>6450</v>
      </c>
      <c r="W2177" t="s">
        <v>5607</v>
      </c>
      <c r="Z2177" t="s">
        <v>46</v>
      </c>
      <c r="AA2177" t="s">
        <v>7370</v>
      </c>
      <c r="AB2177" t="s">
        <v>3109</v>
      </c>
      <c r="AC2177">
        <f>COUNTIF(C:C,QLKV_gui_ket_qua_ra_soat[[#This Row],[Mã điểm bán]])</f>
        <v>1</v>
      </c>
    </row>
    <row r="2178" spans="1:29" x14ac:dyDescent="0.45">
      <c r="A2178" t="s">
        <v>6444</v>
      </c>
      <c r="B2178">
        <v>499</v>
      </c>
      <c r="C2178" t="s">
        <v>7913</v>
      </c>
      <c r="D2178" t="s">
        <v>7914</v>
      </c>
      <c r="E2178" t="s">
        <v>138</v>
      </c>
      <c r="F2178" t="s">
        <v>884</v>
      </c>
      <c r="G2178" t="s">
        <v>34</v>
      </c>
      <c r="H2178" t="s">
        <v>77</v>
      </c>
      <c r="I2178" t="s">
        <v>7915</v>
      </c>
      <c r="J2178" t="s">
        <v>37</v>
      </c>
      <c r="K2178" t="s">
        <v>37</v>
      </c>
      <c r="L2178" t="s">
        <v>39</v>
      </c>
      <c r="M2178" t="s">
        <v>37</v>
      </c>
      <c r="N2178" t="s">
        <v>37</v>
      </c>
      <c r="O2178" t="s">
        <v>39</v>
      </c>
      <c r="P2178" t="s">
        <v>37</v>
      </c>
      <c r="Q2178" t="s">
        <v>37</v>
      </c>
      <c r="R2178" t="s">
        <v>39</v>
      </c>
      <c r="S2178" t="s">
        <v>41</v>
      </c>
      <c r="T2178" t="s">
        <v>7327</v>
      </c>
      <c r="U2178" t="s">
        <v>7311</v>
      </c>
      <c r="V2178" t="s">
        <v>6450</v>
      </c>
      <c r="W2178" t="s">
        <v>7312</v>
      </c>
      <c r="Z2178" t="s">
        <v>46</v>
      </c>
      <c r="AA2178" t="s">
        <v>6457</v>
      </c>
      <c r="AB2178" t="s">
        <v>3109</v>
      </c>
      <c r="AC2178">
        <f>COUNTIF(C:C,QLKV_gui_ket_qua_ra_soat[[#This Row],[Mã điểm bán]])</f>
        <v>1</v>
      </c>
    </row>
    <row r="2179" spans="1:29" x14ac:dyDescent="0.45">
      <c r="A2179" t="s">
        <v>6444</v>
      </c>
      <c r="B2179">
        <v>500</v>
      </c>
      <c r="C2179" t="s">
        <v>7916</v>
      </c>
      <c r="D2179" t="s">
        <v>7917</v>
      </c>
      <c r="E2179" t="s">
        <v>304</v>
      </c>
      <c r="F2179" t="s">
        <v>53</v>
      </c>
      <c r="G2179" t="s">
        <v>177</v>
      </c>
      <c r="H2179" t="s">
        <v>54</v>
      </c>
      <c r="I2179" t="s">
        <v>7318</v>
      </c>
      <c r="J2179" t="s">
        <v>37</v>
      </c>
      <c r="K2179" t="s">
        <v>37</v>
      </c>
      <c r="L2179" t="s">
        <v>39</v>
      </c>
      <c r="M2179" t="s">
        <v>37</v>
      </c>
      <c r="N2179" t="s">
        <v>37</v>
      </c>
      <c r="O2179" t="s">
        <v>39</v>
      </c>
      <c r="P2179" t="s">
        <v>37</v>
      </c>
      <c r="Q2179" t="s">
        <v>37</v>
      </c>
      <c r="R2179" t="s">
        <v>39</v>
      </c>
      <c r="S2179" t="s">
        <v>41</v>
      </c>
      <c r="T2179" t="s">
        <v>7319</v>
      </c>
      <c r="U2179" t="s">
        <v>7311</v>
      </c>
      <c r="V2179" t="s">
        <v>6450</v>
      </c>
      <c r="W2179" t="s">
        <v>7312</v>
      </c>
      <c r="Y2179" t="s">
        <v>46</v>
      </c>
      <c r="AC2179">
        <f>COUNTIF(C:C,QLKV_gui_ket_qua_ra_soat[[#This Row],[Mã điểm bán]])</f>
        <v>1</v>
      </c>
    </row>
    <row r="2180" spans="1:29" x14ac:dyDescent="0.45">
      <c r="A2180" t="s">
        <v>6444</v>
      </c>
      <c r="B2180">
        <v>501</v>
      </c>
      <c r="C2180" t="s">
        <v>7918</v>
      </c>
      <c r="D2180" t="s">
        <v>7919</v>
      </c>
      <c r="E2180" t="s">
        <v>857</v>
      </c>
      <c r="F2180" t="s">
        <v>53</v>
      </c>
      <c r="G2180" t="s">
        <v>34</v>
      </c>
      <c r="H2180" t="s">
        <v>54</v>
      </c>
      <c r="I2180" t="s">
        <v>7345</v>
      </c>
      <c r="J2180" t="s">
        <v>56</v>
      </c>
      <c r="K2180" t="s">
        <v>56</v>
      </c>
      <c r="L2180" t="s">
        <v>39</v>
      </c>
      <c r="M2180" t="s">
        <v>37</v>
      </c>
      <c r="N2180" t="s">
        <v>37</v>
      </c>
      <c r="O2180" t="s">
        <v>39</v>
      </c>
      <c r="P2180" t="s">
        <v>38</v>
      </c>
      <c r="Q2180" t="s">
        <v>38</v>
      </c>
      <c r="R2180" t="s">
        <v>39</v>
      </c>
      <c r="S2180" t="s">
        <v>1291</v>
      </c>
      <c r="T2180" t="s">
        <v>7327</v>
      </c>
      <c r="U2180" t="s">
        <v>7311</v>
      </c>
      <c r="V2180" t="s">
        <v>6450</v>
      </c>
      <c r="W2180" t="s">
        <v>5607</v>
      </c>
      <c r="Y2180" t="s">
        <v>46</v>
      </c>
      <c r="AC2180">
        <f>COUNTIF(C:C,QLKV_gui_ket_qua_ra_soat[[#This Row],[Mã điểm bán]])</f>
        <v>1</v>
      </c>
    </row>
    <row r="2181" spans="1:29" x14ac:dyDescent="0.45">
      <c r="A2181" t="s">
        <v>6444</v>
      </c>
      <c r="B2181">
        <v>502</v>
      </c>
      <c r="C2181" t="s">
        <v>7920</v>
      </c>
      <c r="D2181" t="s">
        <v>7921</v>
      </c>
      <c r="E2181" t="s">
        <v>1695</v>
      </c>
      <c r="F2181" t="s">
        <v>461</v>
      </c>
      <c r="G2181" t="s">
        <v>34</v>
      </c>
      <c r="H2181" t="s">
        <v>54</v>
      </c>
      <c r="I2181" t="s">
        <v>7704</v>
      </c>
      <c r="J2181" t="s">
        <v>37</v>
      </c>
      <c r="K2181" t="s">
        <v>38</v>
      </c>
      <c r="L2181" t="s">
        <v>40</v>
      </c>
      <c r="M2181" t="s">
        <v>56</v>
      </c>
      <c r="N2181" t="s">
        <v>37</v>
      </c>
      <c r="O2181" t="s">
        <v>39</v>
      </c>
      <c r="P2181" t="s">
        <v>56</v>
      </c>
      <c r="Q2181" t="s">
        <v>37</v>
      </c>
      <c r="R2181" t="s">
        <v>40</v>
      </c>
      <c r="S2181" t="s">
        <v>41</v>
      </c>
      <c r="T2181" t="s">
        <v>7310</v>
      </c>
      <c r="U2181" t="s">
        <v>7311</v>
      </c>
      <c r="V2181" t="s">
        <v>6450</v>
      </c>
      <c r="W2181" t="s">
        <v>7312</v>
      </c>
      <c r="Z2181" t="s">
        <v>46</v>
      </c>
      <c r="AA2181" t="s">
        <v>6457</v>
      </c>
      <c r="AB2181" t="s">
        <v>5658</v>
      </c>
      <c r="AC2181">
        <f>COUNTIF(C:C,QLKV_gui_ket_qua_ra_soat[[#This Row],[Mã điểm bán]])</f>
        <v>1</v>
      </c>
    </row>
    <row r="2182" spans="1:29" x14ac:dyDescent="0.45">
      <c r="A2182" t="s">
        <v>6444</v>
      </c>
      <c r="B2182">
        <v>503</v>
      </c>
      <c r="C2182" t="s">
        <v>7922</v>
      </c>
      <c r="D2182" t="s">
        <v>7663</v>
      </c>
      <c r="E2182" t="s">
        <v>857</v>
      </c>
      <c r="F2182" t="s">
        <v>53</v>
      </c>
      <c r="G2182" t="s">
        <v>34</v>
      </c>
      <c r="H2182" t="s">
        <v>54</v>
      </c>
      <c r="I2182" t="s">
        <v>7345</v>
      </c>
      <c r="J2182" t="s">
        <v>56</v>
      </c>
      <c r="K2182" t="s">
        <v>56</v>
      </c>
      <c r="L2182" t="s">
        <v>39</v>
      </c>
      <c r="M2182" t="s">
        <v>37</v>
      </c>
      <c r="N2182" t="s">
        <v>37</v>
      </c>
      <c r="O2182" t="s">
        <v>39</v>
      </c>
      <c r="P2182" t="s">
        <v>38</v>
      </c>
      <c r="Q2182" t="s">
        <v>38</v>
      </c>
      <c r="R2182" t="s">
        <v>39</v>
      </c>
      <c r="S2182" t="s">
        <v>1291</v>
      </c>
      <c r="T2182" t="s">
        <v>7327</v>
      </c>
      <c r="U2182" t="s">
        <v>7311</v>
      </c>
      <c r="V2182" t="s">
        <v>6450</v>
      </c>
      <c r="W2182" t="s">
        <v>7312</v>
      </c>
      <c r="Y2182" t="s">
        <v>46</v>
      </c>
      <c r="AC2182">
        <f>COUNTIF(C:C,QLKV_gui_ket_qua_ra_soat[[#This Row],[Mã điểm bán]])</f>
        <v>1</v>
      </c>
    </row>
    <row r="2183" spans="1:29" x14ac:dyDescent="0.45">
      <c r="A2183" t="s">
        <v>6444</v>
      </c>
      <c r="B2183">
        <v>504</v>
      </c>
      <c r="C2183" t="s">
        <v>7923</v>
      </c>
      <c r="D2183" t="s">
        <v>7069</v>
      </c>
      <c r="E2183" t="s">
        <v>1881</v>
      </c>
      <c r="F2183" t="s">
        <v>461</v>
      </c>
      <c r="G2183" t="s">
        <v>177</v>
      </c>
      <c r="H2183" t="s">
        <v>171</v>
      </c>
      <c r="I2183" t="s">
        <v>7924</v>
      </c>
      <c r="J2183" t="s">
        <v>56</v>
      </c>
      <c r="K2183" t="s">
        <v>56</v>
      </c>
      <c r="L2183" t="s">
        <v>39</v>
      </c>
      <c r="M2183" t="s">
        <v>56</v>
      </c>
      <c r="N2183" t="s">
        <v>56</v>
      </c>
      <c r="O2183" t="s">
        <v>39</v>
      </c>
      <c r="P2183" t="s">
        <v>56</v>
      </c>
      <c r="Q2183" t="s">
        <v>37</v>
      </c>
      <c r="R2183" t="s">
        <v>39</v>
      </c>
      <c r="S2183" t="s">
        <v>7925</v>
      </c>
      <c r="T2183" t="s">
        <v>7310</v>
      </c>
      <c r="U2183" t="s">
        <v>7311</v>
      </c>
      <c r="V2183" t="s">
        <v>6450</v>
      </c>
      <c r="W2183" t="s">
        <v>5607</v>
      </c>
      <c r="X2183" t="s">
        <v>46</v>
      </c>
      <c r="AC2183">
        <f>COUNTIF(C:C,QLKV_gui_ket_qua_ra_soat[[#This Row],[Mã điểm bán]])</f>
        <v>1</v>
      </c>
    </row>
    <row r="2184" spans="1:29" x14ac:dyDescent="0.45">
      <c r="A2184" t="s">
        <v>6444</v>
      </c>
      <c r="B2184">
        <v>505</v>
      </c>
      <c r="C2184" t="s">
        <v>7926</v>
      </c>
      <c r="D2184" t="s">
        <v>7927</v>
      </c>
      <c r="E2184" t="s">
        <v>255</v>
      </c>
      <c r="F2184" t="s">
        <v>53</v>
      </c>
      <c r="G2184" t="s">
        <v>177</v>
      </c>
      <c r="H2184" t="s">
        <v>54</v>
      </c>
      <c r="I2184" t="s">
        <v>7322</v>
      </c>
      <c r="J2184" t="s">
        <v>37</v>
      </c>
      <c r="K2184" t="s">
        <v>37</v>
      </c>
      <c r="L2184" t="s">
        <v>40</v>
      </c>
      <c r="M2184" t="s">
        <v>56</v>
      </c>
      <c r="N2184" t="s">
        <v>56</v>
      </c>
      <c r="O2184" t="s">
        <v>39</v>
      </c>
      <c r="P2184" t="s">
        <v>37</v>
      </c>
      <c r="Q2184" t="s">
        <v>38</v>
      </c>
      <c r="R2184" t="s">
        <v>40</v>
      </c>
      <c r="S2184" t="s">
        <v>41</v>
      </c>
      <c r="T2184" t="s">
        <v>7310</v>
      </c>
      <c r="U2184" t="s">
        <v>7311</v>
      </c>
      <c r="V2184" t="s">
        <v>6450</v>
      </c>
      <c r="W2184" t="s">
        <v>7312</v>
      </c>
      <c r="Y2184" t="s">
        <v>46</v>
      </c>
      <c r="AC2184">
        <f>COUNTIF(C:C,QLKV_gui_ket_qua_ra_soat[[#This Row],[Mã điểm bán]])</f>
        <v>1</v>
      </c>
    </row>
    <row r="2185" spans="1:29" x14ac:dyDescent="0.45">
      <c r="A2185" t="s">
        <v>6444</v>
      </c>
      <c r="B2185">
        <v>506</v>
      </c>
      <c r="C2185" t="s">
        <v>7928</v>
      </c>
      <c r="D2185" t="s">
        <v>7929</v>
      </c>
      <c r="E2185" t="s">
        <v>291</v>
      </c>
      <c r="F2185" t="s">
        <v>7930</v>
      </c>
      <c r="G2185" t="s">
        <v>34</v>
      </c>
      <c r="H2185" t="s">
        <v>54</v>
      </c>
      <c r="I2185" t="s">
        <v>7931</v>
      </c>
      <c r="J2185" t="s">
        <v>775</v>
      </c>
      <c r="K2185" t="s">
        <v>56</v>
      </c>
      <c r="L2185" t="s">
        <v>121</v>
      </c>
      <c r="M2185" t="s">
        <v>37</v>
      </c>
      <c r="N2185" t="s">
        <v>37</v>
      </c>
      <c r="O2185" t="s">
        <v>39</v>
      </c>
      <c r="P2185" t="s">
        <v>38</v>
      </c>
      <c r="Q2185" t="s">
        <v>37</v>
      </c>
      <c r="R2185" t="s">
        <v>39</v>
      </c>
      <c r="S2185" t="s">
        <v>7932</v>
      </c>
      <c r="T2185" t="s">
        <v>7319</v>
      </c>
      <c r="U2185" t="s">
        <v>7311</v>
      </c>
      <c r="V2185" t="s">
        <v>6450</v>
      </c>
      <c r="W2185" t="s">
        <v>5607</v>
      </c>
      <c r="Z2185" t="s">
        <v>46</v>
      </c>
      <c r="AA2185" t="s">
        <v>7370</v>
      </c>
      <c r="AB2185" t="s">
        <v>3109</v>
      </c>
      <c r="AC2185">
        <f>COUNTIF(C:C,QLKV_gui_ket_qua_ra_soat[[#This Row],[Mã điểm bán]])</f>
        <v>1</v>
      </c>
    </row>
    <row r="2186" spans="1:29" x14ac:dyDescent="0.45">
      <c r="A2186" t="s">
        <v>6444</v>
      </c>
      <c r="B2186">
        <v>507</v>
      </c>
      <c r="C2186" t="s">
        <v>7933</v>
      </c>
      <c r="D2186" t="s">
        <v>7934</v>
      </c>
      <c r="E2186" t="s">
        <v>91</v>
      </c>
      <c r="F2186" t="s">
        <v>829</v>
      </c>
      <c r="G2186" t="s">
        <v>177</v>
      </c>
      <c r="H2186" t="s">
        <v>54</v>
      </c>
      <c r="I2186" t="s">
        <v>7935</v>
      </c>
      <c r="J2186" t="s">
        <v>775</v>
      </c>
      <c r="K2186" t="s">
        <v>56</v>
      </c>
      <c r="L2186" t="s">
        <v>39</v>
      </c>
      <c r="M2186" t="s">
        <v>56</v>
      </c>
      <c r="N2186" t="s">
        <v>775</v>
      </c>
      <c r="O2186" t="s">
        <v>39</v>
      </c>
      <c r="P2186" t="s">
        <v>37</v>
      </c>
      <c r="Q2186" t="s">
        <v>37</v>
      </c>
      <c r="R2186" t="s">
        <v>40</v>
      </c>
      <c r="S2186" t="s">
        <v>7936</v>
      </c>
      <c r="T2186" t="s">
        <v>7310</v>
      </c>
      <c r="U2186" t="s">
        <v>7311</v>
      </c>
      <c r="V2186" t="s">
        <v>6450</v>
      </c>
      <c r="W2186" t="s">
        <v>7312</v>
      </c>
      <c r="Z2186" t="s">
        <v>46</v>
      </c>
      <c r="AA2186" t="s">
        <v>6457</v>
      </c>
      <c r="AB2186" t="s">
        <v>3109</v>
      </c>
      <c r="AC2186">
        <f>COUNTIF(C:C,QLKV_gui_ket_qua_ra_soat[[#This Row],[Mã điểm bán]])</f>
        <v>1</v>
      </c>
    </row>
    <row r="2187" spans="1:29" x14ac:dyDescent="0.45">
      <c r="A2187" t="s">
        <v>6444</v>
      </c>
      <c r="B2187">
        <v>508</v>
      </c>
      <c r="C2187" t="s">
        <v>7937</v>
      </c>
      <c r="D2187" t="s">
        <v>7938</v>
      </c>
      <c r="E2187" t="s">
        <v>69</v>
      </c>
      <c r="F2187" t="s">
        <v>53</v>
      </c>
      <c r="G2187" t="s">
        <v>34</v>
      </c>
      <c r="H2187" t="s">
        <v>54</v>
      </c>
      <c r="I2187" t="s">
        <v>7939</v>
      </c>
      <c r="J2187" t="s">
        <v>38</v>
      </c>
      <c r="K2187" t="s">
        <v>38</v>
      </c>
      <c r="L2187" t="s">
        <v>39</v>
      </c>
      <c r="M2187" t="s">
        <v>38</v>
      </c>
      <c r="N2187" t="s">
        <v>37</v>
      </c>
      <c r="O2187" t="s">
        <v>39</v>
      </c>
      <c r="P2187" t="s">
        <v>38</v>
      </c>
      <c r="Q2187" t="s">
        <v>37</v>
      </c>
      <c r="R2187" t="s">
        <v>39</v>
      </c>
      <c r="S2187" t="s">
        <v>7940</v>
      </c>
      <c r="T2187" t="s">
        <v>7319</v>
      </c>
      <c r="U2187" t="s">
        <v>7311</v>
      </c>
      <c r="V2187" t="s">
        <v>6450</v>
      </c>
      <c r="W2187" t="s">
        <v>7312</v>
      </c>
      <c r="Z2187" t="s">
        <v>46</v>
      </c>
      <c r="AA2187" t="s">
        <v>7370</v>
      </c>
      <c r="AB2187" t="s">
        <v>3109</v>
      </c>
      <c r="AC2187">
        <f>COUNTIF(C:C,QLKV_gui_ket_qua_ra_soat[[#This Row],[Mã điểm bán]])</f>
        <v>1</v>
      </c>
    </row>
    <row r="2188" spans="1:29" x14ac:dyDescent="0.45">
      <c r="A2188" t="s">
        <v>6444</v>
      </c>
      <c r="B2188">
        <v>509</v>
      </c>
      <c r="C2188" t="s">
        <v>7941</v>
      </c>
      <c r="D2188" t="s">
        <v>7942</v>
      </c>
      <c r="E2188" t="s">
        <v>176</v>
      </c>
      <c r="F2188" t="s">
        <v>53</v>
      </c>
      <c r="G2188" t="s">
        <v>34</v>
      </c>
      <c r="H2188" t="s">
        <v>54</v>
      </c>
      <c r="I2188" t="s">
        <v>7734</v>
      </c>
      <c r="J2188" t="s">
        <v>56</v>
      </c>
      <c r="K2188" t="s">
        <v>56</v>
      </c>
      <c r="L2188" t="s">
        <v>39</v>
      </c>
      <c r="M2188" t="s">
        <v>37</v>
      </c>
      <c r="N2188" t="s">
        <v>37</v>
      </c>
      <c r="O2188" t="s">
        <v>39</v>
      </c>
      <c r="P2188" t="s">
        <v>38</v>
      </c>
      <c r="Q2188" t="s">
        <v>38</v>
      </c>
      <c r="R2188" t="s">
        <v>39</v>
      </c>
      <c r="S2188" t="s">
        <v>5460</v>
      </c>
      <c r="T2188" t="s">
        <v>7327</v>
      </c>
      <c r="U2188" t="s">
        <v>7311</v>
      </c>
      <c r="V2188" t="s">
        <v>6450</v>
      </c>
      <c r="W2188" t="s">
        <v>7312</v>
      </c>
      <c r="Z2188" t="s">
        <v>46</v>
      </c>
      <c r="AA2188" t="s">
        <v>6457</v>
      </c>
      <c r="AB2188" t="s">
        <v>4223</v>
      </c>
      <c r="AC2188">
        <f>COUNTIF(C:C,QLKV_gui_ket_qua_ra_soat[[#This Row],[Mã điểm bán]])</f>
        <v>1</v>
      </c>
    </row>
    <row r="2189" spans="1:29" x14ac:dyDescent="0.45">
      <c r="A2189" t="s">
        <v>6444</v>
      </c>
      <c r="B2189">
        <v>510</v>
      </c>
      <c r="C2189" t="s">
        <v>7943</v>
      </c>
      <c r="D2189" t="s">
        <v>7944</v>
      </c>
      <c r="E2189" t="s">
        <v>148</v>
      </c>
      <c r="F2189" t="s">
        <v>53</v>
      </c>
      <c r="G2189" t="s">
        <v>34</v>
      </c>
      <c r="H2189" t="s">
        <v>402</v>
      </c>
      <c r="I2189" t="s">
        <v>7945</v>
      </c>
      <c r="J2189" t="s">
        <v>56</v>
      </c>
      <c r="K2189" t="s">
        <v>56</v>
      </c>
      <c r="L2189" t="s">
        <v>39</v>
      </c>
      <c r="M2189" t="s">
        <v>37</v>
      </c>
      <c r="N2189" t="s">
        <v>37</v>
      </c>
      <c r="O2189" t="s">
        <v>39</v>
      </c>
      <c r="P2189" t="s">
        <v>38</v>
      </c>
      <c r="Q2189" t="s">
        <v>38</v>
      </c>
      <c r="R2189" t="s">
        <v>39</v>
      </c>
      <c r="S2189" t="s">
        <v>1291</v>
      </c>
      <c r="T2189" t="s">
        <v>7327</v>
      </c>
      <c r="U2189" t="s">
        <v>7311</v>
      </c>
      <c r="V2189" t="s">
        <v>6450</v>
      </c>
      <c r="W2189" t="s">
        <v>5607</v>
      </c>
      <c r="Z2189" t="s">
        <v>46</v>
      </c>
      <c r="AA2189" t="s">
        <v>7370</v>
      </c>
      <c r="AB2189" t="s">
        <v>4223</v>
      </c>
      <c r="AC2189">
        <f>COUNTIF(C:C,QLKV_gui_ket_qua_ra_soat[[#This Row],[Mã điểm bán]])</f>
        <v>1</v>
      </c>
    </row>
    <row r="2190" spans="1:29" x14ac:dyDescent="0.45">
      <c r="A2190" t="s">
        <v>6444</v>
      </c>
      <c r="B2190">
        <v>511</v>
      </c>
      <c r="C2190" t="s">
        <v>7946</v>
      </c>
      <c r="D2190" t="s">
        <v>7947</v>
      </c>
      <c r="E2190" t="s">
        <v>138</v>
      </c>
      <c r="F2190" t="s">
        <v>401</v>
      </c>
      <c r="G2190" t="s">
        <v>177</v>
      </c>
      <c r="H2190" t="s">
        <v>54</v>
      </c>
      <c r="I2190" t="s">
        <v>6268</v>
      </c>
      <c r="J2190" t="s">
        <v>56</v>
      </c>
      <c r="K2190" t="s">
        <v>56</v>
      </c>
      <c r="L2190" t="s">
        <v>39</v>
      </c>
      <c r="M2190" t="s">
        <v>56</v>
      </c>
      <c r="N2190" t="s">
        <v>56</v>
      </c>
      <c r="O2190" t="s">
        <v>39</v>
      </c>
      <c r="P2190" t="s">
        <v>56</v>
      </c>
      <c r="Q2190" t="s">
        <v>37</v>
      </c>
      <c r="R2190" t="s">
        <v>40</v>
      </c>
      <c r="S2190" t="s">
        <v>41</v>
      </c>
      <c r="T2190" t="s">
        <v>7310</v>
      </c>
      <c r="U2190" t="s">
        <v>7311</v>
      </c>
      <c r="V2190" t="s">
        <v>6450</v>
      </c>
      <c r="W2190" t="s">
        <v>5607</v>
      </c>
      <c r="Z2190" t="s">
        <v>46</v>
      </c>
      <c r="AA2190" t="s">
        <v>7370</v>
      </c>
      <c r="AB2190" t="s">
        <v>4223</v>
      </c>
      <c r="AC2190">
        <f>COUNTIF(C:C,QLKV_gui_ket_qua_ra_soat[[#This Row],[Mã điểm bán]])</f>
        <v>1</v>
      </c>
    </row>
    <row r="2191" spans="1:29" x14ac:dyDescent="0.45">
      <c r="A2191" t="s">
        <v>6444</v>
      </c>
      <c r="B2191">
        <v>512</v>
      </c>
      <c r="C2191" t="s">
        <v>7948</v>
      </c>
      <c r="D2191" t="s">
        <v>7949</v>
      </c>
      <c r="E2191" t="s">
        <v>344</v>
      </c>
      <c r="F2191" t="s">
        <v>401</v>
      </c>
      <c r="G2191" t="s">
        <v>177</v>
      </c>
      <c r="H2191" t="s">
        <v>54</v>
      </c>
      <c r="I2191" t="s">
        <v>7722</v>
      </c>
      <c r="J2191" t="s">
        <v>56</v>
      </c>
      <c r="K2191" t="s">
        <v>56</v>
      </c>
      <c r="L2191" t="s">
        <v>39</v>
      </c>
      <c r="M2191" t="s">
        <v>775</v>
      </c>
      <c r="N2191" t="s">
        <v>775</v>
      </c>
      <c r="O2191" t="s">
        <v>39</v>
      </c>
      <c r="P2191" t="s">
        <v>56</v>
      </c>
      <c r="Q2191" t="s">
        <v>56</v>
      </c>
      <c r="R2191" t="s">
        <v>39</v>
      </c>
      <c r="S2191" t="s">
        <v>7950</v>
      </c>
      <c r="T2191" t="s">
        <v>7310</v>
      </c>
      <c r="U2191" t="s">
        <v>7311</v>
      </c>
      <c r="V2191" t="s">
        <v>6450</v>
      </c>
      <c r="W2191" t="s">
        <v>7312</v>
      </c>
      <c r="Z2191" t="s">
        <v>46</v>
      </c>
      <c r="AA2191" t="s">
        <v>6457</v>
      </c>
      <c r="AB2191" t="s">
        <v>4223</v>
      </c>
      <c r="AC2191">
        <f>COUNTIF(C:C,QLKV_gui_ket_qua_ra_soat[[#This Row],[Mã điểm bán]])</f>
        <v>1</v>
      </c>
    </row>
    <row r="2192" spans="1:29" x14ac:dyDescent="0.45">
      <c r="A2192" t="s">
        <v>6444</v>
      </c>
      <c r="B2192">
        <v>513</v>
      </c>
      <c r="C2192" t="s">
        <v>7951</v>
      </c>
      <c r="D2192" t="s">
        <v>7952</v>
      </c>
      <c r="E2192" t="s">
        <v>798</v>
      </c>
      <c r="F2192" t="s">
        <v>684</v>
      </c>
      <c r="G2192" t="s">
        <v>177</v>
      </c>
      <c r="H2192" t="s">
        <v>54</v>
      </c>
      <c r="I2192" t="s">
        <v>7953</v>
      </c>
      <c r="J2192" t="s">
        <v>56</v>
      </c>
      <c r="K2192" t="s">
        <v>37</v>
      </c>
      <c r="L2192" t="s">
        <v>39</v>
      </c>
      <c r="M2192" t="s">
        <v>37</v>
      </c>
      <c r="N2192" t="s">
        <v>37</v>
      </c>
      <c r="O2192" t="s">
        <v>39</v>
      </c>
      <c r="P2192" t="s">
        <v>37</v>
      </c>
      <c r="Q2192" t="s">
        <v>37</v>
      </c>
      <c r="R2192" t="s">
        <v>39</v>
      </c>
      <c r="S2192" t="s">
        <v>41</v>
      </c>
      <c r="T2192" t="s">
        <v>7319</v>
      </c>
      <c r="U2192" t="s">
        <v>7311</v>
      </c>
      <c r="V2192" t="s">
        <v>6450</v>
      </c>
      <c r="W2192" t="s">
        <v>7312</v>
      </c>
      <c r="Y2192" t="s">
        <v>46</v>
      </c>
      <c r="AC2192">
        <f>COUNTIF(C:C,QLKV_gui_ket_qua_ra_soat[[#This Row],[Mã điểm bán]])</f>
        <v>1</v>
      </c>
    </row>
    <row r="2193" spans="1:29" x14ac:dyDescent="0.45">
      <c r="A2193" t="s">
        <v>6444</v>
      </c>
      <c r="B2193">
        <v>514</v>
      </c>
      <c r="C2193" t="s">
        <v>7954</v>
      </c>
      <c r="D2193" t="s">
        <v>7955</v>
      </c>
      <c r="E2193" t="s">
        <v>176</v>
      </c>
      <c r="F2193" t="s">
        <v>426</v>
      </c>
      <c r="G2193" t="s">
        <v>177</v>
      </c>
      <c r="H2193" t="s">
        <v>54</v>
      </c>
      <c r="I2193" t="s">
        <v>6268</v>
      </c>
      <c r="J2193" t="s">
        <v>56</v>
      </c>
      <c r="K2193" t="s">
        <v>56</v>
      </c>
      <c r="L2193" t="s">
        <v>39</v>
      </c>
      <c r="M2193" t="s">
        <v>56</v>
      </c>
      <c r="N2193" t="s">
        <v>56</v>
      </c>
      <c r="O2193" t="s">
        <v>39</v>
      </c>
      <c r="P2193" t="s">
        <v>56</v>
      </c>
      <c r="Q2193" t="s">
        <v>56</v>
      </c>
      <c r="R2193" t="s">
        <v>39</v>
      </c>
      <c r="S2193" t="s">
        <v>41</v>
      </c>
      <c r="T2193" t="s">
        <v>7310</v>
      </c>
      <c r="U2193" t="s">
        <v>7311</v>
      </c>
      <c r="V2193" t="s">
        <v>6450</v>
      </c>
      <c r="W2193" t="s">
        <v>5607</v>
      </c>
      <c r="Y2193" t="s">
        <v>46</v>
      </c>
      <c r="AC2193">
        <f>COUNTIF(C:C,QLKV_gui_ket_qua_ra_soat[[#This Row],[Mã điểm bán]])</f>
        <v>1</v>
      </c>
    </row>
    <row r="2194" spans="1:29" x14ac:dyDescent="0.45">
      <c r="A2194" t="s">
        <v>6444</v>
      </c>
      <c r="B2194">
        <v>515</v>
      </c>
      <c r="C2194" t="s">
        <v>7956</v>
      </c>
      <c r="D2194" t="s">
        <v>7957</v>
      </c>
      <c r="E2194" t="s">
        <v>857</v>
      </c>
      <c r="F2194" t="s">
        <v>53</v>
      </c>
      <c r="G2194" t="s">
        <v>34</v>
      </c>
      <c r="H2194" t="s">
        <v>54</v>
      </c>
      <c r="I2194" t="s">
        <v>7326</v>
      </c>
      <c r="J2194" t="s">
        <v>56</v>
      </c>
      <c r="K2194" t="s">
        <v>56</v>
      </c>
      <c r="L2194" t="s">
        <v>39</v>
      </c>
      <c r="M2194" t="s">
        <v>37</v>
      </c>
      <c r="N2194" t="s">
        <v>37</v>
      </c>
      <c r="O2194" t="s">
        <v>39</v>
      </c>
      <c r="P2194" t="s">
        <v>38</v>
      </c>
      <c r="Q2194" t="s">
        <v>38</v>
      </c>
      <c r="R2194" t="s">
        <v>39</v>
      </c>
      <c r="S2194" t="s">
        <v>7958</v>
      </c>
      <c r="T2194" t="s">
        <v>7327</v>
      </c>
      <c r="U2194" t="s">
        <v>7311</v>
      </c>
      <c r="V2194" t="s">
        <v>6450</v>
      </c>
      <c r="W2194" t="s">
        <v>7312</v>
      </c>
      <c r="Y2194" t="s">
        <v>46</v>
      </c>
      <c r="AC2194">
        <f>COUNTIF(C:C,QLKV_gui_ket_qua_ra_soat[[#This Row],[Mã điểm bán]])</f>
        <v>1</v>
      </c>
    </row>
    <row r="2195" spans="1:29" x14ac:dyDescent="0.45">
      <c r="A2195" t="s">
        <v>6444</v>
      </c>
      <c r="B2195">
        <v>516</v>
      </c>
      <c r="C2195" t="s">
        <v>7959</v>
      </c>
      <c r="D2195" t="s">
        <v>7261</v>
      </c>
      <c r="E2195" t="s">
        <v>416</v>
      </c>
      <c r="F2195" t="s">
        <v>401</v>
      </c>
      <c r="G2195" t="s">
        <v>177</v>
      </c>
      <c r="H2195" t="s">
        <v>54</v>
      </c>
      <c r="I2195" t="s">
        <v>7960</v>
      </c>
      <c r="J2195" t="s">
        <v>56</v>
      </c>
      <c r="K2195" t="s">
        <v>37</v>
      </c>
      <c r="L2195" t="s">
        <v>121</v>
      </c>
      <c r="M2195" t="s">
        <v>37</v>
      </c>
      <c r="N2195" t="s">
        <v>37</v>
      </c>
      <c r="O2195" t="s">
        <v>39</v>
      </c>
      <c r="P2195" t="s">
        <v>38</v>
      </c>
      <c r="Q2195" t="s">
        <v>38</v>
      </c>
      <c r="R2195" t="s">
        <v>39</v>
      </c>
      <c r="S2195" t="s">
        <v>5625</v>
      </c>
      <c r="T2195" t="s">
        <v>7319</v>
      </c>
      <c r="U2195" t="s">
        <v>7311</v>
      </c>
      <c r="V2195" t="s">
        <v>6450</v>
      </c>
      <c r="W2195" t="s">
        <v>7312</v>
      </c>
      <c r="Y2195" t="s">
        <v>46</v>
      </c>
      <c r="AC2195">
        <f>COUNTIF(C:C,QLKV_gui_ket_qua_ra_soat[[#This Row],[Mã điểm bán]])</f>
        <v>1</v>
      </c>
    </row>
    <row r="2196" spans="1:29" x14ac:dyDescent="0.45">
      <c r="A2196" t="s">
        <v>6444</v>
      </c>
      <c r="B2196">
        <v>517</v>
      </c>
      <c r="C2196" t="s">
        <v>7961</v>
      </c>
      <c r="D2196" t="s">
        <v>7962</v>
      </c>
      <c r="E2196" t="s">
        <v>162</v>
      </c>
      <c r="F2196" t="s">
        <v>456</v>
      </c>
      <c r="G2196" t="s">
        <v>34</v>
      </c>
      <c r="H2196" t="s">
        <v>171</v>
      </c>
      <c r="I2196" t="s">
        <v>7963</v>
      </c>
      <c r="J2196" t="s">
        <v>37</v>
      </c>
      <c r="K2196" t="s">
        <v>37</v>
      </c>
      <c r="L2196" t="s">
        <v>39</v>
      </c>
      <c r="M2196" t="s">
        <v>56</v>
      </c>
      <c r="N2196" t="s">
        <v>56</v>
      </c>
      <c r="O2196" t="s">
        <v>39</v>
      </c>
      <c r="P2196" t="s">
        <v>38</v>
      </c>
      <c r="Q2196" t="s">
        <v>38</v>
      </c>
      <c r="R2196" t="s">
        <v>40</v>
      </c>
      <c r="S2196" t="s">
        <v>7964</v>
      </c>
      <c r="T2196" t="s">
        <v>7310</v>
      </c>
      <c r="U2196" t="s">
        <v>7311</v>
      </c>
      <c r="V2196" t="s">
        <v>6450</v>
      </c>
      <c r="W2196" t="s">
        <v>7312</v>
      </c>
      <c r="Z2196" t="s">
        <v>46</v>
      </c>
      <c r="AA2196" t="s">
        <v>6457</v>
      </c>
      <c r="AB2196" t="s">
        <v>5658</v>
      </c>
      <c r="AC2196">
        <f>COUNTIF(C:C,QLKV_gui_ket_qua_ra_soat[[#This Row],[Mã điểm bán]])</f>
        <v>1</v>
      </c>
    </row>
    <row r="2197" spans="1:29" x14ac:dyDescent="0.45">
      <c r="A2197" t="s">
        <v>6444</v>
      </c>
      <c r="B2197">
        <v>518</v>
      </c>
      <c r="C2197" t="s">
        <v>7965</v>
      </c>
      <c r="D2197" t="s">
        <v>7966</v>
      </c>
      <c r="E2197" t="s">
        <v>7967</v>
      </c>
      <c r="F2197" t="s">
        <v>3698</v>
      </c>
      <c r="G2197" t="s">
        <v>177</v>
      </c>
      <c r="H2197" t="s">
        <v>54</v>
      </c>
      <c r="I2197" t="s">
        <v>7968</v>
      </c>
      <c r="J2197" t="s">
        <v>56</v>
      </c>
      <c r="K2197" t="s">
        <v>56</v>
      </c>
      <c r="L2197" t="s">
        <v>39</v>
      </c>
      <c r="M2197" t="s">
        <v>56</v>
      </c>
      <c r="N2197" t="s">
        <v>56</v>
      </c>
      <c r="O2197" t="s">
        <v>39</v>
      </c>
      <c r="P2197" t="s">
        <v>37</v>
      </c>
      <c r="Q2197" t="s">
        <v>37</v>
      </c>
      <c r="R2197" t="s">
        <v>39</v>
      </c>
      <c r="S2197" t="s">
        <v>41</v>
      </c>
      <c r="T2197" t="s">
        <v>7310</v>
      </c>
      <c r="U2197" t="s">
        <v>7311</v>
      </c>
      <c r="V2197" t="s">
        <v>6450</v>
      </c>
      <c r="W2197" t="s">
        <v>5607</v>
      </c>
      <c r="Y2197" t="s">
        <v>46</v>
      </c>
      <c r="AC2197">
        <f>COUNTIF(C:C,QLKV_gui_ket_qua_ra_soat[[#This Row],[Mã điểm bán]])</f>
        <v>1</v>
      </c>
    </row>
    <row r="2198" spans="1:29" x14ac:dyDescent="0.45">
      <c r="A2198" t="s">
        <v>6444</v>
      </c>
      <c r="B2198">
        <v>519</v>
      </c>
      <c r="C2198" t="s">
        <v>7969</v>
      </c>
      <c r="D2198" t="s">
        <v>7970</v>
      </c>
      <c r="E2198" t="s">
        <v>176</v>
      </c>
      <c r="F2198" t="s">
        <v>53</v>
      </c>
      <c r="G2198" t="s">
        <v>177</v>
      </c>
      <c r="H2198" t="s">
        <v>54</v>
      </c>
      <c r="I2198" t="s">
        <v>7315</v>
      </c>
      <c r="J2198" t="s">
        <v>56</v>
      </c>
      <c r="K2198" t="s">
        <v>38</v>
      </c>
      <c r="L2198" t="s">
        <v>39</v>
      </c>
      <c r="M2198" t="s">
        <v>56</v>
      </c>
      <c r="N2198" t="s">
        <v>56</v>
      </c>
      <c r="O2198" t="s">
        <v>39</v>
      </c>
      <c r="P2198" t="s">
        <v>56</v>
      </c>
      <c r="Q2198" t="s">
        <v>37</v>
      </c>
      <c r="R2198" t="s">
        <v>39</v>
      </c>
      <c r="S2198" t="s">
        <v>41</v>
      </c>
      <c r="T2198" t="s">
        <v>7310</v>
      </c>
      <c r="U2198" t="s">
        <v>7311</v>
      </c>
      <c r="V2198" t="s">
        <v>6450</v>
      </c>
      <c r="W2198" t="s">
        <v>7312</v>
      </c>
      <c r="Z2198" t="s">
        <v>46</v>
      </c>
      <c r="AA2198" t="s">
        <v>6457</v>
      </c>
      <c r="AB2198" t="s">
        <v>4223</v>
      </c>
      <c r="AC2198">
        <f>COUNTIF(C:C,QLKV_gui_ket_qua_ra_soat[[#This Row],[Mã điểm bán]])</f>
        <v>1</v>
      </c>
    </row>
    <row r="2199" spans="1:29" x14ac:dyDescent="0.45">
      <c r="A2199" t="s">
        <v>6444</v>
      </c>
      <c r="B2199">
        <v>520</v>
      </c>
      <c r="C2199" t="s">
        <v>7971</v>
      </c>
      <c r="D2199" t="s">
        <v>7972</v>
      </c>
      <c r="E2199" t="s">
        <v>682</v>
      </c>
      <c r="F2199" t="s">
        <v>7973</v>
      </c>
      <c r="G2199" t="s">
        <v>34</v>
      </c>
      <c r="H2199" t="s">
        <v>1263</v>
      </c>
      <c r="I2199" t="s">
        <v>7974</v>
      </c>
      <c r="J2199" t="s">
        <v>37</v>
      </c>
      <c r="K2199" t="s">
        <v>37</v>
      </c>
      <c r="L2199" t="s">
        <v>39</v>
      </c>
      <c r="M2199" t="s">
        <v>37</v>
      </c>
      <c r="N2199" t="s">
        <v>37</v>
      </c>
      <c r="O2199" t="s">
        <v>39</v>
      </c>
      <c r="P2199" t="s">
        <v>37</v>
      </c>
      <c r="Q2199" t="s">
        <v>37</v>
      </c>
      <c r="R2199" t="s">
        <v>39</v>
      </c>
      <c r="S2199" t="s">
        <v>41</v>
      </c>
      <c r="T2199" t="s">
        <v>7327</v>
      </c>
      <c r="U2199" t="s">
        <v>7311</v>
      </c>
      <c r="V2199" t="s">
        <v>6450</v>
      </c>
      <c r="W2199" t="s">
        <v>7312</v>
      </c>
      <c r="Z2199" t="s">
        <v>46</v>
      </c>
      <c r="AA2199" t="s">
        <v>6457</v>
      </c>
      <c r="AB2199" t="s">
        <v>4223</v>
      </c>
      <c r="AC2199">
        <f>COUNTIF(C:C,QLKV_gui_ket_qua_ra_soat[[#This Row],[Mã điểm bán]])</f>
        <v>1</v>
      </c>
    </row>
    <row r="2200" spans="1:29" x14ac:dyDescent="0.45">
      <c r="A2200" t="s">
        <v>6444</v>
      </c>
      <c r="B2200">
        <v>521</v>
      </c>
      <c r="C2200" t="s">
        <v>7975</v>
      </c>
      <c r="D2200" t="s">
        <v>7976</v>
      </c>
      <c r="E2200" t="s">
        <v>148</v>
      </c>
      <c r="F2200" t="s">
        <v>4759</v>
      </c>
      <c r="G2200" t="s">
        <v>34</v>
      </c>
      <c r="H2200" t="s">
        <v>54</v>
      </c>
      <c r="I2200" t="s">
        <v>7977</v>
      </c>
      <c r="J2200" t="s">
        <v>56</v>
      </c>
      <c r="K2200" t="s">
        <v>56</v>
      </c>
      <c r="L2200" t="s">
        <v>121</v>
      </c>
      <c r="M2200" t="s">
        <v>37</v>
      </c>
      <c r="N2200" t="s">
        <v>37</v>
      </c>
      <c r="O2200" t="s">
        <v>39</v>
      </c>
      <c r="P2200" t="s">
        <v>37</v>
      </c>
      <c r="Q2200" t="s">
        <v>37</v>
      </c>
      <c r="R2200" t="s">
        <v>39</v>
      </c>
      <c r="S2200" t="s">
        <v>41</v>
      </c>
      <c r="T2200" t="s">
        <v>7319</v>
      </c>
      <c r="U2200" t="s">
        <v>7311</v>
      </c>
      <c r="V2200" t="s">
        <v>6450</v>
      </c>
      <c r="W2200" t="s">
        <v>7312</v>
      </c>
      <c r="Z2200" t="s">
        <v>46</v>
      </c>
      <c r="AA2200" t="s">
        <v>7370</v>
      </c>
      <c r="AB2200" t="s">
        <v>4223</v>
      </c>
      <c r="AC2200">
        <f>COUNTIF(C:C,QLKV_gui_ket_qua_ra_soat[[#This Row],[Mã điểm bán]])</f>
        <v>1</v>
      </c>
    </row>
    <row r="2201" spans="1:29" x14ac:dyDescent="0.45">
      <c r="A2201" t="s">
        <v>6444</v>
      </c>
      <c r="B2201">
        <v>522</v>
      </c>
      <c r="C2201" t="s">
        <v>7978</v>
      </c>
      <c r="D2201" t="s">
        <v>7979</v>
      </c>
      <c r="E2201" t="s">
        <v>290</v>
      </c>
      <c r="F2201" t="s">
        <v>535</v>
      </c>
      <c r="G2201" t="s">
        <v>177</v>
      </c>
      <c r="H2201" t="s">
        <v>54</v>
      </c>
      <c r="I2201" t="s">
        <v>7980</v>
      </c>
      <c r="J2201" t="s">
        <v>56</v>
      </c>
      <c r="K2201" t="s">
        <v>37</v>
      </c>
      <c r="L2201" t="s">
        <v>121</v>
      </c>
      <c r="M2201" t="s">
        <v>56</v>
      </c>
      <c r="N2201" t="s">
        <v>37</v>
      </c>
      <c r="O2201" t="s">
        <v>39</v>
      </c>
      <c r="P2201" t="s">
        <v>37</v>
      </c>
      <c r="Q2201" t="s">
        <v>37</v>
      </c>
      <c r="R2201" t="s">
        <v>39</v>
      </c>
      <c r="S2201" t="s">
        <v>41</v>
      </c>
      <c r="T2201" t="s">
        <v>7319</v>
      </c>
      <c r="U2201" t="s">
        <v>7311</v>
      </c>
      <c r="V2201" t="s">
        <v>6450</v>
      </c>
      <c r="W2201" t="s">
        <v>7312</v>
      </c>
      <c r="Z2201" t="s">
        <v>46</v>
      </c>
      <c r="AA2201" t="s">
        <v>7370</v>
      </c>
      <c r="AB2201" t="s">
        <v>4223</v>
      </c>
      <c r="AC2201">
        <f>COUNTIF(C:C,QLKV_gui_ket_qua_ra_soat[[#This Row],[Mã điểm bán]])</f>
        <v>1</v>
      </c>
    </row>
    <row r="2202" spans="1:29" x14ac:dyDescent="0.45">
      <c r="A2202" t="s">
        <v>6444</v>
      </c>
      <c r="B2202">
        <v>523</v>
      </c>
      <c r="C2202" t="s">
        <v>7981</v>
      </c>
      <c r="D2202" t="s">
        <v>7982</v>
      </c>
      <c r="E2202" t="s">
        <v>7983</v>
      </c>
      <c r="F2202" t="s">
        <v>53</v>
      </c>
      <c r="G2202" t="s">
        <v>34</v>
      </c>
      <c r="H2202" t="s">
        <v>54</v>
      </c>
      <c r="I2202" t="s">
        <v>7345</v>
      </c>
      <c r="J2202" t="s">
        <v>56</v>
      </c>
      <c r="K2202" t="s">
        <v>56</v>
      </c>
      <c r="L2202" t="s">
        <v>39</v>
      </c>
      <c r="M2202" t="s">
        <v>37</v>
      </c>
      <c r="N2202" t="s">
        <v>37</v>
      </c>
      <c r="O2202" t="s">
        <v>39</v>
      </c>
      <c r="P2202" t="s">
        <v>38</v>
      </c>
      <c r="Q2202" t="s">
        <v>38</v>
      </c>
      <c r="R2202" t="s">
        <v>39</v>
      </c>
      <c r="S2202" t="s">
        <v>4783</v>
      </c>
      <c r="T2202" t="s">
        <v>7327</v>
      </c>
      <c r="U2202" t="s">
        <v>7311</v>
      </c>
      <c r="V2202" t="s">
        <v>6450</v>
      </c>
      <c r="W2202" t="s">
        <v>7312</v>
      </c>
      <c r="Y2202" t="s">
        <v>46</v>
      </c>
      <c r="AC2202">
        <f>COUNTIF(C:C,QLKV_gui_ket_qua_ra_soat[[#This Row],[Mã điểm bán]])</f>
        <v>1</v>
      </c>
    </row>
    <row r="2203" spans="1:29" x14ac:dyDescent="0.45">
      <c r="A2203" t="s">
        <v>6444</v>
      </c>
      <c r="B2203">
        <v>524</v>
      </c>
      <c r="C2203" t="s">
        <v>7984</v>
      </c>
      <c r="D2203" t="s">
        <v>7985</v>
      </c>
      <c r="E2203" t="s">
        <v>69</v>
      </c>
      <c r="F2203" t="s">
        <v>53</v>
      </c>
      <c r="G2203" t="s">
        <v>34</v>
      </c>
      <c r="H2203" t="s">
        <v>54</v>
      </c>
      <c r="I2203" t="s">
        <v>7322</v>
      </c>
      <c r="J2203" t="s">
        <v>37</v>
      </c>
      <c r="K2203" t="s">
        <v>38</v>
      </c>
      <c r="L2203" t="s">
        <v>39</v>
      </c>
      <c r="M2203" t="s">
        <v>56</v>
      </c>
      <c r="N2203" t="s">
        <v>56</v>
      </c>
      <c r="O2203" t="s">
        <v>39</v>
      </c>
      <c r="P2203" t="s">
        <v>37</v>
      </c>
      <c r="Q2203" t="s">
        <v>37</v>
      </c>
      <c r="R2203" t="s">
        <v>39</v>
      </c>
      <c r="S2203" t="s">
        <v>41</v>
      </c>
      <c r="T2203" t="s">
        <v>7310</v>
      </c>
      <c r="U2203" t="s">
        <v>7311</v>
      </c>
      <c r="V2203" t="s">
        <v>6450</v>
      </c>
      <c r="W2203" t="s">
        <v>7312</v>
      </c>
      <c r="Y2203" t="s">
        <v>46</v>
      </c>
      <c r="AC2203">
        <f>COUNTIF(C:C,QLKV_gui_ket_qua_ra_soat[[#This Row],[Mã điểm bán]])</f>
        <v>1</v>
      </c>
    </row>
    <row r="2204" spans="1:29" x14ac:dyDescent="0.45">
      <c r="A2204" t="s">
        <v>6444</v>
      </c>
      <c r="B2204">
        <v>525</v>
      </c>
      <c r="C2204" t="s">
        <v>7986</v>
      </c>
      <c r="D2204" t="s">
        <v>7987</v>
      </c>
      <c r="E2204" t="s">
        <v>857</v>
      </c>
      <c r="F2204" t="s">
        <v>53</v>
      </c>
      <c r="G2204" t="s">
        <v>34</v>
      </c>
      <c r="H2204" t="s">
        <v>54</v>
      </c>
      <c r="I2204" t="s">
        <v>7988</v>
      </c>
      <c r="J2204" t="s">
        <v>56</v>
      </c>
      <c r="K2204" t="s">
        <v>56</v>
      </c>
      <c r="L2204" t="s">
        <v>39</v>
      </c>
      <c r="M2204" t="s">
        <v>37</v>
      </c>
      <c r="N2204" t="s">
        <v>37</v>
      </c>
      <c r="O2204" t="s">
        <v>39</v>
      </c>
      <c r="P2204" t="s">
        <v>38</v>
      </c>
      <c r="Q2204" t="s">
        <v>38</v>
      </c>
      <c r="R2204" t="s">
        <v>39</v>
      </c>
      <c r="S2204" t="s">
        <v>5460</v>
      </c>
      <c r="T2204" t="s">
        <v>7327</v>
      </c>
      <c r="U2204" t="s">
        <v>7311</v>
      </c>
      <c r="V2204" t="s">
        <v>6450</v>
      </c>
      <c r="W2204" t="s">
        <v>5607</v>
      </c>
      <c r="Y2204" t="s">
        <v>46</v>
      </c>
      <c r="AC2204">
        <f>COUNTIF(C:C,QLKV_gui_ket_qua_ra_soat[[#This Row],[Mã điểm bán]])</f>
        <v>1</v>
      </c>
    </row>
    <row r="2205" spans="1:29" x14ac:dyDescent="0.45">
      <c r="A2205" t="s">
        <v>6444</v>
      </c>
      <c r="B2205">
        <v>526</v>
      </c>
      <c r="C2205" t="s">
        <v>7989</v>
      </c>
      <c r="D2205" t="s">
        <v>7990</v>
      </c>
      <c r="E2205" t="s">
        <v>857</v>
      </c>
      <c r="F2205" t="s">
        <v>53</v>
      </c>
      <c r="G2205" t="s">
        <v>34</v>
      </c>
      <c r="H2205" t="s">
        <v>54</v>
      </c>
      <c r="I2205" t="s">
        <v>7326</v>
      </c>
      <c r="J2205" t="s">
        <v>56</v>
      </c>
      <c r="K2205" t="s">
        <v>56</v>
      </c>
      <c r="L2205" t="s">
        <v>39</v>
      </c>
      <c r="M2205" t="s">
        <v>37</v>
      </c>
      <c r="N2205" t="s">
        <v>37</v>
      </c>
      <c r="O2205" t="s">
        <v>39</v>
      </c>
      <c r="P2205" t="s">
        <v>38</v>
      </c>
      <c r="Q2205" t="s">
        <v>38</v>
      </c>
      <c r="R2205" t="s">
        <v>39</v>
      </c>
      <c r="S2205" t="s">
        <v>1291</v>
      </c>
      <c r="T2205" t="s">
        <v>7327</v>
      </c>
      <c r="U2205" t="s">
        <v>7311</v>
      </c>
      <c r="V2205" t="s">
        <v>6450</v>
      </c>
      <c r="W2205" t="s">
        <v>7312</v>
      </c>
      <c r="Y2205" t="s">
        <v>46</v>
      </c>
      <c r="AC2205">
        <f>COUNTIF(C:C,QLKV_gui_ket_qua_ra_soat[[#This Row],[Mã điểm bán]])</f>
        <v>1</v>
      </c>
    </row>
    <row r="2206" spans="1:29" x14ac:dyDescent="0.45">
      <c r="A2206" t="s">
        <v>6444</v>
      </c>
      <c r="B2206">
        <v>527</v>
      </c>
      <c r="C2206" t="s">
        <v>7991</v>
      </c>
      <c r="D2206" t="s">
        <v>7992</v>
      </c>
      <c r="E2206" t="s">
        <v>416</v>
      </c>
      <c r="F2206" t="s">
        <v>401</v>
      </c>
      <c r="G2206" t="s">
        <v>177</v>
      </c>
      <c r="H2206" t="s">
        <v>54</v>
      </c>
      <c r="I2206" t="s">
        <v>6268</v>
      </c>
      <c r="J2206" t="s">
        <v>37</v>
      </c>
      <c r="K2206" t="s">
        <v>37</v>
      </c>
      <c r="L2206" t="s">
        <v>40</v>
      </c>
      <c r="M2206" t="s">
        <v>56</v>
      </c>
      <c r="N2206" t="s">
        <v>56</v>
      </c>
      <c r="O2206" t="s">
        <v>39</v>
      </c>
      <c r="P2206" t="s">
        <v>56</v>
      </c>
      <c r="Q2206" t="s">
        <v>56</v>
      </c>
      <c r="R2206" t="s">
        <v>40</v>
      </c>
      <c r="S2206" t="s">
        <v>41</v>
      </c>
      <c r="T2206" t="s">
        <v>7310</v>
      </c>
      <c r="U2206" t="s">
        <v>7311</v>
      </c>
      <c r="V2206" t="s">
        <v>6450</v>
      </c>
      <c r="W2206" t="s">
        <v>5607</v>
      </c>
      <c r="Y2206" t="s">
        <v>46</v>
      </c>
      <c r="AC2206">
        <f>COUNTIF(C:C,QLKV_gui_ket_qua_ra_soat[[#This Row],[Mã điểm bán]])</f>
        <v>1</v>
      </c>
    </row>
    <row r="2207" spans="1:29" x14ac:dyDescent="0.45">
      <c r="A2207" t="s">
        <v>6444</v>
      </c>
      <c r="B2207">
        <v>528</v>
      </c>
      <c r="C2207" t="s">
        <v>7993</v>
      </c>
      <c r="D2207" t="s">
        <v>7994</v>
      </c>
      <c r="E2207" t="s">
        <v>857</v>
      </c>
      <c r="F2207" t="s">
        <v>53</v>
      </c>
      <c r="G2207" t="s">
        <v>34</v>
      </c>
      <c r="H2207" t="s">
        <v>54</v>
      </c>
      <c r="I2207" t="s">
        <v>237</v>
      </c>
      <c r="J2207" t="s">
        <v>56</v>
      </c>
      <c r="K2207" t="s">
        <v>56</v>
      </c>
      <c r="L2207" t="s">
        <v>39</v>
      </c>
      <c r="M2207" t="s">
        <v>37</v>
      </c>
      <c r="N2207" t="s">
        <v>37</v>
      </c>
      <c r="O2207" t="s">
        <v>39</v>
      </c>
      <c r="P2207" t="s">
        <v>38</v>
      </c>
      <c r="Q2207" t="s">
        <v>38</v>
      </c>
      <c r="R2207" t="s">
        <v>39</v>
      </c>
      <c r="S2207" t="s">
        <v>1291</v>
      </c>
      <c r="T2207" t="s">
        <v>7327</v>
      </c>
      <c r="U2207" t="s">
        <v>7311</v>
      </c>
      <c r="V2207" t="s">
        <v>6450</v>
      </c>
      <c r="W2207" t="s">
        <v>5607</v>
      </c>
      <c r="Y2207" t="s">
        <v>46</v>
      </c>
      <c r="AC2207">
        <f>COUNTIF(C:C,QLKV_gui_ket_qua_ra_soat[[#This Row],[Mã điểm bán]])</f>
        <v>1</v>
      </c>
    </row>
    <row r="2208" spans="1:29" x14ac:dyDescent="0.45">
      <c r="A2208" t="s">
        <v>7995</v>
      </c>
      <c r="B2208">
        <v>1</v>
      </c>
      <c r="C2208" t="s">
        <v>7996</v>
      </c>
      <c r="D2208" t="s">
        <v>7997</v>
      </c>
      <c r="E2208" t="s">
        <v>69</v>
      </c>
      <c r="F2208" t="s">
        <v>53</v>
      </c>
      <c r="G2208" t="s">
        <v>34</v>
      </c>
      <c r="H2208" t="s">
        <v>54</v>
      </c>
      <c r="I2208" t="s">
        <v>7998</v>
      </c>
      <c r="J2208" t="s">
        <v>56</v>
      </c>
      <c r="K2208" t="s">
        <v>56</v>
      </c>
      <c r="L2208" t="s">
        <v>40</v>
      </c>
      <c r="M2208" t="s">
        <v>56</v>
      </c>
      <c r="N2208" t="s">
        <v>56</v>
      </c>
      <c r="O2208" t="s">
        <v>40</v>
      </c>
      <c r="P2208" t="s">
        <v>56</v>
      </c>
      <c r="Q2208" t="s">
        <v>56</v>
      </c>
      <c r="R2208" t="s">
        <v>40</v>
      </c>
      <c r="S2208" t="s">
        <v>7999</v>
      </c>
      <c r="T2208" t="s">
        <v>8000</v>
      </c>
      <c r="U2208" t="s">
        <v>8001</v>
      </c>
      <c r="V2208" t="s">
        <v>8002</v>
      </c>
      <c r="W2208" t="s">
        <v>8003</v>
      </c>
      <c r="Z2208" t="s">
        <v>46</v>
      </c>
      <c r="AA2208" t="s">
        <v>8000</v>
      </c>
      <c r="AC2208">
        <f>COUNTIF(C:C,QLKV_gui_ket_qua_ra_soat[[#This Row],[Mã điểm bán]])</f>
        <v>1</v>
      </c>
    </row>
    <row r="2209" spans="1:29" x14ac:dyDescent="0.45">
      <c r="A2209" t="s">
        <v>7995</v>
      </c>
      <c r="B2209">
        <v>2</v>
      </c>
      <c r="C2209" t="s">
        <v>8004</v>
      </c>
      <c r="D2209" t="s">
        <v>8005</v>
      </c>
      <c r="E2209" t="s">
        <v>304</v>
      </c>
      <c r="F2209" t="s">
        <v>53</v>
      </c>
      <c r="G2209" t="s">
        <v>34</v>
      </c>
      <c r="H2209" t="s">
        <v>214</v>
      </c>
      <c r="I2209" t="s">
        <v>8006</v>
      </c>
      <c r="J2209" t="s">
        <v>38</v>
      </c>
      <c r="K2209" t="s">
        <v>38</v>
      </c>
      <c r="L2209" t="s">
        <v>40</v>
      </c>
      <c r="M2209" t="s">
        <v>38</v>
      </c>
      <c r="N2209" t="s">
        <v>38</v>
      </c>
      <c r="O2209" t="s">
        <v>40</v>
      </c>
      <c r="P2209" t="s">
        <v>38</v>
      </c>
      <c r="Q2209" t="s">
        <v>38</v>
      </c>
      <c r="R2209" t="s">
        <v>40</v>
      </c>
      <c r="S2209" t="s">
        <v>8007</v>
      </c>
      <c r="T2209" t="s">
        <v>8008</v>
      </c>
      <c r="U2209" t="s">
        <v>8009</v>
      </c>
      <c r="V2209" t="s">
        <v>8002</v>
      </c>
      <c r="W2209" t="s">
        <v>8010</v>
      </c>
      <c r="X2209" t="s">
        <v>46</v>
      </c>
      <c r="AC2209">
        <f>COUNTIF(C:C,QLKV_gui_ket_qua_ra_soat[[#This Row],[Mã điểm bán]])</f>
        <v>1</v>
      </c>
    </row>
    <row r="2210" spans="1:29" x14ac:dyDescent="0.45">
      <c r="A2210" t="s">
        <v>7995</v>
      </c>
      <c r="B2210">
        <v>3</v>
      </c>
      <c r="C2210" t="s">
        <v>8011</v>
      </c>
      <c r="D2210" t="s">
        <v>8012</v>
      </c>
      <c r="E2210" t="s">
        <v>323</v>
      </c>
      <c r="F2210" t="s">
        <v>1340</v>
      </c>
      <c r="G2210" t="s">
        <v>34</v>
      </c>
      <c r="H2210" t="s">
        <v>133</v>
      </c>
      <c r="I2210" t="s">
        <v>8013</v>
      </c>
      <c r="J2210" t="s">
        <v>38</v>
      </c>
      <c r="K2210" t="s">
        <v>38</v>
      </c>
      <c r="L2210" t="s">
        <v>40</v>
      </c>
      <c r="M2210" t="s">
        <v>37</v>
      </c>
      <c r="N2210" t="s">
        <v>56</v>
      </c>
      <c r="O2210" t="s">
        <v>39</v>
      </c>
      <c r="P2210" t="s">
        <v>38</v>
      </c>
      <c r="Q2210" t="s">
        <v>38</v>
      </c>
      <c r="R2210" t="s">
        <v>40</v>
      </c>
      <c r="S2210" t="s">
        <v>8014</v>
      </c>
      <c r="T2210" t="s">
        <v>8015</v>
      </c>
      <c r="U2210" t="s">
        <v>8016</v>
      </c>
      <c r="V2210" t="s">
        <v>8002</v>
      </c>
      <c r="W2210" t="s">
        <v>8003</v>
      </c>
      <c r="X2210" t="s">
        <v>46</v>
      </c>
      <c r="AC2210">
        <f>COUNTIF(C:C,QLKV_gui_ket_qua_ra_soat[[#This Row],[Mã điểm bán]])</f>
        <v>1</v>
      </c>
    </row>
    <row r="2211" spans="1:29" x14ac:dyDescent="0.45">
      <c r="A2211" t="s">
        <v>7995</v>
      </c>
      <c r="B2211">
        <v>4</v>
      </c>
      <c r="C2211" t="s">
        <v>8017</v>
      </c>
      <c r="D2211" t="s">
        <v>8018</v>
      </c>
      <c r="E2211" t="s">
        <v>1823</v>
      </c>
      <c r="F2211" t="s">
        <v>8019</v>
      </c>
      <c r="G2211" t="s">
        <v>34</v>
      </c>
      <c r="H2211" t="s">
        <v>332</v>
      </c>
      <c r="I2211" t="s">
        <v>8020</v>
      </c>
      <c r="J2211" t="s">
        <v>38</v>
      </c>
      <c r="K2211" t="s">
        <v>38</v>
      </c>
      <c r="L2211" t="s">
        <v>40</v>
      </c>
      <c r="M2211" t="s">
        <v>56</v>
      </c>
      <c r="N2211" t="s">
        <v>56</v>
      </c>
      <c r="O2211" t="s">
        <v>39</v>
      </c>
      <c r="P2211" t="s">
        <v>38</v>
      </c>
      <c r="Q2211" t="s">
        <v>38</v>
      </c>
      <c r="R2211" t="s">
        <v>40</v>
      </c>
      <c r="S2211" t="s">
        <v>8021</v>
      </c>
      <c r="T2211" t="s">
        <v>8015</v>
      </c>
      <c r="U2211" t="s">
        <v>8016</v>
      </c>
      <c r="V2211" t="s">
        <v>8002</v>
      </c>
      <c r="W2211" t="s">
        <v>8003</v>
      </c>
      <c r="X2211" t="s">
        <v>46</v>
      </c>
      <c r="AC2211">
        <f>COUNTIF(C:C,QLKV_gui_ket_qua_ra_soat[[#This Row],[Mã điểm bán]])</f>
        <v>1</v>
      </c>
    </row>
    <row r="2212" spans="1:29" x14ac:dyDescent="0.45">
      <c r="A2212" t="s">
        <v>7995</v>
      </c>
      <c r="B2212">
        <v>5</v>
      </c>
      <c r="C2212" t="s">
        <v>8022</v>
      </c>
      <c r="D2212" t="s">
        <v>8023</v>
      </c>
      <c r="E2212" t="s">
        <v>529</v>
      </c>
      <c r="F2212" t="s">
        <v>53</v>
      </c>
      <c r="G2212" t="s">
        <v>34</v>
      </c>
      <c r="H2212" t="s">
        <v>1280</v>
      </c>
      <c r="I2212" t="s">
        <v>8024</v>
      </c>
      <c r="J2212" t="s">
        <v>38</v>
      </c>
      <c r="K2212" t="s">
        <v>38</v>
      </c>
      <c r="L2212" t="s">
        <v>40</v>
      </c>
      <c r="M2212" t="s">
        <v>38</v>
      </c>
      <c r="N2212" t="s">
        <v>38</v>
      </c>
      <c r="O2212" t="s">
        <v>40</v>
      </c>
      <c r="P2212" t="s">
        <v>38</v>
      </c>
      <c r="Q2212" t="s">
        <v>38</v>
      </c>
      <c r="R2212" t="s">
        <v>40</v>
      </c>
      <c r="S2212" t="s">
        <v>517</v>
      </c>
      <c r="T2212" t="s">
        <v>8008</v>
      </c>
      <c r="U2212" t="s">
        <v>8009</v>
      </c>
      <c r="V2212" t="s">
        <v>8002</v>
      </c>
      <c r="W2212" t="s">
        <v>8010</v>
      </c>
      <c r="X2212" t="s">
        <v>46</v>
      </c>
      <c r="AC2212">
        <f>COUNTIF(C:C,QLKV_gui_ket_qua_ra_soat[[#This Row],[Mã điểm bán]])</f>
        <v>1</v>
      </c>
    </row>
    <row r="2213" spans="1:29" x14ac:dyDescent="0.45">
      <c r="A2213" t="s">
        <v>7995</v>
      </c>
      <c r="B2213">
        <v>6</v>
      </c>
      <c r="C2213" t="s">
        <v>8025</v>
      </c>
      <c r="D2213" t="s">
        <v>8026</v>
      </c>
      <c r="E2213" t="s">
        <v>1886</v>
      </c>
      <c r="F2213" t="s">
        <v>1804</v>
      </c>
      <c r="G2213" t="s">
        <v>34</v>
      </c>
      <c r="H2213" t="s">
        <v>917</v>
      </c>
      <c r="I2213" t="s">
        <v>8027</v>
      </c>
      <c r="J2213" t="s">
        <v>38</v>
      </c>
      <c r="K2213" t="s">
        <v>38</v>
      </c>
      <c r="L2213" t="s">
        <v>40</v>
      </c>
      <c r="M2213" t="s">
        <v>37</v>
      </c>
      <c r="N2213" t="s">
        <v>38</v>
      </c>
      <c r="O2213" t="s">
        <v>40</v>
      </c>
      <c r="P2213" t="s">
        <v>38</v>
      </c>
      <c r="Q2213" t="s">
        <v>38</v>
      </c>
      <c r="R2213" t="s">
        <v>40</v>
      </c>
      <c r="S2213" t="s">
        <v>41</v>
      </c>
      <c r="T2213" t="s">
        <v>8028</v>
      </c>
      <c r="U2213" t="s">
        <v>8029</v>
      </c>
      <c r="V2213" t="s">
        <v>8002</v>
      </c>
      <c r="W2213" t="s">
        <v>8030</v>
      </c>
      <c r="AC2213">
        <f>COUNTIF(C:C,QLKV_gui_ket_qua_ra_soat[[#This Row],[Mã điểm bán]])</f>
        <v>1</v>
      </c>
    </row>
    <row r="2214" spans="1:29" x14ac:dyDescent="0.45">
      <c r="A2214" t="s">
        <v>7995</v>
      </c>
      <c r="B2214">
        <v>7</v>
      </c>
      <c r="C2214" t="s">
        <v>8031</v>
      </c>
      <c r="D2214" t="s">
        <v>8032</v>
      </c>
      <c r="E2214" t="s">
        <v>69</v>
      </c>
      <c r="F2214" t="s">
        <v>53</v>
      </c>
      <c r="G2214" t="s">
        <v>34</v>
      </c>
      <c r="H2214" t="s">
        <v>2952</v>
      </c>
      <c r="I2214" t="s">
        <v>8033</v>
      </c>
      <c r="J2214" t="s">
        <v>38</v>
      </c>
      <c r="K2214" t="s">
        <v>38</v>
      </c>
      <c r="L2214" t="s">
        <v>40</v>
      </c>
      <c r="M2214" t="s">
        <v>38</v>
      </c>
      <c r="N2214" t="s">
        <v>38</v>
      </c>
      <c r="O2214" t="s">
        <v>40</v>
      </c>
      <c r="P2214" t="s">
        <v>38</v>
      </c>
      <c r="Q2214" t="s">
        <v>38</v>
      </c>
      <c r="R2214" t="s">
        <v>40</v>
      </c>
      <c r="S2214" t="s">
        <v>8034</v>
      </c>
      <c r="T2214" t="s">
        <v>8008</v>
      </c>
      <c r="U2214" t="s">
        <v>8009</v>
      </c>
      <c r="V2214" t="s">
        <v>8002</v>
      </c>
      <c r="W2214" t="s">
        <v>8010</v>
      </c>
      <c r="X2214" t="s">
        <v>46</v>
      </c>
      <c r="AC2214">
        <f>COUNTIF(C:C,QLKV_gui_ket_qua_ra_soat[[#This Row],[Mã điểm bán]])</f>
        <v>1</v>
      </c>
    </row>
    <row r="2215" spans="1:29" x14ac:dyDescent="0.45">
      <c r="A2215" t="s">
        <v>7995</v>
      </c>
      <c r="B2215">
        <v>8</v>
      </c>
      <c r="C2215" t="s">
        <v>8035</v>
      </c>
      <c r="D2215" t="s">
        <v>6432</v>
      </c>
      <c r="E2215" t="s">
        <v>682</v>
      </c>
      <c r="F2215" t="s">
        <v>417</v>
      </c>
      <c r="G2215" t="s">
        <v>34</v>
      </c>
      <c r="H2215" t="s">
        <v>54</v>
      </c>
      <c r="I2215" t="s">
        <v>8036</v>
      </c>
      <c r="J2215" t="s">
        <v>38</v>
      </c>
      <c r="K2215" t="s">
        <v>38</v>
      </c>
      <c r="L2215" t="s">
        <v>40</v>
      </c>
      <c r="M2215" t="s">
        <v>38</v>
      </c>
      <c r="N2215" t="s">
        <v>38</v>
      </c>
      <c r="O2215" t="s">
        <v>39</v>
      </c>
      <c r="P2215" t="s">
        <v>38</v>
      </c>
      <c r="Q2215" t="s">
        <v>38</v>
      </c>
      <c r="R2215" t="s">
        <v>40</v>
      </c>
      <c r="S2215" t="s">
        <v>8037</v>
      </c>
      <c r="T2215" t="s">
        <v>8038</v>
      </c>
      <c r="U2215" t="s">
        <v>8029</v>
      </c>
      <c r="V2215" t="s">
        <v>8002</v>
      </c>
      <c r="W2215" t="s">
        <v>8030</v>
      </c>
      <c r="AC2215">
        <f>COUNTIF(C:C,QLKV_gui_ket_qua_ra_soat[[#This Row],[Mã điểm bán]])</f>
        <v>1</v>
      </c>
    </row>
    <row r="2216" spans="1:29" x14ac:dyDescent="0.45">
      <c r="A2216" t="s">
        <v>7995</v>
      </c>
      <c r="B2216">
        <v>9</v>
      </c>
      <c r="C2216" t="s">
        <v>8039</v>
      </c>
      <c r="D2216" t="s">
        <v>8040</v>
      </c>
      <c r="E2216" t="s">
        <v>69</v>
      </c>
      <c r="F2216" t="s">
        <v>53</v>
      </c>
      <c r="G2216" t="s">
        <v>34</v>
      </c>
      <c r="H2216" t="s">
        <v>1982</v>
      </c>
      <c r="I2216" t="s">
        <v>8041</v>
      </c>
      <c r="J2216" t="s">
        <v>38</v>
      </c>
      <c r="K2216" t="s">
        <v>38</v>
      </c>
      <c r="L2216" t="s">
        <v>40</v>
      </c>
      <c r="M2216" t="s">
        <v>38</v>
      </c>
      <c r="N2216" t="s">
        <v>38</v>
      </c>
      <c r="O2216" t="s">
        <v>40</v>
      </c>
      <c r="P2216" t="s">
        <v>38</v>
      </c>
      <c r="Q2216" t="s">
        <v>38</v>
      </c>
      <c r="R2216" t="s">
        <v>40</v>
      </c>
      <c r="S2216" t="s">
        <v>8042</v>
      </c>
      <c r="T2216" t="s">
        <v>8008</v>
      </c>
      <c r="U2216" t="s">
        <v>8009</v>
      </c>
      <c r="V2216" t="s">
        <v>8002</v>
      </c>
      <c r="W2216" t="s">
        <v>8010</v>
      </c>
      <c r="X2216" t="s">
        <v>46</v>
      </c>
      <c r="AC2216">
        <f>COUNTIF(C:C,QLKV_gui_ket_qua_ra_soat[[#This Row],[Mã điểm bán]])</f>
        <v>1</v>
      </c>
    </row>
    <row r="2217" spans="1:29" x14ac:dyDescent="0.45">
      <c r="A2217" t="s">
        <v>7995</v>
      </c>
      <c r="B2217">
        <v>10</v>
      </c>
      <c r="C2217" t="s">
        <v>8043</v>
      </c>
      <c r="D2217" t="s">
        <v>8044</v>
      </c>
      <c r="E2217" t="s">
        <v>148</v>
      </c>
      <c r="F2217" t="s">
        <v>53</v>
      </c>
      <c r="G2217" t="s">
        <v>34</v>
      </c>
      <c r="H2217" t="s">
        <v>1280</v>
      </c>
      <c r="I2217" t="s">
        <v>8045</v>
      </c>
      <c r="J2217" t="s">
        <v>38</v>
      </c>
      <c r="K2217" t="s">
        <v>38</v>
      </c>
      <c r="L2217" t="s">
        <v>40</v>
      </c>
      <c r="M2217" t="s">
        <v>38</v>
      </c>
      <c r="N2217" t="s">
        <v>38</v>
      </c>
      <c r="O2217" t="s">
        <v>40</v>
      </c>
      <c r="P2217" t="s">
        <v>38</v>
      </c>
      <c r="Q2217" t="s">
        <v>38</v>
      </c>
      <c r="R2217" t="s">
        <v>40</v>
      </c>
      <c r="S2217" t="s">
        <v>8046</v>
      </c>
      <c r="T2217" t="s">
        <v>8008</v>
      </c>
      <c r="U2217" t="s">
        <v>8009</v>
      </c>
      <c r="V2217" t="s">
        <v>8002</v>
      </c>
      <c r="W2217" t="s">
        <v>8010</v>
      </c>
      <c r="X2217" t="s">
        <v>46</v>
      </c>
      <c r="AC2217">
        <f>COUNTIF(C:C,QLKV_gui_ket_qua_ra_soat[[#This Row],[Mã điểm bán]])</f>
        <v>1</v>
      </c>
    </row>
    <row r="2218" spans="1:29" x14ac:dyDescent="0.45">
      <c r="A2218" t="s">
        <v>7995</v>
      </c>
      <c r="B2218">
        <v>11</v>
      </c>
      <c r="C2218" t="s">
        <v>8047</v>
      </c>
      <c r="D2218" t="s">
        <v>8048</v>
      </c>
      <c r="E2218" t="s">
        <v>69</v>
      </c>
      <c r="F2218" t="s">
        <v>53</v>
      </c>
      <c r="G2218" t="s">
        <v>34</v>
      </c>
      <c r="H2218" t="s">
        <v>54</v>
      </c>
      <c r="I2218" t="s">
        <v>8049</v>
      </c>
      <c r="J2218" t="s">
        <v>38</v>
      </c>
      <c r="K2218" t="s">
        <v>38</v>
      </c>
      <c r="L2218" t="s">
        <v>40</v>
      </c>
      <c r="M2218" t="s">
        <v>38</v>
      </c>
      <c r="N2218" t="s">
        <v>38</v>
      </c>
      <c r="O2218" t="s">
        <v>40</v>
      </c>
      <c r="P2218" t="s">
        <v>38</v>
      </c>
      <c r="Q2218" t="s">
        <v>38</v>
      </c>
      <c r="R2218" t="s">
        <v>40</v>
      </c>
      <c r="S2218" t="s">
        <v>41</v>
      </c>
      <c r="T2218" t="s">
        <v>8028</v>
      </c>
      <c r="U2218" t="s">
        <v>8029</v>
      </c>
      <c r="V2218" t="s">
        <v>8002</v>
      </c>
      <c r="W2218" t="s">
        <v>8030</v>
      </c>
      <c r="AC2218">
        <f>COUNTIF(C:C,QLKV_gui_ket_qua_ra_soat[[#This Row],[Mã điểm bán]])</f>
        <v>1</v>
      </c>
    </row>
    <row r="2219" spans="1:29" x14ac:dyDescent="0.45">
      <c r="A2219" t="s">
        <v>7995</v>
      </c>
      <c r="B2219">
        <v>12</v>
      </c>
      <c r="C2219" t="s">
        <v>8050</v>
      </c>
      <c r="D2219" t="s">
        <v>8051</v>
      </c>
      <c r="E2219" t="s">
        <v>2678</v>
      </c>
      <c r="F2219" t="s">
        <v>426</v>
      </c>
      <c r="G2219" t="s">
        <v>34</v>
      </c>
      <c r="H2219" t="s">
        <v>356</v>
      </c>
      <c r="I2219" t="s">
        <v>8052</v>
      </c>
      <c r="J2219" t="s">
        <v>38</v>
      </c>
      <c r="K2219" t="s">
        <v>38</v>
      </c>
      <c r="L2219" t="s">
        <v>40</v>
      </c>
      <c r="M2219" t="s">
        <v>37</v>
      </c>
      <c r="N2219" t="s">
        <v>38</v>
      </c>
      <c r="O2219" t="s">
        <v>40</v>
      </c>
      <c r="P2219" t="s">
        <v>38</v>
      </c>
      <c r="Q2219" t="s">
        <v>38</v>
      </c>
      <c r="R2219" t="s">
        <v>40</v>
      </c>
      <c r="S2219" t="s">
        <v>41</v>
      </c>
      <c r="T2219" t="s">
        <v>8028</v>
      </c>
      <c r="U2219" t="s">
        <v>8029</v>
      </c>
      <c r="V2219" t="s">
        <v>8002</v>
      </c>
      <c r="W2219" t="s">
        <v>8030</v>
      </c>
      <c r="AC2219">
        <f>COUNTIF(C:C,QLKV_gui_ket_qua_ra_soat[[#This Row],[Mã điểm bán]])</f>
        <v>1</v>
      </c>
    </row>
    <row r="2220" spans="1:29" x14ac:dyDescent="0.45">
      <c r="A2220" t="s">
        <v>7995</v>
      </c>
      <c r="B2220">
        <v>13</v>
      </c>
      <c r="C2220" t="s">
        <v>8053</v>
      </c>
      <c r="D2220" t="s">
        <v>8054</v>
      </c>
      <c r="E2220" t="s">
        <v>563</v>
      </c>
      <c r="F2220" t="s">
        <v>8055</v>
      </c>
      <c r="G2220" t="s">
        <v>34</v>
      </c>
      <c r="H2220" t="s">
        <v>54</v>
      </c>
      <c r="I2220" t="s">
        <v>8056</v>
      </c>
      <c r="J2220" t="s">
        <v>38</v>
      </c>
      <c r="K2220" t="s">
        <v>38</v>
      </c>
      <c r="L2220" t="s">
        <v>40</v>
      </c>
      <c r="M2220" t="s">
        <v>38</v>
      </c>
      <c r="N2220" t="s">
        <v>38</v>
      </c>
      <c r="O2220" t="s">
        <v>39</v>
      </c>
      <c r="P2220" t="s">
        <v>38</v>
      </c>
      <c r="Q2220" t="s">
        <v>38</v>
      </c>
      <c r="R2220" t="s">
        <v>40</v>
      </c>
      <c r="S2220" t="s">
        <v>8057</v>
      </c>
      <c r="T2220" t="s">
        <v>8038</v>
      </c>
      <c r="U2220" t="s">
        <v>8029</v>
      </c>
      <c r="V2220" t="s">
        <v>8002</v>
      </c>
      <c r="W2220" t="s">
        <v>8010</v>
      </c>
      <c r="AC2220">
        <f>COUNTIF(C:C,QLKV_gui_ket_qua_ra_soat[[#This Row],[Mã điểm bán]])</f>
        <v>1</v>
      </c>
    </row>
    <row r="2221" spans="1:29" x14ac:dyDescent="0.45">
      <c r="A2221" t="s">
        <v>7995</v>
      </c>
      <c r="B2221">
        <v>14</v>
      </c>
      <c r="C2221" t="s">
        <v>8058</v>
      </c>
      <c r="D2221" t="s">
        <v>5616</v>
      </c>
      <c r="E2221" t="s">
        <v>75</v>
      </c>
      <c r="F2221" t="s">
        <v>401</v>
      </c>
      <c r="G2221" t="s">
        <v>34</v>
      </c>
      <c r="H2221" t="s">
        <v>1177</v>
      </c>
      <c r="I2221" t="s">
        <v>8059</v>
      </c>
      <c r="J2221" t="s">
        <v>38</v>
      </c>
      <c r="K2221" t="s">
        <v>38</v>
      </c>
      <c r="L2221" t="s">
        <v>39</v>
      </c>
      <c r="M2221" t="s">
        <v>38</v>
      </c>
      <c r="N2221" t="s">
        <v>38</v>
      </c>
      <c r="O2221" t="s">
        <v>39</v>
      </c>
      <c r="P2221" t="s">
        <v>38</v>
      </c>
      <c r="Q2221" t="s">
        <v>38</v>
      </c>
      <c r="R2221" t="s">
        <v>39</v>
      </c>
      <c r="S2221" t="s">
        <v>41</v>
      </c>
      <c r="T2221" t="s">
        <v>8060</v>
      </c>
      <c r="U2221" t="s">
        <v>8016</v>
      </c>
      <c r="V2221" t="s">
        <v>8002</v>
      </c>
      <c r="W2221" t="s">
        <v>8010</v>
      </c>
      <c r="Z2221" t="s">
        <v>46</v>
      </c>
      <c r="AA2221" t="s">
        <v>8060</v>
      </c>
      <c r="AC2221">
        <f>COUNTIF(C:C,QLKV_gui_ket_qua_ra_soat[[#This Row],[Mã điểm bán]])</f>
        <v>1</v>
      </c>
    </row>
    <row r="2222" spans="1:29" x14ac:dyDescent="0.45">
      <c r="A2222" t="s">
        <v>7995</v>
      </c>
      <c r="B2222">
        <v>15</v>
      </c>
      <c r="C2222" t="s">
        <v>8061</v>
      </c>
      <c r="D2222" t="s">
        <v>8062</v>
      </c>
      <c r="E2222" t="s">
        <v>4259</v>
      </c>
      <c r="F2222" t="s">
        <v>5415</v>
      </c>
      <c r="G2222" t="s">
        <v>34</v>
      </c>
      <c r="H2222" t="s">
        <v>685</v>
      </c>
      <c r="I2222" t="s">
        <v>8063</v>
      </c>
      <c r="J2222" t="s">
        <v>38</v>
      </c>
      <c r="K2222" t="s">
        <v>38</v>
      </c>
      <c r="L2222" t="s">
        <v>39</v>
      </c>
      <c r="M2222" t="s">
        <v>38</v>
      </c>
      <c r="N2222" t="s">
        <v>38</v>
      </c>
      <c r="O2222" t="s">
        <v>39</v>
      </c>
      <c r="P2222" t="s">
        <v>38</v>
      </c>
      <c r="Q2222" t="s">
        <v>38</v>
      </c>
      <c r="R2222" t="s">
        <v>39</v>
      </c>
      <c r="S2222" t="s">
        <v>41</v>
      </c>
      <c r="T2222" t="s">
        <v>8060</v>
      </c>
      <c r="U2222" t="s">
        <v>8016</v>
      </c>
      <c r="V2222" t="s">
        <v>8002</v>
      </c>
      <c r="W2222" t="s">
        <v>8010</v>
      </c>
      <c r="X2222" t="s">
        <v>46</v>
      </c>
      <c r="AC2222">
        <f>COUNTIF(C:C,QLKV_gui_ket_qua_ra_soat[[#This Row],[Mã điểm bán]])</f>
        <v>1</v>
      </c>
    </row>
    <row r="2223" spans="1:29" x14ac:dyDescent="0.45">
      <c r="A2223" t="s">
        <v>7995</v>
      </c>
      <c r="B2223">
        <v>16</v>
      </c>
      <c r="C2223" t="s">
        <v>8064</v>
      </c>
      <c r="D2223" t="s">
        <v>8065</v>
      </c>
      <c r="E2223" t="s">
        <v>1443</v>
      </c>
      <c r="F2223" t="s">
        <v>166</v>
      </c>
      <c r="G2223" t="s">
        <v>34</v>
      </c>
      <c r="H2223" t="s">
        <v>1184</v>
      </c>
      <c r="I2223" t="s">
        <v>8066</v>
      </c>
      <c r="J2223" t="s">
        <v>38</v>
      </c>
      <c r="K2223" t="s">
        <v>38</v>
      </c>
      <c r="L2223" t="s">
        <v>40</v>
      </c>
      <c r="M2223" t="s">
        <v>37</v>
      </c>
      <c r="N2223" t="s">
        <v>38</v>
      </c>
      <c r="O2223" t="s">
        <v>40</v>
      </c>
      <c r="P2223" t="s">
        <v>38</v>
      </c>
      <c r="Q2223" t="s">
        <v>38</v>
      </c>
      <c r="R2223" t="s">
        <v>40</v>
      </c>
      <c r="S2223" t="s">
        <v>41</v>
      </c>
      <c r="T2223" t="s">
        <v>8028</v>
      </c>
      <c r="U2223" t="s">
        <v>8029</v>
      </c>
      <c r="V2223" t="s">
        <v>8002</v>
      </c>
      <c r="W2223" t="s">
        <v>8030</v>
      </c>
      <c r="AC2223">
        <f>COUNTIF(C:C,QLKV_gui_ket_qua_ra_soat[[#This Row],[Mã điểm bán]])</f>
        <v>1</v>
      </c>
    </row>
    <row r="2224" spans="1:29" x14ac:dyDescent="0.45">
      <c r="A2224" t="s">
        <v>7995</v>
      </c>
      <c r="B2224">
        <v>17</v>
      </c>
      <c r="C2224" t="s">
        <v>8067</v>
      </c>
      <c r="D2224" t="s">
        <v>8068</v>
      </c>
      <c r="E2224" t="s">
        <v>1680</v>
      </c>
      <c r="F2224" t="s">
        <v>325</v>
      </c>
      <c r="G2224" t="s">
        <v>34</v>
      </c>
      <c r="H2224" t="s">
        <v>133</v>
      </c>
      <c r="I2224" t="s">
        <v>8069</v>
      </c>
      <c r="J2224" t="s">
        <v>38</v>
      </c>
      <c r="K2224" t="s">
        <v>38</v>
      </c>
      <c r="L2224" t="s">
        <v>40</v>
      </c>
      <c r="M2224" t="s">
        <v>38</v>
      </c>
      <c r="N2224" t="s">
        <v>38</v>
      </c>
      <c r="O2224" t="s">
        <v>40</v>
      </c>
      <c r="P2224" t="s">
        <v>38</v>
      </c>
      <c r="Q2224" t="s">
        <v>38</v>
      </c>
      <c r="R2224" t="s">
        <v>40</v>
      </c>
      <c r="S2224" t="s">
        <v>41</v>
      </c>
      <c r="T2224" t="s">
        <v>8028</v>
      </c>
      <c r="U2224" t="s">
        <v>8029</v>
      </c>
      <c r="V2224" t="s">
        <v>8002</v>
      </c>
      <c r="W2224" t="s">
        <v>8030</v>
      </c>
      <c r="AC2224">
        <f>COUNTIF(C:C,QLKV_gui_ket_qua_ra_soat[[#This Row],[Mã điểm bán]])</f>
        <v>1</v>
      </c>
    </row>
    <row r="2225" spans="1:29" x14ac:dyDescent="0.45">
      <c r="A2225" t="s">
        <v>7995</v>
      </c>
      <c r="B2225">
        <v>18</v>
      </c>
      <c r="C2225" t="s">
        <v>8070</v>
      </c>
      <c r="D2225" t="s">
        <v>8071</v>
      </c>
      <c r="E2225" t="s">
        <v>223</v>
      </c>
      <c r="F2225" t="s">
        <v>417</v>
      </c>
      <c r="G2225" t="s">
        <v>34</v>
      </c>
      <c r="H2225" t="s">
        <v>842</v>
      </c>
      <c r="I2225" t="s">
        <v>8072</v>
      </c>
      <c r="J2225" t="s">
        <v>38</v>
      </c>
      <c r="K2225" t="s">
        <v>38</v>
      </c>
      <c r="L2225" t="s">
        <v>40</v>
      </c>
      <c r="M2225" t="s">
        <v>37</v>
      </c>
      <c r="N2225" t="s">
        <v>37</v>
      </c>
      <c r="O2225" t="s">
        <v>39</v>
      </c>
      <c r="P2225" t="s">
        <v>38</v>
      </c>
      <c r="Q2225" t="s">
        <v>38</v>
      </c>
      <c r="R2225" t="s">
        <v>40</v>
      </c>
      <c r="S2225" t="s">
        <v>41</v>
      </c>
      <c r="T2225" t="s">
        <v>8028</v>
      </c>
      <c r="U2225" t="s">
        <v>8029</v>
      </c>
      <c r="V2225" t="s">
        <v>8002</v>
      </c>
      <c r="W2225" t="s">
        <v>8030</v>
      </c>
      <c r="AC2225">
        <f>COUNTIF(C:C,QLKV_gui_ket_qua_ra_soat[[#This Row],[Mã điểm bán]])</f>
        <v>1</v>
      </c>
    </row>
    <row r="2226" spans="1:29" x14ac:dyDescent="0.45">
      <c r="A2226" t="s">
        <v>7995</v>
      </c>
      <c r="B2226">
        <v>19</v>
      </c>
      <c r="C2226" t="s">
        <v>8073</v>
      </c>
      <c r="D2226" t="s">
        <v>8074</v>
      </c>
      <c r="E2226" t="s">
        <v>499</v>
      </c>
      <c r="F2226" t="s">
        <v>53</v>
      </c>
      <c r="G2226" t="s">
        <v>34</v>
      </c>
      <c r="H2226" t="s">
        <v>402</v>
      </c>
      <c r="I2226" t="s">
        <v>8075</v>
      </c>
      <c r="J2226" t="s">
        <v>38</v>
      </c>
      <c r="K2226" t="s">
        <v>38</v>
      </c>
      <c r="L2226" t="s">
        <v>40</v>
      </c>
      <c r="M2226" t="s">
        <v>38</v>
      </c>
      <c r="N2226" t="s">
        <v>38</v>
      </c>
      <c r="O2226" t="s">
        <v>40</v>
      </c>
      <c r="P2226" t="s">
        <v>38</v>
      </c>
      <c r="Q2226" t="s">
        <v>38</v>
      </c>
      <c r="R2226" t="s">
        <v>40</v>
      </c>
      <c r="S2226" t="s">
        <v>8034</v>
      </c>
      <c r="T2226" t="s">
        <v>8008</v>
      </c>
      <c r="U2226" t="s">
        <v>8009</v>
      </c>
      <c r="V2226" t="s">
        <v>8002</v>
      </c>
      <c r="W2226" t="s">
        <v>8010</v>
      </c>
      <c r="X2226" t="s">
        <v>46</v>
      </c>
      <c r="AC2226">
        <f>COUNTIF(C:C,QLKV_gui_ket_qua_ra_soat[[#This Row],[Mã điểm bán]])</f>
        <v>1</v>
      </c>
    </row>
    <row r="2227" spans="1:29" x14ac:dyDescent="0.45">
      <c r="A2227" t="s">
        <v>7995</v>
      </c>
      <c r="B2227">
        <v>20</v>
      </c>
      <c r="C2227" t="s">
        <v>8076</v>
      </c>
      <c r="D2227" t="s">
        <v>8077</v>
      </c>
      <c r="E2227" t="s">
        <v>657</v>
      </c>
      <c r="F2227" t="s">
        <v>2196</v>
      </c>
      <c r="G2227" t="s">
        <v>34</v>
      </c>
      <c r="H2227" t="s">
        <v>479</v>
      </c>
      <c r="I2227" t="s">
        <v>8078</v>
      </c>
      <c r="J2227" t="s">
        <v>38</v>
      </c>
      <c r="K2227" t="s">
        <v>38</v>
      </c>
      <c r="L2227" t="s">
        <v>40</v>
      </c>
      <c r="M2227" t="s">
        <v>38</v>
      </c>
      <c r="N2227" t="s">
        <v>38</v>
      </c>
      <c r="O2227" t="s">
        <v>40</v>
      </c>
      <c r="P2227" t="s">
        <v>38</v>
      </c>
      <c r="Q2227" t="s">
        <v>38</v>
      </c>
      <c r="R2227" t="s">
        <v>40</v>
      </c>
      <c r="S2227" t="s">
        <v>41</v>
      </c>
      <c r="T2227" t="s">
        <v>8028</v>
      </c>
      <c r="U2227" t="s">
        <v>8029</v>
      </c>
      <c r="V2227" t="s">
        <v>8002</v>
      </c>
      <c r="W2227" t="s">
        <v>8030</v>
      </c>
      <c r="AC2227">
        <f>COUNTIF(C:C,QLKV_gui_ket_qua_ra_soat[[#This Row],[Mã điểm bán]])</f>
        <v>1</v>
      </c>
    </row>
    <row r="2228" spans="1:29" x14ac:dyDescent="0.45">
      <c r="A2228" t="s">
        <v>7995</v>
      </c>
      <c r="B2228">
        <v>21</v>
      </c>
      <c r="C2228" t="s">
        <v>8079</v>
      </c>
      <c r="D2228" t="s">
        <v>8080</v>
      </c>
      <c r="E2228" t="s">
        <v>138</v>
      </c>
      <c r="F2228" t="s">
        <v>115</v>
      </c>
      <c r="G2228" t="s">
        <v>34</v>
      </c>
      <c r="H2228" t="s">
        <v>1942</v>
      </c>
      <c r="I2228" t="s">
        <v>8081</v>
      </c>
      <c r="J2228" t="s">
        <v>37</v>
      </c>
      <c r="K2228" t="s">
        <v>37</v>
      </c>
      <c r="L2228" t="s">
        <v>39</v>
      </c>
      <c r="M2228" t="s">
        <v>37</v>
      </c>
      <c r="N2228" t="s">
        <v>37</v>
      </c>
      <c r="O2228" t="s">
        <v>39</v>
      </c>
      <c r="P2228" t="s">
        <v>37</v>
      </c>
      <c r="Q2228" t="s">
        <v>37</v>
      </c>
      <c r="R2228" t="s">
        <v>39</v>
      </c>
      <c r="S2228" t="s">
        <v>8082</v>
      </c>
      <c r="T2228" t="s">
        <v>8083</v>
      </c>
      <c r="U2228" t="s">
        <v>8084</v>
      </c>
      <c r="V2228" t="s">
        <v>8002</v>
      </c>
      <c r="W2228" t="s">
        <v>8085</v>
      </c>
      <c r="X2228" t="s">
        <v>46</v>
      </c>
      <c r="AC2228">
        <f>COUNTIF(C:C,QLKV_gui_ket_qua_ra_soat[[#This Row],[Mã điểm bán]])</f>
        <v>1</v>
      </c>
    </row>
    <row r="2229" spans="1:29" x14ac:dyDescent="0.45">
      <c r="A2229" t="s">
        <v>7995</v>
      </c>
      <c r="B2229">
        <v>22</v>
      </c>
      <c r="C2229" t="s">
        <v>8086</v>
      </c>
      <c r="D2229" t="s">
        <v>8087</v>
      </c>
      <c r="E2229" t="s">
        <v>307</v>
      </c>
      <c r="F2229" t="s">
        <v>5829</v>
      </c>
      <c r="G2229" t="s">
        <v>34</v>
      </c>
      <c r="H2229" t="s">
        <v>1177</v>
      </c>
      <c r="I2229" t="s">
        <v>8088</v>
      </c>
      <c r="J2229" t="s">
        <v>37</v>
      </c>
      <c r="K2229" t="s">
        <v>37</v>
      </c>
      <c r="L2229" t="s">
        <v>39</v>
      </c>
      <c r="M2229" t="s">
        <v>37</v>
      </c>
      <c r="N2229" t="s">
        <v>37</v>
      </c>
      <c r="O2229" t="s">
        <v>39</v>
      </c>
      <c r="P2229" t="s">
        <v>37</v>
      </c>
      <c r="Q2229" t="s">
        <v>37</v>
      </c>
      <c r="R2229" t="s">
        <v>39</v>
      </c>
      <c r="S2229" t="s">
        <v>41</v>
      </c>
      <c r="T2229" t="s">
        <v>8083</v>
      </c>
      <c r="U2229" t="s">
        <v>8084</v>
      </c>
      <c r="V2229" t="s">
        <v>8002</v>
      </c>
      <c r="W2229" t="s">
        <v>8085</v>
      </c>
      <c r="X2229" t="s">
        <v>46</v>
      </c>
      <c r="AC2229">
        <f>COUNTIF(C:C,QLKV_gui_ket_qua_ra_soat[[#This Row],[Mã điểm bán]])</f>
        <v>1</v>
      </c>
    </row>
    <row r="2230" spans="1:29" x14ac:dyDescent="0.45">
      <c r="A2230" t="s">
        <v>7995</v>
      </c>
      <c r="B2230">
        <v>23</v>
      </c>
      <c r="C2230" t="s">
        <v>8089</v>
      </c>
      <c r="D2230" t="s">
        <v>8090</v>
      </c>
      <c r="E2230" t="s">
        <v>291</v>
      </c>
      <c r="F2230" t="s">
        <v>115</v>
      </c>
      <c r="G2230" t="s">
        <v>34</v>
      </c>
      <c r="H2230" t="s">
        <v>340</v>
      </c>
      <c r="I2230" t="s">
        <v>8091</v>
      </c>
      <c r="J2230" t="s">
        <v>37</v>
      </c>
      <c r="K2230" t="s">
        <v>37</v>
      </c>
      <c r="L2230" t="s">
        <v>39</v>
      </c>
      <c r="M2230" t="s">
        <v>37</v>
      </c>
      <c r="N2230" t="s">
        <v>37</v>
      </c>
      <c r="O2230" t="s">
        <v>39</v>
      </c>
      <c r="P2230" t="s">
        <v>38</v>
      </c>
      <c r="Q2230" t="s">
        <v>37</v>
      </c>
      <c r="R2230" t="s">
        <v>39</v>
      </c>
      <c r="S2230" t="s">
        <v>41</v>
      </c>
      <c r="T2230" t="s">
        <v>8083</v>
      </c>
      <c r="U2230" t="s">
        <v>8084</v>
      </c>
      <c r="V2230" t="s">
        <v>8002</v>
      </c>
      <c r="W2230" t="s">
        <v>8085</v>
      </c>
      <c r="Z2230" t="s">
        <v>46</v>
      </c>
      <c r="AA2230" t="s">
        <v>8092</v>
      </c>
      <c r="AC2230">
        <f>COUNTIF(C:C,QLKV_gui_ket_qua_ra_soat[[#This Row],[Mã điểm bán]])</f>
        <v>1</v>
      </c>
    </row>
    <row r="2231" spans="1:29" x14ac:dyDescent="0.45">
      <c r="A2231" t="s">
        <v>7995</v>
      </c>
      <c r="B2231">
        <v>24</v>
      </c>
      <c r="C2231" t="s">
        <v>8093</v>
      </c>
      <c r="D2231" t="s">
        <v>8094</v>
      </c>
      <c r="E2231" t="s">
        <v>1970</v>
      </c>
      <c r="F2231" t="s">
        <v>426</v>
      </c>
      <c r="G2231" t="s">
        <v>34</v>
      </c>
      <c r="H2231" t="s">
        <v>1188</v>
      </c>
      <c r="I2231" t="s">
        <v>8095</v>
      </c>
      <c r="J2231" t="s">
        <v>38</v>
      </c>
      <c r="K2231" t="s">
        <v>38</v>
      </c>
      <c r="L2231" t="s">
        <v>40</v>
      </c>
      <c r="M2231" t="s">
        <v>37</v>
      </c>
      <c r="N2231" t="s">
        <v>37</v>
      </c>
      <c r="O2231" t="s">
        <v>39</v>
      </c>
      <c r="P2231" t="s">
        <v>38</v>
      </c>
      <c r="Q2231" t="s">
        <v>38</v>
      </c>
      <c r="R2231" t="s">
        <v>40</v>
      </c>
      <c r="S2231" t="s">
        <v>41</v>
      </c>
      <c r="T2231" t="s">
        <v>8028</v>
      </c>
      <c r="U2231" t="s">
        <v>8029</v>
      </c>
      <c r="V2231" t="s">
        <v>8002</v>
      </c>
      <c r="W2231" t="s">
        <v>8030</v>
      </c>
      <c r="AC2231">
        <f>COUNTIF(C:C,QLKV_gui_ket_qua_ra_soat[[#This Row],[Mã điểm bán]])</f>
        <v>1</v>
      </c>
    </row>
    <row r="2232" spans="1:29" x14ac:dyDescent="0.45">
      <c r="A2232" t="s">
        <v>7995</v>
      </c>
      <c r="B2232">
        <v>25</v>
      </c>
      <c r="C2232" t="s">
        <v>8096</v>
      </c>
      <c r="D2232" t="s">
        <v>8097</v>
      </c>
      <c r="E2232" t="s">
        <v>1993</v>
      </c>
      <c r="F2232" t="s">
        <v>325</v>
      </c>
      <c r="G2232" t="s">
        <v>34</v>
      </c>
      <c r="H2232" t="s">
        <v>171</v>
      </c>
      <c r="I2232" t="s">
        <v>8098</v>
      </c>
      <c r="J2232" t="s">
        <v>38</v>
      </c>
      <c r="K2232" t="s">
        <v>38</v>
      </c>
      <c r="L2232" t="s">
        <v>40</v>
      </c>
      <c r="M2232" t="s">
        <v>38</v>
      </c>
      <c r="N2232" t="s">
        <v>38</v>
      </c>
      <c r="O2232" t="s">
        <v>40</v>
      </c>
      <c r="P2232" t="s">
        <v>38</v>
      </c>
      <c r="Q2232" t="s">
        <v>38</v>
      </c>
      <c r="R2232" t="s">
        <v>40</v>
      </c>
      <c r="S2232" t="s">
        <v>41</v>
      </c>
      <c r="T2232" t="s">
        <v>8028</v>
      </c>
      <c r="U2232" t="s">
        <v>8029</v>
      </c>
      <c r="V2232" t="s">
        <v>8002</v>
      </c>
      <c r="W2232" t="s">
        <v>8030</v>
      </c>
      <c r="AC2232">
        <f>COUNTIF(C:C,QLKV_gui_ket_qua_ra_soat[[#This Row],[Mã điểm bán]])</f>
        <v>1</v>
      </c>
    </row>
    <row r="2233" spans="1:29" x14ac:dyDescent="0.45">
      <c r="A2233" t="s">
        <v>7995</v>
      </c>
      <c r="B2233">
        <v>26</v>
      </c>
      <c r="C2233" t="s">
        <v>8099</v>
      </c>
      <c r="D2233" t="s">
        <v>8100</v>
      </c>
      <c r="E2233" t="s">
        <v>108</v>
      </c>
      <c r="F2233" t="s">
        <v>53</v>
      </c>
      <c r="G2233" t="s">
        <v>34</v>
      </c>
      <c r="H2233" t="s">
        <v>54</v>
      </c>
      <c r="I2233" t="s">
        <v>8101</v>
      </c>
      <c r="J2233" t="s">
        <v>56</v>
      </c>
      <c r="K2233" t="s">
        <v>56</v>
      </c>
      <c r="L2233" t="s">
        <v>40</v>
      </c>
      <c r="M2233" t="s">
        <v>56</v>
      </c>
      <c r="N2233" t="s">
        <v>56</v>
      </c>
      <c r="O2233" t="s">
        <v>40</v>
      </c>
      <c r="P2233" t="s">
        <v>56</v>
      </c>
      <c r="Q2233" t="s">
        <v>56</v>
      </c>
      <c r="R2233" t="s">
        <v>40</v>
      </c>
      <c r="S2233" t="s">
        <v>7999</v>
      </c>
      <c r="T2233" t="s">
        <v>8000</v>
      </c>
      <c r="U2233" t="s">
        <v>8001</v>
      </c>
      <c r="V2233" t="s">
        <v>8002</v>
      </c>
      <c r="W2233" t="s">
        <v>8003</v>
      </c>
      <c r="Z2233" t="s">
        <v>46</v>
      </c>
      <c r="AA2233" t="s">
        <v>8000</v>
      </c>
      <c r="AC2233">
        <f>COUNTIF(C:C,QLKV_gui_ket_qua_ra_soat[[#This Row],[Mã điểm bán]])</f>
        <v>1</v>
      </c>
    </row>
    <row r="2234" spans="1:29" x14ac:dyDescent="0.45">
      <c r="A2234" t="s">
        <v>7995</v>
      </c>
      <c r="B2234">
        <v>27</v>
      </c>
      <c r="C2234" t="s">
        <v>8102</v>
      </c>
      <c r="D2234" t="s">
        <v>8103</v>
      </c>
      <c r="E2234" t="s">
        <v>7134</v>
      </c>
      <c r="F2234" t="s">
        <v>1914</v>
      </c>
      <c r="G2234" t="s">
        <v>34</v>
      </c>
      <c r="H2234" t="s">
        <v>1877</v>
      </c>
      <c r="I2234" t="s">
        <v>8104</v>
      </c>
      <c r="J2234" t="s">
        <v>56</v>
      </c>
      <c r="K2234" t="s">
        <v>37</v>
      </c>
      <c r="L2234" t="s">
        <v>39</v>
      </c>
      <c r="M2234" t="s">
        <v>56</v>
      </c>
      <c r="N2234" t="s">
        <v>37</v>
      </c>
      <c r="O2234" t="s">
        <v>39</v>
      </c>
      <c r="P2234" t="s">
        <v>37</v>
      </c>
      <c r="Q2234" t="s">
        <v>37</v>
      </c>
      <c r="R2234" t="s">
        <v>39</v>
      </c>
      <c r="S2234" t="s">
        <v>41</v>
      </c>
      <c r="T2234" t="s">
        <v>8105</v>
      </c>
      <c r="U2234" t="s">
        <v>8016</v>
      </c>
      <c r="V2234" t="s">
        <v>8002</v>
      </c>
      <c r="W2234" t="s">
        <v>8003</v>
      </c>
      <c r="X2234" t="s">
        <v>46</v>
      </c>
      <c r="AC2234">
        <f>COUNTIF(C:C,QLKV_gui_ket_qua_ra_soat[[#This Row],[Mã điểm bán]])</f>
        <v>1</v>
      </c>
    </row>
    <row r="2235" spans="1:29" x14ac:dyDescent="0.45">
      <c r="A2235" t="s">
        <v>7995</v>
      </c>
      <c r="B2235">
        <v>28</v>
      </c>
      <c r="C2235" t="s">
        <v>8106</v>
      </c>
      <c r="D2235" t="s">
        <v>8107</v>
      </c>
      <c r="E2235" t="s">
        <v>114</v>
      </c>
      <c r="F2235" t="s">
        <v>819</v>
      </c>
      <c r="G2235" t="s">
        <v>34</v>
      </c>
      <c r="H2235" t="s">
        <v>4689</v>
      </c>
      <c r="I2235" t="s">
        <v>8108</v>
      </c>
      <c r="J2235" t="s">
        <v>37</v>
      </c>
      <c r="K2235" t="s">
        <v>37</v>
      </c>
      <c r="L2235" t="s">
        <v>39</v>
      </c>
      <c r="M2235" t="s">
        <v>37</v>
      </c>
      <c r="N2235" t="s">
        <v>37</v>
      </c>
      <c r="O2235" t="s">
        <v>39</v>
      </c>
      <c r="P2235" t="s">
        <v>38</v>
      </c>
      <c r="Q2235" t="s">
        <v>37</v>
      </c>
      <c r="R2235" t="s">
        <v>39</v>
      </c>
      <c r="S2235" t="s">
        <v>41</v>
      </c>
      <c r="T2235" t="s">
        <v>8083</v>
      </c>
      <c r="U2235" t="s">
        <v>8084</v>
      </c>
      <c r="V2235" t="s">
        <v>8002</v>
      </c>
      <c r="W2235" t="s">
        <v>8085</v>
      </c>
      <c r="X2235" t="s">
        <v>46</v>
      </c>
      <c r="AC2235">
        <f>COUNTIF(C:C,QLKV_gui_ket_qua_ra_soat[[#This Row],[Mã điểm bán]])</f>
        <v>1</v>
      </c>
    </row>
    <row r="2236" spans="1:29" x14ac:dyDescent="0.45">
      <c r="A2236" t="s">
        <v>7995</v>
      </c>
      <c r="B2236">
        <v>29</v>
      </c>
      <c r="C2236" t="s">
        <v>8109</v>
      </c>
      <c r="D2236" t="s">
        <v>8110</v>
      </c>
      <c r="E2236" t="s">
        <v>206</v>
      </c>
      <c r="F2236" t="s">
        <v>53</v>
      </c>
      <c r="G2236" t="s">
        <v>34</v>
      </c>
      <c r="H2236" t="s">
        <v>54</v>
      </c>
      <c r="I2236" t="s">
        <v>8101</v>
      </c>
      <c r="J2236" t="s">
        <v>56</v>
      </c>
      <c r="K2236" t="s">
        <v>56</v>
      </c>
      <c r="L2236" t="s">
        <v>40</v>
      </c>
      <c r="M2236" t="s">
        <v>56</v>
      </c>
      <c r="N2236" t="s">
        <v>56</v>
      </c>
      <c r="O2236" t="s">
        <v>40</v>
      </c>
      <c r="P2236" t="s">
        <v>56</v>
      </c>
      <c r="Q2236" t="s">
        <v>56</v>
      </c>
      <c r="R2236" t="s">
        <v>40</v>
      </c>
      <c r="S2236" t="s">
        <v>7999</v>
      </c>
      <c r="T2236" t="s">
        <v>8000</v>
      </c>
      <c r="U2236" t="s">
        <v>8001</v>
      </c>
      <c r="V2236" t="s">
        <v>8002</v>
      </c>
      <c r="W2236" t="s">
        <v>8003</v>
      </c>
      <c r="Z2236" t="s">
        <v>46</v>
      </c>
      <c r="AA2236" t="s">
        <v>8000</v>
      </c>
      <c r="AC2236">
        <f>COUNTIF(C:C,QLKV_gui_ket_qua_ra_soat[[#This Row],[Mã điểm bán]])</f>
        <v>1</v>
      </c>
    </row>
    <row r="2237" spans="1:29" x14ac:dyDescent="0.45">
      <c r="A2237" t="s">
        <v>7995</v>
      </c>
      <c r="B2237">
        <v>30</v>
      </c>
      <c r="C2237" t="s">
        <v>8111</v>
      </c>
      <c r="D2237" t="s">
        <v>8112</v>
      </c>
      <c r="E2237" t="s">
        <v>1155</v>
      </c>
      <c r="F2237" t="s">
        <v>166</v>
      </c>
      <c r="G2237" t="s">
        <v>34</v>
      </c>
      <c r="H2237" t="s">
        <v>1746</v>
      </c>
      <c r="I2237" t="s">
        <v>8113</v>
      </c>
      <c r="J2237" t="s">
        <v>38</v>
      </c>
      <c r="K2237" t="s">
        <v>38</v>
      </c>
      <c r="L2237" t="s">
        <v>40</v>
      </c>
      <c r="M2237" t="s">
        <v>38</v>
      </c>
      <c r="N2237" t="s">
        <v>38</v>
      </c>
      <c r="O2237" t="s">
        <v>40</v>
      </c>
      <c r="P2237" t="s">
        <v>38</v>
      </c>
      <c r="Q2237" t="s">
        <v>38</v>
      </c>
      <c r="R2237" t="s">
        <v>40</v>
      </c>
      <c r="S2237" t="s">
        <v>41</v>
      </c>
      <c r="T2237" t="s">
        <v>8028</v>
      </c>
      <c r="U2237" t="s">
        <v>8029</v>
      </c>
      <c r="V2237" t="s">
        <v>8002</v>
      </c>
      <c r="W2237" t="s">
        <v>8030</v>
      </c>
      <c r="AC2237">
        <f>COUNTIF(C:C,QLKV_gui_ket_qua_ra_soat[[#This Row],[Mã điểm bán]])</f>
        <v>1</v>
      </c>
    </row>
    <row r="2238" spans="1:29" x14ac:dyDescent="0.45">
      <c r="A2238" t="s">
        <v>7995</v>
      </c>
      <c r="B2238">
        <v>31</v>
      </c>
      <c r="C2238" t="s">
        <v>8114</v>
      </c>
      <c r="D2238" t="s">
        <v>8115</v>
      </c>
      <c r="E2238" t="s">
        <v>2287</v>
      </c>
      <c r="F2238" t="s">
        <v>1676</v>
      </c>
      <c r="G2238" t="s">
        <v>34</v>
      </c>
      <c r="H2238" t="s">
        <v>214</v>
      </c>
      <c r="I2238" t="s">
        <v>8116</v>
      </c>
      <c r="J2238" t="s">
        <v>38</v>
      </c>
      <c r="K2238" t="s">
        <v>38</v>
      </c>
      <c r="L2238" t="s">
        <v>40</v>
      </c>
      <c r="M2238" t="s">
        <v>38</v>
      </c>
      <c r="N2238" t="s">
        <v>37</v>
      </c>
      <c r="O2238" t="s">
        <v>40</v>
      </c>
      <c r="P2238" t="s">
        <v>38</v>
      </c>
      <c r="Q2238" t="s">
        <v>38</v>
      </c>
      <c r="R2238" t="s">
        <v>40</v>
      </c>
      <c r="S2238" t="s">
        <v>41</v>
      </c>
      <c r="T2238" t="s">
        <v>8028</v>
      </c>
      <c r="U2238" t="s">
        <v>8029</v>
      </c>
      <c r="V2238" t="s">
        <v>8002</v>
      </c>
      <c r="W2238" t="s">
        <v>8030</v>
      </c>
      <c r="AC2238">
        <f>COUNTIF(C:C,QLKV_gui_ket_qua_ra_soat[[#This Row],[Mã điểm bán]])</f>
        <v>1</v>
      </c>
    </row>
    <row r="2239" spans="1:29" x14ac:dyDescent="0.45">
      <c r="A2239" t="s">
        <v>7995</v>
      </c>
      <c r="B2239">
        <v>32</v>
      </c>
      <c r="C2239" t="s">
        <v>8117</v>
      </c>
      <c r="D2239" t="s">
        <v>8118</v>
      </c>
      <c r="E2239" t="s">
        <v>563</v>
      </c>
      <c r="F2239" t="s">
        <v>581</v>
      </c>
      <c r="G2239" t="s">
        <v>34</v>
      </c>
      <c r="H2239" t="s">
        <v>1177</v>
      </c>
      <c r="I2239" t="s">
        <v>8119</v>
      </c>
      <c r="J2239" t="s">
        <v>38</v>
      </c>
      <c r="K2239" t="s">
        <v>38</v>
      </c>
      <c r="L2239" t="s">
        <v>40</v>
      </c>
      <c r="M2239" t="s">
        <v>56</v>
      </c>
      <c r="N2239" t="s">
        <v>56</v>
      </c>
      <c r="O2239" t="s">
        <v>39</v>
      </c>
      <c r="P2239" t="s">
        <v>38</v>
      </c>
      <c r="Q2239" t="s">
        <v>38</v>
      </c>
      <c r="R2239" t="s">
        <v>40</v>
      </c>
      <c r="S2239" t="s">
        <v>8120</v>
      </c>
      <c r="T2239" t="s">
        <v>8015</v>
      </c>
      <c r="U2239" t="s">
        <v>8016</v>
      </c>
      <c r="V2239" t="s">
        <v>8002</v>
      </c>
      <c r="W2239" t="s">
        <v>8003</v>
      </c>
      <c r="X2239" t="s">
        <v>46</v>
      </c>
      <c r="AC2239">
        <f>COUNTIF(C:C,QLKV_gui_ket_qua_ra_soat[[#This Row],[Mã điểm bán]])</f>
        <v>1</v>
      </c>
    </row>
    <row r="2240" spans="1:29" x14ac:dyDescent="0.45">
      <c r="A2240" t="s">
        <v>7995</v>
      </c>
      <c r="B2240">
        <v>33</v>
      </c>
      <c r="C2240" t="s">
        <v>8121</v>
      </c>
      <c r="D2240" t="s">
        <v>8122</v>
      </c>
      <c r="E2240" t="s">
        <v>431</v>
      </c>
      <c r="F2240" t="s">
        <v>280</v>
      </c>
      <c r="G2240" t="s">
        <v>34</v>
      </c>
      <c r="H2240" t="s">
        <v>546</v>
      </c>
      <c r="I2240" t="s">
        <v>8123</v>
      </c>
      <c r="J2240" t="s">
        <v>38</v>
      </c>
      <c r="K2240" t="s">
        <v>38</v>
      </c>
      <c r="L2240" t="s">
        <v>40</v>
      </c>
      <c r="M2240" t="s">
        <v>38</v>
      </c>
      <c r="N2240" t="s">
        <v>38</v>
      </c>
      <c r="O2240" t="s">
        <v>40</v>
      </c>
      <c r="P2240" t="s">
        <v>38</v>
      </c>
      <c r="Q2240" t="s">
        <v>38</v>
      </c>
      <c r="R2240" t="s">
        <v>40</v>
      </c>
      <c r="S2240" t="s">
        <v>7515</v>
      </c>
      <c r="T2240" t="s">
        <v>8008</v>
      </c>
      <c r="U2240" t="s">
        <v>8009</v>
      </c>
      <c r="V2240" t="s">
        <v>8002</v>
      </c>
      <c r="W2240" t="s">
        <v>8010</v>
      </c>
      <c r="X2240" t="s">
        <v>46</v>
      </c>
      <c r="AC2240">
        <f>COUNTIF(C:C,QLKV_gui_ket_qua_ra_soat[[#This Row],[Mã điểm bán]])</f>
        <v>1</v>
      </c>
    </row>
    <row r="2241" spans="1:29" x14ac:dyDescent="0.45">
      <c r="A2241" t="s">
        <v>7995</v>
      </c>
      <c r="B2241">
        <v>34</v>
      </c>
      <c r="C2241" t="s">
        <v>8124</v>
      </c>
      <c r="D2241" t="s">
        <v>8125</v>
      </c>
      <c r="E2241" t="s">
        <v>211</v>
      </c>
      <c r="F2241" t="s">
        <v>1454</v>
      </c>
      <c r="G2241" t="s">
        <v>34</v>
      </c>
      <c r="H2241" t="s">
        <v>697</v>
      </c>
      <c r="I2241" t="s">
        <v>8126</v>
      </c>
      <c r="J2241" t="s">
        <v>38</v>
      </c>
      <c r="K2241" t="s">
        <v>38</v>
      </c>
      <c r="L2241" t="s">
        <v>40</v>
      </c>
      <c r="M2241" t="s">
        <v>38</v>
      </c>
      <c r="N2241" t="s">
        <v>38</v>
      </c>
      <c r="O2241" t="s">
        <v>40</v>
      </c>
      <c r="P2241" t="s">
        <v>38</v>
      </c>
      <c r="Q2241" t="s">
        <v>38</v>
      </c>
      <c r="R2241" t="s">
        <v>40</v>
      </c>
      <c r="S2241" t="s">
        <v>8127</v>
      </c>
      <c r="T2241" t="s">
        <v>8008</v>
      </c>
      <c r="U2241" t="s">
        <v>8009</v>
      </c>
      <c r="V2241" t="s">
        <v>8002</v>
      </c>
      <c r="W2241" t="s">
        <v>8010</v>
      </c>
      <c r="X2241" t="s">
        <v>46</v>
      </c>
      <c r="AC2241">
        <f>COUNTIF(C:C,QLKV_gui_ket_qua_ra_soat[[#This Row],[Mã điểm bán]])</f>
        <v>1</v>
      </c>
    </row>
    <row r="2242" spans="1:29" x14ac:dyDescent="0.45">
      <c r="A2242" t="s">
        <v>7995</v>
      </c>
      <c r="B2242">
        <v>35</v>
      </c>
      <c r="C2242" t="s">
        <v>8128</v>
      </c>
      <c r="D2242" t="s">
        <v>8129</v>
      </c>
      <c r="E2242" t="s">
        <v>143</v>
      </c>
      <c r="F2242" t="s">
        <v>286</v>
      </c>
      <c r="G2242" t="s">
        <v>34</v>
      </c>
      <c r="H2242" t="s">
        <v>54</v>
      </c>
      <c r="I2242" t="s">
        <v>8130</v>
      </c>
      <c r="J2242" t="s">
        <v>38</v>
      </c>
      <c r="K2242" t="s">
        <v>38</v>
      </c>
      <c r="L2242" t="s">
        <v>40</v>
      </c>
      <c r="M2242" t="s">
        <v>38</v>
      </c>
      <c r="N2242" t="s">
        <v>38</v>
      </c>
      <c r="O2242" t="s">
        <v>39</v>
      </c>
      <c r="P2242" t="s">
        <v>38</v>
      </c>
      <c r="Q2242" t="s">
        <v>38</v>
      </c>
      <c r="R2242" t="s">
        <v>40</v>
      </c>
      <c r="S2242" t="s">
        <v>8131</v>
      </c>
      <c r="T2242" t="s">
        <v>8038</v>
      </c>
      <c r="U2242" t="s">
        <v>8029</v>
      </c>
      <c r="V2242" t="s">
        <v>8002</v>
      </c>
      <c r="W2242" t="s">
        <v>8030</v>
      </c>
      <c r="AC2242">
        <f>COUNTIF(C:C,QLKV_gui_ket_qua_ra_soat[[#This Row],[Mã điểm bán]])</f>
        <v>1</v>
      </c>
    </row>
    <row r="2243" spans="1:29" x14ac:dyDescent="0.45">
      <c r="A2243" t="s">
        <v>7995</v>
      </c>
      <c r="B2243">
        <v>36</v>
      </c>
      <c r="C2243" t="s">
        <v>8132</v>
      </c>
      <c r="D2243" t="s">
        <v>8133</v>
      </c>
      <c r="E2243" t="s">
        <v>1792</v>
      </c>
      <c r="F2243" t="s">
        <v>8134</v>
      </c>
      <c r="G2243" t="s">
        <v>34</v>
      </c>
      <c r="H2243" t="s">
        <v>697</v>
      </c>
      <c r="I2243" t="s">
        <v>8135</v>
      </c>
      <c r="J2243" t="s">
        <v>38</v>
      </c>
      <c r="K2243" t="s">
        <v>38</v>
      </c>
      <c r="L2243" t="s">
        <v>40</v>
      </c>
      <c r="M2243" t="s">
        <v>37</v>
      </c>
      <c r="N2243" t="s">
        <v>37</v>
      </c>
      <c r="O2243" t="s">
        <v>39</v>
      </c>
      <c r="P2243" t="s">
        <v>38</v>
      </c>
      <c r="Q2243" t="s">
        <v>38</v>
      </c>
      <c r="R2243" t="s">
        <v>40</v>
      </c>
      <c r="S2243" t="s">
        <v>41</v>
      </c>
      <c r="T2243" t="s">
        <v>8136</v>
      </c>
      <c r="U2243" t="s">
        <v>8137</v>
      </c>
      <c r="V2243" t="s">
        <v>8002</v>
      </c>
      <c r="W2243" t="s">
        <v>8085</v>
      </c>
      <c r="X2243" t="s">
        <v>46</v>
      </c>
      <c r="AC2243">
        <f>COUNTIF(C:C,QLKV_gui_ket_qua_ra_soat[[#This Row],[Mã điểm bán]])</f>
        <v>1</v>
      </c>
    </row>
    <row r="2244" spans="1:29" x14ac:dyDescent="0.45">
      <c r="A2244" t="s">
        <v>7995</v>
      </c>
      <c r="B2244">
        <v>37</v>
      </c>
      <c r="C2244" t="s">
        <v>8138</v>
      </c>
      <c r="D2244" t="s">
        <v>8139</v>
      </c>
      <c r="E2244" t="s">
        <v>255</v>
      </c>
      <c r="F2244" t="s">
        <v>53</v>
      </c>
      <c r="G2244" t="s">
        <v>34</v>
      </c>
      <c r="H2244" t="s">
        <v>319</v>
      </c>
      <c r="I2244" t="s">
        <v>8140</v>
      </c>
      <c r="J2244" t="s">
        <v>38</v>
      </c>
      <c r="K2244" t="s">
        <v>38</v>
      </c>
      <c r="L2244" t="s">
        <v>40</v>
      </c>
      <c r="M2244" t="s">
        <v>38</v>
      </c>
      <c r="N2244" t="s">
        <v>56</v>
      </c>
      <c r="O2244" t="s">
        <v>39</v>
      </c>
      <c r="P2244" t="s">
        <v>38</v>
      </c>
      <c r="Q2244" t="s">
        <v>38</v>
      </c>
      <c r="R2244" t="s">
        <v>40</v>
      </c>
      <c r="S2244" t="s">
        <v>8141</v>
      </c>
      <c r="T2244" t="s">
        <v>8008</v>
      </c>
      <c r="U2244" t="s">
        <v>8009</v>
      </c>
      <c r="V2244" t="s">
        <v>8002</v>
      </c>
      <c r="W2244" t="s">
        <v>8010</v>
      </c>
      <c r="X2244" t="s">
        <v>46</v>
      </c>
      <c r="AC2244">
        <f>COUNTIF(C:C,QLKV_gui_ket_qua_ra_soat[[#This Row],[Mã điểm bán]])</f>
        <v>1</v>
      </c>
    </row>
    <row r="2245" spans="1:29" x14ac:dyDescent="0.45">
      <c r="A2245" t="s">
        <v>7995</v>
      </c>
      <c r="B2245">
        <v>38</v>
      </c>
      <c r="C2245" t="s">
        <v>8142</v>
      </c>
      <c r="D2245" t="s">
        <v>8143</v>
      </c>
      <c r="E2245" t="s">
        <v>304</v>
      </c>
      <c r="F2245" t="s">
        <v>53</v>
      </c>
      <c r="G2245" t="s">
        <v>34</v>
      </c>
      <c r="H2245" t="s">
        <v>402</v>
      </c>
      <c r="I2245" t="s">
        <v>8144</v>
      </c>
      <c r="J2245" t="s">
        <v>38</v>
      </c>
      <c r="K2245" t="s">
        <v>38</v>
      </c>
      <c r="L2245" t="s">
        <v>40</v>
      </c>
      <c r="M2245" t="s">
        <v>38</v>
      </c>
      <c r="N2245" t="s">
        <v>38</v>
      </c>
      <c r="O2245" t="s">
        <v>40</v>
      </c>
      <c r="P2245" t="s">
        <v>38</v>
      </c>
      <c r="Q2245" t="s">
        <v>38</v>
      </c>
      <c r="R2245" t="s">
        <v>40</v>
      </c>
      <c r="S2245" t="s">
        <v>517</v>
      </c>
      <c r="T2245" t="s">
        <v>8008</v>
      </c>
      <c r="U2245" t="s">
        <v>8009</v>
      </c>
      <c r="V2245" t="s">
        <v>8002</v>
      </c>
      <c r="W2245" t="s">
        <v>8010</v>
      </c>
      <c r="X2245" t="s">
        <v>46</v>
      </c>
      <c r="AC2245">
        <f>COUNTIF(C:C,QLKV_gui_ket_qua_ra_soat[[#This Row],[Mã điểm bán]])</f>
        <v>1</v>
      </c>
    </row>
    <row r="2246" spans="1:29" x14ac:dyDescent="0.45">
      <c r="A2246" t="s">
        <v>7995</v>
      </c>
      <c r="B2246">
        <v>39</v>
      </c>
      <c r="C2246" t="s">
        <v>8145</v>
      </c>
      <c r="D2246" t="s">
        <v>8146</v>
      </c>
      <c r="E2246" t="s">
        <v>108</v>
      </c>
      <c r="F2246" t="s">
        <v>53</v>
      </c>
      <c r="G2246" t="s">
        <v>34</v>
      </c>
      <c r="H2246" t="s">
        <v>1188</v>
      </c>
      <c r="I2246" t="s">
        <v>8147</v>
      </c>
      <c r="J2246" t="s">
        <v>38</v>
      </c>
      <c r="K2246" t="s">
        <v>38</v>
      </c>
      <c r="L2246" t="s">
        <v>40</v>
      </c>
      <c r="M2246" t="s">
        <v>38</v>
      </c>
      <c r="N2246" t="s">
        <v>38</v>
      </c>
      <c r="O2246" t="s">
        <v>40</v>
      </c>
      <c r="P2246" t="s">
        <v>38</v>
      </c>
      <c r="Q2246" t="s">
        <v>38</v>
      </c>
      <c r="R2246" t="s">
        <v>40</v>
      </c>
      <c r="S2246" t="s">
        <v>8148</v>
      </c>
      <c r="T2246" t="s">
        <v>8008</v>
      </c>
      <c r="U2246" t="s">
        <v>8009</v>
      </c>
      <c r="V2246" t="s">
        <v>8002</v>
      </c>
      <c r="W2246" t="s">
        <v>8010</v>
      </c>
      <c r="X2246" t="s">
        <v>46</v>
      </c>
      <c r="AC2246">
        <f>COUNTIF(C:C,QLKV_gui_ket_qua_ra_soat[[#This Row],[Mã điểm bán]])</f>
        <v>1</v>
      </c>
    </row>
    <row r="2247" spans="1:29" x14ac:dyDescent="0.45">
      <c r="A2247" t="s">
        <v>7995</v>
      </c>
      <c r="B2247">
        <v>40</v>
      </c>
      <c r="C2247" t="s">
        <v>8149</v>
      </c>
      <c r="D2247" t="s">
        <v>8150</v>
      </c>
      <c r="E2247" t="s">
        <v>69</v>
      </c>
      <c r="F2247" t="s">
        <v>53</v>
      </c>
      <c r="G2247" t="s">
        <v>34</v>
      </c>
      <c r="H2247" t="s">
        <v>863</v>
      </c>
      <c r="I2247" t="s">
        <v>8151</v>
      </c>
      <c r="J2247" t="s">
        <v>38</v>
      </c>
      <c r="K2247" t="s">
        <v>38</v>
      </c>
      <c r="L2247" t="s">
        <v>40</v>
      </c>
      <c r="M2247" t="s">
        <v>38</v>
      </c>
      <c r="N2247" t="s">
        <v>775</v>
      </c>
      <c r="O2247" t="s">
        <v>39</v>
      </c>
      <c r="P2247" t="s">
        <v>38</v>
      </c>
      <c r="Q2247" t="s">
        <v>38</v>
      </c>
      <c r="R2247" t="s">
        <v>40</v>
      </c>
      <c r="S2247" t="s">
        <v>8152</v>
      </c>
      <c r="T2247" t="s">
        <v>8008</v>
      </c>
      <c r="U2247" t="s">
        <v>8009</v>
      </c>
      <c r="V2247" t="s">
        <v>8002</v>
      </c>
      <c r="W2247" t="s">
        <v>8010</v>
      </c>
      <c r="X2247" t="s">
        <v>46</v>
      </c>
      <c r="AC2247">
        <f>COUNTIF(C:C,QLKV_gui_ket_qua_ra_soat[[#This Row],[Mã điểm bán]])</f>
        <v>1</v>
      </c>
    </row>
    <row r="2248" spans="1:29" x14ac:dyDescent="0.45">
      <c r="A2248" t="s">
        <v>7995</v>
      </c>
      <c r="B2248">
        <v>41</v>
      </c>
      <c r="C2248" t="s">
        <v>8153</v>
      </c>
      <c r="D2248" t="s">
        <v>8154</v>
      </c>
      <c r="E2248" t="s">
        <v>176</v>
      </c>
      <c r="F2248" t="s">
        <v>53</v>
      </c>
      <c r="G2248" t="s">
        <v>34</v>
      </c>
      <c r="H2248" t="s">
        <v>340</v>
      </c>
      <c r="I2248" t="s">
        <v>8151</v>
      </c>
      <c r="J2248" t="s">
        <v>38</v>
      </c>
      <c r="K2248" t="s">
        <v>38</v>
      </c>
      <c r="L2248" t="s">
        <v>40</v>
      </c>
      <c r="M2248" t="s">
        <v>38</v>
      </c>
      <c r="N2248" t="s">
        <v>38</v>
      </c>
      <c r="O2248" t="s">
        <v>40</v>
      </c>
      <c r="P2248" t="s">
        <v>38</v>
      </c>
      <c r="Q2248" t="s">
        <v>38</v>
      </c>
      <c r="R2248" t="s">
        <v>40</v>
      </c>
      <c r="S2248" t="s">
        <v>8155</v>
      </c>
      <c r="T2248" t="s">
        <v>8008</v>
      </c>
      <c r="U2248" t="s">
        <v>8009</v>
      </c>
      <c r="V2248" t="s">
        <v>8002</v>
      </c>
      <c r="W2248" t="s">
        <v>8010</v>
      </c>
      <c r="X2248" t="s">
        <v>46</v>
      </c>
      <c r="AC2248">
        <f>COUNTIF(C:C,QLKV_gui_ket_qua_ra_soat[[#This Row],[Mã điểm bán]])</f>
        <v>1</v>
      </c>
    </row>
    <row r="2249" spans="1:29" x14ac:dyDescent="0.45">
      <c r="A2249" t="s">
        <v>7995</v>
      </c>
      <c r="B2249">
        <v>42</v>
      </c>
      <c r="C2249" t="s">
        <v>8156</v>
      </c>
      <c r="D2249" t="s">
        <v>7462</v>
      </c>
      <c r="E2249" t="s">
        <v>87</v>
      </c>
      <c r="F2249" t="s">
        <v>53</v>
      </c>
      <c r="G2249" t="s">
        <v>34</v>
      </c>
      <c r="H2249" t="s">
        <v>214</v>
      </c>
      <c r="I2249" t="s">
        <v>8157</v>
      </c>
      <c r="J2249" t="s">
        <v>38</v>
      </c>
      <c r="K2249" t="s">
        <v>38</v>
      </c>
      <c r="L2249" t="s">
        <v>40</v>
      </c>
      <c r="M2249" t="s">
        <v>38</v>
      </c>
      <c r="N2249" t="s">
        <v>38</v>
      </c>
      <c r="O2249" t="s">
        <v>40</v>
      </c>
      <c r="P2249" t="s">
        <v>38</v>
      </c>
      <c r="Q2249" t="s">
        <v>38</v>
      </c>
      <c r="R2249" t="s">
        <v>40</v>
      </c>
      <c r="S2249" t="s">
        <v>8148</v>
      </c>
      <c r="T2249" t="s">
        <v>8008</v>
      </c>
      <c r="U2249" t="s">
        <v>8009</v>
      </c>
      <c r="V2249" t="s">
        <v>8002</v>
      </c>
      <c r="W2249" t="s">
        <v>8010</v>
      </c>
      <c r="X2249" t="s">
        <v>46</v>
      </c>
      <c r="AC2249">
        <f>COUNTIF(C:C,QLKV_gui_ket_qua_ra_soat[[#This Row],[Mã điểm bán]])</f>
        <v>1</v>
      </c>
    </row>
    <row r="2250" spans="1:29" x14ac:dyDescent="0.45">
      <c r="A2250" t="s">
        <v>7995</v>
      </c>
      <c r="B2250">
        <v>43</v>
      </c>
      <c r="C2250" t="s">
        <v>8158</v>
      </c>
      <c r="D2250" t="s">
        <v>8159</v>
      </c>
      <c r="E2250" t="s">
        <v>181</v>
      </c>
      <c r="F2250" t="s">
        <v>224</v>
      </c>
      <c r="G2250" t="s">
        <v>34</v>
      </c>
      <c r="H2250" t="s">
        <v>214</v>
      </c>
      <c r="I2250" t="s">
        <v>8160</v>
      </c>
      <c r="J2250" t="s">
        <v>38</v>
      </c>
      <c r="K2250" t="s">
        <v>38</v>
      </c>
      <c r="L2250" t="s">
        <v>40</v>
      </c>
      <c r="M2250" t="s">
        <v>38</v>
      </c>
      <c r="N2250" t="s">
        <v>38</v>
      </c>
      <c r="O2250" t="s">
        <v>40</v>
      </c>
      <c r="P2250" t="s">
        <v>38</v>
      </c>
      <c r="Q2250" t="s">
        <v>38</v>
      </c>
      <c r="R2250" t="s">
        <v>40</v>
      </c>
      <c r="S2250" t="s">
        <v>41</v>
      </c>
      <c r="T2250" t="s">
        <v>8038</v>
      </c>
      <c r="U2250" t="s">
        <v>8029</v>
      </c>
      <c r="V2250" t="s">
        <v>8002</v>
      </c>
      <c r="W2250" t="s">
        <v>8010</v>
      </c>
      <c r="AC2250">
        <f>COUNTIF(C:C,QLKV_gui_ket_qua_ra_soat[[#This Row],[Mã điểm bán]])</f>
        <v>1</v>
      </c>
    </row>
    <row r="2251" spans="1:29" x14ac:dyDescent="0.45">
      <c r="A2251" t="s">
        <v>7995</v>
      </c>
      <c r="B2251">
        <v>44</v>
      </c>
      <c r="C2251" t="s">
        <v>8161</v>
      </c>
      <c r="D2251" t="s">
        <v>8162</v>
      </c>
      <c r="E2251" t="s">
        <v>8163</v>
      </c>
      <c r="F2251" t="s">
        <v>115</v>
      </c>
      <c r="G2251" t="s">
        <v>34</v>
      </c>
      <c r="H2251" t="s">
        <v>917</v>
      </c>
      <c r="I2251" t="s">
        <v>8164</v>
      </c>
      <c r="J2251" t="s">
        <v>38</v>
      </c>
      <c r="K2251" t="s">
        <v>38</v>
      </c>
      <c r="L2251" t="s">
        <v>40</v>
      </c>
      <c r="M2251" t="s">
        <v>37</v>
      </c>
      <c r="N2251" t="s">
        <v>38</v>
      </c>
      <c r="O2251" t="s">
        <v>40</v>
      </c>
      <c r="P2251" t="s">
        <v>38</v>
      </c>
      <c r="Q2251" t="s">
        <v>38</v>
      </c>
      <c r="R2251" t="s">
        <v>40</v>
      </c>
      <c r="S2251" t="s">
        <v>41</v>
      </c>
      <c r="T2251" t="s">
        <v>8028</v>
      </c>
      <c r="U2251" t="s">
        <v>8029</v>
      </c>
      <c r="V2251" t="s">
        <v>8002</v>
      </c>
      <c r="W2251" t="s">
        <v>8010</v>
      </c>
      <c r="AC2251">
        <f>COUNTIF(C:C,QLKV_gui_ket_qua_ra_soat[[#This Row],[Mã điểm bán]])</f>
        <v>1</v>
      </c>
    </row>
    <row r="2252" spans="1:29" x14ac:dyDescent="0.45">
      <c r="A2252" t="s">
        <v>7995</v>
      </c>
      <c r="B2252">
        <v>45</v>
      </c>
      <c r="C2252" t="s">
        <v>8165</v>
      </c>
      <c r="D2252" t="s">
        <v>8166</v>
      </c>
      <c r="E2252" t="s">
        <v>304</v>
      </c>
      <c r="F2252" t="s">
        <v>53</v>
      </c>
      <c r="G2252" t="s">
        <v>34</v>
      </c>
      <c r="H2252" t="s">
        <v>171</v>
      </c>
      <c r="I2252" t="s">
        <v>8157</v>
      </c>
      <c r="J2252" t="s">
        <v>38</v>
      </c>
      <c r="K2252" t="s">
        <v>38</v>
      </c>
      <c r="L2252" t="s">
        <v>40</v>
      </c>
      <c r="M2252" t="s">
        <v>38</v>
      </c>
      <c r="N2252" t="s">
        <v>38</v>
      </c>
      <c r="O2252" t="s">
        <v>40</v>
      </c>
      <c r="P2252" t="s">
        <v>38</v>
      </c>
      <c r="Q2252" t="s">
        <v>38</v>
      </c>
      <c r="R2252" t="s">
        <v>40</v>
      </c>
      <c r="S2252" t="s">
        <v>8148</v>
      </c>
      <c r="T2252" t="s">
        <v>8008</v>
      </c>
      <c r="U2252" t="s">
        <v>8009</v>
      </c>
      <c r="V2252" t="s">
        <v>8002</v>
      </c>
      <c r="W2252" t="s">
        <v>8010</v>
      </c>
      <c r="X2252" t="s">
        <v>46</v>
      </c>
      <c r="AC2252">
        <f>COUNTIF(C:C,QLKV_gui_ket_qua_ra_soat[[#This Row],[Mã điểm bán]])</f>
        <v>1</v>
      </c>
    </row>
    <row r="2253" spans="1:29" x14ac:dyDescent="0.45">
      <c r="A2253" t="s">
        <v>7995</v>
      </c>
      <c r="B2253">
        <v>46</v>
      </c>
      <c r="C2253" t="s">
        <v>8167</v>
      </c>
      <c r="D2253" t="s">
        <v>8168</v>
      </c>
      <c r="E2253" t="s">
        <v>1680</v>
      </c>
      <c r="F2253" t="s">
        <v>166</v>
      </c>
      <c r="G2253" t="s">
        <v>34</v>
      </c>
      <c r="H2253" t="s">
        <v>332</v>
      </c>
      <c r="I2253" t="s">
        <v>2086</v>
      </c>
      <c r="J2253" t="s">
        <v>38</v>
      </c>
      <c r="K2253" t="s">
        <v>38</v>
      </c>
      <c r="L2253" t="s">
        <v>39</v>
      </c>
      <c r="M2253" t="s">
        <v>38</v>
      </c>
      <c r="N2253" t="s">
        <v>38</v>
      </c>
      <c r="O2253" t="s">
        <v>39</v>
      </c>
      <c r="P2253" t="s">
        <v>38</v>
      </c>
      <c r="Q2253" t="s">
        <v>38</v>
      </c>
      <c r="R2253" t="s">
        <v>39</v>
      </c>
      <c r="S2253" t="s">
        <v>41</v>
      </c>
      <c r="T2253" t="s">
        <v>8060</v>
      </c>
      <c r="U2253" t="s">
        <v>8016</v>
      </c>
      <c r="V2253" t="s">
        <v>8002</v>
      </c>
      <c r="W2253" t="s">
        <v>8010</v>
      </c>
      <c r="Z2253" t="s">
        <v>46</v>
      </c>
      <c r="AA2253" t="s">
        <v>8060</v>
      </c>
      <c r="AC2253">
        <f>COUNTIF(C:C,QLKV_gui_ket_qua_ra_soat[[#This Row],[Mã điểm bán]])</f>
        <v>1</v>
      </c>
    </row>
    <row r="2254" spans="1:29" x14ac:dyDescent="0.45">
      <c r="A2254" t="s">
        <v>7995</v>
      </c>
      <c r="B2254">
        <v>47</v>
      </c>
      <c r="C2254" t="s">
        <v>8169</v>
      </c>
      <c r="D2254" t="s">
        <v>8170</v>
      </c>
      <c r="E2254" t="s">
        <v>2373</v>
      </c>
      <c r="F2254" t="s">
        <v>3244</v>
      </c>
      <c r="G2254" t="s">
        <v>34</v>
      </c>
      <c r="H2254" t="s">
        <v>685</v>
      </c>
      <c r="I2254" t="s">
        <v>8171</v>
      </c>
      <c r="J2254" t="s">
        <v>38</v>
      </c>
      <c r="K2254" t="s">
        <v>38</v>
      </c>
      <c r="L2254" t="s">
        <v>39</v>
      </c>
      <c r="M2254" t="s">
        <v>38</v>
      </c>
      <c r="N2254" t="s">
        <v>38</v>
      </c>
      <c r="O2254" t="s">
        <v>39</v>
      </c>
      <c r="P2254" t="s">
        <v>38</v>
      </c>
      <c r="Q2254" t="s">
        <v>38</v>
      </c>
      <c r="R2254" t="s">
        <v>39</v>
      </c>
      <c r="S2254" t="s">
        <v>8172</v>
      </c>
      <c r="T2254" t="s">
        <v>8060</v>
      </c>
      <c r="U2254" t="s">
        <v>8016</v>
      </c>
      <c r="V2254" t="s">
        <v>8002</v>
      </c>
      <c r="W2254" t="s">
        <v>8010</v>
      </c>
      <c r="X2254" t="s">
        <v>46</v>
      </c>
      <c r="AC2254">
        <f>COUNTIF(C:C,QLKV_gui_ket_qua_ra_soat[[#This Row],[Mã điểm bán]])</f>
        <v>1</v>
      </c>
    </row>
    <row r="2255" spans="1:29" x14ac:dyDescent="0.45">
      <c r="A2255" t="s">
        <v>7995</v>
      </c>
      <c r="B2255">
        <v>48</v>
      </c>
      <c r="C2255" t="s">
        <v>8173</v>
      </c>
      <c r="D2255" t="s">
        <v>8174</v>
      </c>
      <c r="E2255" t="s">
        <v>8175</v>
      </c>
      <c r="F2255" t="s">
        <v>115</v>
      </c>
      <c r="G2255" t="s">
        <v>34</v>
      </c>
      <c r="H2255" t="s">
        <v>685</v>
      </c>
      <c r="I2255" t="s">
        <v>8176</v>
      </c>
      <c r="J2255" t="s">
        <v>38</v>
      </c>
      <c r="K2255" t="s">
        <v>38</v>
      </c>
      <c r="L2255" t="s">
        <v>39</v>
      </c>
      <c r="M2255" t="s">
        <v>38</v>
      </c>
      <c r="N2255" t="s">
        <v>38</v>
      </c>
      <c r="O2255" t="s">
        <v>39</v>
      </c>
      <c r="P2255" t="s">
        <v>38</v>
      </c>
      <c r="Q2255" t="s">
        <v>38</v>
      </c>
      <c r="R2255" t="s">
        <v>39</v>
      </c>
      <c r="S2255" t="s">
        <v>41</v>
      </c>
      <c r="T2255" t="s">
        <v>8060</v>
      </c>
      <c r="U2255" t="s">
        <v>8016</v>
      </c>
      <c r="V2255" t="s">
        <v>8002</v>
      </c>
      <c r="W2255" t="s">
        <v>8010</v>
      </c>
      <c r="X2255" t="s">
        <v>46</v>
      </c>
      <c r="AC2255">
        <f>COUNTIF(C:C,QLKV_gui_ket_qua_ra_soat[[#This Row],[Mã điểm bán]])</f>
        <v>1</v>
      </c>
    </row>
    <row r="2256" spans="1:29" x14ac:dyDescent="0.45">
      <c r="A2256" t="s">
        <v>7995</v>
      </c>
      <c r="B2256">
        <v>49</v>
      </c>
      <c r="C2256" t="s">
        <v>8177</v>
      </c>
      <c r="D2256" t="s">
        <v>8178</v>
      </c>
      <c r="E2256" t="s">
        <v>8179</v>
      </c>
      <c r="F2256" t="s">
        <v>8180</v>
      </c>
      <c r="G2256" t="s">
        <v>34</v>
      </c>
      <c r="H2256" t="s">
        <v>1929</v>
      </c>
      <c r="I2256" t="s">
        <v>4741</v>
      </c>
      <c r="J2256" t="s">
        <v>37</v>
      </c>
      <c r="K2256" t="s">
        <v>37</v>
      </c>
      <c r="L2256" t="s">
        <v>39</v>
      </c>
      <c r="M2256" t="s">
        <v>37</v>
      </c>
      <c r="N2256" t="s">
        <v>37</v>
      </c>
      <c r="O2256" t="s">
        <v>39</v>
      </c>
      <c r="P2256" t="s">
        <v>38</v>
      </c>
      <c r="Q2256" t="s">
        <v>38</v>
      </c>
      <c r="R2256" t="s">
        <v>39</v>
      </c>
      <c r="S2256" t="s">
        <v>41</v>
      </c>
      <c r="T2256" t="s">
        <v>8136</v>
      </c>
      <c r="U2256" t="s">
        <v>8137</v>
      </c>
      <c r="V2256" t="s">
        <v>8002</v>
      </c>
      <c r="W2256" t="s">
        <v>8085</v>
      </c>
      <c r="X2256" t="s">
        <v>46</v>
      </c>
      <c r="AC2256">
        <f>COUNTIF(C:C,QLKV_gui_ket_qua_ra_soat[[#This Row],[Mã điểm bán]])</f>
        <v>1</v>
      </c>
    </row>
    <row r="2257" spans="1:29" x14ac:dyDescent="0.45">
      <c r="A2257" t="s">
        <v>7995</v>
      </c>
      <c r="B2257">
        <v>50</v>
      </c>
      <c r="C2257" t="s">
        <v>8181</v>
      </c>
      <c r="D2257" t="s">
        <v>8182</v>
      </c>
      <c r="E2257" t="s">
        <v>1964</v>
      </c>
      <c r="F2257" t="s">
        <v>2682</v>
      </c>
      <c r="G2257" t="s">
        <v>34</v>
      </c>
      <c r="H2257" t="s">
        <v>685</v>
      </c>
      <c r="I2257" t="s">
        <v>8183</v>
      </c>
      <c r="J2257" t="s">
        <v>38</v>
      </c>
      <c r="K2257" t="s">
        <v>38</v>
      </c>
      <c r="L2257" t="s">
        <v>39</v>
      </c>
      <c r="M2257" t="s">
        <v>38</v>
      </c>
      <c r="N2257" t="s">
        <v>38</v>
      </c>
      <c r="O2257" t="s">
        <v>39</v>
      </c>
      <c r="P2257" t="s">
        <v>38</v>
      </c>
      <c r="Q2257" t="s">
        <v>38</v>
      </c>
      <c r="R2257" t="s">
        <v>40</v>
      </c>
      <c r="S2257" t="s">
        <v>41</v>
      </c>
      <c r="T2257" t="s">
        <v>8060</v>
      </c>
      <c r="U2257" t="s">
        <v>8016</v>
      </c>
      <c r="V2257" t="s">
        <v>8002</v>
      </c>
      <c r="W2257" t="s">
        <v>8010</v>
      </c>
      <c r="X2257" t="s">
        <v>46</v>
      </c>
      <c r="AC2257">
        <f>COUNTIF(C:C,QLKV_gui_ket_qua_ra_soat[[#This Row],[Mã điểm bán]])</f>
        <v>1</v>
      </c>
    </row>
    <row r="2258" spans="1:29" x14ac:dyDescent="0.45">
      <c r="A2258" t="s">
        <v>7995</v>
      </c>
      <c r="B2258">
        <v>51</v>
      </c>
      <c r="C2258" t="s">
        <v>8184</v>
      </c>
      <c r="D2258" t="s">
        <v>8185</v>
      </c>
      <c r="E2258" t="s">
        <v>91</v>
      </c>
      <c r="F2258" t="s">
        <v>3693</v>
      </c>
      <c r="G2258" t="s">
        <v>34</v>
      </c>
      <c r="H2258" t="s">
        <v>54</v>
      </c>
      <c r="I2258" t="s">
        <v>8186</v>
      </c>
      <c r="J2258" t="s">
        <v>56</v>
      </c>
      <c r="K2258" t="s">
        <v>56</v>
      </c>
      <c r="L2258" t="s">
        <v>39</v>
      </c>
      <c r="M2258" t="s">
        <v>56</v>
      </c>
      <c r="N2258" t="s">
        <v>775</v>
      </c>
      <c r="O2258" t="s">
        <v>39</v>
      </c>
      <c r="P2258" t="s">
        <v>38</v>
      </c>
      <c r="Q2258" t="s">
        <v>38</v>
      </c>
      <c r="R2258" t="s">
        <v>40</v>
      </c>
      <c r="S2258" t="s">
        <v>8187</v>
      </c>
      <c r="T2258" t="s">
        <v>8015</v>
      </c>
      <c r="U2258" t="s">
        <v>8016</v>
      </c>
      <c r="V2258" t="s">
        <v>8002</v>
      </c>
      <c r="W2258" t="s">
        <v>8003</v>
      </c>
      <c r="X2258" t="s">
        <v>46</v>
      </c>
      <c r="AC2258">
        <f>COUNTIF(C:C,QLKV_gui_ket_qua_ra_soat[[#This Row],[Mã điểm bán]])</f>
        <v>1</v>
      </c>
    </row>
    <row r="2259" spans="1:29" x14ac:dyDescent="0.45">
      <c r="A2259" t="s">
        <v>7995</v>
      </c>
      <c r="B2259">
        <v>52</v>
      </c>
      <c r="C2259" t="s">
        <v>8188</v>
      </c>
      <c r="D2259" t="s">
        <v>8189</v>
      </c>
      <c r="E2259" t="s">
        <v>157</v>
      </c>
      <c r="F2259" t="s">
        <v>426</v>
      </c>
      <c r="G2259" t="s">
        <v>34</v>
      </c>
      <c r="H2259" t="s">
        <v>1542</v>
      </c>
      <c r="I2259" t="s">
        <v>8190</v>
      </c>
      <c r="J2259" t="s">
        <v>38</v>
      </c>
      <c r="K2259" t="s">
        <v>37</v>
      </c>
      <c r="L2259" t="s">
        <v>39</v>
      </c>
      <c r="M2259" t="s">
        <v>38</v>
      </c>
      <c r="N2259" t="s">
        <v>37</v>
      </c>
      <c r="O2259" t="s">
        <v>39</v>
      </c>
      <c r="P2259" t="s">
        <v>38</v>
      </c>
      <c r="Q2259" t="s">
        <v>37</v>
      </c>
      <c r="R2259" t="s">
        <v>39</v>
      </c>
      <c r="S2259" t="s">
        <v>8191</v>
      </c>
      <c r="T2259" t="s">
        <v>8192</v>
      </c>
      <c r="U2259" t="s">
        <v>8084</v>
      </c>
      <c r="V2259" t="s">
        <v>8002</v>
      </c>
      <c r="W2259" t="s">
        <v>8085</v>
      </c>
      <c r="X2259" t="s">
        <v>46</v>
      </c>
      <c r="AC2259">
        <f>COUNTIF(C:C,QLKV_gui_ket_qua_ra_soat[[#This Row],[Mã điểm bán]])</f>
        <v>1</v>
      </c>
    </row>
    <row r="2260" spans="1:29" x14ac:dyDescent="0.45">
      <c r="A2260" t="s">
        <v>7995</v>
      </c>
      <c r="B2260">
        <v>53</v>
      </c>
      <c r="C2260" t="s">
        <v>8193</v>
      </c>
      <c r="D2260" t="s">
        <v>8194</v>
      </c>
      <c r="E2260" t="s">
        <v>157</v>
      </c>
      <c r="F2260" t="s">
        <v>426</v>
      </c>
      <c r="G2260" t="s">
        <v>34</v>
      </c>
      <c r="H2260" t="s">
        <v>54</v>
      </c>
      <c r="I2260" t="s">
        <v>8195</v>
      </c>
      <c r="J2260" t="s">
        <v>38</v>
      </c>
      <c r="K2260" t="s">
        <v>38</v>
      </c>
      <c r="L2260" t="s">
        <v>40</v>
      </c>
      <c r="M2260" t="s">
        <v>37</v>
      </c>
      <c r="N2260" t="s">
        <v>37</v>
      </c>
      <c r="O2260" t="s">
        <v>39</v>
      </c>
      <c r="P2260" t="s">
        <v>38</v>
      </c>
      <c r="Q2260" t="s">
        <v>38</v>
      </c>
      <c r="R2260" t="s">
        <v>40</v>
      </c>
      <c r="S2260" t="s">
        <v>627</v>
      </c>
      <c r="T2260" t="s">
        <v>8196</v>
      </c>
      <c r="U2260" t="s">
        <v>8001</v>
      </c>
      <c r="V2260" t="s">
        <v>8002</v>
      </c>
      <c r="W2260" t="s">
        <v>8003</v>
      </c>
      <c r="X2260" t="s">
        <v>46</v>
      </c>
      <c r="AC2260">
        <f>COUNTIF(C:C,QLKV_gui_ket_qua_ra_soat[[#This Row],[Mã điểm bán]])</f>
        <v>1</v>
      </c>
    </row>
    <row r="2261" spans="1:29" x14ac:dyDescent="0.45">
      <c r="A2261" t="s">
        <v>7995</v>
      </c>
      <c r="B2261">
        <v>54</v>
      </c>
      <c r="C2261" t="s">
        <v>8197</v>
      </c>
      <c r="D2261" t="s">
        <v>8198</v>
      </c>
      <c r="E2261" t="s">
        <v>788</v>
      </c>
      <c r="F2261" t="s">
        <v>417</v>
      </c>
      <c r="G2261" t="s">
        <v>34</v>
      </c>
      <c r="H2261" t="s">
        <v>917</v>
      </c>
      <c r="I2261" t="s">
        <v>8199</v>
      </c>
      <c r="J2261" t="s">
        <v>38</v>
      </c>
      <c r="K2261" t="s">
        <v>38</v>
      </c>
      <c r="L2261" t="s">
        <v>40</v>
      </c>
      <c r="M2261" t="s">
        <v>37</v>
      </c>
      <c r="N2261" t="s">
        <v>37</v>
      </c>
      <c r="O2261" t="s">
        <v>39</v>
      </c>
      <c r="P2261" t="s">
        <v>38</v>
      </c>
      <c r="Q2261" t="s">
        <v>38</v>
      </c>
      <c r="R2261" t="s">
        <v>40</v>
      </c>
      <c r="S2261" t="s">
        <v>627</v>
      </c>
      <c r="T2261" t="s">
        <v>8196</v>
      </c>
      <c r="U2261" t="s">
        <v>8001</v>
      </c>
      <c r="V2261" t="s">
        <v>8002</v>
      </c>
      <c r="W2261" t="s">
        <v>8003</v>
      </c>
      <c r="X2261" t="s">
        <v>46</v>
      </c>
      <c r="AC2261">
        <f>COUNTIF(C:C,QLKV_gui_ket_qua_ra_soat[[#This Row],[Mã điểm bán]])</f>
        <v>1</v>
      </c>
    </row>
    <row r="2262" spans="1:29" x14ac:dyDescent="0.45">
      <c r="A2262" t="s">
        <v>7995</v>
      </c>
      <c r="B2262">
        <v>55</v>
      </c>
      <c r="C2262" t="s">
        <v>8200</v>
      </c>
      <c r="D2262" t="s">
        <v>8201</v>
      </c>
      <c r="E2262" t="s">
        <v>98</v>
      </c>
      <c r="F2262" t="s">
        <v>292</v>
      </c>
      <c r="G2262" t="s">
        <v>34</v>
      </c>
      <c r="H2262" t="s">
        <v>319</v>
      </c>
      <c r="I2262" t="s">
        <v>8202</v>
      </c>
      <c r="J2262" t="s">
        <v>38</v>
      </c>
      <c r="K2262" t="s">
        <v>38</v>
      </c>
      <c r="L2262" t="s">
        <v>40</v>
      </c>
      <c r="M2262" t="s">
        <v>38</v>
      </c>
      <c r="N2262" t="s">
        <v>775</v>
      </c>
      <c r="O2262" t="s">
        <v>39</v>
      </c>
      <c r="P2262" t="s">
        <v>38</v>
      </c>
      <c r="Q2262" t="s">
        <v>38</v>
      </c>
      <c r="R2262" t="s">
        <v>40</v>
      </c>
      <c r="S2262" t="s">
        <v>8203</v>
      </c>
      <c r="T2262" t="s">
        <v>8008</v>
      </c>
      <c r="U2262" t="s">
        <v>8009</v>
      </c>
      <c r="V2262" t="s">
        <v>8002</v>
      </c>
      <c r="W2262" t="s">
        <v>8010</v>
      </c>
      <c r="X2262" t="s">
        <v>46</v>
      </c>
      <c r="AC2262">
        <f>COUNTIF(C:C,QLKV_gui_ket_qua_ra_soat[[#This Row],[Mã điểm bán]])</f>
        <v>1</v>
      </c>
    </row>
    <row r="2263" spans="1:29" x14ac:dyDescent="0.45">
      <c r="A2263" t="s">
        <v>7995</v>
      </c>
      <c r="B2263">
        <v>56</v>
      </c>
      <c r="C2263" t="s">
        <v>8204</v>
      </c>
      <c r="D2263" t="s">
        <v>8205</v>
      </c>
      <c r="E2263" t="s">
        <v>128</v>
      </c>
      <c r="F2263" t="s">
        <v>2204</v>
      </c>
      <c r="G2263" t="s">
        <v>34</v>
      </c>
      <c r="H2263" t="s">
        <v>1746</v>
      </c>
      <c r="I2263" t="s">
        <v>8206</v>
      </c>
      <c r="J2263" t="s">
        <v>38</v>
      </c>
      <c r="K2263" t="s">
        <v>38</v>
      </c>
      <c r="L2263" t="s">
        <v>40</v>
      </c>
      <c r="M2263" t="s">
        <v>37</v>
      </c>
      <c r="N2263" t="s">
        <v>37</v>
      </c>
      <c r="O2263" t="s">
        <v>39</v>
      </c>
      <c r="P2263" t="s">
        <v>38</v>
      </c>
      <c r="Q2263" t="s">
        <v>38</v>
      </c>
      <c r="R2263" t="s">
        <v>40</v>
      </c>
      <c r="S2263" t="s">
        <v>627</v>
      </c>
      <c r="T2263" t="s">
        <v>8196</v>
      </c>
      <c r="U2263" t="s">
        <v>8001</v>
      </c>
      <c r="V2263" t="s">
        <v>8002</v>
      </c>
      <c r="W2263" t="s">
        <v>8003</v>
      </c>
      <c r="X2263" t="s">
        <v>46</v>
      </c>
      <c r="AC2263">
        <f>COUNTIF(C:C,QLKV_gui_ket_qua_ra_soat[[#This Row],[Mã điểm bán]])</f>
        <v>1</v>
      </c>
    </row>
    <row r="2264" spans="1:29" x14ac:dyDescent="0.45">
      <c r="A2264" t="s">
        <v>7995</v>
      </c>
      <c r="B2264">
        <v>57</v>
      </c>
      <c r="C2264" t="s">
        <v>8207</v>
      </c>
      <c r="D2264" t="s">
        <v>8208</v>
      </c>
      <c r="E2264" t="s">
        <v>113</v>
      </c>
      <c r="F2264" t="s">
        <v>426</v>
      </c>
      <c r="G2264" t="s">
        <v>34</v>
      </c>
      <c r="H2264" t="s">
        <v>54</v>
      </c>
      <c r="I2264" t="s">
        <v>8209</v>
      </c>
      <c r="J2264" t="s">
        <v>38</v>
      </c>
      <c r="K2264" t="s">
        <v>38</v>
      </c>
      <c r="L2264" t="s">
        <v>40</v>
      </c>
      <c r="M2264" t="s">
        <v>37</v>
      </c>
      <c r="N2264" t="s">
        <v>37</v>
      </c>
      <c r="O2264" t="s">
        <v>39</v>
      </c>
      <c r="P2264" t="s">
        <v>38</v>
      </c>
      <c r="Q2264" t="s">
        <v>38</v>
      </c>
      <c r="R2264" t="s">
        <v>40</v>
      </c>
      <c r="S2264" t="s">
        <v>41</v>
      </c>
      <c r="T2264" t="s">
        <v>8196</v>
      </c>
      <c r="U2264" t="s">
        <v>8001</v>
      </c>
      <c r="V2264" t="s">
        <v>8002</v>
      </c>
      <c r="W2264" t="s">
        <v>8003</v>
      </c>
      <c r="X2264" t="s">
        <v>46</v>
      </c>
      <c r="AC2264">
        <f>COUNTIF(C:C,QLKV_gui_ket_qua_ra_soat[[#This Row],[Mã điểm bán]])</f>
        <v>1</v>
      </c>
    </row>
    <row r="2265" spans="1:29" x14ac:dyDescent="0.45">
      <c r="A2265" t="s">
        <v>7995</v>
      </c>
      <c r="B2265">
        <v>58</v>
      </c>
      <c r="C2265" t="s">
        <v>8210</v>
      </c>
      <c r="D2265" t="s">
        <v>8211</v>
      </c>
      <c r="E2265" t="s">
        <v>1680</v>
      </c>
      <c r="F2265" t="s">
        <v>426</v>
      </c>
      <c r="G2265" t="s">
        <v>34</v>
      </c>
      <c r="H2265" t="s">
        <v>1731</v>
      </c>
      <c r="I2265" t="s">
        <v>8212</v>
      </c>
      <c r="J2265" t="s">
        <v>38</v>
      </c>
      <c r="K2265" t="s">
        <v>38</v>
      </c>
      <c r="L2265" t="s">
        <v>40</v>
      </c>
      <c r="M2265" t="s">
        <v>37</v>
      </c>
      <c r="N2265" t="s">
        <v>38</v>
      </c>
      <c r="O2265" t="s">
        <v>40</v>
      </c>
      <c r="P2265" t="s">
        <v>38</v>
      </c>
      <c r="Q2265" t="s">
        <v>38</v>
      </c>
      <c r="R2265" t="s">
        <v>40</v>
      </c>
      <c r="S2265" t="s">
        <v>8213</v>
      </c>
      <c r="T2265" t="s">
        <v>8028</v>
      </c>
      <c r="U2265" t="s">
        <v>8029</v>
      </c>
      <c r="V2265" t="s">
        <v>8002</v>
      </c>
      <c r="W2265" t="s">
        <v>8030</v>
      </c>
      <c r="AC2265">
        <f>COUNTIF(C:C,QLKV_gui_ket_qua_ra_soat[[#This Row],[Mã điểm bán]])</f>
        <v>1</v>
      </c>
    </row>
    <row r="2266" spans="1:29" x14ac:dyDescent="0.45">
      <c r="A2266" t="s">
        <v>7995</v>
      </c>
      <c r="B2266">
        <v>59</v>
      </c>
      <c r="C2266" t="s">
        <v>8214</v>
      </c>
      <c r="D2266" t="s">
        <v>8215</v>
      </c>
      <c r="E2266" t="s">
        <v>746</v>
      </c>
      <c r="F2266" t="s">
        <v>53</v>
      </c>
      <c r="G2266" t="s">
        <v>34</v>
      </c>
      <c r="H2266" t="s">
        <v>54</v>
      </c>
      <c r="I2266" t="s">
        <v>8216</v>
      </c>
      <c r="J2266" t="s">
        <v>38</v>
      </c>
      <c r="K2266" t="s">
        <v>38</v>
      </c>
      <c r="L2266" t="s">
        <v>40</v>
      </c>
      <c r="M2266" t="s">
        <v>38</v>
      </c>
      <c r="N2266" t="s">
        <v>38</v>
      </c>
      <c r="O2266" t="s">
        <v>39</v>
      </c>
      <c r="P2266" t="s">
        <v>38</v>
      </c>
      <c r="Q2266" t="s">
        <v>38</v>
      </c>
      <c r="R2266" t="s">
        <v>40</v>
      </c>
      <c r="S2266" t="s">
        <v>41</v>
      </c>
      <c r="T2266" t="s">
        <v>8038</v>
      </c>
      <c r="U2266" t="s">
        <v>8029</v>
      </c>
      <c r="V2266" t="s">
        <v>8002</v>
      </c>
      <c r="W2266" t="s">
        <v>8030</v>
      </c>
      <c r="AC2266">
        <f>COUNTIF(C:C,QLKV_gui_ket_qua_ra_soat[[#This Row],[Mã điểm bán]])</f>
        <v>1</v>
      </c>
    </row>
    <row r="2267" spans="1:29" x14ac:dyDescent="0.45">
      <c r="A2267" t="s">
        <v>7995</v>
      </c>
      <c r="B2267">
        <v>60</v>
      </c>
      <c r="C2267" t="s">
        <v>8217</v>
      </c>
      <c r="D2267" t="s">
        <v>8218</v>
      </c>
      <c r="E2267" t="s">
        <v>8219</v>
      </c>
      <c r="F2267" t="s">
        <v>8220</v>
      </c>
      <c r="G2267" t="s">
        <v>150</v>
      </c>
      <c r="H2267" t="s">
        <v>319</v>
      </c>
      <c r="I2267" t="s">
        <v>8221</v>
      </c>
      <c r="J2267" t="s">
        <v>56</v>
      </c>
      <c r="K2267" t="s">
        <v>775</v>
      </c>
      <c r="L2267" t="s">
        <v>39</v>
      </c>
      <c r="M2267" t="s">
        <v>775</v>
      </c>
      <c r="N2267" t="s">
        <v>775</v>
      </c>
      <c r="O2267" t="s">
        <v>39</v>
      </c>
      <c r="P2267" t="s">
        <v>38</v>
      </c>
      <c r="Q2267" t="s">
        <v>38</v>
      </c>
      <c r="R2267" t="s">
        <v>39</v>
      </c>
      <c r="S2267" t="s">
        <v>8222</v>
      </c>
      <c r="T2267" t="s">
        <v>8105</v>
      </c>
      <c r="U2267" t="s">
        <v>8016</v>
      </c>
      <c r="V2267" t="s">
        <v>8002</v>
      </c>
      <c r="W2267" t="s">
        <v>8003</v>
      </c>
      <c r="X2267" t="s">
        <v>46</v>
      </c>
      <c r="AC2267">
        <f>COUNTIF(C:C,QLKV_gui_ket_qua_ra_soat[[#This Row],[Mã điểm bán]])</f>
        <v>1</v>
      </c>
    </row>
    <row r="2268" spans="1:29" x14ac:dyDescent="0.45">
      <c r="A2268" t="s">
        <v>7995</v>
      </c>
      <c r="B2268">
        <v>61</v>
      </c>
      <c r="C2268" t="s">
        <v>8223</v>
      </c>
      <c r="D2268" t="s">
        <v>8224</v>
      </c>
      <c r="E2268" t="s">
        <v>211</v>
      </c>
      <c r="F2268" t="s">
        <v>115</v>
      </c>
      <c r="G2268" t="s">
        <v>34</v>
      </c>
      <c r="H2268" t="s">
        <v>863</v>
      </c>
      <c r="I2268" t="s">
        <v>8225</v>
      </c>
      <c r="J2268" t="s">
        <v>38</v>
      </c>
      <c r="K2268" t="s">
        <v>38</v>
      </c>
      <c r="L2268" t="s">
        <v>40</v>
      </c>
      <c r="M2268" t="s">
        <v>37</v>
      </c>
      <c r="N2268" t="s">
        <v>37</v>
      </c>
      <c r="O2268" t="s">
        <v>39</v>
      </c>
      <c r="P2268" t="s">
        <v>38</v>
      </c>
      <c r="Q2268" t="s">
        <v>38</v>
      </c>
      <c r="R2268" t="s">
        <v>40</v>
      </c>
      <c r="S2268" t="s">
        <v>41</v>
      </c>
      <c r="T2268" t="s">
        <v>8136</v>
      </c>
      <c r="U2268" t="s">
        <v>8137</v>
      </c>
      <c r="V2268" t="s">
        <v>8002</v>
      </c>
      <c r="W2268" t="s">
        <v>8085</v>
      </c>
      <c r="X2268" t="s">
        <v>46</v>
      </c>
      <c r="AC2268">
        <f>COUNTIF(C:C,QLKV_gui_ket_qua_ra_soat[[#This Row],[Mã điểm bán]])</f>
        <v>1</v>
      </c>
    </row>
    <row r="2269" spans="1:29" x14ac:dyDescent="0.45">
      <c r="A2269" t="s">
        <v>7995</v>
      </c>
      <c r="B2269">
        <v>62</v>
      </c>
      <c r="C2269" t="s">
        <v>8226</v>
      </c>
      <c r="D2269" t="s">
        <v>8227</v>
      </c>
      <c r="E2269" t="s">
        <v>176</v>
      </c>
      <c r="F2269" t="s">
        <v>53</v>
      </c>
      <c r="G2269" t="s">
        <v>34</v>
      </c>
      <c r="H2269" t="s">
        <v>2294</v>
      </c>
      <c r="I2269" t="s">
        <v>8228</v>
      </c>
      <c r="J2269" t="s">
        <v>37</v>
      </c>
      <c r="K2269" t="s">
        <v>37</v>
      </c>
      <c r="L2269" t="s">
        <v>39</v>
      </c>
      <c r="M2269" t="s">
        <v>38</v>
      </c>
      <c r="N2269" t="s">
        <v>37</v>
      </c>
      <c r="O2269" t="s">
        <v>39</v>
      </c>
      <c r="P2269" t="s">
        <v>38</v>
      </c>
      <c r="Q2269" t="s">
        <v>38</v>
      </c>
      <c r="R2269" t="s">
        <v>39</v>
      </c>
      <c r="S2269" t="s">
        <v>8191</v>
      </c>
      <c r="T2269" t="s">
        <v>8192</v>
      </c>
      <c r="U2269" t="s">
        <v>8084</v>
      </c>
      <c r="V2269" t="s">
        <v>8002</v>
      </c>
      <c r="W2269" t="s">
        <v>8085</v>
      </c>
      <c r="X2269" t="s">
        <v>46</v>
      </c>
      <c r="AC2269">
        <f>COUNTIF(C:C,QLKV_gui_ket_qua_ra_soat[[#This Row],[Mã điểm bán]])</f>
        <v>1</v>
      </c>
    </row>
    <row r="2270" spans="1:29" x14ac:dyDescent="0.45">
      <c r="A2270" t="s">
        <v>7995</v>
      </c>
      <c r="B2270">
        <v>63</v>
      </c>
      <c r="C2270" t="s">
        <v>8229</v>
      </c>
      <c r="D2270" t="s">
        <v>8230</v>
      </c>
      <c r="E2270" t="s">
        <v>416</v>
      </c>
      <c r="F2270" t="s">
        <v>166</v>
      </c>
      <c r="G2270" t="s">
        <v>34</v>
      </c>
      <c r="H2270" t="s">
        <v>1542</v>
      </c>
      <c r="I2270" t="s">
        <v>8231</v>
      </c>
      <c r="J2270" t="s">
        <v>38</v>
      </c>
      <c r="K2270" t="s">
        <v>37</v>
      </c>
      <c r="L2270" t="s">
        <v>39</v>
      </c>
      <c r="M2270" t="s">
        <v>38</v>
      </c>
      <c r="N2270" t="s">
        <v>37</v>
      </c>
      <c r="O2270" t="s">
        <v>39</v>
      </c>
      <c r="P2270" t="s">
        <v>38</v>
      </c>
      <c r="Q2270" t="s">
        <v>38</v>
      </c>
      <c r="R2270" t="s">
        <v>39</v>
      </c>
      <c r="S2270" t="s">
        <v>8191</v>
      </c>
      <c r="T2270" t="s">
        <v>8192</v>
      </c>
      <c r="U2270" t="s">
        <v>8084</v>
      </c>
      <c r="V2270" t="s">
        <v>8002</v>
      </c>
      <c r="W2270" t="s">
        <v>8085</v>
      </c>
      <c r="Z2270" t="s">
        <v>46</v>
      </c>
      <c r="AA2270" t="s">
        <v>8192</v>
      </c>
      <c r="AC2270">
        <f>COUNTIF(C:C,QLKV_gui_ket_qua_ra_soat[[#This Row],[Mã điểm bán]])</f>
        <v>1</v>
      </c>
    </row>
    <row r="2271" spans="1:29" x14ac:dyDescent="0.45">
      <c r="A2271" t="s">
        <v>7995</v>
      </c>
      <c r="B2271">
        <v>64</v>
      </c>
      <c r="C2271" t="s">
        <v>8232</v>
      </c>
      <c r="D2271" t="s">
        <v>8233</v>
      </c>
      <c r="E2271" t="s">
        <v>148</v>
      </c>
      <c r="F2271" t="s">
        <v>166</v>
      </c>
      <c r="G2271" t="s">
        <v>34</v>
      </c>
      <c r="H2271" t="s">
        <v>550</v>
      </c>
      <c r="I2271" t="s">
        <v>8234</v>
      </c>
      <c r="J2271" t="s">
        <v>38</v>
      </c>
      <c r="K2271" t="s">
        <v>37</v>
      </c>
      <c r="L2271" t="s">
        <v>40</v>
      </c>
      <c r="M2271" t="s">
        <v>38</v>
      </c>
      <c r="N2271" t="s">
        <v>37</v>
      </c>
      <c r="O2271" t="s">
        <v>39</v>
      </c>
      <c r="P2271" t="s">
        <v>38</v>
      </c>
      <c r="Q2271" t="s">
        <v>38</v>
      </c>
      <c r="R2271" t="s">
        <v>40</v>
      </c>
      <c r="S2271" t="s">
        <v>8191</v>
      </c>
      <c r="T2271" t="s">
        <v>8192</v>
      </c>
      <c r="U2271" t="s">
        <v>8084</v>
      </c>
      <c r="V2271" t="s">
        <v>8002</v>
      </c>
      <c r="W2271" t="s">
        <v>8085</v>
      </c>
      <c r="X2271" t="s">
        <v>46</v>
      </c>
      <c r="AC2271">
        <f>COUNTIF(C:C,QLKV_gui_ket_qua_ra_soat[[#This Row],[Mã điểm bán]])</f>
        <v>1</v>
      </c>
    </row>
    <row r="2272" spans="1:29" x14ac:dyDescent="0.45">
      <c r="A2272" t="s">
        <v>7995</v>
      </c>
      <c r="B2272">
        <v>65</v>
      </c>
      <c r="C2272" t="s">
        <v>8235</v>
      </c>
      <c r="D2272" t="s">
        <v>8236</v>
      </c>
      <c r="E2272" t="s">
        <v>157</v>
      </c>
      <c r="F2272" t="s">
        <v>53</v>
      </c>
      <c r="G2272" t="s">
        <v>34</v>
      </c>
      <c r="H2272" t="s">
        <v>54</v>
      </c>
      <c r="I2272" t="s">
        <v>8237</v>
      </c>
      <c r="J2272" t="s">
        <v>56</v>
      </c>
      <c r="K2272" t="s">
        <v>56</v>
      </c>
      <c r="L2272" t="s">
        <v>39</v>
      </c>
      <c r="M2272" t="s">
        <v>56</v>
      </c>
      <c r="N2272" t="s">
        <v>56</v>
      </c>
      <c r="O2272" t="s">
        <v>39</v>
      </c>
      <c r="P2272" t="s">
        <v>56</v>
      </c>
      <c r="Q2272" t="s">
        <v>56</v>
      </c>
      <c r="R2272" t="s">
        <v>40</v>
      </c>
      <c r="S2272" t="s">
        <v>41</v>
      </c>
      <c r="T2272" t="s">
        <v>8238</v>
      </c>
      <c r="U2272" t="s">
        <v>8239</v>
      </c>
      <c r="V2272" t="s">
        <v>8002</v>
      </c>
      <c r="W2272" t="s">
        <v>8010</v>
      </c>
      <c r="X2272" t="s">
        <v>46</v>
      </c>
      <c r="AC2272">
        <f>COUNTIF(C:C,QLKV_gui_ket_qua_ra_soat[[#This Row],[Mã điểm bán]])</f>
        <v>1</v>
      </c>
    </row>
    <row r="2273" spans="1:29" x14ac:dyDescent="0.45">
      <c r="A2273" t="s">
        <v>7995</v>
      </c>
      <c r="B2273">
        <v>66</v>
      </c>
      <c r="C2273" t="s">
        <v>8240</v>
      </c>
      <c r="D2273" t="s">
        <v>8241</v>
      </c>
      <c r="E2273" t="s">
        <v>157</v>
      </c>
      <c r="F2273" t="s">
        <v>53</v>
      </c>
      <c r="G2273" t="s">
        <v>34</v>
      </c>
      <c r="H2273" t="s">
        <v>171</v>
      </c>
      <c r="I2273" t="s">
        <v>8242</v>
      </c>
      <c r="J2273" t="s">
        <v>38</v>
      </c>
      <c r="K2273" t="s">
        <v>38</v>
      </c>
      <c r="L2273" t="s">
        <v>40</v>
      </c>
      <c r="M2273" t="s">
        <v>37</v>
      </c>
      <c r="N2273" t="s">
        <v>37</v>
      </c>
      <c r="O2273" t="s">
        <v>39</v>
      </c>
      <c r="P2273" t="s">
        <v>38</v>
      </c>
      <c r="Q2273" t="s">
        <v>38</v>
      </c>
      <c r="R2273" t="s">
        <v>40</v>
      </c>
      <c r="S2273" t="s">
        <v>627</v>
      </c>
      <c r="T2273" t="s">
        <v>8196</v>
      </c>
      <c r="U2273" t="s">
        <v>8001</v>
      </c>
      <c r="V2273" t="s">
        <v>8002</v>
      </c>
      <c r="W2273" t="s">
        <v>8003</v>
      </c>
      <c r="X2273" t="s">
        <v>46</v>
      </c>
      <c r="AC2273">
        <f>COUNTIF(C:C,QLKV_gui_ket_qua_ra_soat[[#This Row],[Mã điểm bán]])</f>
        <v>1</v>
      </c>
    </row>
    <row r="2274" spans="1:29" x14ac:dyDescent="0.45">
      <c r="A2274" t="s">
        <v>7995</v>
      </c>
      <c r="B2274">
        <v>67</v>
      </c>
      <c r="C2274" t="s">
        <v>8243</v>
      </c>
      <c r="D2274" t="s">
        <v>8244</v>
      </c>
      <c r="E2274" t="s">
        <v>416</v>
      </c>
      <c r="F2274" t="s">
        <v>115</v>
      </c>
      <c r="G2274" t="s">
        <v>34</v>
      </c>
      <c r="H2274" t="s">
        <v>2294</v>
      </c>
      <c r="I2274" t="s">
        <v>8245</v>
      </c>
      <c r="J2274" t="s">
        <v>38</v>
      </c>
      <c r="K2274" t="s">
        <v>37</v>
      </c>
      <c r="L2274" t="s">
        <v>39</v>
      </c>
      <c r="M2274" t="s">
        <v>37</v>
      </c>
      <c r="N2274" t="s">
        <v>37</v>
      </c>
      <c r="O2274" t="s">
        <v>39</v>
      </c>
      <c r="P2274" t="s">
        <v>38</v>
      </c>
      <c r="Q2274" t="s">
        <v>38</v>
      </c>
      <c r="R2274" t="s">
        <v>39</v>
      </c>
      <c r="S2274" t="s">
        <v>8191</v>
      </c>
      <c r="T2274" t="s">
        <v>8192</v>
      </c>
      <c r="U2274" t="s">
        <v>8084</v>
      </c>
      <c r="V2274" t="s">
        <v>8002</v>
      </c>
      <c r="W2274" t="s">
        <v>8085</v>
      </c>
      <c r="X2274" t="s">
        <v>46</v>
      </c>
      <c r="AC2274">
        <f>COUNTIF(C:C,QLKV_gui_ket_qua_ra_soat[[#This Row],[Mã điểm bán]])</f>
        <v>1</v>
      </c>
    </row>
    <row r="2275" spans="1:29" x14ac:dyDescent="0.45">
      <c r="A2275" t="s">
        <v>7995</v>
      </c>
      <c r="B2275">
        <v>68</v>
      </c>
      <c r="C2275" t="s">
        <v>8246</v>
      </c>
      <c r="D2275" t="s">
        <v>8247</v>
      </c>
      <c r="E2275" t="s">
        <v>1360</v>
      </c>
      <c r="F2275" t="s">
        <v>1861</v>
      </c>
      <c r="G2275" t="s">
        <v>34</v>
      </c>
      <c r="H2275" t="s">
        <v>4182</v>
      </c>
      <c r="I2275" t="s">
        <v>8248</v>
      </c>
      <c r="J2275" t="s">
        <v>38</v>
      </c>
      <c r="K2275" t="s">
        <v>38</v>
      </c>
      <c r="L2275" t="s">
        <v>40</v>
      </c>
      <c r="M2275" t="s">
        <v>37</v>
      </c>
      <c r="N2275" t="s">
        <v>37</v>
      </c>
      <c r="O2275" t="s">
        <v>39</v>
      </c>
      <c r="P2275" t="s">
        <v>38</v>
      </c>
      <c r="Q2275" t="s">
        <v>38</v>
      </c>
      <c r="R2275" t="s">
        <v>40</v>
      </c>
      <c r="S2275" t="s">
        <v>627</v>
      </c>
      <c r="T2275" t="s">
        <v>8196</v>
      </c>
      <c r="U2275" t="s">
        <v>8001</v>
      </c>
      <c r="V2275" t="s">
        <v>8002</v>
      </c>
      <c r="W2275" t="s">
        <v>8003</v>
      </c>
      <c r="X2275" t="s">
        <v>46</v>
      </c>
      <c r="AC2275">
        <f>COUNTIF(C:C,QLKV_gui_ket_qua_ra_soat[[#This Row],[Mã điểm bán]])</f>
        <v>1</v>
      </c>
    </row>
    <row r="2276" spans="1:29" x14ac:dyDescent="0.45">
      <c r="A2276" t="s">
        <v>7995</v>
      </c>
      <c r="B2276">
        <v>69</v>
      </c>
      <c r="C2276" t="s">
        <v>8249</v>
      </c>
      <c r="D2276" t="s">
        <v>8250</v>
      </c>
      <c r="E2276" t="s">
        <v>788</v>
      </c>
      <c r="F2276" t="s">
        <v>426</v>
      </c>
      <c r="G2276" t="s">
        <v>34</v>
      </c>
      <c r="H2276" t="s">
        <v>1542</v>
      </c>
      <c r="I2276" t="s">
        <v>8251</v>
      </c>
      <c r="J2276" t="s">
        <v>38</v>
      </c>
      <c r="K2276" t="s">
        <v>38</v>
      </c>
      <c r="L2276" t="s">
        <v>40</v>
      </c>
      <c r="M2276" t="s">
        <v>37</v>
      </c>
      <c r="N2276" t="s">
        <v>37</v>
      </c>
      <c r="O2276" t="s">
        <v>39</v>
      </c>
      <c r="P2276" t="s">
        <v>38</v>
      </c>
      <c r="Q2276" t="s">
        <v>38</v>
      </c>
      <c r="R2276" t="s">
        <v>40</v>
      </c>
      <c r="S2276" t="s">
        <v>41</v>
      </c>
      <c r="T2276" t="s">
        <v>8196</v>
      </c>
      <c r="U2276" t="s">
        <v>8001</v>
      </c>
      <c r="V2276" t="s">
        <v>8002</v>
      </c>
      <c r="W2276" t="s">
        <v>8003</v>
      </c>
      <c r="X2276" t="s">
        <v>46</v>
      </c>
      <c r="AC2276">
        <f>COUNTIF(C:C,QLKV_gui_ket_qua_ra_soat[[#This Row],[Mã điểm bán]])</f>
        <v>1</v>
      </c>
    </row>
    <row r="2277" spans="1:29" x14ac:dyDescent="0.45">
      <c r="A2277" t="s">
        <v>7995</v>
      </c>
      <c r="B2277">
        <v>70</v>
      </c>
      <c r="C2277" t="s">
        <v>8252</v>
      </c>
      <c r="D2277" t="s">
        <v>8253</v>
      </c>
      <c r="E2277" t="s">
        <v>162</v>
      </c>
      <c r="F2277" t="s">
        <v>8254</v>
      </c>
      <c r="G2277" t="s">
        <v>150</v>
      </c>
      <c r="H2277" t="s">
        <v>54</v>
      </c>
      <c r="I2277" t="s">
        <v>8255</v>
      </c>
      <c r="J2277" t="s">
        <v>37</v>
      </c>
      <c r="K2277" t="s">
        <v>37</v>
      </c>
      <c r="L2277" t="s">
        <v>39</v>
      </c>
      <c r="M2277" t="s">
        <v>56</v>
      </c>
      <c r="N2277" t="s">
        <v>56</v>
      </c>
      <c r="O2277" t="s">
        <v>39</v>
      </c>
      <c r="P2277" t="s">
        <v>38</v>
      </c>
      <c r="Q2277" t="s">
        <v>38</v>
      </c>
      <c r="R2277" t="s">
        <v>39</v>
      </c>
      <c r="S2277" t="s">
        <v>41</v>
      </c>
      <c r="T2277" t="s">
        <v>8105</v>
      </c>
      <c r="U2277" t="s">
        <v>8016</v>
      </c>
      <c r="V2277" t="s">
        <v>8002</v>
      </c>
      <c r="W2277" t="s">
        <v>8003</v>
      </c>
      <c r="X2277" t="s">
        <v>46</v>
      </c>
      <c r="AC2277">
        <f>COUNTIF(C:C,QLKV_gui_ket_qua_ra_soat[[#This Row],[Mã điểm bán]])</f>
        <v>1</v>
      </c>
    </row>
    <row r="2278" spans="1:29" x14ac:dyDescent="0.45">
      <c r="A2278" t="s">
        <v>7995</v>
      </c>
      <c r="B2278">
        <v>71</v>
      </c>
      <c r="C2278" t="s">
        <v>8256</v>
      </c>
      <c r="D2278" t="s">
        <v>8257</v>
      </c>
      <c r="E2278" t="s">
        <v>176</v>
      </c>
      <c r="F2278" t="s">
        <v>53</v>
      </c>
      <c r="G2278" t="s">
        <v>34</v>
      </c>
      <c r="H2278" t="s">
        <v>402</v>
      </c>
      <c r="I2278" t="s">
        <v>8258</v>
      </c>
      <c r="J2278" t="s">
        <v>38</v>
      </c>
      <c r="K2278" t="s">
        <v>38</v>
      </c>
      <c r="L2278" t="s">
        <v>40</v>
      </c>
      <c r="M2278" t="s">
        <v>38</v>
      </c>
      <c r="N2278" t="s">
        <v>775</v>
      </c>
      <c r="O2278" t="s">
        <v>39</v>
      </c>
      <c r="P2278" t="s">
        <v>38</v>
      </c>
      <c r="Q2278" t="s">
        <v>38</v>
      </c>
      <c r="R2278" t="s">
        <v>40</v>
      </c>
      <c r="S2278" t="s">
        <v>8259</v>
      </c>
      <c r="T2278" t="s">
        <v>8008</v>
      </c>
      <c r="U2278" t="s">
        <v>8009</v>
      </c>
      <c r="V2278" t="s">
        <v>8002</v>
      </c>
      <c r="W2278" t="s">
        <v>8010</v>
      </c>
      <c r="X2278" t="s">
        <v>46</v>
      </c>
      <c r="AC2278">
        <f>COUNTIF(C:C,QLKV_gui_ket_qua_ra_soat[[#This Row],[Mã điểm bán]])</f>
        <v>1</v>
      </c>
    </row>
    <row r="2279" spans="1:29" x14ac:dyDescent="0.45">
      <c r="A2279" t="s">
        <v>7995</v>
      </c>
      <c r="B2279">
        <v>72</v>
      </c>
      <c r="C2279" t="s">
        <v>8260</v>
      </c>
      <c r="D2279" t="s">
        <v>8261</v>
      </c>
      <c r="E2279" t="s">
        <v>8262</v>
      </c>
      <c r="F2279" t="s">
        <v>8263</v>
      </c>
      <c r="G2279" t="s">
        <v>150</v>
      </c>
      <c r="H2279" t="s">
        <v>685</v>
      </c>
      <c r="I2279" t="s">
        <v>8264</v>
      </c>
      <c r="J2279" t="s">
        <v>56</v>
      </c>
      <c r="K2279" t="s">
        <v>56</v>
      </c>
      <c r="L2279" t="s">
        <v>39</v>
      </c>
      <c r="M2279" t="s">
        <v>37</v>
      </c>
      <c r="N2279" t="s">
        <v>37</v>
      </c>
      <c r="O2279" t="s">
        <v>39</v>
      </c>
      <c r="P2279" t="s">
        <v>38</v>
      </c>
      <c r="Q2279" t="s">
        <v>38</v>
      </c>
      <c r="R2279" t="s">
        <v>39</v>
      </c>
      <c r="S2279" t="s">
        <v>8265</v>
      </c>
      <c r="T2279" t="s">
        <v>8105</v>
      </c>
      <c r="U2279" t="s">
        <v>8016</v>
      </c>
      <c r="V2279" t="s">
        <v>8002</v>
      </c>
      <c r="W2279" t="s">
        <v>8003</v>
      </c>
      <c r="X2279" t="s">
        <v>46</v>
      </c>
      <c r="AC2279">
        <f>COUNTIF(C:C,QLKV_gui_ket_qua_ra_soat[[#This Row],[Mã điểm bán]])</f>
        <v>1</v>
      </c>
    </row>
    <row r="2280" spans="1:29" x14ac:dyDescent="0.45">
      <c r="A2280" t="s">
        <v>7995</v>
      </c>
      <c r="B2280">
        <v>73</v>
      </c>
      <c r="C2280" t="s">
        <v>8266</v>
      </c>
      <c r="D2280" t="s">
        <v>8267</v>
      </c>
      <c r="E2280" t="s">
        <v>91</v>
      </c>
      <c r="F2280" t="s">
        <v>581</v>
      </c>
      <c r="G2280" t="s">
        <v>34</v>
      </c>
      <c r="H2280" t="s">
        <v>214</v>
      </c>
      <c r="I2280" t="s">
        <v>8268</v>
      </c>
      <c r="J2280" t="s">
        <v>38</v>
      </c>
      <c r="K2280" t="s">
        <v>38</v>
      </c>
      <c r="L2280" t="s">
        <v>40</v>
      </c>
      <c r="M2280" t="s">
        <v>37</v>
      </c>
      <c r="N2280" t="s">
        <v>37</v>
      </c>
      <c r="O2280" t="s">
        <v>39</v>
      </c>
      <c r="P2280" t="s">
        <v>38</v>
      </c>
      <c r="Q2280" t="s">
        <v>38</v>
      </c>
      <c r="R2280" t="s">
        <v>40</v>
      </c>
      <c r="S2280" t="s">
        <v>627</v>
      </c>
      <c r="T2280" t="s">
        <v>8196</v>
      </c>
      <c r="U2280" t="s">
        <v>8001</v>
      </c>
      <c r="V2280" t="s">
        <v>8002</v>
      </c>
      <c r="W2280" t="s">
        <v>8003</v>
      </c>
      <c r="X2280" t="s">
        <v>46</v>
      </c>
      <c r="AC2280">
        <f>COUNTIF(C:C,QLKV_gui_ket_qua_ra_soat[[#This Row],[Mã điểm bán]])</f>
        <v>1</v>
      </c>
    </row>
    <row r="2281" spans="1:29" x14ac:dyDescent="0.45">
      <c r="A2281" t="s">
        <v>7995</v>
      </c>
      <c r="B2281">
        <v>74</v>
      </c>
      <c r="C2281" t="s">
        <v>8269</v>
      </c>
      <c r="D2281" t="s">
        <v>8270</v>
      </c>
      <c r="E2281" t="s">
        <v>108</v>
      </c>
      <c r="F2281" t="s">
        <v>53</v>
      </c>
      <c r="G2281" t="s">
        <v>34</v>
      </c>
      <c r="H2281" t="s">
        <v>1164</v>
      </c>
      <c r="I2281" t="s">
        <v>8271</v>
      </c>
      <c r="J2281" t="s">
        <v>37</v>
      </c>
      <c r="K2281" t="s">
        <v>37</v>
      </c>
      <c r="L2281" t="s">
        <v>40</v>
      </c>
      <c r="M2281" t="s">
        <v>37</v>
      </c>
      <c r="N2281" t="s">
        <v>37</v>
      </c>
      <c r="O2281" t="s">
        <v>39</v>
      </c>
      <c r="P2281" t="s">
        <v>38</v>
      </c>
      <c r="Q2281" t="s">
        <v>38</v>
      </c>
      <c r="R2281" t="s">
        <v>39</v>
      </c>
      <c r="S2281" t="s">
        <v>8191</v>
      </c>
      <c r="T2281" t="s">
        <v>8192</v>
      </c>
      <c r="U2281" t="s">
        <v>8084</v>
      </c>
      <c r="V2281" t="s">
        <v>8002</v>
      </c>
      <c r="W2281" t="s">
        <v>8085</v>
      </c>
      <c r="X2281" t="s">
        <v>46</v>
      </c>
      <c r="AC2281">
        <f>COUNTIF(C:C,QLKV_gui_ket_qua_ra_soat[[#This Row],[Mã điểm bán]])</f>
        <v>1</v>
      </c>
    </row>
    <row r="2282" spans="1:29" x14ac:dyDescent="0.45">
      <c r="A2282" t="s">
        <v>7995</v>
      </c>
      <c r="B2282">
        <v>75</v>
      </c>
      <c r="C2282" t="s">
        <v>8272</v>
      </c>
      <c r="D2282" t="s">
        <v>8273</v>
      </c>
      <c r="E2282" t="s">
        <v>304</v>
      </c>
      <c r="F2282" t="s">
        <v>53</v>
      </c>
      <c r="G2282" t="s">
        <v>34</v>
      </c>
      <c r="H2282" t="s">
        <v>171</v>
      </c>
      <c r="I2282" t="s">
        <v>8274</v>
      </c>
      <c r="J2282" t="s">
        <v>38</v>
      </c>
      <c r="K2282" t="s">
        <v>38</v>
      </c>
      <c r="L2282" t="s">
        <v>40</v>
      </c>
      <c r="M2282" t="s">
        <v>38</v>
      </c>
      <c r="N2282" t="s">
        <v>38</v>
      </c>
      <c r="O2282" t="s">
        <v>40</v>
      </c>
      <c r="P2282" t="s">
        <v>38</v>
      </c>
      <c r="Q2282" t="s">
        <v>38</v>
      </c>
      <c r="R2282" t="s">
        <v>40</v>
      </c>
      <c r="S2282" t="s">
        <v>8275</v>
      </c>
      <c r="T2282" t="s">
        <v>8008</v>
      </c>
      <c r="U2282" t="s">
        <v>8009</v>
      </c>
      <c r="V2282" t="s">
        <v>8002</v>
      </c>
      <c r="W2282" t="s">
        <v>8010</v>
      </c>
      <c r="X2282" t="s">
        <v>46</v>
      </c>
      <c r="AC2282">
        <f>COUNTIF(C:C,QLKV_gui_ket_qua_ra_soat[[#This Row],[Mã điểm bán]])</f>
        <v>1</v>
      </c>
    </row>
    <row r="2283" spans="1:29" x14ac:dyDescent="0.45">
      <c r="A2283" t="s">
        <v>7995</v>
      </c>
      <c r="B2283">
        <v>76</v>
      </c>
      <c r="C2283" t="s">
        <v>8276</v>
      </c>
      <c r="D2283" t="s">
        <v>8277</v>
      </c>
      <c r="E2283" t="s">
        <v>261</v>
      </c>
      <c r="F2283" t="s">
        <v>2204</v>
      </c>
      <c r="G2283" t="s">
        <v>34</v>
      </c>
      <c r="H2283" t="s">
        <v>4797</v>
      </c>
      <c r="I2283" t="s">
        <v>8278</v>
      </c>
      <c r="J2283" t="s">
        <v>38</v>
      </c>
      <c r="K2283" t="s">
        <v>38</v>
      </c>
      <c r="L2283" t="s">
        <v>40</v>
      </c>
      <c r="M2283" t="s">
        <v>37</v>
      </c>
      <c r="N2283" t="s">
        <v>37</v>
      </c>
      <c r="O2283" t="s">
        <v>39</v>
      </c>
      <c r="P2283" t="s">
        <v>38</v>
      </c>
      <c r="Q2283" t="s">
        <v>38</v>
      </c>
      <c r="R2283" t="s">
        <v>40</v>
      </c>
      <c r="S2283" t="s">
        <v>627</v>
      </c>
      <c r="T2283" t="s">
        <v>8196</v>
      </c>
      <c r="U2283" t="s">
        <v>8001</v>
      </c>
      <c r="V2283" t="s">
        <v>8002</v>
      </c>
      <c r="W2283" t="s">
        <v>8003</v>
      </c>
      <c r="X2283" t="s">
        <v>46</v>
      </c>
      <c r="AC2283">
        <f>COUNTIF(C:C,QLKV_gui_ket_qua_ra_soat[[#This Row],[Mã điểm bán]])</f>
        <v>1</v>
      </c>
    </row>
    <row r="2284" spans="1:29" x14ac:dyDescent="0.45">
      <c r="A2284" t="s">
        <v>7995</v>
      </c>
      <c r="B2284">
        <v>77</v>
      </c>
      <c r="C2284" t="s">
        <v>8279</v>
      </c>
      <c r="D2284" t="s">
        <v>8280</v>
      </c>
      <c r="E2284" t="s">
        <v>91</v>
      </c>
      <c r="F2284" t="s">
        <v>8281</v>
      </c>
      <c r="G2284" t="s">
        <v>34</v>
      </c>
      <c r="H2284" t="s">
        <v>685</v>
      </c>
      <c r="I2284" t="s">
        <v>8282</v>
      </c>
      <c r="J2284" t="s">
        <v>38</v>
      </c>
      <c r="K2284" t="s">
        <v>38</v>
      </c>
      <c r="L2284" t="s">
        <v>40</v>
      </c>
      <c r="M2284" t="s">
        <v>38</v>
      </c>
      <c r="N2284" t="s">
        <v>1034</v>
      </c>
      <c r="O2284" t="s">
        <v>39</v>
      </c>
      <c r="P2284" t="s">
        <v>38</v>
      </c>
      <c r="Q2284" t="s">
        <v>38</v>
      </c>
      <c r="R2284" t="s">
        <v>40</v>
      </c>
      <c r="S2284" t="s">
        <v>8283</v>
      </c>
      <c r="T2284" t="s">
        <v>8008</v>
      </c>
      <c r="U2284" t="s">
        <v>8009</v>
      </c>
      <c r="V2284" t="s">
        <v>8002</v>
      </c>
      <c r="W2284" t="s">
        <v>8010</v>
      </c>
      <c r="X2284" t="s">
        <v>46</v>
      </c>
      <c r="AC2284">
        <f>COUNTIF(C:C,QLKV_gui_ket_qua_ra_soat[[#This Row],[Mã điểm bán]])</f>
        <v>1</v>
      </c>
    </row>
    <row r="2285" spans="1:29" x14ac:dyDescent="0.45">
      <c r="A2285" t="s">
        <v>7995</v>
      </c>
      <c r="B2285">
        <v>78</v>
      </c>
      <c r="C2285" t="s">
        <v>8284</v>
      </c>
      <c r="D2285" t="s">
        <v>8285</v>
      </c>
      <c r="E2285" t="s">
        <v>91</v>
      </c>
      <c r="F2285" t="s">
        <v>1623</v>
      </c>
      <c r="G2285" t="s">
        <v>34</v>
      </c>
      <c r="H2285" t="s">
        <v>1971</v>
      </c>
      <c r="I2285" t="s">
        <v>8286</v>
      </c>
      <c r="J2285" t="s">
        <v>38</v>
      </c>
      <c r="K2285" t="s">
        <v>38</v>
      </c>
      <c r="L2285" t="s">
        <v>40</v>
      </c>
      <c r="M2285" t="s">
        <v>37</v>
      </c>
      <c r="N2285" t="s">
        <v>37</v>
      </c>
      <c r="O2285" t="s">
        <v>39</v>
      </c>
      <c r="P2285" t="s">
        <v>38</v>
      </c>
      <c r="Q2285" t="s">
        <v>38</v>
      </c>
      <c r="R2285" t="s">
        <v>40</v>
      </c>
      <c r="S2285" t="s">
        <v>627</v>
      </c>
      <c r="T2285" t="s">
        <v>8196</v>
      </c>
      <c r="U2285" t="s">
        <v>8001</v>
      </c>
      <c r="V2285" t="s">
        <v>8002</v>
      </c>
      <c r="W2285" t="s">
        <v>8003</v>
      </c>
      <c r="X2285" t="s">
        <v>46</v>
      </c>
      <c r="AC2285">
        <f>COUNTIF(C:C,QLKV_gui_ket_qua_ra_soat[[#This Row],[Mã điểm bán]])</f>
        <v>1</v>
      </c>
    </row>
    <row r="2286" spans="1:29" x14ac:dyDescent="0.45">
      <c r="A2286" t="s">
        <v>7995</v>
      </c>
      <c r="B2286">
        <v>79</v>
      </c>
      <c r="C2286" t="s">
        <v>8287</v>
      </c>
      <c r="D2286" t="s">
        <v>8288</v>
      </c>
      <c r="E2286" t="s">
        <v>2580</v>
      </c>
      <c r="F2286" t="s">
        <v>417</v>
      </c>
      <c r="G2286" t="s">
        <v>34</v>
      </c>
      <c r="H2286" t="s">
        <v>4689</v>
      </c>
      <c r="I2286" t="s">
        <v>7435</v>
      </c>
      <c r="J2286" t="s">
        <v>38</v>
      </c>
      <c r="K2286" t="s">
        <v>38</v>
      </c>
      <c r="L2286" t="s">
        <v>40</v>
      </c>
      <c r="M2286" t="s">
        <v>37</v>
      </c>
      <c r="N2286" t="s">
        <v>37</v>
      </c>
      <c r="O2286" t="s">
        <v>39</v>
      </c>
      <c r="P2286" t="s">
        <v>38</v>
      </c>
      <c r="Q2286" t="s">
        <v>38</v>
      </c>
      <c r="R2286" t="s">
        <v>40</v>
      </c>
      <c r="S2286" t="s">
        <v>627</v>
      </c>
      <c r="T2286" t="s">
        <v>8196</v>
      </c>
      <c r="U2286" t="s">
        <v>8001</v>
      </c>
      <c r="V2286" t="s">
        <v>8002</v>
      </c>
      <c r="W2286" t="s">
        <v>8003</v>
      </c>
      <c r="X2286" t="s">
        <v>46</v>
      </c>
      <c r="AC2286">
        <f>COUNTIF(C:C,QLKV_gui_ket_qua_ra_soat[[#This Row],[Mã điểm bán]])</f>
        <v>1</v>
      </c>
    </row>
    <row r="2287" spans="1:29" x14ac:dyDescent="0.45">
      <c r="A2287" t="s">
        <v>7995</v>
      </c>
      <c r="B2287">
        <v>80</v>
      </c>
      <c r="C2287" t="s">
        <v>8289</v>
      </c>
      <c r="D2287" t="s">
        <v>8290</v>
      </c>
      <c r="E2287" t="s">
        <v>529</v>
      </c>
      <c r="F2287" t="s">
        <v>401</v>
      </c>
      <c r="G2287" t="s">
        <v>34</v>
      </c>
      <c r="H2287" t="s">
        <v>1188</v>
      </c>
      <c r="I2287" t="s">
        <v>8291</v>
      </c>
      <c r="J2287" t="s">
        <v>38</v>
      </c>
      <c r="K2287" t="s">
        <v>38</v>
      </c>
      <c r="L2287" t="s">
        <v>40</v>
      </c>
      <c r="M2287" t="s">
        <v>37</v>
      </c>
      <c r="N2287" t="s">
        <v>37</v>
      </c>
      <c r="O2287" t="s">
        <v>39</v>
      </c>
      <c r="P2287" t="s">
        <v>38</v>
      </c>
      <c r="Q2287" t="s">
        <v>38</v>
      </c>
      <c r="R2287" t="s">
        <v>40</v>
      </c>
      <c r="S2287" t="s">
        <v>627</v>
      </c>
      <c r="T2287" t="s">
        <v>8196</v>
      </c>
      <c r="U2287" t="s">
        <v>8001</v>
      </c>
      <c r="V2287" t="s">
        <v>8002</v>
      </c>
      <c r="W2287" t="s">
        <v>8003</v>
      </c>
      <c r="Z2287" t="s">
        <v>46</v>
      </c>
      <c r="AA2287" t="s">
        <v>8196</v>
      </c>
      <c r="AC2287">
        <f>COUNTIF(C:C,QLKV_gui_ket_qua_ra_soat[[#This Row],[Mã điểm bán]])</f>
        <v>1</v>
      </c>
    </row>
    <row r="2288" spans="1:29" x14ac:dyDescent="0.45">
      <c r="A2288" t="s">
        <v>7995</v>
      </c>
      <c r="B2288">
        <v>81</v>
      </c>
      <c r="C2288" t="s">
        <v>8292</v>
      </c>
      <c r="D2288" t="s">
        <v>8293</v>
      </c>
      <c r="E2288" t="s">
        <v>148</v>
      </c>
      <c r="F2288" t="s">
        <v>53</v>
      </c>
      <c r="G2288" t="s">
        <v>150</v>
      </c>
      <c r="H2288" t="s">
        <v>685</v>
      </c>
      <c r="I2288" t="s">
        <v>8294</v>
      </c>
      <c r="J2288" t="s">
        <v>38</v>
      </c>
      <c r="K2288" t="s">
        <v>38</v>
      </c>
      <c r="L2288" t="s">
        <v>40</v>
      </c>
      <c r="M2288" t="s">
        <v>38</v>
      </c>
      <c r="N2288" t="s">
        <v>38</v>
      </c>
      <c r="O2288" t="s">
        <v>40</v>
      </c>
      <c r="P2288" t="s">
        <v>38</v>
      </c>
      <c r="Q2288" t="s">
        <v>38</v>
      </c>
      <c r="R2288" t="s">
        <v>40</v>
      </c>
      <c r="S2288" t="s">
        <v>8295</v>
      </c>
      <c r="T2288" t="s">
        <v>8008</v>
      </c>
      <c r="U2288" t="s">
        <v>8009</v>
      </c>
      <c r="V2288" t="s">
        <v>8002</v>
      </c>
      <c r="W2288" t="s">
        <v>8010</v>
      </c>
      <c r="X2288" t="s">
        <v>46</v>
      </c>
      <c r="AC2288">
        <f>COUNTIF(C:C,QLKV_gui_ket_qua_ra_soat[[#This Row],[Mã điểm bán]])</f>
        <v>1</v>
      </c>
    </row>
    <row r="2289" spans="1:29" x14ac:dyDescent="0.45">
      <c r="A2289" t="s">
        <v>7995</v>
      </c>
      <c r="B2289">
        <v>82</v>
      </c>
      <c r="C2289" t="s">
        <v>8296</v>
      </c>
      <c r="D2289" t="s">
        <v>8297</v>
      </c>
      <c r="E2289" t="s">
        <v>113</v>
      </c>
      <c r="F2289" t="s">
        <v>53</v>
      </c>
      <c r="G2289" t="s">
        <v>34</v>
      </c>
      <c r="H2289" t="s">
        <v>685</v>
      </c>
      <c r="I2289" t="s">
        <v>8298</v>
      </c>
      <c r="J2289" t="s">
        <v>38</v>
      </c>
      <c r="K2289" t="s">
        <v>38</v>
      </c>
      <c r="L2289" t="s">
        <v>40</v>
      </c>
      <c r="M2289" t="s">
        <v>38</v>
      </c>
      <c r="N2289" t="s">
        <v>38</v>
      </c>
      <c r="O2289" t="s">
        <v>40</v>
      </c>
      <c r="P2289" t="s">
        <v>38</v>
      </c>
      <c r="Q2289" t="s">
        <v>38</v>
      </c>
      <c r="R2289" t="s">
        <v>40</v>
      </c>
      <c r="S2289" t="s">
        <v>8299</v>
      </c>
      <c r="T2289" t="s">
        <v>8008</v>
      </c>
      <c r="U2289" t="s">
        <v>8009</v>
      </c>
      <c r="V2289" t="s">
        <v>8002</v>
      </c>
      <c r="W2289" t="s">
        <v>8010</v>
      </c>
      <c r="X2289" t="s">
        <v>46</v>
      </c>
      <c r="AC2289">
        <f>COUNTIF(C:C,QLKV_gui_ket_qua_ra_soat[[#This Row],[Mã điểm bán]])</f>
        <v>1</v>
      </c>
    </row>
    <row r="2290" spans="1:29" x14ac:dyDescent="0.45">
      <c r="A2290" t="s">
        <v>7995</v>
      </c>
      <c r="B2290">
        <v>83</v>
      </c>
      <c r="C2290" t="s">
        <v>8300</v>
      </c>
      <c r="D2290" t="s">
        <v>8301</v>
      </c>
      <c r="E2290" t="s">
        <v>8302</v>
      </c>
      <c r="F2290" t="s">
        <v>426</v>
      </c>
      <c r="G2290" t="s">
        <v>34</v>
      </c>
      <c r="H2290" t="s">
        <v>708</v>
      </c>
      <c r="I2290" t="s">
        <v>8303</v>
      </c>
      <c r="J2290" t="s">
        <v>37</v>
      </c>
      <c r="K2290" t="s">
        <v>37</v>
      </c>
      <c r="L2290" t="s">
        <v>39</v>
      </c>
      <c r="M2290" t="s">
        <v>37</v>
      </c>
      <c r="N2290" t="s">
        <v>37</v>
      </c>
      <c r="O2290" t="s">
        <v>39</v>
      </c>
      <c r="P2290" t="s">
        <v>38</v>
      </c>
      <c r="Q2290" t="s">
        <v>38</v>
      </c>
      <c r="R2290" t="s">
        <v>39</v>
      </c>
      <c r="S2290" t="s">
        <v>8191</v>
      </c>
      <c r="T2290" t="s">
        <v>8192</v>
      </c>
      <c r="U2290" t="s">
        <v>8084</v>
      </c>
      <c r="V2290" t="s">
        <v>8002</v>
      </c>
      <c r="W2290" t="s">
        <v>8085</v>
      </c>
      <c r="Z2290" t="s">
        <v>46</v>
      </c>
      <c r="AA2290" t="s">
        <v>8192</v>
      </c>
      <c r="AC2290">
        <f>COUNTIF(C:C,QLKV_gui_ket_qua_ra_soat[[#This Row],[Mã điểm bán]])</f>
        <v>1</v>
      </c>
    </row>
    <row r="2291" spans="1:29" x14ac:dyDescent="0.45">
      <c r="A2291" t="s">
        <v>7995</v>
      </c>
      <c r="B2291">
        <v>84</v>
      </c>
      <c r="C2291" t="s">
        <v>8304</v>
      </c>
      <c r="D2291" t="s">
        <v>8305</v>
      </c>
      <c r="E2291" t="s">
        <v>69</v>
      </c>
      <c r="F2291" t="s">
        <v>53</v>
      </c>
      <c r="G2291" t="s">
        <v>34</v>
      </c>
      <c r="H2291" t="s">
        <v>917</v>
      </c>
      <c r="I2291" t="s">
        <v>8306</v>
      </c>
      <c r="J2291" t="s">
        <v>38</v>
      </c>
      <c r="K2291" t="s">
        <v>38</v>
      </c>
      <c r="L2291" t="s">
        <v>40</v>
      </c>
      <c r="M2291" t="s">
        <v>38</v>
      </c>
      <c r="N2291" t="s">
        <v>38</v>
      </c>
      <c r="O2291" t="s">
        <v>40</v>
      </c>
      <c r="P2291" t="s">
        <v>38</v>
      </c>
      <c r="Q2291" t="s">
        <v>38</v>
      </c>
      <c r="R2291" t="s">
        <v>40</v>
      </c>
      <c r="S2291" t="s">
        <v>7515</v>
      </c>
      <c r="T2291" t="s">
        <v>8008</v>
      </c>
      <c r="U2291" t="s">
        <v>8009</v>
      </c>
      <c r="V2291" t="s">
        <v>8002</v>
      </c>
      <c r="W2291" t="s">
        <v>8010</v>
      </c>
      <c r="X2291" t="s">
        <v>46</v>
      </c>
      <c r="AC2291">
        <f>COUNTIF(C:C,QLKV_gui_ket_qua_ra_soat[[#This Row],[Mã điểm bán]])</f>
        <v>1</v>
      </c>
    </row>
    <row r="2292" spans="1:29" x14ac:dyDescent="0.45">
      <c r="A2292" t="s">
        <v>7995</v>
      </c>
      <c r="B2292">
        <v>85</v>
      </c>
      <c r="C2292" t="s">
        <v>8307</v>
      </c>
      <c r="D2292" t="s">
        <v>8308</v>
      </c>
      <c r="E2292" t="s">
        <v>529</v>
      </c>
      <c r="F2292" t="s">
        <v>426</v>
      </c>
      <c r="G2292" t="s">
        <v>34</v>
      </c>
      <c r="H2292" t="s">
        <v>1188</v>
      </c>
      <c r="I2292" t="s">
        <v>8309</v>
      </c>
      <c r="J2292" t="s">
        <v>38</v>
      </c>
      <c r="K2292" t="s">
        <v>38</v>
      </c>
      <c r="L2292" t="s">
        <v>40</v>
      </c>
      <c r="M2292" t="s">
        <v>37</v>
      </c>
      <c r="N2292" t="s">
        <v>37</v>
      </c>
      <c r="O2292" t="s">
        <v>39</v>
      </c>
      <c r="P2292" t="s">
        <v>38</v>
      </c>
      <c r="Q2292" t="s">
        <v>38</v>
      </c>
      <c r="R2292" t="s">
        <v>40</v>
      </c>
      <c r="S2292" t="s">
        <v>627</v>
      </c>
      <c r="T2292" t="s">
        <v>8196</v>
      </c>
      <c r="U2292" t="s">
        <v>8001</v>
      </c>
      <c r="V2292" t="s">
        <v>8002</v>
      </c>
      <c r="W2292" t="s">
        <v>8003</v>
      </c>
      <c r="X2292" t="s">
        <v>46</v>
      </c>
      <c r="AC2292">
        <f>COUNTIF(C:C,QLKV_gui_ket_qua_ra_soat[[#This Row],[Mã điểm bán]])</f>
        <v>1</v>
      </c>
    </row>
    <row r="2293" spans="1:29" x14ac:dyDescent="0.45">
      <c r="A2293" t="s">
        <v>7995</v>
      </c>
      <c r="B2293">
        <v>86</v>
      </c>
      <c r="C2293" t="s">
        <v>8310</v>
      </c>
      <c r="D2293" t="s">
        <v>8311</v>
      </c>
      <c r="E2293" t="s">
        <v>113</v>
      </c>
      <c r="F2293" t="s">
        <v>417</v>
      </c>
      <c r="G2293" t="s">
        <v>34</v>
      </c>
      <c r="H2293" t="s">
        <v>1164</v>
      </c>
      <c r="I2293" t="s">
        <v>8312</v>
      </c>
      <c r="J2293" t="s">
        <v>37</v>
      </c>
      <c r="K2293" t="s">
        <v>38</v>
      </c>
      <c r="L2293" t="s">
        <v>39</v>
      </c>
      <c r="M2293" t="s">
        <v>37</v>
      </c>
      <c r="N2293" t="s">
        <v>56</v>
      </c>
      <c r="O2293" t="s">
        <v>39</v>
      </c>
      <c r="P2293" t="s">
        <v>38</v>
      </c>
      <c r="Q2293" t="s">
        <v>37</v>
      </c>
      <c r="R2293" t="s">
        <v>39</v>
      </c>
      <c r="S2293" t="s">
        <v>8313</v>
      </c>
      <c r="T2293" t="s">
        <v>8192</v>
      </c>
      <c r="U2293" t="s">
        <v>8084</v>
      </c>
      <c r="V2293" t="s">
        <v>8002</v>
      </c>
      <c r="W2293" t="s">
        <v>8085</v>
      </c>
      <c r="X2293" t="s">
        <v>46</v>
      </c>
      <c r="AC2293">
        <f>COUNTIF(C:C,QLKV_gui_ket_qua_ra_soat[[#This Row],[Mã điểm bán]])</f>
        <v>1</v>
      </c>
    </row>
    <row r="2294" spans="1:29" x14ac:dyDescent="0.45">
      <c r="A2294" t="s">
        <v>7995</v>
      </c>
      <c r="B2294">
        <v>87</v>
      </c>
      <c r="C2294" t="s">
        <v>8314</v>
      </c>
      <c r="D2294" t="s">
        <v>8315</v>
      </c>
      <c r="E2294" t="s">
        <v>728</v>
      </c>
      <c r="F2294" t="s">
        <v>53</v>
      </c>
      <c r="G2294" t="s">
        <v>34</v>
      </c>
      <c r="H2294" t="s">
        <v>1648</v>
      </c>
      <c r="I2294" t="s">
        <v>8316</v>
      </c>
      <c r="J2294" t="s">
        <v>38</v>
      </c>
      <c r="K2294" t="s">
        <v>38</v>
      </c>
      <c r="L2294" t="s">
        <v>40</v>
      </c>
      <c r="M2294" t="s">
        <v>38</v>
      </c>
      <c r="N2294" t="s">
        <v>38</v>
      </c>
      <c r="O2294" t="s">
        <v>40</v>
      </c>
      <c r="P2294" t="s">
        <v>38</v>
      </c>
      <c r="Q2294" t="s">
        <v>38</v>
      </c>
      <c r="R2294" t="s">
        <v>40</v>
      </c>
      <c r="S2294" t="s">
        <v>8317</v>
      </c>
      <c r="T2294" t="s">
        <v>8008</v>
      </c>
      <c r="U2294" t="s">
        <v>8009</v>
      </c>
      <c r="V2294" t="s">
        <v>8002</v>
      </c>
      <c r="W2294" t="s">
        <v>8010</v>
      </c>
      <c r="X2294" t="s">
        <v>46</v>
      </c>
      <c r="AC2294">
        <f>COUNTIF(C:C,QLKV_gui_ket_qua_ra_soat[[#This Row],[Mã điểm bán]])</f>
        <v>1</v>
      </c>
    </row>
    <row r="2295" spans="1:29" x14ac:dyDescent="0.45">
      <c r="A2295" t="s">
        <v>7995</v>
      </c>
      <c r="B2295">
        <v>88</v>
      </c>
      <c r="C2295" t="s">
        <v>8318</v>
      </c>
      <c r="D2295" t="s">
        <v>8319</v>
      </c>
      <c r="E2295" t="s">
        <v>176</v>
      </c>
      <c r="F2295" t="s">
        <v>53</v>
      </c>
      <c r="G2295" t="s">
        <v>34</v>
      </c>
      <c r="H2295" t="s">
        <v>1877</v>
      </c>
      <c r="I2295" t="s">
        <v>8320</v>
      </c>
      <c r="J2295" t="s">
        <v>38</v>
      </c>
      <c r="K2295" t="s">
        <v>38</v>
      </c>
      <c r="L2295" t="s">
        <v>40</v>
      </c>
      <c r="M2295" t="s">
        <v>38</v>
      </c>
      <c r="N2295" t="s">
        <v>38</v>
      </c>
      <c r="O2295" t="s">
        <v>40</v>
      </c>
      <c r="P2295" t="s">
        <v>38</v>
      </c>
      <c r="Q2295" t="s">
        <v>38</v>
      </c>
      <c r="R2295" t="s">
        <v>40</v>
      </c>
      <c r="S2295" t="s">
        <v>8275</v>
      </c>
      <c r="T2295" t="s">
        <v>8008</v>
      </c>
      <c r="U2295" t="s">
        <v>8009</v>
      </c>
      <c r="V2295" t="s">
        <v>8002</v>
      </c>
      <c r="W2295" t="s">
        <v>8010</v>
      </c>
      <c r="X2295" t="s">
        <v>46</v>
      </c>
      <c r="AC2295">
        <f>COUNTIF(C:C,QLKV_gui_ket_qua_ra_soat[[#This Row],[Mã điểm bán]])</f>
        <v>1</v>
      </c>
    </row>
    <row r="2296" spans="1:29" x14ac:dyDescent="0.45">
      <c r="A2296" t="s">
        <v>7995</v>
      </c>
      <c r="B2296">
        <v>89</v>
      </c>
      <c r="C2296" t="s">
        <v>8321</v>
      </c>
      <c r="D2296" t="s">
        <v>8322</v>
      </c>
      <c r="E2296" t="s">
        <v>338</v>
      </c>
      <c r="F2296" t="s">
        <v>426</v>
      </c>
      <c r="G2296" t="s">
        <v>34</v>
      </c>
      <c r="H2296" t="s">
        <v>319</v>
      </c>
      <c r="I2296" t="s">
        <v>8323</v>
      </c>
      <c r="J2296" t="s">
        <v>38</v>
      </c>
      <c r="K2296" t="s">
        <v>38</v>
      </c>
      <c r="L2296" t="s">
        <v>40</v>
      </c>
      <c r="M2296" t="s">
        <v>38</v>
      </c>
      <c r="N2296" t="s">
        <v>775</v>
      </c>
      <c r="O2296" t="s">
        <v>39</v>
      </c>
      <c r="P2296" t="s">
        <v>38</v>
      </c>
      <c r="Q2296" t="s">
        <v>38</v>
      </c>
      <c r="R2296" t="s">
        <v>40</v>
      </c>
      <c r="S2296" t="s">
        <v>8324</v>
      </c>
      <c r="T2296" t="s">
        <v>8008</v>
      </c>
      <c r="U2296" t="s">
        <v>8009</v>
      </c>
      <c r="V2296" t="s">
        <v>8002</v>
      </c>
      <c r="W2296" t="s">
        <v>8010</v>
      </c>
      <c r="X2296" t="s">
        <v>46</v>
      </c>
      <c r="AC2296">
        <f>COUNTIF(C:C,QLKV_gui_ket_qua_ra_soat[[#This Row],[Mã điểm bán]])</f>
        <v>1</v>
      </c>
    </row>
    <row r="2297" spans="1:29" x14ac:dyDescent="0.45">
      <c r="A2297" t="s">
        <v>7995</v>
      </c>
      <c r="B2297">
        <v>90</v>
      </c>
      <c r="C2297" t="s">
        <v>8325</v>
      </c>
      <c r="D2297" t="s">
        <v>8326</v>
      </c>
      <c r="E2297" t="s">
        <v>8327</v>
      </c>
      <c r="F2297" t="s">
        <v>8328</v>
      </c>
      <c r="G2297" t="s">
        <v>34</v>
      </c>
      <c r="H2297" t="s">
        <v>171</v>
      </c>
      <c r="I2297" t="s">
        <v>8329</v>
      </c>
      <c r="J2297" t="s">
        <v>56</v>
      </c>
      <c r="K2297" t="s">
        <v>1034</v>
      </c>
      <c r="L2297" t="s">
        <v>39</v>
      </c>
      <c r="M2297" t="s">
        <v>56</v>
      </c>
      <c r="N2297" t="s">
        <v>56</v>
      </c>
      <c r="O2297" t="s">
        <v>39</v>
      </c>
      <c r="P2297" t="s">
        <v>37</v>
      </c>
      <c r="Q2297" t="s">
        <v>37</v>
      </c>
      <c r="R2297" t="s">
        <v>39</v>
      </c>
      <c r="S2297" t="s">
        <v>41</v>
      </c>
      <c r="T2297" t="s">
        <v>8105</v>
      </c>
      <c r="U2297" t="s">
        <v>8016</v>
      </c>
      <c r="V2297" t="s">
        <v>8002</v>
      </c>
      <c r="W2297" t="s">
        <v>8003</v>
      </c>
      <c r="Z2297" t="s">
        <v>46</v>
      </c>
      <c r="AA2297" t="s">
        <v>8105</v>
      </c>
      <c r="AC2297">
        <f>COUNTIF(C:C,QLKV_gui_ket_qua_ra_soat[[#This Row],[Mã điểm bán]])</f>
        <v>1</v>
      </c>
    </row>
    <row r="2298" spans="1:29" x14ac:dyDescent="0.45">
      <c r="A2298" t="s">
        <v>7995</v>
      </c>
      <c r="B2298">
        <v>91</v>
      </c>
      <c r="C2298" t="s">
        <v>8330</v>
      </c>
      <c r="D2298" t="s">
        <v>8331</v>
      </c>
      <c r="E2298" t="s">
        <v>97</v>
      </c>
      <c r="F2298" t="s">
        <v>417</v>
      </c>
      <c r="G2298" t="s">
        <v>34</v>
      </c>
      <c r="H2298" t="s">
        <v>685</v>
      </c>
      <c r="I2298" t="s">
        <v>8332</v>
      </c>
      <c r="J2298" t="s">
        <v>38</v>
      </c>
      <c r="K2298" t="s">
        <v>38</v>
      </c>
      <c r="L2298" t="s">
        <v>40</v>
      </c>
      <c r="M2298" t="s">
        <v>37</v>
      </c>
      <c r="N2298" t="s">
        <v>37</v>
      </c>
      <c r="O2298" t="s">
        <v>39</v>
      </c>
      <c r="P2298" t="s">
        <v>38</v>
      </c>
      <c r="Q2298" t="s">
        <v>38</v>
      </c>
      <c r="R2298" t="s">
        <v>40</v>
      </c>
      <c r="S2298" t="s">
        <v>627</v>
      </c>
      <c r="T2298" t="s">
        <v>8196</v>
      </c>
      <c r="U2298" t="s">
        <v>8001</v>
      </c>
      <c r="V2298" t="s">
        <v>8002</v>
      </c>
      <c r="W2298" t="s">
        <v>8003</v>
      </c>
      <c r="X2298" t="s">
        <v>46</v>
      </c>
      <c r="AC2298">
        <f>COUNTIF(C:C,QLKV_gui_ket_qua_ra_soat[[#This Row],[Mã điểm bán]])</f>
        <v>1</v>
      </c>
    </row>
    <row r="2299" spans="1:29" x14ac:dyDescent="0.45">
      <c r="A2299" t="s">
        <v>7995</v>
      </c>
      <c r="B2299">
        <v>92</v>
      </c>
      <c r="C2299" t="s">
        <v>8333</v>
      </c>
      <c r="D2299" t="s">
        <v>8334</v>
      </c>
      <c r="E2299" t="s">
        <v>641</v>
      </c>
      <c r="F2299" t="s">
        <v>286</v>
      </c>
      <c r="G2299" t="s">
        <v>34</v>
      </c>
      <c r="H2299" t="s">
        <v>1164</v>
      </c>
      <c r="I2299" t="s">
        <v>8335</v>
      </c>
      <c r="J2299" t="s">
        <v>37</v>
      </c>
      <c r="K2299" t="s">
        <v>38</v>
      </c>
      <c r="L2299" t="s">
        <v>39</v>
      </c>
      <c r="M2299" t="s">
        <v>38</v>
      </c>
      <c r="N2299" t="s">
        <v>37</v>
      </c>
      <c r="O2299" t="s">
        <v>39</v>
      </c>
      <c r="P2299" t="s">
        <v>38</v>
      </c>
      <c r="Q2299" t="s">
        <v>37</v>
      </c>
      <c r="R2299" t="s">
        <v>39</v>
      </c>
      <c r="S2299" t="s">
        <v>8191</v>
      </c>
      <c r="T2299" t="s">
        <v>8192</v>
      </c>
      <c r="U2299" t="s">
        <v>8084</v>
      </c>
      <c r="V2299" t="s">
        <v>8002</v>
      </c>
      <c r="W2299" t="s">
        <v>8085</v>
      </c>
      <c r="Z2299" t="s">
        <v>46</v>
      </c>
      <c r="AA2299" t="s">
        <v>8192</v>
      </c>
      <c r="AC2299">
        <f>COUNTIF(C:C,QLKV_gui_ket_qua_ra_soat[[#This Row],[Mã điểm bán]])</f>
        <v>1</v>
      </c>
    </row>
    <row r="2300" spans="1:29" x14ac:dyDescent="0.45">
      <c r="A2300" t="s">
        <v>7995</v>
      </c>
      <c r="B2300">
        <v>93</v>
      </c>
      <c r="C2300" t="s">
        <v>8336</v>
      </c>
      <c r="D2300" t="s">
        <v>8337</v>
      </c>
      <c r="E2300" t="s">
        <v>296</v>
      </c>
      <c r="F2300" t="s">
        <v>401</v>
      </c>
      <c r="G2300" t="s">
        <v>34</v>
      </c>
      <c r="H2300" t="s">
        <v>2593</v>
      </c>
      <c r="I2300" t="s">
        <v>8338</v>
      </c>
      <c r="J2300" t="s">
        <v>38</v>
      </c>
      <c r="K2300" t="s">
        <v>38</v>
      </c>
      <c r="L2300" t="s">
        <v>40</v>
      </c>
      <c r="M2300" t="s">
        <v>37</v>
      </c>
      <c r="N2300" t="s">
        <v>37</v>
      </c>
      <c r="O2300" t="s">
        <v>39</v>
      </c>
      <c r="P2300" t="s">
        <v>38</v>
      </c>
      <c r="Q2300" t="s">
        <v>38</v>
      </c>
      <c r="R2300" t="s">
        <v>40</v>
      </c>
      <c r="S2300" t="s">
        <v>627</v>
      </c>
      <c r="T2300" t="s">
        <v>8196</v>
      </c>
      <c r="U2300" t="s">
        <v>8001</v>
      </c>
      <c r="V2300" t="s">
        <v>8002</v>
      </c>
      <c r="W2300" t="s">
        <v>8003</v>
      </c>
      <c r="X2300" t="s">
        <v>46</v>
      </c>
      <c r="AC2300">
        <f>COUNTIF(C:C,QLKV_gui_ket_qua_ra_soat[[#This Row],[Mã điểm bán]])</f>
        <v>1</v>
      </c>
    </row>
    <row r="2301" spans="1:29" x14ac:dyDescent="0.45">
      <c r="A2301" t="s">
        <v>7995</v>
      </c>
      <c r="B2301">
        <v>94</v>
      </c>
      <c r="C2301" t="s">
        <v>8339</v>
      </c>
      <c r="D2301" t="s">
        <v>5239</v>
      </c>
      <c r="E2301" t="s">
        <v>8340</v>
      </c>
      <c r="F2301" t="s">
        <v>1340</v>
      </c>
      <c r="G2301" t="s">
        <v>34</v>
      </c>
      <c r="H2301" t="s">
        <v>565</v>
      </c>
      <c r="I2301" t="s">
        <v>8341</v>
      </c>
      <c r="J2301" t="s">
        <v>38</v>
      </c>
      <c r="K2301" t="s">
        <v>38</v>
      </c>
      <c r="L2301" t="s">
        <v>40</v>
      </c>
      <c r="M2301" t="s">
        <v>56</v>
      </c>
      <c r="N2301" t="s">
        <v>56</v>
      </c>
      <c r="O2301" t="s">
        <v>39</v>
      </c>
      <c r="P2301" t="s">
        <v>38</v>
      </c>
      <c r="Q2301" t="s">
        <v>38</v>
      </c>
      <c r="R2301" t="s">
        <v>40</v>
      </c>
      <c r="S2301" t="s">
        <v>8342</v>
      </c>
      <c r="T2301" t="s">
        <v>8015</v>
      </c>
      <c r="U2301" t="s">
        <v>8016</v>
      </c>
      <c r="V2301" t="s">
        <v>8002</v>
      </c>
      <c r="W2301" t="s">
        <v>8010</v>
      </c>
      <c r="X2301" t="s">
        <v>46</v>
      </c>
      <c r="AC2301">
        <f>COUNTIF(C:C,QLKV_gui_ket_qua_ra_soat[[#This Row],[Mã điểm bán]])</f>
        <v>1</v>
      </c>
    </row>
    <row r="2302" spans="1:29" x14ac:dyDescent="0.45">
      <c r="A2302" t="s">
        <v>7995</v>
      </c>
      <c r="B2302">
        <v>95</v>
      </c>
      <c r="C2302" t="s">
        <v>8343</v>
      </c>
      <c r="D2302" t="s">
        <v>8344</v>
      </c>
      <c r="E2302" t="s">
        <v>701</v>
      </c>
      <c r="F2302" t="s">
        <v>417</v>
      </c>
      <c r="G2302" t="s">
        <v>34</v>
      </c>
      <c r="H2302" t="s">
        <v>507</v>
      </c>
      <c r="I2302" t="s">
        <v>8345</v>
      </c>
      <c r="J2302" t="s">
        <v>38</v>
      </c>
      <c r="K2302" t="s">
        <v>38</v>
      </c>
      <c r="L2302" t="s">
        <v>40</v>
      </c>
      <c r="M2302" t="s">
        <v>37</v>
      </c>
      <c r="N2302" t="s">
        <v>37</v>
      </c>
      <c r="O2302" t="s">
        <v>39</v>
      </c>
      <c r="P2302" t="s">
        <v>38</v>
      </c>
      <c r="Q2302" t="s">
        <v>38</v>
      </c>
      <c r="R2302" t="s">
        <v>40</v>
      </c>
      <c r="S2302" t="s">
        <v>4783</v>
      </c>
      <c r="T2302" t="s">
        <v>8196</v>
      </c>
      <c r="U2302" t="s">
        <v>8001</v>
      </c>
      <c r="V2302" t="s">
        <v>8002</v>
      </c>
      <c r="W2302" t="s">
        <v>8003</v>
      </c>
      <c r="X2302" t="s">
        <v>46</v>
      </c>
      <c r="AC2302">
        <f>COUNTIF(C:C,QLKV_gui_ket_qua_ra_soat[[#This Row],[Mã điểm bán]])</f>
        <v>1</v>
      </c>
    </row>
    <row r="2303" spans="1:29" x14ac:dyDescent="0.45">
      <c r="A2303" t="s">
        <v>7995</v>
      </c>
      <c r="B2303">
        <v>96</v>
      </c>
      <c r="C2303" t="s">
        <v>8346</v>
      </c>
      <c r="D2303" t="s">
        <v>8347</v>
      </c>
      <c r="E2303" t="s">
        <v>857</v>
      </c>
      <c r="F2303" t="s">
        <v>53</v>
      </c>
      <c r="G2303" t="s">
        <v>34</v>
      </c>
      <c r="H2303" t="s">
        <v>54</v>
      </c>
      <c r="I2303" t="s">
        <v>8348</v>
      </c>
      <c r="J2303" t="s">
        <v>37</v>
      </c>
      <c r="K2303" t="s">
        <v>37</v>
      </c>
      <c r="L2303" t="s">
        <v>39</v>
      </c>
      <c r="M2303" t="s">
        <v>37</v>
      </c>
      <c r="N2303" t="s">
        <v>37</v>
      </c>
      <c r="O2303" t="s">
        <v>39</v>
      </c>
      <c r="P2303" t="s">
        <v>37</v>
      </c>
      <c r="Q2303" t="s">
        <v>37</v>
      </c>
      <c r="R2303" t="s">
        <v>39</v>
      </c>
      <c r="S2303" t="s">
        <v>41</v>
      </c>
      <c r="T2303" t="s">
        <v>8083</v>
      </c>
      <c r="U2303" t="s">
        <v>8084</v>
      </c>
      <c r="V2303" t="s">
        <v>8002</v>
      </c>
      <c r="W2303" t="s">
        <v>8085</v>
      </c>
      <c r="X2303" t="s">
        <v>46</v>
      </c>
      <c r="AC2303">
        <f>COUNTIF(C:C,QLKV_gui_ket_qua_ra_soat[[#This Row],[Mã điểm bán]])</f>
        <v>1</v>
      </c>
    </row>
    <row r="2304" spans="1:29" x14ac:dyDescent="0.45">
      <c r="A2304" t="s">
        <v>7995</v>
      </c>
      <c r="B2304">
        <v>97</v>
      </c>
      <c r="C2304" t="s">
        <v>8349</v>
      </c>
      <c r="D2304" t="s">
        <v>8350</v>
      </c>
      <c r="E2304" t="s">
        <v>682</v>
      </c>
      <c r="F2304" t="s">
        <v>401</v>
      </c>
      <c r="G2304" t="s">
        <v>34</v>
      </c>
      <c r="H2304" t="s">
        <v>473</v>
      </c>
      <c r="I2304" t="s">
        <v>8351</v>
      </c>
      <c r="J2304" t="s">
        <v>37</v>
      </c>
      <c r="K2304" t="s">
        <v>37</v>
      </c>
      <c r="L2304" t="s">
        <v>39</v>
      </c>
      <c r="M2304" t="s">
        <v>38</v>
      </c>
      <c r="N2304" t="s">
        <v>37</v>
      </c>
      <c r="O2304" t="s">
        <v>39</v>
      </c>
      <c r="P2304" t="s">
        <v>38</v>
      </c>
      <c r="Q2304" t="s">
        <v>38</v>
      </c>
      <c r="R2304" t="s">
        <v>39</v>
      </c>
      <c r="S2304" t="s">
        <v>8191</v>
      </c>
      <c r="T2304" t="s">
        <v>8192</v>
      </c>
      <c r="U2304" t="s">
        <v>8084</v>
      </c>
      <c r="V2304" t="s">
        <v>8002</v>
      </c>
      <c r="W2304" t="s">
        <v>8085</v>
      </c>
      <c r="X2304" t="s">
        <v>46</v>
      </c>
      <c r="AC2304">
        <f>COUNTIF(C:C,QLKV_gui_ket_qua_ra_soat[[#This Row],[Mã điểm bán]])</f>
        <v>1</v>
      </c>
    </row>
    <row r="2305" spans="1:29" x14ac:dyDescent="0.45">
      <c r="A2305" t="s">
        <v>7995</v>
      </c>
      <c r="B2305">
        <v>98</v>
      </c>
      <c r="C2305" t="s">
        <v>8352</v>
      </c>
      <c r="D2305" t="s">
        <v>8353</v>
      </c>
      <c r="E2305" t="s">
        <v>8354</v>
      </c>
      <c r="F2305" t="s">
        <v>8355</v>
      </c>
      <c r="G2305" t="s">
        <v>1624</v>
      </c>
      <c r="H2305" t="s">
        <v>1788</v>
      </c>
      <c r="I2305" t="s">
        <v>8356</v>
      </c>
      <c r="J2305" t="s">
        <v>56</v>
      </c>
      <c r="K2305" t="s">
        <v>56</v>
      </c>
      <c r="L2305" t="s">
        <v>39</v>
      </c>
      <c r="M2305" t="s">
        <v>56</v>
      </c>
      <c r="N2305" t="s">
        <v>56</v>
      </c>
      <c r="O2305" t="s">
        <v>39</v>
      </c>
      <c r="P2305" t="s">
        <v>37</v>
      </c>
      <c r="Q2305" t="s">
        <v>38</v>
      </c>
      <c r="R2305" t="s">
        <v>39</v>
      </c>
      <c r="S2305" t="s">
        <v>41</v>
      </c>
      <c r="T2305" t="s">
        <v>8105</v>
      </c>
      <c r="U2305" t="s">
        <v>8016</v>
      </c>
      <c r="V2305" t="s">
        <v>8002</v>
      </c>
      <c r="W2305" t="s">
        <v>8003</v>
      </c>
      <c r="X2305" t="s">
        <v>46</v>
      </c>
      <c r="AC2305">
        <f>COUNTIF(C:C,QLKV_gui_ket_qua_ra_soat[[#This Row],[Mã điểm bán]])</f>
        <v>1</v>
      </c>
    </row>
    <row r="2306" spans="1:29" x14ac:dyDescent="0.45">
      <c r="A2306" t="s">
        <v>7995</v>
      </c>
      <c r="B2306">
        <v>99</v>
      </c>
      <c r="C2306" t="s">
        <v>8357</v>
      </c>
      <c r="D2306" t="s">
        <v>8358</v>
      </c>
      <c r="E2306" t="s">
        <v>279</v>
      </c>
      <c r="F2306" t="s">
        <v>53</v>
      </c>
      <c r="G2306" t="s">
        <v>34</v>
      </c>
      <c r="H2306" t="s">
        <v>54</v>
      </c>
      <c r="I2306" t="s">
        <v>2274</v>
      </c>
      <c r="J2306" t="s">
        <v>38</v>
      </c>
      <c r="K2306" t="s">
        <v>38</v>
      </c>
      <c r="L2306" t="s">
        <v>39</v>
      </c>
      <c r="M2306" t="s">
        <v>38</v>
      </c>
      <c r="N2306" t="s">
        <v>38</v>
      </c>
      <c r="O2306" t="s">
        <v>39</v>
      </c>
      <c r="P2306" t="s">
        <v>38</v>
      </c>
      <c r="Q2306" t="s">
        <v>38</v>
      </c>
      <c r="R2306" t="s">
        <v>39</v>
      </c>
      <c r="S2306" t="s">
        <v>41</v>
      </c>
      <c r="T2306" t="s">
        <v>8060</v>
      </c>
      <c r="U2306" t="s">
        <v>8016</v>
      </c>
      <c r="V2306" t="s">
        <v>8002</v>
      </c>
      <c r="W2306" t="s">
        <v>8010</v>
      </c>
      <c r="X2306" t="s">
        <v>46</v>
      </c>
      <c r="AC2306">
        <f>COUNTIF(C:C,QLKV_gui_ket_qua_ra_soat[[#This Row],[Mã điểm bán]])</f>
        <v>1</v>
      </c>
    </row>
    <row r="2307" spans="1:29" x14ac:dyDescent="0.45">
      <c r="A2307" t="s">
        <v>7995</v>
      </c>
      <c r="B2307">
        <v>100</v>
      </c>
      <c r="C2307" t="s">
        <v>8359</v>
      </c>
      <c r="D2307" t="s">
        <v>8360</v>
      </c>
      <c r="E2307" t="s">
        <v>211</v>
      </c>
      <c r="F2307" t="s">
        <v>401</v>
      </c>
      <c r="G2307" t="s">
        <v>34</v>
      </c>
      <c r="H2307" t="s">
        <v>2454</v>
      </c>
      <c r="I2307" t="s">
        <v>7435</v>
      </c>
      <c r="J2307" t="s">
        <v>38</v>
      </c>
      <c r="K2307" t="s">
        <v>38</v>
      </c>
      <c r="L2307" t="s">
        <v>40</v>
      </c>
      <c r="M2307" t="s">
        <v>37</v>
      </c>
      <c r="N2307" t="s">
        <v>37</v>
      </c>
      <c r="O2307" t="s">
        <v>39</v>
      </c>
      <c r="P2307" t="s">
        <v>38</v>
      </c>
      <c r="Q2307" t="s">
        <v>38</v>
      </c>
      <c r="R2307" t="s">
        <v>40</v>
      </c>
      <c r="S2307" t="s">
        <v>627</v>
      </c>
      <c r="T2307" t="s">
        <v>8196</v>
      </c>
      <c r="U2307" t="s">
        <v>8001</v>
      </c>
      <c r="V2307" t="s">
        <v>8002</v>
      </c>
      <c r="W2307" t="s">
        <v>8003</v>
      </c>
      <c r="X2307" t="s">
        <v>46</v>
      </c>
      <c r="AC2307">
        <f>COUNTIF(C:C,QLKV_gui_ket_qua_ra_soat[[#This Row],[Mã điểm bán]])</f>
        <v>1</v>
      </c>
    </row>
    <row r="2308" spans="1:29" x14ac:dyDescent="0.45">
      <c r="A2308" t="s">
        <v>7995</v>
      </c>
      <c r="B2308">
        <v>101</v>
      </c>
      <c r="C2308" t="s">
        <v>8361</v>
      </c>
      <c r="D2308" t="s">
        <v>8362</v>
      </c>
      <c r="E2308" t="s">
        <v>69</v>
      </c>
      <c r="F2308" t="s">
        <v>53</v>
      </c>
      <c r="G2308" t="s">
        <v>34</v>
      </c>
      <c r="H2308" t="s">
        <v>54</v>
      </c>
      <c r="I2308" t="s">
        <v>8363</v>
      </c>
      <c r="J2308" t="s">
        <v>38</v>
      </c>
      <c r="K2308" t="s">
        <v>38</v>
      </c>
      <c r="L2308" t="s">
        <v>40</v>
      </c>
      <c r="M2308" t="s">
        <v>37</v>
      </c>
      <c r="N2308" t="s">
        <v>37</v>
      </c>
      <c r="O2308" t="s">
        <v>39</v>
      </c>
      <c r="P2308" t="s">
        <v>38</v>
      </c>
      <c r="Q2308" t="s">
        <v>38</v>
      </c>
      <c r="R2308" t="s">
        <v>40</v>
      </c>
      <c r="S2308" t="s">
        <v>627</v>
      </c>
      <c r="T2308" t="s">
        <v>8196</v>
      </c>
      <c r="U2308" t="s">
        <v>8001</v>
      </c>
      <c r="V2308" t="s">
        <v>8002</v>
      </c>
      <c r="W2308" t="s">
        <v>8003</v>
      </c>
      <c r="X2308" t="s">
        <v>46</v>
      </c>
      <c r="AC2308">
        <f>COUNTIF(C:C,QLKV_gui_ket_qua_ra_soat[[#This Row],[Mã điểm bán]])</f>
        <v>1</v>
      </c>
    </row>
    <row r="2309" spans="1:29" x14ac:dyDescent="0.45">
      <c r="A2309" t="s">
        <v>7995</v>
      </c>
      <c r="B2309">
        <v>102</v>
      </c>
      <c r="C2309" t="s">
        <v>8364</v>
      </c>
      <c r="D2309" t="s">
        <v>8365</v>
      </c>
      <c r="E2309" t="s">
        <v>8366</v>
      </c>
      <c r="F2309" t="s">
        <v>53</v>
      </c>
      <c r="G2309" t="s">
        <v>34</v>
      </c>
      <c r="H2309" t="s">
        <v>54</v>
      </c>
      <c r="I2309" t="s">
        <v>8367</v>
      </c>
      <c r="J2309" t="s">
        <v>38</v>
      </c>
      <c r="K2309" t="s">
        <v>38</v>
      </c>
      <c r="L2309" t="s">
        <v>40</v>
      </c>
      <c r="M2309" t="s">
        <v>56</v>
      </c>
      <c r="N2309" t="s">
        <v>56</v>
      </c>
      <c r="O2309" t="s">
        <v>39</v>
      </c>
      <c r="P2309" t="s">
        <v>38</v>
      </c>
      <c r="Q2309" t="s">
        <v>38</v>
      </c>
      <c r="R2309" t="s">
        <v>40</v>
      </c>
      <c r="S2309" t="s">
        <v>8368</v>
      </c>
      <c r="T2309" t="s">
        <v>8015</v>
      </c>
      <c r="U2309" t="s">
        <v>8016</v>
      </c>
      <c r="V2309" t="s">
        <v>8002</v>
      </c>
      <c r="W2309" t="s">
        <v>8003</v>
      </c>
      <c r="Z2309" t="s">
        <v>46</v>
      </c>
      <c r="AA2309" t="s">
        <v>8015</v>
      </c>
      <c r="AC2309">
        <f>COUNTIF(C:C,QLKV_gui_ket_qua_ra_soat[[#This Row],[Mã điểm bán]])</f>
        <v>1</v>
      </c>
    </row>
    <row r="2310" spans="1:29" x14ac:dyDescent="0.45">
      <c r="A2310" t="s">
        <v>7995</v>
      </c>
      <c r="B2310">
        <v>103</v>
      </c>
      <c r="C2310" t="s">
        <v>8369</v>
      </c>
      <c r="D2310" t="s">
        <v>8370</v>
      </c>
      <c r="E2310" t="s">
        <v>69</v>
      </c>
      <c r="F2310" t="s">
        <v>53</v>
      </c>
      <c r="G2310" t="s">
        <v>34</v>
      </c>
      <c r="H2310" t="s">
        <v>402</v>
      </c>
      <c r="I2310" t="s">
        <v>8371</v>
      </c>
      <c r="J2310" t="s">
        <v>38</v>
      </c>
      <c r="K2310" t="s">
        <v>38</v>
      </c>
      <c r="L2310" t="s">
        <v>40</v>
      </c>
      <c r="M2310" t="s">
        <v>38</v>
      </c>
      <c r="N2310" t="s">
        <v>38</v>
      </c>
      <c r="O2310" t="s">
        <v>40</v>
      </c>
      <c r="P2310" t="s">
        <v>38</v>
      </c>
      <c r="Q2310" t="s">
        <v>38</v>
      </c>
      <c r="R2310" t="s">
        <v>40</v>
      </c>
      <c r="S2310" t="s">
        <v>8148</v>
      </c>
      <c r="T2310" t="s">
        <v>8008</v>
      </c>
      <c r="U2310" t="s">
        <v>8009</v>
      </c>
      <c r="V2310" t="s">
        <v>8002</v>
      </c>
      <c r="W2310" t="s">
        <v>8010</v>
      </c>
      <c r="X2310" t="s">
        <v>46</v>
      </c>
      <c r="AC2310">
        <f>COUNTIF(C:C,QLKV_gui_ket_qua_ra_soat[[#This Row],[Mã điểm bán]])</f>
        <v>1</v>
      </c>
    </row>
    <row r="2311" spans="1:29" x14ac:dyDescent="0.45">
      <c r="A2311" t="s">
        <v>7995</v>
      </c>
      <c r="B2311">
        <v>104</v>
      </c>
      <c r="C2311" t="s">
        <v>8372</v>
      </c>
      <c r="D2311" t="s">
        <v>8373</v>
      </c>
      <c r="E2311" t="s">
        <v>98</v>
      </c>
      <c r="F2311" t="s">
        <v>115</v>
      </c>
      <c r="G2311" t="s">
        <v>34</v>
      </c>
      <c r="H2311" t="s">
        <v>1280</v>
      </c>
      <c r="I2311" t="s">
        <v>8374</v>
      </c>
      <c r="J2311" t="s">
        <v>38</v>
      </c>
      <c r="K2311" t="s">
        <v>38</v>
      </c>
      <c r="L2311" t="s">
        <v>40</v>
      </c>
      <c r="M2311" t="s">
        <v>38</v>
      </c>
      <c r="N2311" t="s">
        <v>56</v>
      </c>
      <c r="O2311" t="s">
        <v>39</v>
      </c>
      <c r="P2311" t="s">
        <v>38</v>
      </c>
      <c r="Q2311" t="s">
        <v>38</v>
      </c>
      <c r="R2311" t="s">
        <v>40</v>
      </c>
      <c r="S2311" t="s">
        <v>8375</v>
      </c>
      <c r="T2311" t="s">
        <v>8008</v>
      </c>
      <c r="U2311" t="s">
        <v>8009</v>
      </c>
      <c r="V2311" t="s">
        <v>8002</v>
      </c>
      <c r="W2311" t="s">
        <v>8010</v>
      </c>
      <c r="X2311" t="s">
        <v>46</v>
      </c>
      <c r="AC2311">
        <f>COUNTIF(C:C,QLKV_gui_ket_qua_ra_soat[[#This Row],[Mã điểm bán]])</f>
        <v>1</v>
      </c>
    </row>
    <row r="2312" spans="1:29" x14ac:dyDescent="0.45">
      <c r="A2312" t="s">
        <v>7995</v>
      </c>
      <c r="B2312">
        <v>105</v>
      </c>
      <c r="C2312" t="s">
        <v>8376</v>
      </c>
      <c r="D2312" t="s">
        <v>8377</v>
      </c>
      <c r="E2312" t="s">
        <v>176</v>
      </c>
      <c r="F2312" t="s">
        <v>401</v>
      </c>
      <c r="G2312" t="s">
        <v>34</v>
      </c>
      <c r="H2312" t="s">
        <v>54</v>
      </c>
      <c r="I2312" t="s">
        <v>8378</v>
      </c>
      <c r="J2312" t="s">
        <v>38</v>
      </c>
      <c r="K2312" t="s">
        <v>38</v>
      </c>
      <c r="L2312" t="s">
        <v>40</v>
      </c>
      <c r="M2312" t="s">
        <v>37</v>
      </c>
      <c r="N2312" t="s">
        <v>37</v>
      </c>
      <c r="O2312" t="s">
        <v>39</v>
      </c>
      <c r="P2312" t="s">
        <v>38</v>
      </c>
      <c r="Q2312" t="s">
        <v>38</v>
      </c>
      <c r="R2312" t="s">
        <v>40</v>
      </c>
      <c r="S2312" t="s">
        <v>627</v>
      </c>
      <c r="T2312" t="s">
        <v>8196</v>
      </c>
      <c r="U2312" t="s">
        <v>8001</v>
      </c>
      <c r="V2312" t="s">
        <v>8002</v>
      </c>
      <c r="W2312" t="s">
        <v>8003</v>
      </c>
      <c r="X2312" t="s">
        <v>46</v>
      </c>
      <c r="AC2312">
        <f>COUNTIF(C:C,QLKV_gui_ket_qua_ra_soat[[#This Row],[Mã điểm bán]])</f>
        <v>1</v>
      </c>
    </row>
    <row r="2313" spans="1:29" x14ac:dyDescent="0.45">
      <c r="A2313" t="s">
        <v>7995</v>
      </c>
      <c r="B2313">
        <v>106</v>
      </c>
      <c r="C2313" t="s">
        <v>8379</v>
      </c>
      <c r="D2313" t="s">
        <v>8380</v>
      </c>
      <c r="E2313" t="s">
        <v>148</v>
      </c>
      <c r="F2313" t="s">
        <v>401</v>
      </c>
      <c r="G2313" t="s">
        <v>34</v>
      </c>
      <c r="H2313" t="s">
        <v>332</v>
      </c>
      <c r="I2313" t="s">
        <v>8381</v>
      </c>
      <c r="J2313" t="s">
        <v>37</v>
      </c>
      <c r="K2313" t="s">
        <v>38</v>
      </c>
      <c r="L2313" t="s">
        <v>39</v>
      </c>
      <c r="M2313" t="s">
        <v>37</v>
      </c>
      <c r="N2313" t="s">
        <v>37</v>
      </c>
      <c r="O2313" t="s">
        <v>39</v>
      </c>
      <c r="P2313" t="s">
        <v>37</v>
      </c>
      <c r="Q2313" t="s">
        <v>38</v>
      </c>
      <c r="R2313" t="s">
        <v>39</v>
      </c>
      <c r="S2313" t="s">
        <v>8191</v>
      </c>
      <c r="T2313" t="s">
        <v>8192</v>
      </c>
      <c r="U2313" t="s">
        <v>8084</v>
      </c>
      <c r="V2313" t="s">
        <v>8002</v>
      </c>
      <c r="W2313" t="s">
        <v>8085</v>
      </c>
      <c r="Z2313" t="s">
        <v>46</v>
      </c>
      <c r="AA2313" t="s">
        <v>8192</v>
      </c>
      <c r="AC2313">
        <f>COUNTIF(C:C,QLKV_gui_ket_qua_ra_soat[[#This Row],[Mã điểm bán]])</f>
        <v>1</v>
      </c>
    </row>
    <row r="2314" spans="1:29" x14ac:dyDescent="0.45">
      <c r="A2314" t="s">
        <v>7995</v>
      </c>
      <c r="B2314">
        <v>107</v>
      </c>
      <c r="C2314" t="s">
        <v>8382</v>
      </c>
      <c r="D2314" t="s">
        <v>8383</v>
      </c>
      <c r="E2314" t="s">
        <v>109</v>
      </c>
      <c r="F2314" t="s">
        <v>53</v>
      </c>
      <c r="G2314" t="s">
        <v>34</v>
      </c>
      <c r="H2314" t="s">
        <v>1188</v>
      </c>
      <c r="I2314" t="s">
        <v>8384</v>
      </c>
      <c r="J2314" t="s">
        <v>38</v>
      </c>
      <c r="K2314" t="s">
        <v>38</v>
      </c>
      <c r="L2314" t="s">
        <v>40</v>
      </c>
      <c r="M2314" t="s">
        <v>38</v>
      </c>
      <c r="N2314" t="s">
        <v>38</v>
      </c>
      <c r="O2314" t="s">
        <v>40</v>
      </c>
      <c r="P2314" t="s">
        <v>38</v>
      </c>
      <c r="Q2314" t="s">
        <v>38</v>
      </c>
      <c r="R2314" t="s">
        <v>40</v>
      </c>
      <c r="S2314" t="s">
        <v>8385</v>
      </c>
      <c r="T2314" t="s">
        <v>8008</v>
      </c>
      <c r="U2314" t="s">
        <v>8009</v>
      </c>
      <c r="V2314" t="s">
        <v>8002</v>
      </c>
      <c r="W2314" t="s">
        <v>8010</v>
      </c>
      <c r="X2314" t="s">
        <v>46</v>
      </c>
      <c r="AC2314">
        <f>COUNTIF(C:C,QLKV_gui_ket_qua_ra_soat[[#This Row],[Mã điểm bán]])</f>
        <v>1</v>
      </c>
    </row>
    <row r="2315" spans="1:29" x14ac:dyDescent="0.45">
      <c r="A2315" t="s">
        <v>7995</v>
      </c>
      <c r="B2315">
        <v>108</v>
      </c>
      <c r="C2315" t="s">
        <v>8386</v>
      </c>
      <c r="D2315" t="s">
        <v>8387</v>
      </c>
      <c r="E2315" t="s">
        <v>261</v>
      </c>
      <c r="F2315" t="s">
        <v>53</v>
      </c>
      <c r="G2315" t="s">
        <v>34</v>
      </c>
      <c r="H2315" t="s">
        <v>319</v>
      </c>
      <c r="I2315" t="s">
        <v>8388</v>
      </c>
      <c r="J2315" t="s">
        <v>38</v>
      </c>
      <c r="K2315" t="s">
        <v>38</v>
      </c>
      <c r="L2315" t="s">
        <v>40</v>
      </c>
      <c r="M2315" t="s">
        <v>38</v>
      </c>
      <c r="N2315" t="s">
        <v>56</v>
      </c>
      <c r="O2315" t="s">
        <v>39</v>
      </c>
      <c r="P2315" t="s">
        <v>38</v>
      </c>
      <c r="Q2315" t="s">
        <v>38</v>
      </c>
      <c r="R2315" t="s">
        <v>40</v>
      </c>
      <c r="S2315" t="s">
        <v>8389</v>
      </c>
      <c r="T2315" t="s">
        <v>8008</v>
      </c>
      <c r="U2315" t="s">
        <v>8009</v>
      </c>
      <c r="V2315" t="s">
        <v>8002</v>
      </c>
      <c r="W2315" t="s">
        <v>8010</v>
      </c>
      <c r="X2315" t="s">
        <v>46</v>
      </c>
      <c r="AC2315">
        <f>COUNTIF(C:C,QLKV_gui_ket_qua_ra_soat[[#This Row],[Mã điểm bán]])</f>
        <v>1</v>
      </c>
    </row>
    <row r="2316" spans="1:29" x14ac:dyDescent="0.45">
      <c r="A2316" t="s">
        <v>7995</v>
      </c>
      <c r="B2316">
        <v>109</v>
      </c>
      <c r="C2316" t="s">
        <v>8390</v>
      </c>
      <c r="D2316" t="s">
        <v>8391</v>
      </c>
      <c r="E2316" t="s">
        <v>8392</v>
      </c>
      <c r="F2316" t="s">
        <v>401</v>
      </c>
      <c r="G2316" t="s">
        <v>34</v>
      </c>
      <c r="H2316" t="s">
        <v>546</v>
      </c>
      <c r="I2316" t="s">
        <v>8393</v>
      </c>
      <c r="J2316" t="s">
        <v>37</v>
      </c>
      <c r="K2316" t="s">
        <v>38</v>
      </c>
      <c r="L2316" t="s">
        <v>39</v>
      </c>
      <c r="M2316" t="s">
        <v>37</v>
      </c>
      <c r="N2316" t="s">
        <v>37</v>
      </c>
      <c r="O2316" t="s">
        <v>39</v>
      </c>
      <c r="P2316" t="s">
        <v>38</v>
      </c>
      <c r="Q2316" t="s">
        <v>38</v>
      </c>
      <c r="R2316" t="s">
        <v>39</v>
      </c>
      <c r="S2316" t="s">
        <v>8191</v>
      </c>
      <c r="T2316" t="s">
        <v>8192</v>
      </c>
      <c r="U2316" t="s">
        <v>8084</v>
      </c>
      <c r="V2316" t="s">
        <v>8002</v>
      </c>
      <c r="W2316" t="s">
        <v>8085</v>
      </c>
      <c r="X2316" t="s">
        <v>46</v>
      </c>
      <c r="AC2316">
        <f>COUNTIF(C:C,QLKV_gui_ket_qua_ra_soat[[#This Row],[Mã điểm bán]])</f>
        <v>1</v>
      </c>
    </row>
    <row r="2317" spans="1:29" x14ac:dyDescent="0.45">
      <c r="A2317" t="s">
        <v>7995</v>
      </c>
      <c r="B2317">
        <v>110</v>
      </c>
      <c r="C2317" t="s">
        <v>8394</v>
      </c>
      <c r="D2317" t="s">
        <v>8395</v>
      </c>
      <c r="E2317" t="s">
        <v>219</v>
      </c>
      <c r="F2317" t="s">
        <v>417</v>
      </c>
      <c r="G2317" t="s">
        <v>34</v>
      </c>
      <c r="H2317" t="s">
        <v>525</v>
      </c>
      <c r="I2317" t="s">
        <v>8345</v>
      </c>
      <c r="J2317" t="s">
        <v>38</v>
      </c>
      <c r="K2317" t="s">
        <v>38</v>
      </c>
      <c r="L2317" t="s">
        <v>40</v>
      </c>
      <c r="M2317" t="s">
        <v>37</v>
      </c>
      <c r="N2317" t="s">
        <v>37</v>
      </c>
      <c r="O2317" t="s">
        <v>39</v>
      </c>
      <c r="P2317" t="s">
        <v>38</v>
      </c>
      <c r="Q2317" t="s">
        <v>38</v>
      </c>
      <c r="R2317" t="s">
        <v>40</v>
      </c>
      <c r="S2317" t="s">
        <v>627</v>
      </c>
      <c r="T2317" t="s">
        <v>8196</v>
      </c>
      <c r="U2317" t="s">
        <v>8001</v>
      </c>
      <c r="V2317" t="s">
        <v>8002</v>
      </c>
      <c r="W2317" t="s">
        <v>8003</v>
      </c>
      <c r="Z2317" t="s">
        <v>46</v>
      </c>
      <c r="AA2317" t="s">
        <v>8196</v>
      </c>
      <c r="AC2317">
        <f>COUNTIF(C:C,QLKV_gui_ket_qua_ra_soat[[#This Row],[Mã điểm bán]])</f>
        <v>1</v>
      </c>
    </row>
    <row r="2318" spans="1:29" x14ac:dyDescent="0.45">
      <c r="A2318" t="s">
        <v>7995</v>
      </c>
      <c r="B2318">
        <v>111</v>
      </c>
      <c r="C2318" t="s">
        <v>8396</v>
      </c>
      <c r="D2318" t="s">
        <v>8189</v>
      </c>
      <c r="E2318" t="s">
        <v>269</v>
      </c>
      <c r="F2318" t="s">
        <v>53</v>
      </c>
      <c r="G2318" t="s">
        <v>34</v>
      </c>
      <c r="H2318" t="s">
        <v>54</v>
      </c>
      <c r="I2318" t="s">
        <v>8397</v>
      </c>
      <c r="J2318" t="s">
        <v>37</v>
      </c>
      <c r="K2318" t="s">
        <v>37</v>
      </c>
      <c r="L2318" t="s">
        <v>39</v>
      </c>
      <c r="M2318" t="s">
        <v>37</v>
      </c>
      <c r="N2318" t="s">
        <v>37</v>
      </c>
      <c r="O2318" t="s">
        <v>39</v>
      </c>
      <c r="P2318" t="s">
        <v>38</v>
      </c>
      <c r="Q2318" t="s">
        <v>37</v>
      </c>
      <c r="R2318" t="s">
        <v>39</v>
      </c>
      <c r="S2318" t="s">
        <v>41</v>
      </c>
      <c r="T2318" t="s">
        <v>8083</v>
      </c>
      <c r="U2318" t="s">
        <v>8084</v>
      </c>
      <c r="V2318" t="s">
        <v>8002</v>
      </c>
      <c r="W2318" t="s">
        <v>8085</v>
      </c>
      <c r="X2318" t="s">
        <v>46</v>
      </c>
      <c r="AC2318">
        <f>COUNTIF(C:C,QLKV_gui_ket_qua_ra_soat[[#This Row],[Mã điểm bán]])</f>
        <v>1</v>
      </c>
    </row>
    <row r="2319" spans="1:29" x14ac:dyDescent="0.45">
      <c r="A2319" t="s">
        <v>7995</v>
      </c>
      <c r="B2319">
        <v>112</v>
      </c>
      <c r="C2319" t="s">
        <v>8398</v>
      </c>
      <c r="D2319" t="s">
        <v>8399</v>
      </c>
      <c r="E2319" t="s">
        <v>1492</v>
      </c>
      <c r="F2319" t="s">
        <v>417</v>
      </c>
      <c r="G2319" t="s">
        <v>34</v>
      </c>
      <c r="H2319" t="s">
        <v>8400</v>
      </c>
      <c r="I2319" t="s">
        <v>8268</v>
      </c>
      <c r="J2319" t="s">
        <v>38</v>
      </c>
      <c r="K2319" t="s">
        <v>38</v>
      </c>
      <c r="L2319" t="s">
        <v>40</v>
      </c>
      <c r="M2319" t="s">
        <v>37</v>
      </c>
      <c r="N2319" t="s">
        <v>37</v>
      </c>
      <c r="O2319" t="s">
        <v>39</v>
      </c>
      <c r="P2319" t="s">
        <v>38</v>
      </c>
      <c r="Q2319" t="s">
        <v>38</v>
      </c>
      <c r="R2319" t="s">
        <v>40</v>
      </c>
      <c r="S2319" t="s">
        <v>627</v>
      </c>
      <c r="T2319" t="s">
        <v>8196</v>
      </c>
      <c r="U2319" t="s">
        <v>8001</v>
      </c>
      <c r="V2319" t="s">
        <v>8002</v>
      </c>
      <c r="W2319" t="s">
        <v>8003</v>
      </c>
      <c r="X2319" t="s">
        <v>46</v>
      </c>
      <c r="AC2319">
        <f>COUNTIF(C:C,QLKV_gui_ket_qua_ra_soat[[#This Row],[Mã điểm bán]])</f>
        <v>1</v>
      </c>
    </row>
    <row r="2320" spans="1:29" x14ac:dyDescent="0.45">
      <c r="A2320" t="s">
        <v>7995</v>
      </c>
      <c r="B2320">
        <v>113</v>
      </c>
      <c r="C2320" t="s">
        <v>8401</v>
      </c>
      <c r="D2320" t="s">
        <v>8402</v>
      </c>
      <c r="E2320" t="s">
        <v>128</v>
      </c>
      <c r="F2320" t="s">
        <v>426</v>
      </c>
      <c r="G2320" t="s">
        <v>34</v>
      </c>
      <c r="H2320" t="s">
        <v>340</v>
      </c>
      <c r="I2320" t="s">
        <v>8403</v>
      </c>
      <c r="J2320" t="s">
        <v>38</v>
      </c>
      <c r="K2320" t="s">
        <v>38</v>
      </c>
      <c r="L2320" t="s">
        <v>40</v>
      </c>
      <c r="M2320" t="s">
        <v>37</v>
      </c>
      <c r="N2320" t="s">
        <v>37</v>
      </c>
      <c r="O2320" t="s">
        <v>39</v>
      </c>
      <c r="P2320" t="s">
        <v>38</v>
      </c>
      <c r="Q2320" t="s">
        <v>38</v>
      </c>
      <c r="R2320" t="s">
        <v>40</v>
      </c>
      <c r="S2320" t="s">
        <v>627</v>
      </c>
      <c r="T2320" t="s">
        <v>8196</v>
      </c>
      <c r="U2320" t="s">
        <v>8001</v>
      </c>
      <c r="V2320" t="s">
        <v>8002</v>
      </c>
      <c r="W2320" t="s">
        <v>8003</v>
      </c>
      <c r="X2320" t="s">
        <v>46</v>
      </c>
      <c r="AC2320">
        <f>COUNTIF(C:C,QLKV_gui_ket_qua_ra_soat[[#This Row],[Mã điểm bán]])</f>
        <v>1</v>
      </c>
    </row>
    <row r="2321" spans="1:29" x14ac:dyDescent="0.45">
      <c r="A2321" t="s">
        <v>7995</v>
      </c>
      <c r="B2321">
        <v>114</v>
      </c>
      <c r="C2321" t="s">
        <v>8404</v>
      </c>
      <c r="D2321" t="s">
        <v>8405</v>
      </c>
      <c r="E2321" t="s">
        <v>8406</v>
      </c>
      <c r="F2321" t="s">
        <v>115</v>
      </c>
      <c r="G2321" t="s">
        <v>34</v>
      </c>
      <c r="H2321" t="s">
        <v>54</v>
      </c>
      <c r="I2321" t="s">
        <v>8407</v>
      </c>
      <c r="J2321" t="s">
        <v>38</v>
      </c>
      <c r="K2321" t="s">
        <v>38</v>
      </c>
      <c r="L2321" t="s">
        <v>40</v>
      </c>
      <c r="M2321" t="s">
        <v>37</v>
      </c>
      <c r="N2321" t="s">
        <v>37</v>
      </c>
      <c r="O2321" t="s">
        <v>39</v>
      </c>
      <c r="P2321" t="s">
        <v>38</v>
      </c>
      <c r="Q2321" t="s">
        <v>38</v>
      </c>
      <c r="R2321" t="s">
        <v>40</v>
      </c>
      <c r="S2321" t="s">
        <v>41</v>
      </c>
      <c r="T2321" t="s">
        <v>8136</v>
      </c>
      <c r="U2321" t="s">
        <v>8137</v>
      </c>
      <c r="V2321" t="s">
        <v>8002</v>
      </c>
      <c r="W2321" t="s">
        <v>8085</v>
      </c>
      <c r="X2321" t="s">
        <v>46</v>
      </c>
      <c r="AC2321">
        <f>COUNTIF(C:C,QLKV_gui_ket_qua_ra_soat[[#This Row],[Mã điểm bán]])</f>
        <v>1</v>
      </c>
    </row>
    <row r="2322" spans="1:29" x14ac:dyDescent="0.45">
      <c r="A2322" t="s">
        <v>7995</v>
      </c>
      <c r="B2322">
        <v>115</v>
      </c>
      <c r="C2322" t="s">
        <v>8408</v>
      </c>
      <c r="D2322" t="s">
        <v>8409</v>
      </c>
      <c r="E2322" t="s">
        <v>157</v>
      </c>
      <c r="F2322" t="s">
        <v>2368</v>
      </c>
      <c r="G2322" t="s">
        <v>34</v>
      </c>
      <c r="H2322" t="s">
        <v>54</v>
      </c>
      <c r="I2322" t="s">
        <v>8410</v>
      </c>
      <c r="J2322" t="s">
        <v>38</v>
      </c>
      <c r="K2322" t="s">
        <v>38</v>
      </c>
      <c r="L2322" t="s">
        <v>39</v>
      </c>
      <c r="M2322" t="s">
        <v>38</v>
      </c>
      <c r="N2322" t="s">
        <v>38</v>
      </c>
      <c r="O2322" t="s">
        <v>39</v>
      </c>
      <c r="P2322" t="s">
        <v>38</v>
      </c>
      <c r="Q2322" t="s">
        <v>38</v>
      </c>
      <c r="R2322" t="s">
        <v>40</v>
      </c>
      <c r="S2322" t="s">
        <v>8411</v>
      </c>
      <c r="T2322" t="s">
        <v>8038</v>
      </c>
      <c r="U2322" t="s">
        <v>8029</v>
      </c>
      <c r="V2322" t="s">
        <v>8002</v>
      </c>
      <c r="W2322" t="s">
        <v>8030</v>
      </c>
      <c r="AC2322">
        <f>COUNTIF(C:C,QLKV_gui_ket_qua_ra_soat[[#This Row],[Mã điểm bán]])</f>
        <v>1</v>
      </c>
    </row>
    <row r="2323" spans="1:29" x14ac:dyDescent="0.45">
      <c r="A2323" t="s">
        <v>7995</v>
      </c>
      <c r="B2323">
        <v>116</v>
      </c>
      <c r="C2323" t="s">
        <v>8412</v>
      </c>
      <c r="D2323" t="s">
        <v>8413</v>
      </c>
      <c r="E2323" t="s">
        <v>8414</v>
      </c>
      <c r="F2323" t="s">
        <v>4395</v>
      </c>
      <c r="G2323" t="s">
        <v>1624</v>
      </c>
      <c r="H2323" t="s">
        <v>54</v>
      </c>
      <c r="I2323" t="s">
        <v>8415</v>
      </c>
      <c r="J2323" t="s">
        <v>56</v>
      </c>
      <c r="K2323" t="s">
        <v>56</v>
      </c>
      <c r="L2323" t="s">
        <v>39</v>
      </c>
      <c r="M2323" t="s">
        <v>56</v>
      </c>
      <c r="N2323" t="s">
        <v>56</v>
      </c>
      <c r="O2323" t="s">
        <v>39</v>
      </c>
      <c r="P2323" t="s">
        <v>37</v>
      </c>
      <c r="Q2323" t="s">
        <v>37</v>
      </c>
      <c r="R2323" t="s">
        <v>39</v>
      </c>
      <c r="S2323" t="s">
        <v>41</v>
      </c>
      <c r="T2323" t="s">
        <v>8105</v>
      </c>
      <c r="U2323" t="s">
        <v>8016</v>
      </c>
      <c r="V2323" t="s">
        <v>8002</v>
      </c>
      <c r="W2323" t="s">
        <v>8003</v>
      </c>
      <c r="Z2323" t="s">
        <v>46</v>
      </c>
      <c r="AA2323" t="s">
        <v>8105</v>
      </c>
      <c r="AC2323">
        <f>COUNTIF(C:C,QLKV_gui_ket_qua_ra_soat[[#This Row],[Mã điểm bán]])</f>
        <v>1</v>
      </c>
    </row>
    <row r="2324" spans="1:29" x14ac:dyDescent="0.45">
      <c r="A2324" t="s">
        <v>7995</v>
      </c>
      <c r="B2324">
        <v>117</v>
      </c>
      <c r="C2324" t="s">
        <v>8416</v>
      </c>
      <c r="D2324" t="s">
        <v>4647</v>
      </c>
      <c r="E2324" t="s">
        <v>1695</v>
      </c>
      <c r="F2324" t="s">
        <v>1994</v>
      </c>
      <c r="G2324" t="s">
        <v>34</v>
      </c>
      <c r="H2324" t="s">
        <v>555</v>
      </c>
      <c r="I2324" t="s">
        <v>8417</v>
      </c>
      <c r="J2324" t="s">
        <v>38</v>
      </c>
      <c r="K2324" t="s">
        <v>38</v>
      </c>
      <c r="L2324" t="s">
        <v>39</v>
      </c>
      <c r="M2324" t="s">
        <v>37</v>
      </c>
      <c r="N2324" t="s">
        <v>38</v>
      </c>
      <c r="O2324" t="s">
        <v>39</v>
      </c>
      <c r="P2324" t="s">
        <v>38</v>
      </c>
      <c r="Q2324" t="s">
        <v>38</v>
      </c>
      <c r="R2324" t="s">
        <v>39</v>
      </c>
      <c r="S2324" t="s">
        <v>41</v>
      </c>
      <c r="T2324" t="s">
        <v>8136</v>
      </c>
      <c r="U2324" t="s">
        <v>8137</v>
      </c>
      <c r="V2324" t="s">
        <v>8002</v>
      </c>
      <c r="W2324" t="s">
        <v>8085</v>
      </c>
      <c r="X2324" t="s">
        <v>46</v>
      </c>
      <c r="AC2324">
        <f>COUNTIF(C:C,QLKV_gui_ket_qua_ra_soat[[#This Row],[Mã điểm bán]])</f>
        <v>1</v>
      </c>
    </row>
    <row r="2325" spans="1:29" x14ac:dyDescent="0.45">
      <c r="A2325" t="s">
        <v>7995</v>
      </c>
      <c r="B2325">
        <v>118</v>
      </c>
      <c r="C2325" t="s">
        <v>8418</v>
      </c>
      <c r="D2325" t="s">
        <v>8419</v>
      </c>
      <c r="E2325" t="s">
        <v>4394</v>
      </c>
      <c r="F2325" t="s">
        <v>401</v>
      </c>
      <c r="G2325" t="s">
        <v>34</v>
      </c>
      <c r="H2325" t="s">
        <v>1280</v>
      </c>
      <c r="I2325" t="s">
        <v>8420</v>
      </c>
      <c r="J2325" t="s">
        <v>56</v>
      </c>
      <c r="K2325" t="s">
        <v>56</v>
      </c>
      <c r="L2325" t="s">
        <v>39</v>
      </c>
      <c r="M2325" t="s">
        <v>56</v>
      </c>
      <c r="N2325" t="s">
        <v>56</v>
      </c>
      <c r="O2325" t="s">
        <v>39</v>
      </c>
      <c r="P2325" t="s">
        <v>56</v>
      </c>
      <c r="Q2325" t="s">
        <v>56</v>
      </c>
      <c r="R2325" t="s">
        <v>39</v>
      </c>
      <c r="S2325" t="s">
        <v>8421</v>
      </c>
      <c r="T2325" t="s">
        <v>8238</v>
      </c>
      <c r="U2325" t="s">
        <v>8239</v>
      </c>
      <c r="V2325" t="s">
        <v>8002</v>
      </c>
      <c r="W2325" t="s">
        <v>8010</v>
      </c>
      <c r="X2325" t="s">
        <v>46</v>
      </c>
      <c r="AC2325">
        <f>COUNTIF(C:C,QLKV_gui_ket_qua_ra_soat[[#This Row],[Mã điểm bán]])</f>
        <v>1</v>
      </c>
    </row>
    <row r="2326" spans="1:29" x14ac:dyDescent="0.45">
      <c r="A2326" t="s">
        <v>7995</v>
      </c>
      <c r="B2326">
        <v>119</v>
      </c>
      <c r="C2326" t="s">
        <v>8422</v>
      </c>
      <c r="D2326" t="s">
        <v>7903</v>
      </c>
      <c r="E2326" t="s">
        <v>8423</v>
      </c>
      <c r="F2326" t="s">
        <v>426</v>
      </c>
      <c r="G2326" t="s">
        <v>34</v>
      </c>
      <c r="H2326" t="s">
        <v>214</v>
      </c>
      <c r="I2326" t="s">
        <v>8424</v>
      </c>
      <c r="J2326" t="s">
        <v>38</v>
      </c>
      <c r="K2326" t="s">
        <v>38</v>
      </c>
      <c r="L2326" t="s">
        <v>39</v>
      </c>
      <c r="M2326" t="s">
        <v>38</v>
      </c>
      <c r="N2326" t="s">
        <v>38</v>
      </c>
      <c r="O2326" t="s">
        <v>39</v>
      </c>
      <c r="P2326" t="s">
        <v>38</v>
      </c>
      <c r="Q2326" t="s">
        <v>38</v>
      </c>
      <c r="R2326" t="s">
        <v>39</v>
      </c>
      <c r="S2326" t="s">
        <v>41</v>
      </c>
      <c r="T2326" t="s">
        <v>8060</v>
      </c>
      <c r="U2326" t="s">
        <v>8016</v>
      </c>
      <c r="V2326" t="s">
        <v>8002</v>
      </c>
      <c r="W2326" t="s">
        <v>8003</v>
      </c>
      <c r="Z2326" t="s">
        <v>46</v>
      </c>
      <c r="AA2326" t="s">
        <v>8060</v>
      </c>
      <c r="AC2326">
        <f>COUNTIF(C:C,QLKV_gui_ket_qua_ra_soat[[#This Row],[Mã điểm bán]])</f>
        <v>1</v>
      </c>
    </row>
    <row r="2327" spans="1:29" x14ac:dyDescent="0.45">
      <c r="A2327" t="s">
        <v>7995</v>
      </c>
      <c r="B2327">
        <v>120</v>
      </c>
      <c r="C2327" t="s">
        <v>8425</v>
      </c>
      <c r="D2327" t="s">
        <v>8426</v>
      </c>
      <c r="E2327" t="s">
        <v>416</v>
      </c>
      <c r="F2327" t="s">
        <v>53</v>
      </c>
      <c r="G2327" t="s">
        <v>34</v>
      </c>
      <c r="H2327" t="s">
        <v>54</v>
      </c>
      <c r="I2327" t="s">
        <v>8427</v>
      </c>
      <c r="J2327" t="s">
        <v>38</v>
      </c>
      <c r="K2327" t="s">
        <v>38</v>
      </c>
      <c r="L2327" t="s">
        <v>39</v>
      </c>
      <c r="M2327" t="s">
        <v>38</v>
      </c>
      <c r="N2327" t="s">
        <v>38</v>
      </c>
      <c r="O2327" t="s">
        <v>39</v>
      </c>
      <c r="P2327" t="s">
        <v>38</v>
      </c>
      <c r="Q2327" t="s">
        <v>38</v>
      </c>
      <c r="R2327" t="s">
        <v>39</v>
      </c>
      <c r="S2327" t="s">
        <v>41</v>
      </c>
      <c r="T2327" t="s">
        <v>8038</v>
      </c>
      <c r="U2327" t="s">
        <v>8029</v>
      </c>
      <c r="V2327" t="s">
        <v>8002</v>
      </c>
      <c r="W2327" t="s">
        <v>8030</v>
      </c>
      <c r="AC2327">
        <f>COUNTIF(C:C,QLKV_gui_ket_qua_ra_soat[[#This Row],[Mã điểm bán]])</f>
        <v>1</v>
      </c>
    </row>
    <row r="2328" spans="1:29" x14ac:dyDescent="0.45">
      <c r="A2328" t="s">
        <v>7995</v>
      </c>
      <c r="B2328">
        <v>121</v>
      </c>
      <c r="C2328" t="s">
        <v>8428</v>
      </c>
      <c r="D2328" t="s">
        <v>8429</v>
      </c>
      <c r="E2328" t="s">
        <v>2495</v>
      </c>
      <c r="F2328" t="s">
        <v>8430</v>
      </c>
      <c r="G2328" t="s">
        <v>34</v>
      </c>
      <c r="H2328" t="s">
        <v>319</v>
      </c>
      <c r="I2328" t="s">
        <v>8431</v>
      </c>
      <c r="J2328" t="s">
        <v>38</v>
      </c>
      <c r="K2328" t="s">
        <v>38</v>
      </c>
      <c r="L2328" t="s">
        <v>40</v>
      </c>
      <c r="M2328" t="s">
        <v>37</v>
      </c>
      <c r="N2328" t="s">
        <v>37</v>
      </c>
      <c r="O2328" t="s">
        <v>39</v>
      </c>
      <c r="P2328" t="s">
        <v>38</v>
      </c>
      <c r="Q2328" t="s">
        <v>38</v>
      </c>
      <c r="R2328" t="s">
        <v>40</v>
      </c>
      <c r="S2328" t="s">
        <v>41</v>
      </c>
      <c r="T2328" t="s">
        <v>8136</v>
      </c>
      <c r="U2328" t="s">
        <v>8137</v>
      </c>
      <c r="V2328" t="s">
        <v>8002</v>
      </c>
      <c r="W2328" t="s">
        <v>8085</v>
      </c>
      <c r="X2328" t="s">
        <v>46</v>
      </c>
      <c r="AC2328">
        <f>COUNTIF(C:C,QLKV_gui_ket_qua_ra_soat[[#This Row],[Mã điểm bán]])</f>
        <v>1</v>
      </c>
    </row>
    <row r="2329" spans="1:29" x14ac:dyDescent="0.45">
      <c r="A2329" t="s">
        <v>7995</v>
      </c>
      <c r="B2329">
        <v>122</v>
      </c>
      <c r="C2329" t="s">
        <v>8432</v>
      </c>
      <c r="D2329" t="s">
        <v>8433</v>
      </c>
      <c r="E2329" t="s">
        <v>98</v>
      </c>
      <c r="F2329" t="s">
        <v>426</v>
      </c>
      <c r="G2329" t="s">
        <v>34</v>
      </c>
      <c r="H2329" t="s">
        <v>214</v>
      </c>
      <c r="I2329" t="s">
        <v>8434</v>
      </c>
      <c r="J2329" t="s">
        <v>38</v>
      </c>
      <c r="K2329" t="s">
        <v>38</v>
      </c>
      <c r="L2329" t="s">
        <v>40</v>
      </c>
      <c r="M2329" t="s">
        <v>37</v>
      </c>
      <c r="N2329" t="s">
        <v>37</v>
      </c>
      <c r="O2329" t="s">
        <v>39</v>
      </c>
      <c r="P2329" t="s">
        <v>38</v>
      </c>
      <c r="Q2329" t="s">
        <v>38</v>
      </c>
      <c r="R2329" t="s">
        <v>40</v>
      </c>
      <c r="S2329" t="s">
        <v>627</v>
      </c>
      <c r="T2329" t="s">
        <v>8196</v>
      </c>
      <c r="U2329" t="s">
        <v>8001</v>
      </c>
      <c r="V2329" t="s">
        <v>8002</v>
      </c>
      <c r="W2329" t="s">
        <v>8003</v>
      </c>
      <c r="X2329" t="s">
        <v>46</v>
      </c>
      <c r="AC2329">
        <f>COUNTIF(C:C,QLKV_gui_ket_qua_ra_soat[[#This Row],[Mã điểm bán]])</f>
        <v>1</v>
      </c>
    </row>
    <row r="2330" spans="1:29" x14ac:dyDescent="0.45">
      <c r="A2330" t="s">
        <v>7995</v>
      </c>
      <c r="B2330">
        <v>123</v>
      </c>
      <c r="C2330" t="s">
        <v>8435</v>
      </c>
      <c r="D2330" t="s">
        <v>8436</v>
      </c>
      <c r="E2330" t="s">
        <v>108</v>
      </c>
      <c r="F2330" t="s">
        <v>53</v>
      </c>
      <c r="G2330" t="s">
        <v>34</v>
      </c>
      <c r="H2330" t="s">
        <v>54</v>
      </c>
      <c r="I2330" t="s">
        <v>8437</v>
      </c>
      <c r="J2330" t="s">
        <v>56</v>
      </c>
      <c r="K2330" t="s">
        <v>56</v>
      </c>
      <c r="L2330" t="s">
        <v>39</v>
      </c>
      <c r="M2330" t="s">
        <v>56</v>
      </c>
      <c r="N2330" t="s">
        <v>56</v>
      </c>
      <c r="O2330" t="s">
        <v>39</v>
      </c>
      <c r="P2330" t="s">
        <v>56</v>
      </c>
      <c r="Q2330" t="s">
        <v>37</v>
      </c>
      <c r="R2330" t="s">
        <v>40</v>
      </c>
      <c r="S2330" t="s">
        <v>7999</v>
      </c>
      <c r="T2330" t="s">
        <v>8000</v>
      </c>
      <c r="U2330" t="s">
        <v>8001</v>
      </c>
      <c r="V2330" t="s">
        <v>8002</v>
      </c>
      <c r="W2330" t="s">
        <v>8003</v>
      </c>
      <c r="Z2330" t="s">
        <v>46</v>
      </c>
      <c r="AA2330" t="s">
        <v>8000</v>
      </c>
      <c r="AC2330">
        <f>COUNTIF(C:C,QLKV_gui_ket_qua_ra_soat[[#This Row],[Mã điểm bán]])</f>
        <v>1</v>
      </c>
    </row>
    <row r="2331" spans="1:29" x14ac:dyDescent="0.45">
      <c r="A2331" t="s">
        <v>7995</v>
      </c>
      <c r="B2331">
        <v>124</v>
      </c>
      <c r="C2331" t="s">
        <v>8438</v>
      </c>
      <c r="D2331" t="s">
        <v>8439</v>
      </c>
      <c r="E2331" t="s">
        <v>742</v>
      </c>
      <c r="F2331" t="s">
        <v>8440</v>
      </c>
      <c r="G2331" t="s">
        <v>34</v>
      </c>
      <c r="H2331" t="s">
        <v>697</v>
      </c>
      <c r="I2331" t="s">
        <v>8441</v>
      </c>
      <c r="J2331" t="s">
        <v>56</v>
      </c>
      <c r="K2331" t="s">
        <v>38</v>
      </c>
      <c r="L2331" t="s">
        <v>39</v>
      </c>
      <c r="M2331" t="s">
        <v>38</v>
      </c>
      <c r="N2331" t="s">
        <v>38</v>
      </c>
      <c r="O2331" t="s">
        <v>40</v>
      </c>
      <c r="P2331" t="s">
        <v>38</v>
      </c>
      <c r="Q2331" t="s">
        <v>38</v>
      </c>
      <c r="R2331" t="s">
        <v>40</v>
      </c>
      <c r="S2331" t="s">
        <v>8442</v>
      </c>
      <c r="T2331" t="s">
        <v>8008</v>
      </c>
      <c r="U2331" t="s">
        <v>8009</v>
      </c>
      <c r="V2331" t="s">
        <v>8002</v>
      </c>
      <c r="W2331" t="s">
        <v>8010</v>
      </c>
      <c r="X2331" t="s">
        <v>46</v>
      </c>
      <c r="AC2331">
        <f>COUNTIF(C:C,QLKV_gui_ket_qua_ra_soat[[#This Row],[Mã điểm bán]])</f>
        <v>1</v>
      </c>
    </row>
    <row r="2332" spans="1:29" x14ac:dyDescent="0.45">
      <c r="A2332" t="s">
        <v>7995</v>
      </c>
      <c r="B2332">
        <v>125</v>
      </c>
      <c r="C2332" t="s">
        <v>8443</v>
      </c>
      <c r="D2332" t="s">
        <v>8444</v>
      </c>
      <c r="E2332" t="s">
        <v>148</v>
      </c>
      <c r="F2332" t="s">
        <v>53</v>
      </c>
      <c r="G2332" t="s">
        <v>177</v>
      </c>
      <c r="H2332" t="s">
        <v>54</v>
      </c>
      <c r="I2332" t="s">
        <v>8445</v>
      </c>
      <c r="J2332" t="s">
        <v>56</v>
      </c>
      <c r="K2332" t="s">
        <v>56</v>
      </c>
      <c r="L2332" t="s">
        <v>39</v>
      </c>
      <c r="M2332" t="s">
        <v>56</v>
      </c>
      <c r="N2332" t="s">
        <v>56</v>
      </c>
      <c r="O2332" t="s">
        <v>39</v>
      </c>
      <c r="P2332" t="s">
        <v>37</v>
      </c>
      <c r="Q2332" t="s">
        <v>37</v>
      </c>
      <c r="R2332" t="s">
        <v>40</v>
      </c>
      <c r="S2332" t="s">
        <v>8446</v>
      </c>
      <c r="T2332" t="s">
        <v>8000</v>
      </c>
      <c r="U2332" t="s">
        <v>8001</v>
      </c>
      <c r="V2332" t="s">
        <v>8002</v>
      </c>
      <c r="W2332" t="s">
        <v>8003</v>
      </c>
      <c r="Z2332" t="s">
        <v>46</v>
      </c>
      <c r="AA2332" t="s">
        <v>8000</v>
      </c>
      <c r="AC2332">
        <f>COUNTIF(C:C,QLKV_gui_ket_qua_ra_soat[[#This Row],[Mã điểm bán]])</f>
        <v>1</v>
      </c>
    </row>
    <row r="2333" spans="1:29" x14ac:dyDescent="0.45">
      <c r="A2333" t="s">
        <v>7995</v>
      </c>
      <c r="B2333">
        <v>126</v>
      </c>
      <c r="C2333" t="s">
        <v>8447</v>
      </c>
      <c r="D2333" t="s">
        <v>8448</v>
      </c>
      <c r="E2333" t="s">
        <v>148</v>
      </c>
      <c r="F2333" t="s">
        <v>166</v>
      </c>
      <c r="G2333" t="s">
        <v>34</v>
      </c>
      <c r="H2333" t="s">
        <v>402</v>
      </c>
      <c r="I2333" t="s">
        <v>8449</v>
      </c>
      <c r="J2333" t="s">
        <v>38</v>
      </c>
      <c r="K2333" t="s">
        <v>38</v>
      </c>
      <c r="L2333" t="s">
        <v>40</v>
      </c>
      <c r="M2333" t="s">
        <v>38</v>
      </c>
      <c r="N2333" t="s">
        <v>38</v>
      </c>
      <c r="O2333" t="s">
        <v>40</v>
      </c>
      <c r="P2333" t="s">
        <v>38</v>
      </c>
      <c r="Q2333" t="s">
        <v>38</v>
      </c>
      <c r="R2333" t="s">
        <v>40</v>
      </c>
      <c r="S2333" t="s">
        <v>8450</v>
      </c>
      <c r="T2333" t="s">
        <v>8008</v>
      </c>
      <c r="U2333" t="s">
        <v>8009</v>
      </c>
      <c r="V2333" t="s">
        <v>8002</v>
      </c>
      <c r="W2333" t="s">
        <v>8010</v>
      </c>
      <c r="X2333" t="s">
        <v>46</v>
      </c>
      <c r="AC2333">
        <f>COUNTIF(C:C,QLKV_gui_ket_qua_ra_soat[[#This Row],[Mã điểm bán]])</f>
        <v>1</v>
      </c>
    </row>
    <row r="2334" spans="1:29" x14ac:dyDescent="0.45">
      <c r="A2334" t="s">
        <v>7995</v>
      </c>
      <c r="B2334">
        <v>127</v>
      </c>
      <c r="C2334" t="s">
        <v>8451</v>
      </c>
      <c r="D2334" t="s">
        <v>8452</v>
      </c>
      <c r="E2334" t="s">
        <v>170</v>
      </c>
      <c r="F2334" t="s">
        <v>401</v>
      </c>
      <c r="G2334" t="s">
        <v>34</v>
      </c>
      <c r="H2334" t="s">
        <v>54</v>
      </c>
      <c r="I2334" t="s">
        <v>8453</v>
      </c>
      <c r="J2334" t="s">
        <v>37</v>
      </c>
      <c r="K2334" t="s">
        <v>37</v>
      </c>
      <c r="L2334" t="s">
        <v>39</v>
      </c>
      <c r="M2334" t="s">
        <v>37</v>
      </c>
      <c r="N2334" t="s">
        <v>37</v>
      </c>
      <c r="O2334" t="s">
        <v>39</v>
      </c>
      <c r="P2334" t="s">
        <v>37</v>
      </c>
      <c r="Q2334" t="s">
        <v>37</v>
      </c>
      <c r="R2334" t="s">
        <v>39</v>
      </c>
      <c r="S2334" t="s">
        <v>41</v>
      </c>
      <c r="T2334" t="s">
        <v>8083</v>
      </c>
      <c r="U2334" t="s">
        <v>8084</v>
      </c>
      <c r="V2334" t="s">
        <v>8002</v>
      </c>
      <c r="W2334" t="s">
        <v>8085</v>
      </c>
      <c r="X2334" t="s">
        <v>46</v>
      </c>
      <c r="AC2334">
        <f>COUNTIF(C:C,QLKV_gui_ket_qua_ra_soat[[#This Row],[Mã điểm bán]])</f>
        <v>1</v>
      </c>
    </row>
    <row r="2335" spans="1:29" x14ac:dyDescent="0.45">
      <c r="A2335" t="s">
        <v>7995</v>
      </c>
      <c r="B2335">
        <v>128</v>
      </c>
      <c r="C2335" t="s">
        <v>8454</v>
      </c>
      <c r="D2335" t="s">
        <v>5664</v>
      </c>
      <c r="E2335" t="s">
        <v>138</v>
      </c>
      <c r="F2335" t="s">
        <v>53</v>
      </c>
      <c r="G2335" t="s">
        <v>34</v>
      </c>
      <c r="H2335" t="s">
        <v>457</v>
      </c>
      <c r="I2335" t="s">
        <v>8455</v>
      </c>
      <c r="J2335" t="s">
        <v>38</v>
      </c>
      <c r="K2335" t="s">
        <v>38</v>
      </c>
      <c r="L2335" t="s">
        <v>40</v>
      </c>
      <c r="M2335" t="s">
        <v>38</v>
      </c>
      <c r="N2335" t="s">
        <v>775</v>
      </c>
      <c r="O2335" t="s">
        <v>40</v>
      </c>
      <c r="P2335" t="s">
        <v>38</v>
      </c>
      <c r="Q2335" t="s">
        <v>38</v>
      </c>
      <c r="R2335" t="s">
        <v>40</v>
      </c>
      <c r="S2335" t="s">
        <v>8456</v>
      </c>
      <c r="T2335" t="s">
        <v>8008</v>
      </c>
      <c r="U2335" t="s">
        <v>8009</v>
      </c>
      <c r="V2335" t="s">
        <v>8002</v>
      </c>
      <c r="W2335" t="s">
        <v>8010</v>
      </c>
      <c r="X2335" t="s">
        <v>46</v>
      </c>
      <c r="AC2335">
        <f>COUNTIF(C:C,QLKV_gui_ket_qua_ra_soat[[#This Row],[Mã điểm bán]])</f>
        <v>1</v>
      </c>
    </row>
    <row r="2336" spans="1:29" x14ac:dyDescent="0.45">
      <c r="A2336" t="s">
        <v>7995</v>
      </c>
      <c r="B2336">
        <v>129</v>
      </c>
      <c r="C2336" t="s">
        <v>8457</v>
      </c>
      <c r="D2336" t="s">
        <v>8458</v>
      </c>
      <c r="E2336" t="s">
        <v>529</v>
      </c>
      <c r="F2336" t="s">
        <v>53</v>
      </c>
      <c r="G2336" t="s">
        <v>34</v>
      </c>
      <c r="H2336" t="s">
        <v>54</v>
      </c>
      <c r="I2336" t="s">
        <v>8459</v>
      </c>
      <c r="J2336" t="s">
        <v>56</v>
      </c>
      <c r="K2336" t="s">
        <v>56</v>
      </c>
      <c r="L2336" t="s">
        <v>39</v>
      </c>
      <c r="M2336" t="s">
        <v>56</v>
      </c>
      <c r="N2336" t="s">
        <v>56</v>
      </c>
      <c r="O2336" t="s">
        <v>39</v>
      </c>
      <c r="P2336" t="s">
        <v>56</v>
      </c>
      <c r="Q2336" t="s">
        <v>37</v>
      </c>
      <c r="R2336" t="s">
        <v>40</v>
      </c>
      <c r="S2336" t="s">
        <v>8446</v>
      </c>
      <c r="T2336" t="s">
        <v>8000</v>
      </c>
      <c r="U2336" t="s">
        <v>8001</v>
      </c>
      <c r="V2336" t="s">
        <v>8002</v>
      </c>
      <c r="W2336" t="s">
        <v>8003</v>
      </c>
      <c r="Z2336" t="s">
        <v>46</v>
      </c>
      <c r="AA2336" t="s">
        <v>8000</v>
      </c>
      <c r="AC2336">
        <f>COUNTIF(C:C,QLKV_gui_ket_qua_ra_soat[[#This Row],[Mã điểm bán]])</f>
        <v>1</v>
      </c>
    </row>
    <row r="2337" spans="1:29" x14ac:dyDescent="0.45">
      <c r="A2337" t="s">
        <v>7995</v>
      </c>
      <c r="B2337">
        <v>130</v>
      </c>
      <c r="C2337" t="s">
        <v>8460</v>
      </c>
      <c r="D2337" t="s">
        <v>8461</v>
      </c>
      <c r="E2337" t="s">
        <v>499</v>
      </c>
      <c r="F2337" t="s">
        <v>426</v>
      </c>
      <c r="G2337" t="s">
        <v>34</v>
      </c>
      <c r="H2337" t="s">
        <v>4797</v>
      </c>
      <c r="I2337" t="s">
        <v>8462</v>
      </c>
      <c r="J2337" t="s">
        <v>37</v>
      </c>
      <c r="K2337" t="s">
        <v>37</v>
      </c>
      <c r="L2337" t="s">
        <v>39</v>
      </c>
      <c r="M2337" t="s">
        <v>37</v>
      </c>
      <c r="N2337" t="s">
        <v>37</v>
      </c>
      <c r="O2337" t="s">
        <v>39</v>
      </c>
      <c r="P2337" t="s">
        <v>38</v>
      </c>
      <c r="Q2337" t="s">
        <v>37</v>
      </c>
      <c r="R2337" t="s">
        <v>39</v>
      </c>
      <c r="S2337" t="s">
        <v>8463</v>
      </c>
      <c r="T2337" t="s">
        <v>8083</v>
      </c>
      <c r="U2337" t="s">
        <v>8084</v>
      </c>
      <c r="V2337" t="s">
        <v>8002</v>
      </c>
      <c r="W2337" t="s">
        <v>8085</v>
      </c>
      <c r="X2337" t="s">
        <v>46</v>
      </c>
      <c r="AC2337">
        <f>COUNTIF(C:C,QLKV_gui_ket_qua_ra_soat[[#This Row],[Mã điểm bán]])</f>
        <v>1</v>
      </c>
    </row>
    <row r="2338" spans="1:29" x14ac:dyDescent="0.45">
      <c r="A2338" t="s">
        <v>7995</v>
      </c>
      <c r="B2338">
        <v>131</v>
      </c>
      <c r="C2338" t="s">
        <v>8464</v>
      </c>
      <c r="D2338" t="s">
        <v>8465</v>
      </c>
      <c r="E2338" t="s">
        <v>108</v>
      </c>
      <c r="F2338" t="s">
        <v>53</v>
      </c>
      <c r="G2338" t="s">
        <v>34</v>
      </c>
      <c r="H2338" t="s">
        <v>1648</v>
      </c>
      <c r="I2338" t="s">
        <v>8466</v>
      </c>
      <c r="J2338" t="s">
        <v>38</v>
      </c>
      <c r="K2338" t="s">
        <v>38</v>
      </c>
      <c r="L2338" t="s">
        <v>40</v>
      </c>
      <c r="M2338" t="s">
        <v>38</v>
      </c>
      <c r="N2338" t="s">
        <v>38</v>
      </c>
      <c r="O2338" t="s">
        <v>40</v>
      </c>
      <c r="P2338" t="s">
        <v>38</v>
      </c>
      <c r="Q2338" t="s">
        <v>38</v>
      </c>
      <c r="R2338" t="s">
        <v>40</v>
      </c>
      <c r="S2338" t="s">
        <v>8295</v>
      </c>
      <c r="T2338" t="s">
        <v>8008</v>
      </c>
      <c r="U2338" t="s">
        <v>8009</v>
      </c>
      <c r="V2338" t="s">
        <v>8002</v>
      </c>
      <c r="W2338" t="s">
        <v>8010</v>
      </c>
      <c r="X2338" t="s">
        <v>46</v>
      </c>
      <c r="AC2338">
        <f>COUNTIF(C:C,QLKV_gui_ket_qua_ra_soat[[#This Row],[Mã điểm bán]])</f>
        <v>1</v>
      </c>
    </row>
    <row r="2339" spans="1:29" x14ac:dyDescent="0.45">
      <c r="A2339" t="s">
        <v>7995</v>
      </c>
      <c r="B2339">
        <v>132</v>
      </c>
      <c r="C2339" t="s">
        <v>8467</v>
      </c>
      <c r="D2339" t="s">
        <v>8468</v>
      </c>
      <c r="E2339" t="s">
        <v>69</v>
      </c>
      <c r="F2339" t="s">
        <v>53</v>
      </c>
      <c r="G2339" t="s">
        <v>34</v>
      </c>
      <c r="H2339" t="s">
        <v>214</v>
      </c>
      <c r="I2339" t="s">
        <v>8469</v>
      </c>
      <c r="J2339" t="s">
        <v>38</v>
      </c>
      <c r="K2339" t="s">
        <v>38</v>
      </c>
      <c r="L2339" t="s">
        <v>40</v>
      </c>
      <c r="M2339" t="s">
        <v>38</v>
      </c>
      <c r="N2339" t="s">
        <v>38</v>
      </c>
      <c r="O2339" t="s">
        <v>40</v>
      </c>
      <c r="P2339" t="s">
        <v>38</v>
      </c>
      <c r="Q2339" t="s">
        <v>38</v>
      </c>
      <c r="R2339" t="s">
        <v>40</v>
      </c>
      <c r="S2339" t="s">
        <v>8470</v>
      </c>
      <c r="T2339" t="s">
        <v>8008</v>
      </c>
      <c r="U2339" t="s">
        <v>8009</v>
      </c>
      <c r="V2339" t="s">
        <v>8002</v>
      </c>
      <c r="W2339" t="s">
        <v>8010</v>
      </c>
      <c r="X2339" t="s">
        <v>46</v>
      </c>
      <c r="AC2339">
        <f>COUNTIF(C:C,QLKV_gui_ket_qua_ra_soat[[#This Row],[Mã điểm bán]])</f>
        <v>1</v>
      </c>
    </row>
    <row r="2340" spans="1:29" x14ac:dyDescent="0.45">
      <c r="A2340" t="s">
        <v>7995</v>
      </c>
      <c r="B2340">
        <v>133</v>
      </c>
      <c r="C2340" t="s">
        <v>8471</v>
      </c>
      <c r="D2340" t="s">
        <v>8472</v>
      </c>
      <c r="E2340" t="s">
        <v>176</v>
      </c>
      <c r="F2340" t="s">
        <v>930</v>
      </c>
      <c r="G2340" t="s">
        <v>34</v>
      </c>
      <c r="H2340" t="s">
        <v>402</v>
      </c>
      <c r="I2340" t="s">
        <v>8473</v>
      </c>
      <c r="J2340" t="s">
        <v>38</v>
      </c>
      <c r="K2340" t="s">
        <v>38</v>
      </c>
      <c r="L2340" t="s">
        <v>40</v>
      </c>
      <c r="M2340" t="s">
        <v>38</v>
      </c>
      <c r="N2340" t="s">
        <v>38</v>
      </c>
      <c r="O2340" t="s">
        <v>40</v>
      </c>
      <c r="P2340" t="s">
        <v>38</v>
      </c>
      <c r="Q2340" t="s">
        <v>38</v>
      </c>
      <c r="R2340" t="s">
        <v>40</v>
      </c>
      <c r="S2340" t="s">
        <v>8474</v>
      </c>
      <c r="T2340" t="s">
        <v>8008</v>
      </c>
      <c r="U2340" t="s">
        <v>8009</v>
      </c>
      <c r="V2340" t="s">
        <v>8002</v>
      </c>
      <c r="W2340" t="s">
        <v>8010</v>
      </c>
      <c r="X2340" t="s">
        <v>46</v>
      </c>
      <c r="AC2340">
        <f>COUNTIF(C:C,QLKV_gui_ket_qua_ra_soat[[#This Row],[Mã điểm bán]])</f>
        <v>1</v>
      </c>
    </row>
    <row r="2341" spans="1:29" x14ac:dyDescent="0.45">
      <c r="A2341" t="s">
        <v>7995</v>
      </c>
      <c r="B2341">
        <v>134</v>
      </c>
      <c r="C2341" t="s">
        <v>8475</v>
      </c>
      <c r="D2341" t="s">
        <v>8476</v>
      </c>
      <c r="E2341" t="s">
        <v>98</v>
      </c>
      <c r="F2341" t="s">
        <v>8477</v>
      </c>
      <c r="G2341" t="s">
        <v>34</v>
      </c>
      <c r="H2341" t="s">
        <v>54</v>
      </c>
      <c r="I2341" t="s">
        <v>8478</v>
      </c>
      <c r="J2341" t="s">
        <v>38</v>
      </c>
      <c r="K2341" t="s">
        <v>38</v>
      </c>
      <c r="L2341" t="s">
        <v>39</v>
      </c>
      <c r="M2341" t="s">
        <v>38</v>
      </c>
      <c r="N2341" t="s">
        <v>38</v>
      </c>
      <c r="O2341" t="s">
        <v>39</v>
      </c>
      <c r="P2341" t="s">
        <v>38</v>
      </c>
      <c r="Q2341" t="s">
        <v>38</v>
      </c>
      <c r="R2341" t="s">
        <v>40</v>
      </c>
      <c r="S2341" t="s">
        <v>8479</v>
      </c>
      <c r="T2341" t="s">
        <v>8038</v>
      </c>
      <c r="U2341" t="s">
        <v>8029</v>
      </c>
      <c r="V2341" t="s">
        <v>8002</v>
      </c>
      <c r="W2341" t="s">
        <v>8030</v>
      </c>
      <c r="AC2341">
        <f>COUNTIF(C:C,QLKV_gui_ket_qua_ra_soat[[#This Row],[Mã điểm bán]])</f>
        <v>1</v>
      </c>
    </row>
    <row r="2342" spans="1:29" x14ac:dyDescent="0.45">
      <c r="A2342" t="s">
        <v>7995</v>
      </c>
      <c r="B2342">
        <v>135</v>
      </c>
      <c r="C2342" t="s">
        <v>8480</v>
      </c>
      <c r="D2342" t="s">
        <v>8481</v>
      </c>
      <c r="E2342" t="s">
        <v>3429</v>
      </c>
      <c r="F2342" t="s">
        <v>1160</v>
      </c>
      <c r="G2342" t="s">
        <v>34</v>
      </c>
      <c r="H2342" t="s">
        <v>473</v>
      </c>
      <c r="I2342" t="s">
        <v>8482</v>
      </c>
      <c r="J2342" t="s">
        <v>38</v>
      </c>
      <c r="K2342" t="s">
        <v>38</v>
      </c>
      <c r="L2342" t="s">
        <v>40</v>
      </c>
      <c r="M2342" t="s">
        <v>38</v>
      </c>
      <c r="N2342" t="s">
        <v>38</v>
      </c>
      <c r="O2342" t="s">
        <v>39</v>
      </c>
      <c r="P2342" t="s">
        <v>38</v>
      </c>
      <c r="Q2342" t="s">
        <v>38</v>
      </c>
      <c r="R2342" t="s">
        <v>40</v>
      </c>
      <c r="S2342" t="s">
        <v>41</v>
      </c>
      <c r="T2342" t="s">
        <v>8038</v>
      </c>
      <c r="U2342" t="s">
        <v>8029</v>
      </c>
      <c r="V2342" t="s">
        <v>8002</v>
      </c>
      <c r="W2342" t="s">
        <v>8030</v>
      </c>
      <c r="AC2342">
        <f>COUNTIF(C:C,QLKV_gui_ket_qua_ra_soat[[#This Row],[Mã điểm bán]])</f>
        <v>1</v>
      </c>
    </row>
    <row r="2343" spans="1:29" x14ac:dyDescent="0.45">
      <c r="A2343" t="s">
        <v>7995</v>
      </c>
      <c r="B2343">
        <v>136</v>
      </c>
      <c r="C2343" t="s">
        <v>8483</v>
      </c>
      <c r="D2343" t="s">
        <v>8484</v>
      </c>
      <c r="E2343" t="s">
        <v>8485</v>
      </c>
      <c r="F2343" t="s">
        <v>2425</v>
      </c>
      <c r="G2343" t="s">
        <v>34</v>
      </c>
      <c r="H2343" t="s">
        <v>54</v>
      </c>
      <c r="I2343" t="s">
        <v>8486</v>
      </c>
      <c r="J2343" t="s">
        <v>38</v>
      </c>
      <c r="K2343" t="s">
        <v>38</v>
      </c>
      <c r="L2343" t="s">
        <v>40</v>
      </c>
      <c r="M2343" t="s">
        <v>37</v>
      </c>
      <c r="N2343" t="s">
        <v>37</v>
      </c>
      <c r="O2343" t="s">
        <v>39</v>
      </c>
      <c r="P2343" t="s">
        <v>38</v>
      </c>
      <c r="Q2343" t="s">
        <v>38</v>
      </c>
      <c r="R2343" t="s">
        <v>40</v>
      </c>
      <c r="S2343" t="s">
        <v>41</v>
      </c>
      <c r="T2343" t="s">
        <v>8136</v>
      </c>
      <c r="U2343" t="s">
        <v>8137</v>
      </c>
      <c r="V2343" t="s">
        <v>8002</v>
      </c>
      <c r="W2343" t="s">
        <v>8085</v>
      </c>
      <c r="X2343" t="s">
        <v>46</v>
      </c>
      <c r="AC2343">
        <f>COUNTIF(C:C,QLKV_gui_ket_qua_ra_soat[[#This Row],[Mã điểm bán]])</f>
        <v>1</v>
      </c>
    </row>
    <row r="2344" spans="1:29" x14ac:dyDescent="0.45">
      <c r="A2344" t="s">
        <v>7995</v>
      </c>
      <c r="B2344">
        <v>137</v>
      </c>
      <c r="C2344" t="s">
        <v>8487</v>
      </c>
      <c r="D2344" t="s">
        <v>8488</v>
      </c>
      <c r="E2344" t="s">
        <v>142</v>
      </c>
      <c r="F2344" t="s">
        <v>3619</v>
      </c>
      <c r="G2344" t="s">
        <v>34</v>
      </c>
      <c r="H2344" t="s">
        <v>54</v>
      </c>
      <c r="I2344" t="s">
        <v>8489</v>
      </c>
      <c r="J2344" t="s">
        <v>38</v>
      </c>
      <c r="K2344" t="s">
        <v>38</v>
      </c>
      <c r="L2344" t="s">
        <v>40</v>
      </c>
      <c r="M2344" t="s">
        <v>38</v>
      </c>
      <c r="N2344" t="s">
        <v>38</v>
      </c>
      <c r="O2344" t="s">
        <v>40</v>
      </c>
      <c r="P2344" t="s">
        <v>38</v>
      </c>
      <c r="Q2344" t="s">
        <v>38</v>
      </c>
      <c r="R2344" t="s">
        <v>40</v>
      </c>
      <c r="S2344" t="s">
        <v>8490</v>
      </c>
      <c r="T2344" t="s">
        <v>8038</v>
      </c>
      <c r="U2344" t="s">
        <v>8029</v>
      </c>
      <c r="V2344" t="s">
        <v>8002</v>
      </c>
      <c r="W2344" t="s">
        <v>8030</v>
      </c>
      <c r="AC2344">
        <f>COUNTIF(C:C,QLKV_gui_ket_qua_ra_soat[[#This Row],[Mã điểm bán]])</f>
        <v>1</v>
      </c>
    </row>
    <row r="2345" spans="1:29" x14ac:dyDescent="0.45">
      <c r="A2345" t="s">
        <v>7995</v>
      </c>
      <c r="B2345">
        <v>138</v>
      </c>
      <c r="C2345" t="s">
        <v>8491</v>
      </c>
      <c r="D2345" t="s">
        <v>8492</v>
      </c>
      <c r="E2345" t="s">
        <v>6309</v>
      </c>
      <c r="F2345" t="s">
        <v>426</v>
      </c>
      <c r="G2345" t="s">
        <v>34</v>
      </c>
      <c r="H2345" t="s">
        <v>54</v>
      </c>
      <c r="I2345" t="s">
        <v>8493</v>
      </c>
      <c r="J2345" t="s">
        <v>37</v>
      </c>
      <c r="K2345" t="s">
        <v>38</v>
      </c>
      <c r="L2345" t="s">
        <v>39</v>
      </c>
      <c r="M2345" t="s">
        <v>38</v>
      </c>
      <c r="N2345" t="s">
        <v>38</v>
      </c>
      <c r="O2345" t="s">
        <v>39</v>
      </c>
      <c r="P2345" t="s">
        <v>38</v>
      </c>
      <c r="Q2345" t="s">
        <v>38</v>
      </c>
      <c r="R2345" t="s">
        <v>39</v>
      </c>
      <c r="S2345" t="s">
        <v>41</v>
      </c>
      <c r="T2345" t="s">
        <v>8060</v>
      </c>
      <c r="U2345" t="s">
        <v>8016</v>
      </c>
      <c r="V2345" t="s">
        <v>8002</v>
      </c>
      <c r="W2345" t="s">
        <v>8003</v>
      </c>
      <c r="X2345" t="s">
        <v>46</v>
      </c>
      <c r="AC2345">
        <f>COUNTIF(C:C,QLKV_gui_ket_qua_ra_soat[[#This Row],[Mã điểm bán]])</f>
        <v>1</v>
      </c>
    </row>
    <row r="2346" spans="1:29" x14ac:dyDescent="0.45">
      <c r="A2346" t="s">
        <v>7995</v>
      </c>
      <c r="B2346">
        <v>139</v>
      </c>
      <c r="C2346" t="s">
        <v>8494</v>
      </c>
      <c r="D2346" t="s">
        <v>8495</v>
      </c>
      <c r="E2346" t="s">
        <v>1360</v>
      </c>
      <c r="F2346" t="s">
        <v>5829</v>
      </c>
      <c r="G2346" t="s">
        <v>34</v>
      </c>
      <c r="H2346" t="s">
        <v>54</v>
      </c>
      <c r="I2346" t="s">
        <v>8496</v>
      </c>
      <c r="J2346" t="s">
        <v>38</v>
      </c>
      <c r="K2346" t="s">
        <v>38</v>
      </c>
      <c r="L2346" t="s">
        <v>39</v>
      </c>
      <c r="M2346" t="s">
        <v>38</v>
      </c>
      <c r="N2346" t="s">
        <v>38</v>
      </c>
      <c r="O2346" t="s">
        <v>39</v>
      </c>
      <c r="P2346" t="s">
        <v>38</v>
      </c>
      <c r="Q2346" t="s">
        <v>38</v>
      </c>
      <c r="R2346" t="s">
        <v>40</v>
      </c>
      <c r="S2346" t="s">
        <v>8497</v>
      </c>
      <c r="T2346" t="s">
        <v>8038</v>
      </c>
      <c r="U2346" t="s">
        <v>8029</v>
      </c>
      <c r="V2346" t="s">
        <v>8002</v>
      </c>
      <c r="W2346" t="s">
        <v>8030</v>
      </c>
      <c r="AC2346">
        <f>COUNTIF(C:C,QLKV_gui_ket_qua_ra_soat[[#This Row],[Mã điểm bán]])</f>
        <v>1</v>
      </c>
    </row>
    <row r="2347" spans="1:29" x14ac:dyDescent="0.45">
      <c r="A2347" t="s">
        <v>7995</v>
      </c>
      <c r="B2347">
        <v>140</v>
      </c>
      <c r="C2347" t="s">
        <v>8498</v>
      </c>
      <c r="D2347" t="s">
        <v>8499</v>
      </c>
      <c r="E2347" t="s">
        <v>344</v>
      </c>
      <c r="F2347" t="s">
        <v>53</v>
      </c>
      <c r="G2347" t="s">
        <v>34</v>
      </c>
      <c r="H2347" t="s">
        <v>54</v>
      </c>
      <c r="I2347" t="s">
        <v>8500</v>
      </c>
      <c r="J2347" t="s">
        <v>38</v>
      </c>
      <c r="K2347" t="s">
        <v>38</v>
      </c>
      <c r="L2347" t="s">
        <v>39</v>
      </c>
      <c r="M2347" t="s">
        <v>38</v>
      </c>
      <c r="N2347" t="s">
        <v>38</v>
      </c>
      <c r="O2347" t="s">
        <v>39</v>
      </c>
      <c r="P2347" t="s">
        <v>38</v>
      </c>
      <c r="Q2347" t="s">
        <v>38</v>
      </c>
      <c r="R2347" t="s">
        <v>39</v>
      </c>
      <c r="S2347" t="s">
        <v>41</v>
      </c>
      <c r="T2347" t="s">
        <v>8038</v>
      </c>
      <c r="U2347" t="s">
        <v>8029</v>
      </c>
      <c r="V2347" t="s">
        <v>8002</v>
      </c>
      <c r="W2347" t="s">
        <v>8030</v>
      </c>
      <c r="AC2347">
        <f>COUNTIF(C:C,QLKV_gui_ket_qua_ra_soat[[#This Row],[Mã điểm bán]])</f>
        <v>1</v>
      </c>
    </row>
    <row r="2348" spans="1:29" x14ac:dyDescent="0.45">
      <c r="A2348" t="s">
        <v>7995</v>
      </c>
      <c r="B2348">
        <v>141</v>
      </c>
      <c r="C2348" t="s">
        <v>8501</v>
      </c>
      <c r="D2348" t="s">
        <v>8502</v>
      </c>
      <c r="E2348" t="s">
        <v>8503</v>
      </c>
      <c r="F2348" t="s">
        <v>8504</v>
      </c>
      <c r="G2348" t="s">
        <v>1624</v>
      </c>
      <c r="H2348" t="s">
        <v>546</v>
      </c>
      <c r="I2348" t="s">
        <v>8505</v>
      </c>
      <c r="J2348" t="s">
        <v>775</v>
      </c>
      <c r="K2348" t="s">
        <v>775</v>
      </c>
      <c r="L2348" t="s">
        <v>39</v>
      </c>
      <c r="M2348" t="s">
        <v>56</v>
      </c>
      <c r="N2348" t="s">
        <v>56</v>
      </c>
      <c r="O2348" t="s">
        <v>39</v>
      </c>
      <c r="P2348" t="s">
        <v>37</v>
      </c>
      <c r="Q2348" t="s">
        <v>38</v>
      </c>
      <c r="R2348" t="s">
        <v>39</v>
      </c>
      <c r="S2348" t="s">
        <v>41</v>
      </c>
      <c r="T2348" t="s">
        <v>8105</v>
      </c>
      <c r="U2348" t="s">
        <v>8016</v>
      </c>
      <c r="V2348" t="s">
        <v>8002</v>
      </c>
      <c r="W2348" t="s">
        <v>8003</v>
      </c>
      <c r="Y2348" t="s">
        <v>46</v>
      </c>
      <c r="AC2348">
        <f>COUNTIF(C:C,QLKV_gui_ket_qua_ra_soat[[#This Row],[Mã điểm bán]])</f>
        <v>1</v>
      </c>
    </row>
    <row r="2349" spans="1:29" x14ac:dyDescent="0.45">
      <c r="A2349" t="s">
        <v>7995</v>
      </c>
      <c r="B2349">
        <v>142</v>
      </c>
      <c r="C2349" t="s">
        <v>8506</v>
      </c>
      <c r="D2349" t="s">
        <v>8507</v>
      </c>
      <c r="E2349" t="s">
        <v>69</v>
      </c>
      <c r="F2349" t="s">
        <v>426</v>
      </c>
      <c r="G2349" t="s">
        <v>34</v>
      </c>
      <c r="H2349" t="s">
        <v>54</v>
      </c>
      <c r="I2349" t="s">
        <v>8508</v>
      </c>
      <c r="J2349" t="s">
        <v>37</v>
      </c>
      <c r="K2349" t="s">
        <v>37</v>
      </c>
      <c r="L2349" t="s">
        <v>39</v>
      </c>
      <c r="M2349" t="s">
        <v>38</v>
      </c>
      <c r="N2349" t="s">
        <v>37</v>
      </c>
      <c r="O2349" t="s">
        <v>39</v>
      </c>
      <c r="P2349" t="s">
        <v>37</v>
      </c>
      <c r="Q2349" t="s">
        <v>37</v>
      </c>
      <c r="R2349" t="s">
        <v>39</v>
      </c>
      <c r="S2349" t="s">
        <v>8191</v>
      </c>
      <c r="T2349" t="s">
        <v>8192</v>
      </c>
      <c r="U2349" t="s">
        <v>8084</v>
      </c>
      <c r="V2349" t="s">
        <v>8002</v>
      </c>
      <c r="W2349" t="s">
        <v>8085</v>
      </c>
      <c r="Z2349" t="s">
        <v>46</v>
      </c>
      <c r="AA2349" t="s">
        <v>8192</v>
      </c>
      <c r="AC2349">
        <f>COUNTIF(C:C,QLKV_gui_ket_qua_ra_soat[[#This Row],[Mã điểm bán]])</f>
        <v>1</v>
      </c>
    </row>
    <row r="2350" spans="1:29" x14ac:dyDescent="0.45">
      <c r="A2350" t="s">
        <v>7995</v>
      </c>
      <c r="B2350">
        <v>143</v>
      </c>
      <c r="C2350" t="s">
        <v>8509</v>
      </c>
      <c r="D2350" t="s">
        <v>8510</v>
      </c>
      <c r="E2350" t="s">
        <v>211</v>
      </c>
      <c r="F2350" t="s">
        <v>115</v>
      </c>
      <c r="G2350" t="s">
        <v>34</v>
      </c>
      <c r="H2350" t="s">
        <v>546</v>
      </c>
      <c r="I2350" t="s">
        <v>8511</v>
      </c>
      <c r="J2350" t="s">
        <v>38</v>
      </c>
      <c r="K2350" t="s">
        <v>38</v>
      </c>
      <c r="L2350" t="s">
        <v>40</v>
      </c>
      <c r="M2350" t="s">
        <v>38</v>
      </c>
      <c r="N2350" t="s">
        <v>38</v>
      </c>
      <c r="O2350" t="s">
        <v>40</v>
      </c>
      <c r="P2350" t="s">
        <v>38</v>
      </c>
      <c r="Q2350" t="s">
        <v>38</v>
      </c>
      <c r="R2350" t="s">
        <v>40</v>
      </c>
      <c r="S2350" t="s">
        <v>8512</v>
      </c>
      <c r="T2350" t="s">
        <v>8008</v>
      </c>
      <c r="U2350" t="s">
        <v>8009</v>
      </c>
      <c r="V2350" t="s">
        <v>8002</v>
      </c>
      <c r="W2350" t="s">
        <v>8010</v>
      </c>
      <c r="X2350" t="s">
        <v>46</v>
      </c>
      <c r="AC2350">
        <f>COUNTIF(C:C,QLKV_gui_ket_qua_ra_soat[[#This Row],[Mã điểm bán]])</f>
        <v>1</v>
      </c>
    </row>
    <row r="2351" spans="1:29" x14ac:dyDescent="0.45">
      <c r="A2351" t="s">
        <v>7995</v>
      </c>
      <c r="B2351">
        <v>144</v>
      </c>
      <c r="C2351" t="s">
        <v>8513</v>
      </c>
      <c r="D2351" t="s">
        <v>8514</v>
      </c>
      <c r="E2351" t="s">
        <v>8515</v>
      </c>
      <c r="F2351" t="s">
        <v>8516</v>
      </c>
      <c r="G2351" t="s">
        <v>1624</v>
      </c>
      <c r="H2351" t="s">
        <v>1280</v>
      </c>
      <c r="I2351" t="s">
        <v>8517</v>
      </c>
      <c r="J2351" t="s">
        <v>56</v>
      </c>
      <c r="K2351" t="s">
        <v>56</v>
      </c>
      <c r="L2351" t="s">
        <v>39</v>
      </c>
      <c r="M2351" t="s">
        <v>56</v>
      </c>
      <c r="N2351" t="s">
        <v>56</v>
      </c>
      <c r="O2351" t="s">
        <v>39</v>
      </c>
      <c r="P2351" t="s">
        <v>56</v>
      </c>
      <c r="Q2351" t="s">
        <v>56</v>
      </c>
      <c r="R2351" t="s">
        <v>39</v>
      </c>
      <c r="S2351" t="s">
        <v>8518</v>
      </c>
      <c r="T2351" t="s">
        <v>8105</v>
      </c>
      <c r="U2351" t="s">
        <v>8016</v>
      </c>
      <c r="V2351" t="s">
        <v>8002</v>
      </c>
      <c r="W2351" t="s">
        <v>8003</v>
      </c>
      <c r="Z2351" t="s">
        <v>46</v>
      </c>
      <c r="AA2351" t="s">
        <v>8105</v>
      </c>
      <c r="AC2351">
        <f>COUNTIF(C:C,QLKV_gui_ket_qua_ra_soat[[#This Row],[Mã điểm bán]])</f>
        <v>1</v>
      </c>
    </row>
    <row r="2352" spans="1:29" x14ac:dyDescent="0.45">
      <c r="A2352" t="s">
        <v>7995</v>
      </c>
      <c r="B2352">
        <v>145</v>
      </c>
      <c r="C2352" t="s">
        <v>8519</v>
      </c>
      <c r="D2352" t="s">
        <v>8520</v>
      </c>
      <c r="E2352" t="s">
        <v>529</v>
      </c>
      <c r="F2352" t="s">
        <v>53</v>
      </c>
      <c r="G2352" t="s">
        <v>34</v>
      </c>
      <c r="H2352" t="s">
        <v>319</v>
      </c>
      <c r="I2352" t="s">
        <v>8521</v>
      </c>
      <c r="J2352" t="s">
        <v>38</v>
      </c>
      <c r="K2352" t="s">
        <v>38</v>
      </c>
      <c r="L2352" t="s">
        <v>40</v>
      </c>
      <c r="M2352" t="s">
        <v>38</v>
      </c>
      <c r="N2352" t="s">
        <v>38</v>
      </c>
      <c r="O2352" t="s">
        <v>40</v>
      </c>
      <c r="P2352" t="s">
        <v>38</v>
      </c>
      <c r="Q2352" t="s">
        <v>38</v>
      </c>
      <c r="R2352" t="s">
        <v>40</v>
      </c>
      <c r="S2352" t="s">
        <v>8522</v>
      </c>
      <c r="T2352" t="s">
        <v>8008</v>
      </c>
      <c r="U2352" t="s">
        <v>8009</v>
      </c>
      <c r="V2352" t="s">
        <v>8002</v>
      </c>
      <c r="W2352" t="s">
        <v>8010</v>
      </c>
      <c r="X2352" t="s">
        <v>46</v>
      </c>
      <c r="AC2352">
        <f>COUNTIF(C:C,QLKV_gui_ket_qua_ra_soat[[#This Row],[Mã điểm bán]])</f>
        <v>1</v>
      </c>
    </row>
    <row r="2353" spans="1:29" x14ac:dyDescent="0.45">
      <c r="A2353" t="s">
        <v>7995</v>
      </c>
      <c r="B2353">
        <v>146</v>
      </c>
      <c r="C2353" t="s">
        <v>8523</v>
      </c>
      <c r="D2353" t="s">
        <v>8524</v>
      </c>
      <c r="E2353" t="s">
        <v>69</v>
      </c>
      <c r="F2353" t="s">
        <v>53</v>
      </c>
      <c r="G2353" t="s">
        <v>34</v>
      </c>
      <c r="H2353" t="s">
        <v>54</v>
      </c>
      <c r="I2353" t="s">
        <v>8525</v>
      </c>
      <c r="J2353" t="s">
        <v>56</v>
      </c>
      <c r="K2353" t="s">
        <v>56</v>
      </c>
      <c r="L2353" t="s">
        <v>40</v>
      </c>
      <c r="M2353" t="s">
        <v>56</v>
      </c>
      <c r="N2353" t="s">
        <v>56</v>
      </c>
      <c r="O2353" t="s">
        <v>39</v>
      </c>
      <c r="P2353" t="s">
        <v>37</v>
      </c>
      <c r="Q2353" t="s">
        <v>56</v>
      </c>
      <c r="R2353" t="s">
        <v>40</v>
      </c>
      <c r="S2353" t="s">
        <v>41</v>
      </c>
      <c r="T2353" t="s">
        <v>8000</v>
      </c>
      <c r="U2353" t="s">
        <v>8001</v>
      </c>
      <c r="V2353" t="s">
        <v>8002</v>
      </c>
      <c r="W2353" t="s">
        <v>8003</v>
      </c>
      <c r="Z2353" t="s">
        <v>46</v>
      </c>
      <c r="AA2353" t="s">
        <v>8000</v>
      </c>
      <c r="AC2353">
        <f>COUNTIF(C:C,QLKV_gui_ket_qua_ra_soat[[#This Row],[Mã điểm bán]])</f>
        <v>1</v>
      </c>
    </row>
    <row r="2354" spans="1:29" x14ac:dyDescent="0.45">
      <c r="A2354" t="s">
        <v>7995</v>
      </c>
      <c r="B2354">
        <v>147</v>
      </c>
      <c r="C2354" t="s">
        <v>8526</v>
      </c>
      <c r="D2354" t="s">
        <v>8527</v>
      </c>
      <c r="E2354" t="s">
        <v>1964</v>
      </c>
      <c r="F2354" t="s">
        <v>115</v>
      </c>
      <c r="G2354" t="s">
        <v>34</v>
      </c>
      <c r="H2354" t="s">
        <v>2426</v>
      </c>
      <c r="I2354" t="s">
        <v>8528</v>
      </c>
      <c r="J2354" t="s">
        <v>37</v>
      </c>
      <c r="K2354" t="s">
        <v>38</v>
      </c>
      <c r="L2354" t="s">
        <v>39</v>
      </c>
      <c r="M2354" t="s">
        <v>37</v>
      </c>
      <c r="N2354" t="s">
        <v>37</v>
      </c>
      <c r="O2354" t="s">
        <v>39</v>
      </c>
      <c r="P2354" t="s">
        <v>37</v>
      </c>
      <c r="Q2354" t="s">
        <v>38</v>
      </c>
      <c r="R2354" t="s">
        <v>39</v>
      </c>
      <c r="S2354" t="s">
        <v>41</v>
      </c>
      <c r="T2354" t="s">
        <v>8083</v>
      </c>
      <c r="U2354" t="s">
        <v>8084</v>
      </c>
      <c r="V2354" t="s">
        <v>8002</v>
      </c>
      <c r="W2354" t="s">
        <v>8085</v>
      </c>
      <c r="X2354" t="s">
        <v>46</v>
      </c>
      <c r="AC2354">
        <f>COUNTIF(C:C,QLKV_gui_ket_qua_ra_soat[[#This Row],[Mã điểm bán]])</f>
        <v>1</v>
      </c>
    </row>
    <row r="2355" spans="1:29" x14ac:dyDescent="0.45">
      <c r="A2355" t="s">
        <v>7995</v>
      </c>
      <c r="B2355">
        <v>148</v>
      </c>
      <c r="C2355" t="s">
        <v>8529</v>
      </c>
      <c r="D2355" t="s">
        <v>8530</v>
      </c>
      <c r="E2355" t="s">
        <v>69</v>
      </c>
      <c r="F2355" t="s">
        <v>53</v>
      </c>
      <c r="G2355" t="s">
        <v>34</v>
      </c>
      <c r="H2355" t="s">
        <v>54</v>
      </c>
      <c r="I2355" t="s">
        <v>8531</v>
      </c>
      <c r="J2355" t="s">
        <v>56</v>
      </c>
      <c r="K2355" t="s">
        <v>56</v>
      </c>
      <c r="L2355" t="s">
        <v>40</v>
      </c>
      <c r="M2355" t="s">
        <v>56</v>
      </c>
      <c r="N2355" t="s">
        <v>56</v>
      </c>
      <c r="O2355" t="s">
        <v>40</v>
      </c>
      <c r="P2355" t="s">
        <v>56</v>
      </c>
      <c r="Q2355" t="s">
        <v>56</v>
      </c>
      <c r="R2355" t="s">
        <v>40</v>
      </c>
      <c r="S2355" t="s">
        <v>41</v>
      </c>
      <c r="T2355" t="s">
        <v>8000</v>
      </c>
      <c r="U2355" t="s">
        <v>8001</v>
      </c>
      <c r="V2355" t="s">
        <v>8002</v>
      </c>
      <c r="W2355" t="s">
        <v>8003</v>
      </c>
      <c r="Z2355" t="s">
        <v>46</v>
      </c>
      <c r="AA2355" t="s">
        <v>8000</v>
      </c>
      <c r="AC2355">
        <f>COUNTIF(C:C,QLKV_gui_ket_qua_ra_soat[[#This Row],[Mã điểm bán]])</f>
        <v>1</v>
      </c>
    </row>
    <row r="2356" spans="1:29" x14ac:dyDescent="0.45">
      <c r="A2356" t="s">
        <v>7995</v>
      </c>
      <c r="B2356">
        <v>149</v>
      </c>
      <c r="C2356" t="s">
        <v>8532</v>
      </c>
      <c r="D2356" t="s">
        <v>8533</v>
      </c>
      <c r="E2356" t="s">
        <v>157</v>
      </c>
      <c r="F2356" t="s">
        <v>53</v>
      </c>
      <c r="G2356" t="s">
        <v>34</v>
      </c>
      <c r="H2356" t="s">
        <v>54</v>
      </c>
      <c r="I2356" t="s">
        <v>6482</v>
      </c>
      <c r="J2356" t="s">
        <v>56</v>
      </c>
      <c r="K2356" t="s">
        <v>56</v>
      </c>
      <c r="L2356" t="s">
        <v>40</v>
      </c>
      <c r="M2356" t="s">
        <v>56</v>
      </c>
      <c r="N2356" t="s">
        <v>56</v>
      </c>
      <c r="O2356" t="s">
        <v>40</v>
      </c>
      <c r="P2356" t="s">
        <v>37</v>
      </c>
      <c r="Q2356" t="s">
        <v>37</v>
      </c>
      <c r="R2356" t="s">
        <v>40</v>
      </c>
      <c r="S2356" t="s">
        <v>7999</v>
      </c>
      <c r="T2356" t="s">
        <v>8000</v>
      </c>
      <c r="U2356" t="s">
        <v>8001</v>
      </c>
      <c r="V2356" t="s">
        <v>8002</v>
      </c>
      <c r="W2356" t="s">
        <v>8003</v>
      </c>
      <c r="Z2356" t="s">
        <v>46</v>
      </c>
      <c r="AA2356" t="s">
        <v>8000</v>
      </c>
      <c r="AC2356">
        <f>COUNTIF(C:C,QLKV_gui_ket_qua_ra_soat[[#This Row],[Mã điểm bán]])</f>
        <v>1</v>
      </c>
    </row>
    <row r="2357" spans="1:29" x14ac:dyDescent="0.45">
      <c r="A2357" t="s">
        <v>7995</v>
      </c>
      <c r="B2357">
        <v>150</v>
      </c>
      <c r="C2357" t="s">
        <v>8534</v>
      </c>
      <c r="D2357" t="s">
        <v>8535</v>
      </c>
      <c r="E2357" t="s">
        <v>682</v>
      </c>
      <c r="F2357" t="s">
        <v>559</v>
      </c>
      <c r="G2357" t="s">
        <v>34</v>
      </c>
      <c r="H2357" t="s">
        <v>473</v>
      </c>
      <c r="I2357" t="s">
        <v>8536</v>
      </c>
      <c r="J2357" t="s">
        <v>37</v>
      </c>
      <c r="K2357" t="s">
        <v>38</v>
      </c>
      <c r="L2357" t="s">
        <v>39</v>
      </c>
      <c r="M2357" t="s">
        <v>38</v>
      </c>
      <c r="N2357" t="s">
        <v>37</v>
      </c>
      <c r="O2357" t="s">
        <v>39</v>
      </c>
      <c r="P2357" t="s">
        <v>38</v>
      </c>
      <c r="Q2357" t="s">
        <v>37</v>
      </c>
      <c r="R2357" t="s">
        <v>39</v>
      </c>
      <c r="S2357" t="s">
        <v>8191</v>
      </c>
      <c r="T2357" t="s">
        <v>8192</v>
      </c>
      <c r="U2357" t="s">
        <v>8084</v>
      </c>
      <c r="V2357" t="s">
        <v>8002</v>
      </c>
      <c r="W2357" t="s">
        <v>8085</v>
      </c>
      <c r="X2357" t="s">
        <v>46</v>
      </c>
      <c r="AC2357">
        <f>COUNTIF(C:C,QLKV_gui_ket_qua_ra_soat[[#This Row],[Mã điểm bán]])</f>
        <v>1</v>
      </c>
    </row>
    <row r="2358" spans="1:29" x14ac:dyDescent="0.45">
      <c r="A2358" t="s">
        <v>7995</v>
      </c>
      <c r="B2358">
        <v>151</v>
      </c>
      <c r="C2358" t="s">
        <v>8537</v>
      </c>
      <c r="D2358" t="s">
        <v>8538</v>
      </c>
      <c r="E2358" t="s">
        <v>69</v>
      </c>
      <c r="F2358" t="s">
        <v>53</v>
      </c>
      <c r="G2358" t="s">
        <v>34</v>
      </c>
      <c r="H2358" t="s">
        <v>133</v>
      </c>
      <c r="I2358" t="s">
        <v>8539</v>
      </c>
      <c r="J2358" t="s">
        <v>37</v>
      </c>
      <c r="K2358" t="s">
        <v>38</v>
      </c>
      <c r="L2358" t="s">
        <v>39</v>
      </c>
      <c r="M2358" t="s">
        <v>37</v>
      </c>
      <c r="N2358" t="s">
        <v>37</v>
      </c>
      <c r="O2358" t="s">
        <v>39</v>
      </c>
      <c r="P2358" t="s">
        <v>38</v>
      </c>
      <c r="Q2358" t="s">
        <v>37</v>
      </c>
      <c r="R2358" t="s">
        <v>39</v>
      </c>
      <c r="S2358" t="s">
        <v>8540</v>
      </c>
      <c r="T2358" t="s">
        <v>8192</v>
      </c>
      <c r="U2358" t="s">
        <v>8084</v>
      </c>
      <c r="V2358" t="s">
        <v>8002</v>
      </c>
      <c r="W2358" t="s">
        <v>8085</v>
      </c>
      <c r="X2358" t="s">
        <v>46</v>
      </c>
      <c r="AC2358">
        <f>COUNTIF(C:C,QLKV_gui_ket_qua_ra_soat[[#This Row],[Mã điểm bán]])</f>
        <v>1</v>
      </c>
    </row>
    <row r="2359" spans="1:29" x14ac:dyDescent="0.45">
      <c r="A2359" t="s">
        <v>7995</v>
      </c>
      <c r="B2359">
        <v>152</v>
      </c>
      <c r="C2359" t="s">
        <v>8541</v>
      </c>
      <c r="D2359" t="s">
        <v>8542</v>
      </c>
      <c r="E2359" t="s">
        <v>2148</v>
      </c>
      <c r="F2359" t="s">
        <v>8543</v>
      </c>
      <c r="G2359" t="s">
        <v>34</v>
      </c>
      <c r="H2359" t="s">
        <v>54</v>
      </c>
      <c r="I2359" t="s">
        <v>8544</v>
      </c>
      <c r="J2359" t="s">
        <v>38</v>
      </c>
      <c r="K2359" t="s">
        <v>38</v>
      </c>
      <c r="L2359" t="s">
        <v>40</v>
      </c>
      <c r="M2359" t="s">
        <v>38</v>
      </c>
      <c r="N2359" t="s">
        <v>38</v>
      </c>
      <c r="O2359" t="s">
        <v>39</v>
      </c>
      <c r="P2359" t="s">
        <v>38</v>
      </c>
      <c r="Q2359" t="s">
        <v>38</v>
      </c>
      <c r="R2359" t="s">
        <v>40</v>
      </c>
      <c r="S2359" t="s">
        <v>8545</v>
      </c>
      <c r="T2359" t="s">
        <v>8038</v>
      </c>
      <c r="U2359" t="s">
        <v>8029</v>
      </c>
      <c r="V2359" t="s">
        <v>8002</v>
      </c>
      <c r="W2359" t="s">
        <v>8030</v>
      </c>
      <c r="AC2359">
        <f>COUNTIF(C:C,QLKV_gui_ket_qua_ra_soat[[#This Row],[Mã điểm bán]])</f>
        <v>1</v>
      </c>
    </row>
    <row r="2360" spans="1:29" x14ac:dyDescent="0.45">
      <c r="A2360" t="s">
        <v>7995</v>
      </c>
      <c r="B2360">
        <v>153</v>
      </c>
      <c r="C2360" t="s">
        <v>8546</v>
      </c>
      <c r="D2360" t="s">
        <v>8547</v>
      </c>
      <c r="E2360" t="s">
        <v>212</v>
      </c>
      <c r="F2360" t="s">
        <v>76</v>
      </c>
      <c r="G2360" t="s">
        <v>34</v>
      </c>
      <c r="H2360" t="s">
        <v>2459</v>
      </c>
      <c r="I2360" t="s">
        <v>8548</v>
      </c>
      <c r="J2360" t="s">
        <v>38</v>
      </c>
      <c r="K2360" t="s">
        <v>38</v>
      </c>
      <c r="L2360" t="s">
        <v>40</v>
      </c>
      <c r="M2360" t="s">
        <v>37</v>
      </c>
      <c r="N2360" t="s">
        <v>37</v>
      </c>
      <c r="O2360" t="s">
        <v>39</v>
      </c>
      <c r="P2360" t="s">
        <v>38</v>
      </c>
      <c r="Q2360" t="s">
        <v>38</v>
      </c>
      <c r="R2360" t="s">
        <v>40</v>
      </c>
      <c r="S2360" t="s">
        <v>41</v>
      </c>
      <c r="T2360" t="s">
        <v>8136</v>
      </c>
      <c r="U2360" t="s">
        <v>8137</v>
      </c>
      <c r="V2360" t="s">
        <v>8002</v>
      </c>
      <c r="W2360" t="s">
        <v>8085</v>
      </c>
      <c r="X2360" t="s">
        <v>46</v>
      </c>
      <c r="AC2360">
        <f>COUNTIF(C:C,QLKV_gui_ket_qua_ra_soat[[#This Row],[Mã điểm bán]])</f>
        <v>1</v>
      </c>
    </row>
    <row r="2361" spans="1:29" x14ac:dyDescent="0.45">
      <c r="A2361" t="s">
        <v>7995</v>
      </c>
      <c r="B2361">
        <v>154</v>
      </c>
      <c r="C2361" t="s">
        <v>8549</v>
      </c>
      <c r="D2361" t="s">
        <v>8550</v>
      </c>
      <c r="E2361" t="s">
        <v>206</v>
      </c>
      <c r="F2361" t="s">
        <v>53</v>
      </c>
      <c r="G2361" t="s">
        <v>34</v>
      </c>
      <c r="H2361" t="s">
        <v>54</v>
      </c>
      <c r="I2361" t="s">
        <v>8551</v>
      </c>
      <c r="J2361" t="s">
        <v>56</v>
      </c>
      <c r="K2361" t="s">
        <v>56</v>
      </c>
      <c r="L2361" t="s">
        <v>40</v>
      </c>
      <c r="M2361" t="s">
        <v>56</v>
      </c>
      <c r="N2361" t="s">
        <v>56</v>
      </c>
      <c r="O2361" t="s">
        <v>40</v>
      </c>
      <c r="P2361" t="s">
        <v>56</v>
      </c>
      <c r="Q2361" t="s">
        <v>56</v>
      </c>
      <c r="R2361" t="s">
        <v>40</v>
      </c>
      <c r="S2361" t="s">
        <v>8446</v>
      </c>
      <c r="T2361" t="s">
        <v>8000</v>
      </c>
      <c r="U2361" t="s">
        <v>8001</v>
      </c>
      <c r="V2361" t="s">
        <v>8002</v>
      </c>
      <c r="W2361" t="s">
        <v>8003</v>
      </c>
      <c r="Z2361" t="s">
        <v>46</v>
      </c>
      <c r="AA2361" t="s">
        <v>8000</v>
      </c>
      <c r="AC2361">
        <f>COUNTIF(C:C,QLKV_gui_ket_qua_ra_soat[[#This Row],[Mã điểm bán]])</f>
        <v>1</v>
      </c>
    </row>
    <row r="2362" spans="1:29" x14ac:dyDescent="0.45">
      <c r="A2362" t="s">
        <v>7995</v>
      </c>
      <c r="B2362">
        <v>155</v>
      </c>
      <c r="C2362" t="s">
        <v>8552</v>
      </c>
      <c r="D2362" t="s">
        <v>8553</v>
      </c>
      <c r="E2362" t="s">
        <v>455</v>
      </c>
      <c r="F2362" t="s">
        <v>417</v>
      </c>
      <c r="G2362" t="s">
        <v>34</v>
      </c>
      <c r="H2362" t="s">
        <v>479</v>
      </c>
      <c r="I2362" t="s">
        <v>5350</v>
      </c>
      <c r="J2362" t="s">
        <v>38</v>
      </c>
      <c r="K2362" t="s">
        <v>38</v>
      </c>
      <c r="L2362" t="s">
        <v>40</v>
      </c>
      <c r="M2362" t="s">
        <v>37</v>
      </c>
      <c r="N2362" t="s">
        <v>37</v>
      </c>
      <c r="O2362" t="s">
        <v>39</v>
      </c>
      <c r="P2362" t="s">
        <v>38</v>
      </c>
      <c r="Q2362" t="s">
        <v>38</v>
      </c>
      <c r="R2362" t="s">
        <v>40</v>
      </c>
      <c r="S2362" t="s">
        <v>627</v>
      </c>
      <c r="T2362" t="s">
        <v>8196</v>
      </c>
      <c r="U2362" t="s">
        <v>8001</v>
      </c>
      <c r="V2362" t="s">
        <v>8002</v>
      </c>
      <c r="W2362" t="s">
        <v>8003</v>
      </c>
      <c r="X2362" t="s">
        <v>46</v>
      </c>
      <c r="AC2362">
        <f>COUNTIF(C:C,QLKV_gui_ket_qua_ra_soat[[#This Row],[Mã điểm bán]])</f>
        <v>1</v>
      </c>
    </row>
    <row r="2363" spans="1:29" x14ac:dyDescent="0.45">
      <c r="A2363" t="s">
        <v>7995</v>
      </c>
      <c r="B2363">
        <v>156</v>
      </c>
      <c r="C2363" t="s">
        <v>8554</v>
      </c>
      <c r="D2363" t="s">
        <v>3415</v>
      </c>
      <c r="E2363" t="s">
        <v>7124</v>
      </c>
      <c r="F2363" t="s">
        <v>7484</v>
      </c>
      <c r="G2363" t="s">
        <v>34</v>
      </c>
      <c r="H2363" t="s">
        <v>1731</v>
      </c>
      <c r="I2363" t="s">
        <v>8555</v>
      </c>
      <c r="J2363" t="s">
        <v>38</v>
      </c>
      <c r="K2363" t="s">
        <v>38</v>
      </c>
      <c r="L2363" t="s">
        <v>40</v>
      </c>
      <c r="M2363" t="s">
        <v>37</v>
      </c>
      <c r="N2363" t="s">
        <v>37</v>
      </c>
      <c r="O2363" t="s">
        <v>39</v>
      </c>
      <c r="P2363" t="s">
        <v>38</v>
      </c>
      <c r="Q2363" t="s">
        <v>38</v>
      </c>
      <c r="R2363" t="s">
        <v>40</v>
      </c>
      <c r="S2363" t="s">
        <v>41</v>
      </c>
      <c r="T2363" t="s">
        <v>8136</v>
      </c>
      <c r="U2363" t="s">
        <v>8137</v>
      </c>
      <c r="V2363" t="s">
        <v>8002</v>
      </c>
      <c r="W2363" t="s">
        <v>8085</v>
      </c>
      <c r="X2363" t="s">
        <v>46</v>
      </c>
      <c r="AC2363">
        <f>COUNTIF(C:C,QLKV_gui_ket_qua_ra_soat[[#This Row],[Mã điểm bán]])</f>
        <v>1</v>
      </c>
    </row>
    <row r="2364" spans="1:29" x14ac:dyDescent="0.45">
      <c r="A2364" t="s">
        <v>7995</v>
      </c>
      <c r="B2364">
        <v>157</v>
      </c>
      <c r="C2364" t="s">
        <v>8556</v>
      </c>
      <c r="D2364" t="s">
        <v>8557</v>
      </c>
      <c r="E2364" t="s">
        <v>297</v>
      </c>
      <c r="F2364" t="s">
        <v>53</v>
      </c>
      <c r="G2364" t="s">
        <v>34</v>
      </c>
      <c r="H2364" t="s">
        <v>54</v>
      </c>
      <c r="I2364" t="s">
        <v>8558</v>
      </c>
      <c r="J2364" t="s">
        <v>37</v>
      </c>
      <c r="K2364" t="s">
        <v>37</v>
      </c>
      <c r="L2364" t="s">
        <v>39</v>
      </c>
      <c r="M2364" t="s">
        <v>37</v>
      </c>
      <c r="N2364" t="s">
        <v>37</v>
      </c>
      <c r="O2364" t="s">
        <v>39</v>
      </c>
      <c r="P2364" t="s">
        <v>37</v>
      </c>
      <c r="Q2364" t="s">
        <v>37</v>
      </c>
      <c r="R2364" t="s">
        <v>39</v>
      </c>
      <c r="S2364" t="s">
        <v>41</v>
      </c>
      <c r="T2364" t="s">
        <v>8105</v>
      </c>
      <c r="U2364" t="s">
        <v>8016</v>
      </c>
      <c r="V2364" t="s">
        <v>8002</v>
      </c>
      <c r="W2364" t="s">
        <v>8003</v>
      </c>
      <c r="Z2364" t="s">
        <v>46</v>
      </c>
      <c r="AA2364" t="s">
        <v>8105</v>
      </c>
      <c r="AC2364">
        <f>COUNTIF(C:C,QLKV_gui_ket_qua_ra_soat[[#This Row],[Mã điểm bán]])</f>
        <v>1</v>
      </c>
    </row>
    <row r="2365" spans="1:29" x14ac:dyDescent="0.45">
      <c r="A2365" t="s">
        <v>7995</v>
      </c>
      <c r="B2365">
        <v>158</v>
      </c>
      <c r="C2365" t="s">
        <v>8559</v>
      </c>
      <c r="D2365" t="s">
        <v>8560</v>
      </c>
      <c r="E2365" t="s">
        <v>91</v>
      </c>
      <c r="F2365" t="s">
        <v>53</v>
      </c>
      <c r="G2365" t="s">
        <v>34</v>
      </c>
      <c r="H2365" t="s">
        <v>54</v>
      </c>
      <c r="I2365" t="s">
        <v>7998</v>
      </c>
      <c r="J2365" t="s">
        <v>56</v>
      </c>
      <c r="K2365" t="s">
        <v>56</v>
      </c>
      <c r="L2365" t="s">
        <v>40</v>
      </c>
      <c r="M2365" t="s">
        <v>37</v>
      </c>
      <c r="N2365" t="s">
        <v>37</v>
      </c>
      <c r="O2365" t="s">
        <v>40</v>
      </c>
      <c r="P2365" t="s">
        <v>37</v>
      </c>
      <c r="Q2365" t="s">
        <v>37</v>
      </c>
      <c r="R2365" t="s">
        <v>40</v>
      </c>
      <c r="S2365" t="s">
        <v>8446</v>
      </c>
      <c r="T2365" t="s">
        <v>8000</v>
      </c>
      <c r="U2365" t="s">
        <v>8001</v>
      </c>
      <c r="V2365" t="s">
        <v>8002</v>
      </c>
      <c r="W2365" t="s">
        <v>8003</v>
      </c>
      <c r="Z2365" t="s">
        <v>46</v>
      </c>
      <c r="AA2365" t="s">
        <v>8000</v>
      </c>
      <c r="AC2365">
        <f>COUNTIF(C:C,QLKV_gui_ket_qua_ra_soat[[#This Row],[Mã điểm bán]])</f>
        <v>1</v>
      </c>
    </row>
    <row r="2366" spans="1:29" x14ac:dyDescent="0.45">
      <c r="A2366" t="s">
        <v>7995</v>
      </c>
      <c r="B2366">
        <v>159</v>
      </c>
      <c r="C2366" t="s">
        <v>8561</v>
      </c>
      <c r="D2366" t="s">
        <v>8562</v>
      </c>
      <c r="E2366" t="s">
        <v>91</v>
      </c>
      <c r="F2366" t="s">
        <v>53</v>
      </c>
      <c r="G2366" t="s">
        <v>34</v>
      </c>
      <c r="H2366" t="s">
        <v>1280</v>
      </c>
      <c r="I2366" t="s">
        <v>8563</v>
      </c>
      <c r="J2366" t="s">
        <v>38</v>
      </c>
      <c r="K2366" t="s">
        <v>38</v>
      </c>
      <c r="L2366" t="s">
        <v>40</v>
      </c>
      <c r="M2366" t="s">
        <v>38</v>
      </c>
      <c r="N2366" t="s">
        <v>38</v>
      </c>
      <c r="O2366" t="s">
        <v>40</v>
      </c>
      <c r="P2366" t="s">
        <v>38</v>
      </c>
      <c r="Q2366" t="s">
        <v>38</v>
      </c>
      <c r="R2366" t="s">
        <v>40</v>
      </c>
      <c r="S2366" t="s">
        <v>8564</v>
      </c>
      <c r="T2366" t="s">
        <v>8008</v>
      </c>
      <c r="U2366" t="s">
        <v>8009</v>
      </c>
      <c r="V2366" t="s">
        <v>8002</v>
      </c>
      <c r="W2366" t="s">
        <v>8010</v>
      </c>
      <c r="X2366" t="s">
        <v>46</v>
      </c>
      <c r="AC2366">
        <f>COUNTIF(C:C,QLKV_gui_ket_qua_ra_soat[[#This Row],[Mã điểm bán]])</f>
        <v>1</v>
      </c>
    </row>
    <row r="2367" spans="1:29" x14ac:dyDescent="0.45">
      <c r="A2367" t="s">
        <v>7995</v>
      </c>
      <c r="B2367">
        <v>160</v>
      </c>
      <c r="C2367" t="s">
        <v>8565</v>
      </c>
      <c r="D2367" t="s">
        <v>2677</v>
      </c>
      <c r="E2367" t="s">
        <v>8566</v>
      </c>
      <c r="F2367" t="s">
        <v>8567</v>
      </c>
      <c r="G2367" t="s">
        <v>34</v>
      </c>
      <c r="H2367" t="s">
        <v>1483</v>
      </c>
      <c r="I2367" t="s">
        <v>1878</v>
      </c>
      <c r="J2367" t="s">
        <v>56</v>
      </c>
      <c r="K2367" t="s">
        <v>56</v>
      </c>
      <c r="L2367" t="s">
        <v>39</v>
      </c>
      <c r="M2367" t="s">
        <v>775</v>
      </c>
      <c r="N2367" t="s">
        <v>775</v>
      </c>
      <c r="O2367" t="s">
        <v>39</v>
      </c>
      <c r="P2367" t="s">
        <v>56</v>
      </c>
      <c r="Q2367" t="s">
        <v>56</v>
      </c>
      <c r="R2367" t="s">
        <v>39</v>
      </c>
      <c r="S2367" t="s">
        <v>41</v>
      </c>
      <c r="T2367" t="s">
        <v>8105</v>
      </c>
      <c r="U2367" t="s">
        <v>8016</v>
      </c>
      <c r="V2367" t="s">
        <v>8002</v>
      </c>
      <c r="W2367" t="s">
        <v>8003</v>
      </c>
      <c r="X2367" t="s">
        <v>46</v>
      </c>
      <c r="AC2367">
        <f>COUNTIF(C:C,QLKV_gui_ket_qua_ra_soat[[#This Row],[Mã điểm bán]])</f>
        <v>1</v>
      </c>
    </row>
    <row r="2368" spans="1:29" x14ac:dyDescent="0.45">
      <c r="A2368" t="s">
        <v>7995</v>
      </c>
      <c r="B2368">
        <v>161</v>
      </c>
      <c r="C2368" t="s">
        <v>8568</v>
      </c>
      <c r="D2368" t="s">
        <v>8569</v>
      </c>
      <c r="E2368" t="s">
        <v>108</v>
      </c>
      <c r="F2368" t="s">
        <v>53</v>
      </c>
      <c r="G2368" t="s">
        <v>34</v>
      </c>
      <c r="H2368" t="s">
        <v>54</v>
      </c>
      <c r="I2368" t="s">
        <v>8570</v>
      </c>
      <c r="J2368" t="s">
        <v>37</v>
      </c>
      <c r="K2368" t="s">
        <v>37</v>
      </c>
      <c r="L2368" t="s">
        <v>40</v>
      </c>
      <c r="M2368" t="s">
        <v>56</v>
      </c>
      <c r="N2368" t="s">
        <v>56</v>
      </c>
      <c r="O2368" t="s">
        <v>40</v>
      </c>
      <c r="P2368" t="s">
        <v>56</v>
      </c>
      <c r="Q2368" t="s">
        <v>56</v>
      </c>
      <c r="R2368" t="s">
        <v>40</v>
      </c>
      <c r="S2368" t="s">
        <v>8446</v>
      </c>
      <c r="T2368" t="s">
        <v>8000</v>
      </c>
      <c r="U2368" t="s">
        <v>8001</v>
      </c>
      <c r="V2368" t="s">
        <v>8002</v>
      </c>
      <c r="W2368" t="s">
        <v>8003</v>
      </c>
      <c r="Z2368" t="s">
        <v>46</v>
      </c>
      <c r="AA2368" t="s">
        <v>8000</v>
      </c>
      <c r="AC2368">
        <f>COUNTIF(C:C,QLKV_gui_ket_qua_ra_soat[[#This Row],[Mã điểm bán]])</f>
        <v>1</v>
      </c>
    </row>
    <row r="2369" spans="1:29" x14ac:dyDescent="0.45">
      <c r="A2369" t="s">
        <v>7995</v>
      </c>
      <c r="B2369">
        <v>162</v>
      </c>
      <c r="C2369" t="s">
        <v>8571</v>
      </c>
      <c r="D2369" t="s">
        <v>8572</v>
      </c>
      <c r="E2369" t="s">
        <v>370</v>
      </c>
      <c r="F2369" t="s">
        <v>166</v>
      </c>
      <c r="G2369" t="s">
        <v>34</v>
      </c>
      <c r="H2369" t="s">
        <v>319</v>
      </c>
      <c r="I2369" t="s">
        <v>8573</v>
      </c>
      <c r="J2369" t="s">
        <v>38</v>
      </c>
      <c r="K2369" t="s">
        <v>38</v>
      </c>
      <c r="L2369" t="s">
        <v>39</v>
      </c>
      <c r="M2369" t="s">
        <v>38</v>
      </c>
      <c r="N2369" t="s">
        <v>38</v>
      </c>
      <c r="O2369" t="s">
        <v>39</v>
      </c>
      <c r="P2369" t="s">
        <v>38</v>
      </c>
      <c r="Q2369" t="s">
        <v>38</v>
      </c>
      <c r="R2369" t="s">
        <v>39</v>
      </c>
      <c r="S2369" t="s">
        <v>41</v>
      </c>
      <c r="T2369" t="s">
        <v>8060</v>
      </c>
      <c r="U2369" t="s">
        <v>8016</v>
      </c>
      <c r="V2369" t="s">
        <v>8002</v>
      </c>
      <c r="W2369" t="s">
        <v>8010</v>
      </c>
      <c r="X2369" t="s">
        <v>46</v>
      </c>
      <c r="AC2369">
        <f>COUNTIF(C:C,QLKV_gui_ket_qua_ra_soat[[#This Row],[Mã điểm bán]])</f>
        <v>1</v>
      </c>
    </row>
    <row r="2370" spans="1:29" x14ac:dyDescent="0.45">
      <c r="A2370" t="s">
        <v>7995</v>
      </c>
      <c r="B2370">
        <v>163</v>
      </c>
      <c r="C2370" t="s">
        <v>8574</v>
      </c>
      <c r="D2370" t="s">
        <v>7756</v>
      </c>
      <c r="E2370" t="s">
        <v>69</v>
      </c>
      <c r="F2370" t="s">
        <v>53</v>
      </c>
      <c r="G2370" t="s">
        <v>34</v>
      </c>
      <c r="H2370" t="s">
        <v>54</v>
      </c>
      <c r="I2370" t="s">
        <v>8575</v>
      </c>
      <c r="J2370" t="s">
        <v>38</v>
      </c>
      <c r="K2370" t="s">
        <v>38</v>
      </c>
      <c r="L2370" t="s">
        <v>40</v>
      </c>
      <c r="M2370" t="s">
        <v>38</v>
      </c>
      <c r="N2370" t="s">
        <v>38</v>
      </c>
      <c r="O2370" t="s">
        <v>39</v>
      </c>
      <c r="P2370" t="s">
        <v>38</v>
      </c>
      <c r="Q2370" t="s">
        <v>38</v>
      </c>
      <c r="R2370" t="s">
        <v>40</v>
      </c>
      <c r="S2370" t="s">
        <v>8576</v>
      </c>
      <c r="T2370" t="s">
        <v>8038</v>
      </c>
      <c r="U2370" t="s">
        <v>8029</v>
      </c>
      <c r="V2370" t="s">
        <v>8002</v>
      </c>
      <c r="W2370" t="s">
        <v>8030</v>
      </c>
      <c r="AC2370">
        <f>COUNTIF(C:C,QLKV_gui_ket_qua_ra_soat[[#This Row],[Mã điểm bán]])</f>
        <v>1</v>
      </c>
    </row>
    <row r="2371" spans="1:29" x14ac:dyDescent="0.45">
      <c r="A2371" t="s">
        <v>7995</v>
      </c>
      <c r="B2371">
        <v>164</v>
      </c>
      <c r="C2371" t="s">
        <v>8577</v>
      </c>
      <c r="D2371" t="s">
        <v>8578</v>
      </c>
      <c r="E2371" t="s">
        <v>290</v>
      </c>
      <c r="F2371" t="s">
        <v>3764</v>
      </c>
      <c r="G2371" t="s">
        <v>34</v>
      </c>
      <c r="H2371" t="s">
        <v>54</v>
      </c>
      <c r="I2371" t="s">
        <v>8579</v>
      </c>
      <c r="J2371" t="s">
        <v>38</v>
      </c>
      <c r="K2371" t="s">
        <v>38</v>
      </c>
      <c r="L2371" t="s">
        <v>39</v>
      </c>
      <c r="M2371" t="s">
        <v>38</v>
      </c>
      <c r="N2371" t="s">
        <v>38</v>
      </c>
      <c r="O2371" t="s">
        <v>39</v>
      </c>
      <c r="P2371" t="s">
        <v>38</v>
      </c>
      <c r="Q2371" t="s">
        <v>38</v>
      </c>
      <c r="R2371" t="s">
        <v>40</v>
      </c>
      <c r="S2371" t="s">
        <v>8580</v>
      </c>
      <c r="T2371" t="s">
        <v>8038</v>
      </c>
      <c r="U2371" t="s">
        <v>8029</v>
      </c>
      <c r="V2371" t="s">
        <v>8002</v>
      </c>
      <c r="W2371" t="s">
        <v>8030</v>
      </c>
      <c r="AC2371">
        <f>COUNTIF(C:C,QLKV_gui_ket_qua_ra_soat[[#This Row],[Mã điểm bán]])</f>
        <v>1</v>
      </c>
    </row>
    <row r="2372" spans="1:29" x14ac:dyDescent="0.45">
      <c r="A2372" t="s">
        <v>7995</v>
      </c>
      <c r="B2372">
        <v>165</v>
      </c>
      <c r="C2372" t="s">
        <v>8581</v>
      </c>
      <c r="D2372" t="s">
        <v>8582</v>
      </c>
      <c r="E2372" t="s">
        <v>176</v>
      </c>
      <c r="F2372" t="s">
        <v>53</v>
      </c>
      <c r="G2372" t="s">
        <v>34</v>
      </c>
      <c r="H2372" t="s">
        <v>54</v>
      </c>
      <c r="I2372" t="s">
        <v>8583</v>
      </c>
      <c r="J2372" t="s">
        <v>56</v>
      </c>
      <c r="K2372" t="s">
        <v>56</v>
      </c>
      <c r="L2372" t="s">
        <v>40</v>
      </c>
      <c r="M2372" t="s">
        <v>56</v>
      </c>
      <c r="N2372" t="s">
        <v>56</v>
      </c>
      <c r="O2372" t="s">
        <v>40</v>
      </c>
      <c r="P2372" t="s">
        <v>56</v>
      </c>
      <c r="Q2372" t="s">
        <v>56</v>
      </c>
      <c r="R2372" t="s">
        <v>40</v>
      </c>
      <c r="S2372" t="s">
        <v>8446</v>
      </c>
      <c r="T2372" t="s">
        <v>8000</v>
      </c>
      <c r="U2372" t="s">
        <v>8001</v>
      </c>
      <c r="V2372" t="s">
        <v>8002</v>
      </c>
      <c r="W2372" t="s">
        <v>8003</v>
      </c>
      <c r="Z2372" t="s">
        <v>46</v>
      </c>
      <c r="AA2372" t="s">
        <v>8000</v>
      </c>
      <c r="AC2372">
        <f>COUNTIF(C:C,QLKV_gui_ket_qua_ra_soat[[#This Row],[Mã điểm bán]])</f>
        <v>1</v>
      </c>
    </row>
    <row r="2373" spans="1:29" x14ac:dyDescent="0.45">
      <c r="A2373" t="s">
        <v>7995</v>
      </c>
      <c r="B2373">
        <v>166</v>
      </c>
      <c r="C2373" t="s">
        <v>8584</v>
      </c>
      <c r="D2373" t="s">
        <v>8585</v>
      </c>
      <c r="E2373" t="s">
        <v>8586</v>
      </c>
      <c r="F2373" t="s">
        <v>53</v>
      </c>
      <c r="G2373" t="s">
        <v>150</v>
      </c>
      <c r="H2373" t="s">
        <v>54</v>
      </c>
      <c r="I2373" t="s">
        <v>8587</v>
      </c>
      <c r="J2373" t="s">
        <v>775</v>
      </c>
      <c r="K2373" t="s">
        <v>775</v>
      </c>
      <c r="L2373" t="s">
        <v>39</v>
      </c>
      <c r="M2373" t="s">
        <v>56</v>
      </c>
      <c r="N2373" t="s">
        <v>56</v>
      </c>
      <c r="O2373" t="s">
        <v>39</v>
      </c>
      <c r="P2373" t="s">
        <v>56</v>
      </c>
      <c r="Q2373" t="s">
        <v>56</v>
      </c>
      <c r="R2373" t="s">
        <v>39</v>
      </c>
      <c r="S2373" t="s">
        <v>41</v>
      </c>
      <c r="T2373" t="s">
        <v>8105</v>
      </c>
      <c r="U2373" t="s">
        <v>8016</v>
      </c>
      <c r="V2373" t="s">
        <v>8002</v>
      </c>
      <c r="W2373" t="s">
        <v>8003</v>
      </c>
      <c r="X2373" t="s">
        <v>46</v>
      </c>
      <c r="AC2373">
        <f>COUNTIF(C:C,QLKV_gui_ket_qua_ra_soat[[#This Row],[Mã điểm bán]])</f>
        <v>1</v>
      </c>
    </row>
    <row r="2374" spans="1:29" x14ac:dyDescent="0.45">
      <c r="A2374" t="s">
        <v>7995</v>
      </c>
      <c r="B2374">
        <v>167</v>
      </c>
      <c r="C2374" t="s">
        <v>8588</v>
      </c>
      <c r="D2374" t="s">
        <v>8589</v>
      </c>
      <c r="E2374" t="s">
        <v>108</v>
      </c>
      <c r="F2374" t="s">
        <v>53</v>
      </c>
      <c r="G2374" t="s">
        <v>34</v>
      </c>
      <c r="H2374" t="s">
        <v>54</v>
      </c>
      <c r="I2374" t="s">
        <v>8590</v>
      </c>
      <c r="J2374" t="s">
        <v>56</v>
      </c>
      <c r="K2374" t="s">
        <v>56</v>
      </c>
      <c r="L2374" t="s">
        <v>40</v>
      </c>
      <c r="M2374" t="s">
        <v>56</v>
      </c>
      <c r="N2374" t="s">
        <v>56</v>
      </c>
      <c r="O2374" t="s">
        <v>40</v>
      </c>
      <c r="P2374" t="s">
        <v>56</v>
      </c>
      <c r="Q2374" t="s">
        <v>56</v>
      </c>
      <c r="R2374" t="s">
        <v>40</v>
      </c>
      <c r="S2374" t="s">
        <v>8446</v>
      </c>
      <c r="T2374" t="s">
        <v>8000</v>
      </c>
      <c r="U2374" t="s">
        <v>8001</v>
      </c>
      <c r="V2374" t="s">
        <v>8002</v>
      </c>
      <c r="W2374" t="s">
        <v>8003</v>
      </c>
      <c r="Z2374" t="s">
        <v>46</v>
      </c>
      <c r="AA2374" t="s">
        <v>8000</v>
      </c>
      <c r="AC2374">
        <f>COUNTIF(C:C,QLKV_gui_ket_qua_ra_soat[[#This Row],[Mã điểm bán]])</f>
        <v>1</v>
      </c>
    </row>
    <row r="2375" spans="1:29" x14ac:dyDescent="0.45">
      <c r="A2375" t="s">
        <v>7995</v>
      </c>
      <c r="B2375">
        <v>168</v>
      </c>
      <c r="C2375" t="s">
        <v>8591</v>
      </c>
      <c r="D2375" t="s">
        <v>8592</v>
      </c>
      <c r="E2375" t="s">
        <v>176</v>
      </c>
      <c r="F2375" t="s">
        <v>53</v>
      </c>
      <c r="G2375" t="s">
        <v>34</v>
      </c>
      <c r="H2375" t="s">
        <v>54</v>
      </c>
      <c r="I2375" t="s">
        <v>8593</v>
      </c>
      <c r="J2375" t="s">
        <v>56</v>
      </c>
      <c r="K2375" t="s">
        <v>56</v>
      </c>
      <c r="L2375" t="s">
        <v>40</v>
      </c>
      <c r="M2375" t="s">
        <v>37</v>
      </c>
      <c r="N2375" t="s">
        <v>37</v>
      </c>
      <c r="O2375" t="s">
        <v>40</v>
      </c>
      <c r="P2375" t="s">
        <v>37</v>
      </c>
      <c r="Q2375" t="s">
        <v>37</v>
      </c>
      <c r="R2375" t="s">
        <v>40</v>
      </c>
      <c r="S2375" t="s">
        <v>8446</v>
      </c>
      <c r="T2375" t="s">
        <v>8000</v>
      </c>
      <c r="U2375" t="s">
        <v>8001</v>
      </c>
      <c r="V2375" t="s">
        <v>8002</v>
      </c>
      <c r="W2375" t="s">
        <v>8003</v>
      </c>
      <c r="Z2375" t="s">
        <v>46</v>
      </c>
      <c r="AA2375" t="s">
        <v>8000</v>
      </c>
      <c r="AC2375">
        <f>COUNTIF(C:C,QLKV_gui_ket_qua_ra_soat[[#This Row],[Mã điểm bán]])</f>
        <v>1</v>
      </c>
    </row>
    <row r="2376" spans="1:29" x14ac:dyDescent="0.45">
      <c r="A2376" t="s">
        <v>7995</v>
      </c>
      <c r="B2376">
        <v>169</v>
      </c>
      <c r="C2376" t="s">
        <v>8594</v>
      </c>
      <c r="D2376" t="s">
        <v>8595</v>
      </c>
      <c r="E2376" t="s">
        <v>69</v>
      </c>
      <c r="F2376" t="s">
        <v>53</v>
      </c>
      <c r="G2376" t="s">
        <v>34</v>
      </c>
      <c r="H2376" t="s">
        <v>54</v>
      </c>
      <c r="I2376" t="s">
        <v>4000</v>
      </c>
      <c r="J2376" t="s">
        <v>37</v>
      </c>
      <c r="K2376" t="s">
        <v>56</v>
      </c>
      <c r="L2376" t="s">
        <v>40</v>
      </c>
      <c r="M2376" t="s">
        <v>37</v>
      </c>
      <c r="N2376" t="s">
        <v>37</v>
      </c>
      <c r="O2376" t="s">
        <v>40</v>
      </c>
      <c r="P2376" t="s">
        <v>56</v>
      </c>
      <c r="Q2376" t="s">
        <v>56</v>
      </c>
      <c r="R2376" t="s">
        <v>40</v>
      </c>
      <c r="S2376" t="s">
        <v>8446</v>
      </c>
      <c r="T2376" t="s">
        <v>8000</v>
      </c>
      <c r="U2376" t="s">
        <v>8001</v>
      </c>
      <c r="V2376" t="s">
        <v>8002</v>
      </c>
      <c r="W2376" t="s">
        <v>8003</v>
      </c>
      <c r="Z2376" t="s">
        <v>46</v>
      </c>
      <c r="AA2376" t="s">
        <v>8000</v>
      </c>
      <c r="AC2376">
        <f>COUNTIF(C:C,QLKV_gui_ket_qua_ra_soat[[#This Row],[Mã điểm bán]])</f>
        <v>1</v>
      </c>
    </row>
    <row r="2377" spans="1:29" x14ac:dyDescent="0.45">
      <c r="A2377" t="s">
        <v>7995</v>
      </c>
      <c r="B2377">
        <v>170</v>
      </c>
      <c r="C2377" t="s">
        <v>8596</v>
      </c>
      <c r="D2377" t="s">
        <v>8597</v>
      </c>
      <c r="E2377" t="s">
        <v>823</v>
      </c>
      <c r="F2377" t="s">
        <v>2365</v>
      </c>
      <c r="G2377" t="s">
        <v>34</v>
      </c>
      <c r="H2377" t="s">
        <v>54</v>
      </c>
      <c r="I2377" t="s">
        <v>2921</v>
      </c>
      <c r="J2377" t="s">
        <v>56</v>
      </c>
      <c r="K2377" t="s">
        <v>56</v>
      </c>
      <c r="L2377" t="s">
        <v>39</v>
      </c>
      <c r="M2377" t="s">
        <v>56</v>
      </c>
      <c r="N2377" t="s">
        <v>56</v>
      </c>
      <c r="O2377" t="s">
        <v>39</v>
      </c>
      <c r="P2377" t="s">
        <v>56</v>
      </c>
      <c r="Q2377" t="s">
        <v>56</v>
      </c>
      <c r="R2377" t="s">
        <v>39</v>
      </c>
      <c r="S2377" t="s">
        <v>41</v>
      </c>
      <c r="T2377" t="s">
        <v>8105</v>
      </c>
      <c r="U2377" t="s">
        <v>8016</v>
      </c>
      <c r="V2377" t="s">
        <v>8002</v>
      </c>
      <c r="W2377" t="s">
        <v>8003</v>
      </c>
      <c r="X2377" t="s">
        <v>46</v>
      </c>
      <c r="AC2377">
        <f>COUNTIF(C:C,QLKV_gui_ket_qua_ra_soat[[#This Row],[Mã điểm bán]])</f>
        <v>1</v>
      </c>
    </row>
    <row r="2378" spans="1:29" x14ac:dyDescent="0.45">
      <c r="A2378" t="s">
        <v>7995</v>
      </c>
      <c r="B2378">
        <v>171</v>
      </c>
      <c r="C2378" t="s">
        <v>8598</v>
      </c>
      <c r="D2378" t="s">
        <v>8599</v>
      </c>
      <c r="E2378" t="s">
        <v>69</v>
      </c>
      <c r="F2378" t="s">
        <v>53</v>
      </c>
      <c r="G2378" t="s">
        <v>34</v>
      </c>
      <c r="H2378" t="s">
        <v>54</v>
      </c>
      <c r="I2378" t="s">
        <v>8600</v>
      </c>
      <c r="J2378" t="s">
        <v>37</v>
      </c>
      <c r="K2378" t="s">
        <v>37</v>
      </c>
      <c r="L2378" t="s">
        <v>40</v>
      </c>
      <c r="M2378" t="s">
        <v>37</v>
      </c>
      <c r="N2378" t="s">
        <v>37</v>
      </c>
      <c r="O2378" t="s">
        <v>40</v>
      </c>
      <c r="P2378" t="s">
        <v>37</v>
      </c>
      <c r="Q2378" t="s">
        <v>37</v>
      </c>
      <c r="R2378" t="s">
        <v>40</v>
      </c>
      <c r="S2378" t="s">
        <v>8446</v>
      </c>
      <c r="T2378" t="s">
        <v>8000</v>
      </c>
      <c r="U2378" t="s">
        <v>8001</v>
      </c>
      <c r="V2378" t="s">
        <v>8002</v>
      </c>
      <c r="W2378" t="s">
        <v>8003</v>
      </c>
      <c r="Z2378" t="s">
        <v>46</v>
      </c>
      <c r="AA2378" t="s">
        <v>8000</v>
      </c>
      <c r="AC2378">
        <f>COUNTIF(C:C,QLKV_gui_ket_qua_ra_soat[[#This Row],[Mã điểm bán]])</f>
        <v>1</v>
      </c>
    </row>
    <row r="2379" spans="1:29" x14ac:dyDescent="0.45">
      <c r="A2379" t="s">
        <v>7995</v>
      </c>
      <c r="B2379">
        <v>172</v>
      </c>
      <c r="C2379" t="s">
        <v>8601</v>
      </c>
      <c r="D2379" t="s">
        <v>4342</v>
      </c>
      <c r="E2379" t="s">
        <v>92</v>
      </c>
      <c r="F2379" t="s">
        <v>53</v>
      </c>
      <c r="G2379" t="s">
        <v>34</v>
      </c>
      <c r="H2379" t="s">
        <v>171</v>
      </c>
      <c r="I2379" t="s">
        <v>8602</v>
      </c>
      <c r="J2379" t="s">
        <v>37</v>
      </c>
      <c r="K2379" t="s">
        <v>37</v>
      </c>
      <c r="L2379" t="s">
        <v>39</v>
      </c>
      <c r="M2379" t="s">
        <v>38</v>
      </c>
      <c r="N2379" t="s">
        <v>37</v>
      </c>
      <c r="O2379" t="s">
        <v>39</v>
      </c>
      <c r="P2379" t="s">
        <v>38</v>
      </c>
      <c r="Q2379" t="s">
        <v>37</v>
      </c>
      <c r="R2379" t="s">
        <v>39</v>
      </c>
      <c r="S2379" t="s">
        <v>8191</v>
      </c>
      <c r="T2379" t="s">
        <v>8192</v>
      </c>
      <c r="U2379" t="s">
        <v>8084</v>
      </c>
      <c r="V2379" t="s">
        <v>8002</v>
      </c>
      <c r="W2379" t="s">
        <v>8085</v>
      </c>
      <c r="X2379" t="s">
        <v>46</v>
      </c>
      <c r="AC2379">
        <f>COUNTIF(C:C,QLKV_gui_ket_qua_ra_soat[[#This Row],[Mã điểm bán]])</f>
        <v>1</v>
      </c>
    </row>
    <row r="2380" spans="1:29" x14ac:dyDescent="0.45">
      <c r="A2380" t="s">
        <v>7995</v>
      </c>
      <c r="B2380">
        <v>173</v>
      </c>
      <c r="C2380" t="s">
        <v>8603</v>
      </c>
      <c r="D2380" t="s">
        <v>5273</v>
      </c>
      <c r="E2380" t="s">
        <v>989</v>
      </c>
      <c r="F2380" t="s">
        <v>441</v>
      </c>
      <c r="G2380" t="s">
        <v>34</v>
      </c>
      <c r="H2380" t="s">
        <v>54</v>
      </c>
      <c r="I2380" t="s">
        <v>8604</v>
      </c>
      <c r="J2380" t="s">
        <v>38</v>
      </c>
      <c r="K2380" t="s">
        <v>38</v>
      </c>
      <c r="L2380" t="s">
        <v>40</v>
      </c>
      <c r="M2380" t="s">
        <v>38</v>
      </c>
      <c r="N2380" t="s">
        <v>38</v>
      </c>
      <c r="O2380" t="s">
        <v>40</v>
      </c>
      <c r="P2380" t="s">
        <v>38</v>
      </c>
      <c r="Q2380" t="s">
        <v>38</v>
      </c>
      <c r="R2380" t="s">
        <v>40</v>
      </c>
      <c r="S2380" t="s">
        <v>8605</v>
      </c>
      <c r="T2380" t="s">
        <v>8038</v>
      </c>
      <c r="U2380" t="s">
        <v>8029</v>
      </c>
      <c r="V2380" t="s">
        <v>8002</v>
      </c>
      <c r="W2380" t="s">
        <v>8030</v>
      </c>
      <c r="AC2380">
        <f>COUNTIF(C:C,QLKV_gui_ket_qua_ra_soat[[#This Row],[Mã điểm bán]])</f>
        <v>1</v>
      </c>
    </row>
    <row r="2381" spans="1:29" x14ac:dyDescent="0.45">
      <c r="A2381" t="s">
        <v>7995</v>
      </c>
      <c r="B2381">
        <v>174</v>
      </c>
      <c r="C2381" t="s">
        <v>8606</v>
      </c>
      <c r="D2381" t="s">
        <v>3564</v>
      </c>
      <c r="E2381" t="s">
        <v>580</v>
      </c>
      <c r="F2381" t="s">
        <v>1573</v>
      </c>
      <c r="G2381" t="s">
        <v>34</v>
      </c>
      <c r="H2381" t="s">
        <v>1052</v>
      </c>
      <c r="I2381" t="s">
        <v>8607</v>
      </c>
      <c r="J2381" t="s">
        <v>37</v>
      </c>
      <c r="K2381" t="s">
        <v>38</v>
      </c>
      <c r="L2381" t="s">
        <v>39</v>
      </c>
      <c r="M2381" t="s">
        <v>38</v>
      </c>
      <c r="N2381" t="s">
        <v>37</v>
      </c>
      <c r="O2381" t="s">
        <v>39</v>
      </c>
      <c r="P2381" t="s">
        <v>38</v>
      </c>
      <c r="Q2381" t="s">
        <v>37</v>
      </c>
      <c r="R2381" t="s">
        <v>39</v>
      </c>
      <c r="S2381" t="s">
        <v>8191</v>
      </c>
      <c r="T2381" t="s">
        <v>8192</v>
      </c>
      <c r="U2381" t="s">
        <v>8084</v>
      </c>
      <c r="V2381" t="s">
        <v>8002</v>
      </c>
      <c r="W2381" t="s">
        <v>8085</v>
      </c>
      <c r="X2381" t="s">
        <v>46</v>
      </c>
      <c r="AC2381">
        <f>COUNTIF(C:C,QLKV_gui_ket_qua_ra_soat[[#This Row],[Mã điểm bán]])</f>
        <v>1</v>
      </c>
    </row>
    <row r="2382" spans="1:29" x14ac:dyDescent="0.45">
      <c r="A2382" t="s">
        <v>7995</v>
      </c>
      <c r="B2382">
        <v>175</v>
      </c>
      <c r="C2382" t="s">
        <v>8608</v>
      </c>
      <c r="D2382" t="s">
        <v>8301</v>
      </c>
      <c r="E2382" t="s">
        <v>8609</v>
      </c>
      <c r="F2382" t="s">
        <v>426</v>
      </c>
      <c r="G2382" t="s">
        <v>34</v>
      </c>
      <c r="H2382" t="s">
        <v>171</v>
      </c>
      <c r="I2382" t="s">
        <v>8610</v>
      </c>
      <c r="J2382" t="s">
        <v>38</v>
      </c>
      <c r="K2382" t="s">
        <v>38</v>
      </c>
      <c r="L2382" t="s">
        <v>40</v>
      </c>
      <c r="M2382" t="s">
        <v>37</v>
      </c>
      <c r="N2382" t="s">
        <v>37</v>
      </c>
      <c r="O2382" t="s">
        <v>39</v>
      </c>
      <c r="P2382" t="s">
        <v>38</v>
      </c>
      <c r="Q2382" t="s">
        <v>38</v>
      </c>
      <c r="R2382" t="s">
        <v>40</v>
      </c>
      <c r="S2382" t="s">
        <v>41</v>
      </c>
      <c r="T2382" t="s">
        <v>8136</v>
      </c>
      <c r="U2382" t="s">
        <v>8137</v>
      </c>
      <c r="V2382" t="s">
        <v>8002</v>
      </c>
      <c r="W2382" t="s">
        <v>8085</v>
      </c>
      <c r="X2382" t="s">
        <v>46</v>
      </c>
      <c r="AC2382">
        <f>COUNTIF(C:C,QLKV_gui_ket_qua_ra_soat[[#This Row],[Mã điểm bán]])</f>
        <v>1</v>
      </c>
    </row>
    <row r="2383" spans="1:29" x14ac:dyDescent="0.45">
      <c r="A2383" t="s">
        <v>7995</v>
      </c>
      <c r="B2383">
        <v>176</v>
      </c>
      <c r="C2383" t="s">
        <v>8611</v>
      </c>
      <c r="D2383" t="s">
        <v>8612</v>
      </c>
      <c r="E2383" t="s">
        <v>742</v>
      </c>
      <c r="F2383" t="s">
        <v>115</v>
      </c>
      <c r="G2383" t="s">
        <v>34</v>
      </c>
      <c r="H2383" t="s">
        <v>54</v>
      </c>
      <c r="I2383" t="s">
        <v>8613</v>
      </c>
      <c r="J2383" t="s">
        <v>37</v>
      </c>
      <c r="K2383" t="s">
        <v>37</v>
      </c>
      <c r="L2383" t="s">
        <v>40</v>
      </c>
      <c r="M2383" t="s">
        <v>37</v>
      </c>
      <c r="N2383" t="s">
        <v>56</v>
      </c>
      <c r="O2383" t="s">
        <v>40</v>
      </c>
      <c r="P2383" t="s">
        <v>37</v>
      </c>
      <c r="Q2383" t="s">
        <v>37</v>
      </c>
      <c r="R2383" t="s">
        <v>40</v>
      </c>
      <c r="S2383" t="s">
        <v>8614</v>
      </c>
      <c r="T2383" t="s">
        <v>8238</v>
      </c>
      <c r="U2383" t="s">
        <v>8239</v>
      </c>
      <c r="V2383" t="s">
        <v>8002</v>
      </c>
      <c r="W2383" t="s">
        <v>8010</v>
      </c>
      <c r="X2383" t="s">
        <v>46</v>
      </c>
      <c r="AC2383">
        <f>COUNTIF(C:C,QLKV_gui_ket_qua_ra_soat[[#This Row],[Mã điểm bán]])</f>
        <v>1</v>
      </c>
    </row>
    <row r="2384" spans="1:29" x14ac:dyDescent="0.45">
      <c r="A2384" t="s">
        <v>7995</v>
      </c>
      <c r="B2384">
        <v>177</v>
      </c>
      <c r="C2384" t="s">
        <v>8615</v>
      </c>
      <c r="D2384" t="s">
        <v>8616</v>
      </c>
      <c r="E2384" t="s">
        <v>1866</v>
      </c>
      <c r="F2384" t="s">
        <v>166</v>
      </c>
      <c r="G2384" t="s">
        <v>34</v>
      </c>
      <c r="H2384" t="s">
        <v>54</v>
      </c>
      <c r="I2384" t="s">
        <v>1878</v>
      </c>
      <c r="J2384" t="s">
        <v>37</v>
      </c>
      <c r="K2384" t="s">
        <v>37</v>
      </c>
      <c r="L2384" t="s">
        <v>40</v>
      </c>
      <c r="M2384" t="s">
        <v>56</v>
      </c>
      <c r="N2384" t="s">
        <v>56</v>
      </c>
      <c r="O2384" t="s">
        <v>40</v>
      </c>
      <c r="P2384" t="s">
        <v>37</v>
      </c>
      <c r="Q2384" t="s">
        <v>37</v>
      </c>
      <c r="R2384" t="s">
        <v>40</v>
      </c>
      <c r="S2384" t="s">
        <v>8617</v>
      </c>
      <c r="T2384" t="s">
        <v>8238</v>
      </c>
      <c r="U2384" t="s">
        <v>8239</v>
      </c>
      <c r="V2384" t="s">
        <v>8002</v>
      </c>
      <c r="W2384" t="s">
        <v>8010</v>
      </c>
      <c r="X2384" t="s">
        <v>46</v>
      </c>
      <c r="AC2384">
        <f>COUNTIF(C:C,QLKV_gui_ket_qua_ra_soat[[#This Row],[Mã điểm bán]])</f>
        <v>1</v>
      </c>
    </row>
    <row r="2385" spans="1:29" x14ac:dyDescent="0.45">
      <c r="A2385" t="s">
        <v>7995</v>
      </c>
      <c r="B2385">
        <v>178</v>
      </c>
      <c r="C2385" t="s">
        <v>8618</v>
      </c>
      <c r="D2385" t="s">
        <v>6037</v>
      </c>
      <c r="E2385" t="s">
        <v>265</v>
      </c>
      <c r="F2385" t="s">
        <v>401</v>
      </c>
      <c r="G2385" t="s">
        <v>34</v>
      </c>
      <c r="H2385" t="s">
        <v>54</v>
      </c>
      <c r="I2385" t="s">
        <v>1899</v>
      </c>
      <c r="J2385" t="s">
        <v>56</v>
      </c>
      <c r="K2385" t="s">
        <v>56</v>
      </c>
      <c r="L2385" t="s">
        <v>40</v>
      </c>
      <c r="M2385" t="s">
        <v>56</v>
      </c>
      <c r="N2385" t="s">
        <v>37</v>
      </c>
      <c r="O2385" t="s">
        <v>40</v>
      </c>
      <c r="P2385" t="s">
        <v>37</v>
      </c>
      <c r="Q2385" t="s">
        <v>37</v>
      </c>
      <c r="R2385" t="s">
        <v>40</v>
      </c>
      <c r="S2385" t="s">
        <v>8619</v>
      </c>
      <c r="T2385" t="s">
        <v>8238</v>
      </c>
      <c r="U2385" t="s">
        <v>8239</v>
      </c>
      <c r="V2385" t="s">
        <v>8002</v>
      </c>
      <c r="W2385" t="s">
        <v>8010</v>
      </c>
      <c r="X2385" t="s">
        <v>46</v>
      </c>
      <c r="AC2385">
        <f>COUNTIF(C:C,QLKV_gui_ket_qua_ra_soat[[#This Row],[Mã điểm bán]])</f>
        <v>1</v>
      </c>
    </row>
    <row r="2386" spans="1:29" x14ac:dyDescent="0.45">
      <c r="A2386" t="s">
        <v>7995</v>
      </c>
      <c r="B2386">
        <v>179</v>
      </c>
      <c r="C2386" t="s">
        <v>8620</v>
      </c>
      <c r="D2386" t="s">
        <v>7771</v>
      </c>
      <c r="E2386" t="s">
        <v>1695</v>
      </c>
      <c r="F2386" t="s">
        <v>417</v>
      </c>
      <c r="G2386" t="s">
        <v>34</v>
      </c>
      <c r="H2386" t="s">
        <v>1320</v>
      </c>
      <c r="I2386" t="s">
        <v>8621</v>
      </c>
      <c r="J2386" t="s">
        <v>38</v>
      </c>
      <c r="K2386" t="s">
        <v>38</v>
      </c>
      <c r="L2386" t="s">
        <v>40</v>
      </c>
      <c r="M2386" t="s">
        <v>38</v>
      </c>
      <c r="N2386" t="s">
        <v>38</v>
      </c>
      <c r="O2386" t="s">
        <v>40</v>
      </c>
      <c r="P2386" t="s">
        <v>38</v>
      </c>
      <c r="Q2386" t="s">
        <v>38</v>
      </c>
      <c r="R2386" t="s">
        <v>40</v>
      </c>
      <c r="S2386" t="s">
        <v>8622</v>
      </c>
      <c r="T2386" t="s">
        <v>8015</v>
      </c>
      <c r="U2386" t="s">
        <v>8016</v>
      </c>
      <c r="V2386" t="s">
        <v>8002</v>
      </c>
      <c r="W2386" t="s">
        <v>8010</v>
      </c>
      <c r="X2386" t="s">
        <v>46</v>
      </c>
      <c r="AC2386">
        <f>COUNTIF(C:C,QLKV_gui_ket_qua_ra_soat[[#This Row],[Mã điểm bán]])</f>
        <v>1</v>
      </c>
    </row>
    <row r="2387" spans="1:29" x14ac:dyDescent="0.45">
      <c r="A2387" t="s">
        <v>7995</v>
      </c>
      <c r="B2387">
        <v>180</v>
      </c>
      <c r="C2387" t="s">
        <v>8623</v>
      </c>
      <c r="D2387" t="s">
        <v>8624</v>
      </c>
      <c r="E2387" t="s">
        <v>580</v>
      </c>
      <c r="F2387" t="s">
        <v>581</v>
      </c>
      <c r="G2387" t="s">
        <v>34</v>
      </c>
      <c r="H2387" t="s">
        <v>1188</v>
      </c>
      <c r="I2387" t="s">
        <v>8625</v>
      </c>
      <c r="J2387" t="s">
        <v>37</v>
      </c>
      <c r="K2387" t="s">
        <v>37</v>
      </c>
      <c r="L2387" t="s">
        <v>40</v>
      </c>
      <c r="M2387" t="s">
        <v>775</v>
      </c>
      <c r="N2387" t="s">
        <v>775</v>
      </c>
      <c r="O2387" t="s">
        <v>121</v>
      </c>
      <c r="P2387" t="s">
        <v>38</v>
      </c>
      <c r="Q2387" t="s">
        <v>38</v>
      </c>
      <c r="R2387" t="s">
        <v>40</v>
      </c>
      <c r="S2387" t="s">
        <v>8626</v>
      </c>
      <c r="T2387" t="s">
        <v>8015</v>
      </c>
      <c r="U2387" t="s">
        <v>8016</v>
      </c>
      <c r="V2387" t="s">
        <v>8002</v>
      </c>
      <c r="W2387" t="s">
        <v>8010</v>
      </c>
      <c r="X2387" t="s">
        <v>46</v>
      </c>
      <c r="AC2387">
        <f>COUNTIF(C:C,QLKV_gui_ket_qua_ra_soat[[#This Row],[Mã điểm bán]])</f>
        <v>1</v>
      </c>
    </row>
    <row r="2388" spans="1:29" x14ac:dyDescent="0.45">
      <c r="A2388" t="s">
        <v>7995</v>
      </c>
      <c r="B2388">
        <v>181</v>
      </c>
      <c r="C2388" t="s">
        <v>8627</v>
      </c>
      <c r="D2388" t="s">
        <v>8628</v>
      </c>
      <c r="E2388" t="s">
        <v>91</v>
      </c>
      <c r="F2388" t="s">
        <v>53</v>
      </c>
      <c r="G2388" t="s">
        <v>34</v>
      </c>
      <c r="H2388" t="s">
        <v>1280</v>
      </c>
      <c r="I2388" t="s">
        <v>8629</v>
      </c>
      <c r="J2388" t="s">
        <v>38</v>
      </c>
      <c r="K2388" t="s">
        <v>38</v>
      </c>
      <c r="L2388" t="s">
        <v>40</v>
      </c>
      <c r="M2388" t="s">
        <v>38</v>
      </c>
      <c r="N2388" t="s">
        <v>38</v>
      </c>
      <c r="O2388" t="s">
        <v>40</v>
      </c>
      <c r="P2388" t="s">
        <v>38</v>
      </c>
      <c r="Q2388" t="s">
        <v>38</v>
      </c>
      <c r="R2388" t="s">
        <v>40</v>
      </c>
      <c r="S2388" t="s">
        <v>8630</v>
      </c>
      <c r="T2388" t="s">
        <v>8008</v>
      </c>
      <c r="U2388" t="s">
        <v>8009</v>
      </c>
      <c r="V2388" t="s">
        <v>8002</v>
      </c>
      <c r="W2388" t="s">
        <v>8010</v>
      </c>
      <c r="X2388" t="s">
        <v>46</v>
      </c>
      <c r="AC2388">
        <f>COUNTIF(C:C,QLKV_gui_ket_qua_ra_soat[[#This Row],[Mã điểm bán]])</f>
        <v>1</v>
      </c>
    </row>
    <row r="2389" spans="1:29" x14ac:dyDescent="0.45">
      <c r="A2389" t="s">
        <v>7995</v>
      </c>
      <c r="B2389">
        <v>182</v>
      </c>
      <c r="C2389" t="s">
        <v>8631</v>
      </c>
      <c r="D2389" t="s">
        <v>8632</v>
      </c>
      <c r="E2389" t="s">
        <v>8633</v>
      </c>
      <c r="F2389" t="s">
        <v>426</v>
      </c>
      <c r="G2389" t="s">
        <v>34</v>
      </c>
      <c r="H2389" t="s">
        <v>685</v>
      </c>
      <c r="I2389" t="s">
        <v>8420</v>
      </c>
      <c r="J2389" t="s">
        <v>56</v>
      </c>
      <c r="K2389" t="s">
        <v>56</v>
      </c>
      <c r="L2389" t="s">
        <v>39</v>
      </c>
      <c r="M2389" t="s">
        <v>56</v>
      </c>
      <c r="N2389" t="s">
        <v>56</v>
      </c>
      <c r="O2389" t="s">
        <v>39</v>
      </c>
      <c r="P2389" t="s">
        <v>56</v>
      </c>
      <c r="Q2389" t="s">
        <v>56</v>
      </c>
      <c r="R2389" t="s">
        <v>39</v>
      </c>
      <c r="S2389" t="s">
        <v>41</v>
      </c>
      <c r="T2389" t="s">
        <v>8238</v>
      </c>
      <c r="U2389" t="s">
        <v>8239</v>
      </c>
      <c r="V2389" t="s">
        <v>8002</v>
      </c>
      <c r="W2389" t="s">
        <v>8010</v>
      </c>
      <c r="Z2389" t="s">
        <v>46</v>
      </c>
      <c r="AA2389" t="s">
        <v>8238</v>
      </c>
      <c r="AC2389">
        <f>COUNTIF(C:C,QLKV_gui_ket_qua_ra_soat[[#This Row],[Mã điểm bán]])</f>
        <v>1</v>
      </c>
    </row>
    <row r="2390" spans="1:29" x14ac:dyDescent="0.45">
      <c r="A2390" t="s">
        <v>7995</v>
      </c>
      <c r="B2390">
        <v>183</v>
      </c>
      <c r="C2390" t="s">
        <v>8634</v>
      </c>
      <c r="D2390" t="s">
        <v>8635</v>
      </c>
      <c r="E2390" t="s">
        <v>64</v>
      </c>
      <c r="F2390" t="s">
        <v>53</v>
      </c>
      <c r="G2390" t="s">
        <v>34</v>
      </c>
      <c r="H2390" t="s">
        <v>1188</v>
      </c>
      <c r="I2390" t="s">
        <v>8636</v>
      </c>
      <c r="J2390" t="s">
        <v>38</v>
      </c>
      <c r="K2390" t="s">
        <v>38</v>
      </c>
      <c r="L2390" t="s">
        <v>40</v>
      </c>
      <c r="M2390" t="s">
        <v>38</v>
      </c>
      <c r="N2390" t="s">
        <v>38</v>
      </c>
      <c r="O2390" t="s">
        <v>40</v>
      </c>
      <c r="P2390" t="s">
        <v>38</v>
      </c>
      <c r="Q2390" t="s">
        <v>38</v>
      </c>
      <c r="R2390" t="s">
        <v>40</v>
      </c>
      <c r="S2390" t="s">
        <v>8637</v>
      </c>
      <c r="T2390" t="s">
        <v>8008</v>
      </c>
      <c r="U2390" t="s">
        <v>8009</v>
      </c>
      <c r="V2390" t="s">
        <v>8002</v>
      </c>
      <c r="W2390" t="s">
        <v>8010</v>
      </c>
      <c r="X2390" t="s">
        <v>46</v>
      </c>
      <c r="AC2390">
        <f>COUNTIF(C:C,QLKV_gui_ket_qua_ra_soat[[#This Row],[Mã điểm bán]])</f>
        <v>1</v>
      </c>
    </row>
    <row r="2391" spans="1:29" x14ac:dyDescent="0.45">
      <c r="A2391" t="s">
        <v>7995</v>
      </c>
      <c r="B2391">
        <v>184</v>
      </c>
      <c r="C2391" t="s">
        <v>8638</v>
      </c>
      <c r="D2391" t="s">
        <v>8639</v>
      </c>
      <c r="E2391" t="s">
        <v>212</v>
      </c>
      <c r="F2391" t="s">
        <v>115</v>
      </c>
      <c r="G2391" t="s">
        <v>34</v>
      </c>
      <c r="H2391" t="s">
        <v>697</v>
      </c>
      <c r="I2391" t="s">
        <v>8640</v>
      </c>
      <c r="J2391" t="s">
        <v>38</v>
      </c>
      <c r="K2391" t="s">
        <v>38</v>
      </c>
      <c r="L2391" t="s">
        <v>40</v>
      </c>
      <c r="M2391" t="s">
        <v>38</v>
      </c>
      <c r="N2391" t="s">
        <v>38</v>
      </c>
      <c r="O2391" t="s">
        <v>40</v>
      </c>
      <c r="P2391" t="s">
        <v>38</v>
      </c>
      <c r="Q2391" t="s">
        <v>38</v>
      </c>
      <c r="R2391" t="s">
        <v>40</v>
      </c>
      <c r="S2391" t="s">
        <v>8641</v>
      </c>
      <c r="T2391" t="s">
        <v>8008</v>
      </c>
      <c r="U2391" t="s">
        <v>8009</v>
      </c>
      <c r="V2391" t="s">
        <v>8002</v>
      </c>
      <c r="W2391" t="s">
        <v>8010</v>
      </c>
      <c r="X2391" t="s">
        <v>46</v>
      </c>
      <c r="AC2391">
        <f>COUNTIF(C:C,QLKV_gui_ket_qua_ra_soat[[#This Row],[Mã điểm bán]])</f>
        <v>1</v>
      </c>
    </row>
    <row r="2392" spans="1:29" x14ac:dyDescent="0.45">
      <c r="A2392" t="s">
        <v>7995</v>
      </c>
      <c r="B2392">
        <v>185</v>
      </c>
      <c r="C2392" t="s">
        <v>8642</v>
      </c>
      <c r="D2392" t="s">
        <v>8643</v>
      </c>
      <c r="E2392" t="s">
        <v>455</v>
      </c>
      <c r="F2392" t="s">
        <v>401</v>
      </c>
      <c r="G2392" t="s">
        <v>34</v>
      </c>
      <c r="H2392" t="s">
        <v>2952</v>
      </c>
      <c r="I2392" t="s">
        <v>8645</v>
      </c>
      <c r="J2392" t="s">
        <v>38</v>
      </c>
      <c r="K2392" t="s">
        <v>38</v>
      </c>
      <c r="L2392" t="s">
        <v>40</v>
      </c>
      <c r="M2392" t="s">
        <v>37</v>
      </c>
      <c r="N2392" t="s">
        <v>37</v>
      </c>
      <c r="O2392" t="s">
        <v>39</v>
      </c>
      <c r="P2392" t="s">
        <v>38</v>
      </c>
      <c r="Q2392" t="s">
        <v>38</v>
      </c>
      <c r="R2392" t="s">
        <v>40</v>
      </c>
      <c r="S2392" t="s">
        <v>41</v>
      </c>
      <c r="T2392" t="s">
        <v>8196</v>
      </c>
      <c r="U2392" t="s">
        <v>8001</v>
      </c>
      <c r="V2392" t="s">
        <v>8002</v>
      </c>
      <c r="W2392" t="s">
        <v>8003</v>
      </c>
      <c r="X2392" t="s">
        <v>46</v>
      </c>
      <c r="AC2392">
        <f>COUNTIF(C:C,QLKV_gui_ket_qua_ra_soat[[#This Row],[Mã điểm bán]])</f>
        <v>1</v>
      </c>
    </row>
    <row r="2393" spans="1:29" x14ac:dyDescent="0.45">
      <c r="A2393" t="s">
        <v>7995</v>
      </c>
      <c r="B2393">
        <v>186</v>
      </c>
      <c r="C2393" t="s">
        <v>8646</v>
      </c>
      <c r="D2393" t="s">
        <v>8647</v>
      </c>
      <c r="E2393" t="s">
        <v>8648</v>
      </c>
      <c r="F2393" t="s">
        <v>8649</v>
      </c>
      <c r="G2393" t="s">
        <v>34</v>
      </c>
      <c r="H2393" t="s">
        <v>54</v>
      </c>
      <c r="I2393" t="s">
        <v>8613</v>
      </c>
      <c r="J2393" t="s">
        <v>38</v>
      </c>
      <c r="K2393" t="s">
        <v>37</v>
      </c>
      <c r="L2393" t="s">
        <v>40</v>
      </c>
      <c r="M2393" t="s">
        <v>1034</v>
      </c>
      <c r="N2393" t="s">
        <v>56</v>
      </c>
      <c r="O2393" t="s">
        <v>40</v>
      </c>
      <c r="P2393" t="s">
        <v>38</v>
      </c>
      <c r="Q2393" t="s">
        <v>56</v>
      </c>
      <c r="R2393" t="s">
        <v>40</v>
      </c>
      <c r="S2393" t="s">
        <v>8650</v>
      </c>
      <c r="T2393" t="s">
        <v>8238</v>
      </c>
      <c r="U2393" t="s">
        <v>8239</v>
      </c>
      <c r="V2393" t="s">
        <v>8002</v>
      </c>
      <c r="W2393" t="s">
        <v>8010</v>
      </c>
      <c r="X2393" t="s">
        <v>46</v>
      </c>
      <c r="AC2393">
        <f>COUNTIF(C:C,QLKV_gui_ket_qua_ra_soat[[#This Row],[Mã điểm bán]])</f>
        <v>1</v>
      </c>
    </row>
    <row r="2394" spans="1:29" x14ac:dyDescent="0.45">
      <c r="A2394" t="s">
        <v>7995</v>
      </c>
      <c r="B2394">
        <v>187</v>
      </c>
      <c r="C2394" t="s">
        <v>8651</v>
      </c>
      <c r="D2394" t="s">
        <v>8652</v>
      </c>
      <c r="E2394" t="s">
        <v>307</v>
      </c>
      <c r="F2394" t="s">
        <v>325</v>
      </c>
      <c r="G2394" t="s">
        <v>34</v>
      </c>
      <c r="H2394" t="s">
        <v>54</v>
      </c>
      <c r="I2394" t="s">
        <v>8653</v>
      </c>
      <c r="J2394" t="s">
        <v>56</v>
      </c>
      <c r="K2394" t="s">
        <v>56</v>
      </c>
      <c r="L2394" t="s">
        <v>39</v>
      </c>
      <c r="M2394" t="s">
        <v>37</v>
      </c>
      <c r="N2394" t="s">
        <v>56</v>
      </c>
      <c r="O2394" t="s">
        <v>39</v>
      </c>
      <c r="P2394" t="s">
        <v>56</v>
      </c>
      <c r="Q2394" t="s">
        <v>56</v>
      </c>
      <c r="R2394" t="s">
        <v>39</v>
      </c>
      <c r="S2394" t="s">
        <v>41</v>
      </c>
      <c r="T2394" t="s">
        <v>8105</v>
      </c>
      <c r="U2394" t="s">
        <v>8016</v>
      </c>
      <c r="V2394" t="s">
        <v>8002</v>
      </c>
      <c r="W2394" t="s">
        <v>8003</v>
      </c>
      <c r="Z2394" t="s">
        <v>46</v>
      </c>
      <c r="AA2394" t="s">
        <v>8105</v>
      </c>
      <c r="AC2394">
        <f>COUNTIF(C:C,QLKV_gui_ket_qua_ra_soat[[#This Row],[Mã điểm bán]])</f>
        <v>1</v>
      </c>
    </row>
    <row r="2395" spans="1:29" x14ac:dyDescent="0.45">
      <c r="A2395" t="s">
        <v>7995</v>
      </c>
      <c r="B2395">
        <v>188</v>
      </c>
      <c r="C2395" t="s">
        <v>8654</v>
      </c>
      <c r="D2395" t="s">
        <v>4103</v>
      </c>
      <c r="E2395" t="s">
        <v>157</v>
      </c>
      <c r="F2395" t="s">
        <v>325</v>
      </c>
      <c r="G2395" t="s">
        <v>34</v>
      </c>
      <c r="H2395" t="s">
        <v>2170</v>
      </c>
      <c r="I2395" t="s">
        <v>8655</v>
      </c>
      <c r="J2395" t="s">
        <v>37</v>
      </c>
      <c r="K2395" t="s">
        <v>38</v>
      </c>
      <c r="L2395" t="s">
        <v>39</v>
      </c>
      <c r="M2395" t="s">
        <v>38</v>
      </c>
      <c r="N2395" t="s">
        <v>37</v>
      </c>
      <c r="O2395" t="s">
        <v>39</v>
      </c>
      <c r="P2395" t="s">
        <v>37</v>
      </c>
      <c r="Q2395" t="s">
        <v>37</v>
      </c>
      <c r="R2395" t="s">
        <v>39</v>
      </c>
      <c r="S2395" t="s">
        <v>8191</v>
      </c>
      <c r="T2395" t="s">
        <v>8192</v>
      </c>
      <c r="U2395" t="s">
        <v>8084</v>
      </c>
      <c r="V2395" t="s">
        <v>8002</v>
      </c>
      <c r="W2395" t="s">
        <v>8085</v>
      </c>
      <c r="X2395" t="s">
        <v>46</v>
      </c>
      <c r="AC2395">
        <f>COUNTIF(C:C,QLKV_gui_ket_qua_ra_soat[[#This Row],[Mã điểm bán]])</f>
        <v>1</v>
      </c>
    </row>
    <row r="2396" spans="1:29" x14ac:dyDescent="0.45">
      <c r="A2396" t="s">
        <v>7995</v>
      </c>
      <c r="B2396">
        <v>189</v>
      </c>
      <c r="C2396" t="s">
        <v>8656</v>
      </c>
      <c r="D2396" t="s">
        <v>8657</v>
      </c>
      <c r="E2396" t="s">
        <v>219</v>
      </c>
      <c r="F2396" t="s">
        <v>417</v>
      </c>
      <c r="G2396" t="s">
        <v>34</v>
      </c>
      <c r="H2396" t="s">
        <v>54</v>
      </c>
      <c r="I2396" t="s">
        <v>5576</v>
      </c>
      <c r="J2396" t="s">
        <v>38</v>
      </c>
      <c r="K2396" t="s">
        <v>38</v>
      </c>
      <c r="L2396" t="s">
        <v>39</v>
      </c>
      <c r="M2396" t="s">
        <v>38</v>
      </c>
      <c r="N2396" t="s">
        <v>38</v>
      </c>
      <c r="O2396" t="s">
        <v>39</v>
      </c>
      <c r="P2396" t="s">
        <v>38</v>
      </c>
      <c r="Q2396" t="s">
        <v>38</v>
      </c>
      <c r="R2396" t="s">
        <v>39</v>
      </c>
      <c r="S2396" t="s">
        <v>41</v>
      </c>
      <c r="T2396" t="s">
        <v>8060</v>
      </c>
      <c r="U2396" t="s">
        <v>8016</v>
      </c>
      <c r="V2396" t="s">
        <v>8002</v>
      </c>
      <c r="W2396" t="s">
        <v>8003</v>
      </c>
      <c r="Z2396" t="s">
        <v>46</v>
      </c>
      <c r="AA2396" t="s">
        <v>8060</v>
      </c>
      <c r="AC2396">
        <f>COUNTIF(C:C,QLKV_gui_ket_qua_ra_soat[[#This Row],[Mã điểm bán]])</f>
        <v>1</v>
      </c>
    </row>
    <row r="2397" spans="1:29" x14ac:dyDescent="0.45">
      <c r="A2397" t="s">
        <v>7995</v>
      </c>
      <c r="B2397">
        <v>190</v>
      </c>
      <c r="C2397" t="s">
        <v>8658</v>
      </c>
      <c r="D2397" t="s">
        <v>8659</v>
      </c>
      <c r="E2397" t="s">
        <v>2300</v>
      </c>
      <c r="F2397" t="s">
        <v>2343</v>
      </c>
      <c r="G2397" t="s">
        <v>34</v>
      </c>
      <c r="H2397" t="s">
        <v>54</v>
      </c>
      <c r="I2397" t="s">
        <v>8660</v>
      </c>
      <c r="J2397" t="s">
        <v>56</v>
      </c>
      <c r="K2397" t="s">
        <v>56</v>
      </c>
      <c r="L2397" t="s">
        <v>39</v>
      </c>
      <c r="M2397" t="s">
        <v>56</v>
      </c>
      <c r="N2397" t="s">
        <v>775</v>
      </c>
      <c r="O2397" t="s">
        <v>121</v>
      </c>
      <c r="P2397" t="s">
        <v>37</v>
      </c>
      <c r="Q2397" t="s">
        <v>37</v>
      </c>
      <c r="R2397" t="s">
        <v>39</v>
      </c>
      <c r="S2397" t="s">
        <v>8661</v>
      </c>
      <c r="T2397" t="s">
        <v>8105</v>
      </c>
      <c r="U2397" t="s">
        <v>8016</v>
      </c>
      <c r="V2397" t="s">
        <v>8002</v>
      </c>
      <c r="W2397" t="s">
        <v>8003</v>
      </c>
      <c r="X2397" t="s">
        <v>46</v>
      </c>
      <c r="AC2397">
        <f>COUNTIF(C:C,QLKV_gui_ket_qua_ra_soat[[#This Row],[Mã điểm bán]])</f>
        <v>1</v>
      </c>
    </row>
    <row r="2398" spans="1:29" x14ac:dyDescent="0.45">
      <c r="A2398" t="s">
        <v>7995</v>
      </c>
      <c r="B2398">
        <v>191</v>
      </c>
      <c r="C2398" t="s">
        <v>8662</v>
      </c>
      <c r="D2398" t="s">
        <v>8663</v>
      </c>
      <c r="E2398" t="s">
        <v>69</v>
      </c>
      <c r="F2398" t="s">
        <v>53</v>
      </c>
      <c r="G2398" t="s">
        <v>34</v>
      </c>
      <c r="H2398" t="s">
        <v>54</v>
      </c>
      <c r="I2398" t="s">
        <v>8664</v>
      </c>
      <c r="J2398" t="s">
        <v>38</v>
      </c>
      <c r="K2398" t="s">
        <v>38</v>
      </c>
      <c r="L2398" t="s">
        <v>40</v>
      </c>
      <c r="M2398" t="s">
        <v>38</v>
      </c>
      <c r="N2398" t="s">
        <v>38</v>
      </c>
      <c r="O2398" t="s">
        <v>40</v>
      </c>
      <c r="P2398" t="s">
        <v>38</v>
      </c>
      <c r="Q2398" t="s">
        <v>38</v>
      </c>
      <c r="R2398" t="s">
        <v>40</v>
      </c>
      <c r="S2398" t="s">
        <v>8665</v>
      </c>
      <c r="T2398" t="s">
        <v>8000</v>
      </c>
      <c r="U2398" t="s">
        <v>8001</v>
      </c>
      <c r="V2398" t="s">
        <v>8002</v>
      </c>
      <c r="W2398" t="s">
        <v>8003</v>
      </c>
      <c r="Z2398" t="s">
        <v>46</v>
      </c>
      <c r="AA2398" t="s">
        <v>8000</v>
      </c>
      <c r="AC2398">
        <f>COUNTIF(C:C,QLKV_gui_ket_qua_ra_soat[[#This Row],[Mã điểm bán]])</f>
        <v>1</v>
      </c>
    </row>
    <row r="2399" spans="1:29" x14ac:dyDescent="0.45">
      <c r="A2399" t="s">
        <v>7995</v>
      </c>
      <c r="B2399">
        <v>192</v>
      </c>
      <c r="C2399" t="s">
        <v>8666</v>
      </c>
      <c r="D2399" t="s">
        <v>8667</v>
      </c>
      <c r="E2399" t="s">
        <v>365</v>
      </c>
      <c r="F2399" t="s">
        <v>53</v>
      </c>
      <c r="G2399" t="s">
        <v>34</v>
      </c>
      <c r="H2399" t="s">
        <v>54</v>
      </c>
      <c r="I2399" t="s">
        <v>8668</v>
      </c>
      <c r="J2399" t="s">
        <v>37</v>
      </c>
      <c r="K2399" t="s">
        <v>37</v>
      </c>
      <c r="L2399" t="s">
        <v>40</v>
      </c>
      <c r="M2399" t="s">
        <v>37</v>
      </c>
      <c r="N2399" t="s">
        <v>37</v>
      </c>
      <c r="O2399" t="s">
        <v>40</v>
      </c>
      <c r="P2399" t="s">
        <v>37</v>
      </c>
      <c r="Q2399" t="s">
        <v>37</v>
      </c>
      <c r="R2399" t="s">
        <v>40</v>
      </c>
      <c r="S2399" t="s">
        <v>8446</v>
      </c>
      <c r="T2399" t="s">
        <v>8000</v>
      </c>
      <c r="U2399" t="s">
        <v>8001</v>
      </c>
      <c r="V2399" t="s">
        <v>8002</v>
      </c>
      <c r="W2399" t="s">
        <v>8003</v>
      </c>
      <c r="Z2399" t="s">
        <v>46</v>
      </c>
      <c r="AA2399" t="s">
        <v>8000</v>
      </c>
      <c r="AC2399">
        <f>COUNTIF(C:C,QLKV_gui_ket_qua_ra_soat[[#This Row],[Mã điểm bán]])</f>
        <v>1</v>
      </c>
    </row>
    <row r="2400" spans="1:29" x14ac:dyDescent="0.45">
      <c r="A2400" t="s">
        <v>7995</v>
      </c>
      <c r="B2400">
        <v>193</v>
      </c>
      <c r="C2400" t="s">
        <v>8669</v>
      </c>
      <c r="D2400" t="s">
        <v>8670</v>
      </c>
      <c r="E2400" t="s">
        <v>32</v>
      </c>
      <c r="F2400" t="s">
        <v>581</v>
      </c>
      <c r="G2400" t="s">
        <v>34</v>
      </c>
      <c r="H2400" t="s">
        <v>685</v>
      </c>
      <c r="I2400" t="s">
        <v>8671</v>
      </c>
      <c r="J2400" t="s">
        <v>38</v>
      </c>
      <c r="K2400" t="s">
        <v>38</v>
      </c>
      <c r="L2400" t="s">
        <v>39</v>
      </c>
      <c r="M2400" t="s">
        <v>38</v>
      </c>
      <c r="N2400" t="s">
        <v>38</v>
      </c>
      <c r="O2400" t="s">
        <v>39</v>
      </c>
      <c r="P2400" t="s">
        <v>38</v>
      </c>
      <c r="Q2400" t="s">
        <v>38</v>
      </c>
      <c r="R2400" t="s">
        <v>39</v>
      </c>
      <c r="S2400" t="s">
        <v>41</v>
      </c>
      <c r="T2400" t="s">
        <v>8060</v>
      </c>
      <c r="U2400" t="s">
        <v>8016</v>
      </c>
      <c r="V2400" t="s">
        <v>8002</v>
      </c>
      <c r="W2400" t="s">
        <v>8003</v>
      </c>
      <c r="X2400" t="s">
        <v>46</v>
      </c>
      <c r="AC2400">
        <f>COUNTIF(C:C,QLKV_gui_ket_qua_ra_soat[[#This Row],[Mã điểm bán]])</f>
        <v>1</v>
      </c>
    </row>
    <row r="2401" spans="1:29" x14ac:dyDescent="0.45">
      <c r="A2401" t="s">
        <v>7995</v>
      </c>
      <c r="B2401">
        <v>194</v>
      </c>
      <c r="C2401" t="s">
        <v>8672</v>
      </c>
      <c r="D2401" t="s">
        <v>8673</v>
      </c>
      <c r="E2401" t="s">
        <v>206</v>
      </c>
      <c r="F2401" t="s">
        <v>401</v>
      </c>
      <c r="G2401" t="s">
        <v>34</v>
      </c>
      <c r="H2401" t="s">
        <v>332</v>
      </c>
      <c r="I2401" t="s">
        <v>8674</v>
      </c>
      <c r="J2401" t="s">
        <v>38</v>
      </c>
      <c r="K2401" t="s">
        <v>38</v>
      </c>
      <c r="L2401" t="s">
        <v>40</v>
      </c>
      <c r="M2401" t="s">
        <v>37</v>
      </c>
      <c r="N2401" t="s">
        <v>37</v>
      </c>
      <c r="O2401" t="s">
        <v>39</v>
      </c>
      <c r="P2401" t="s">
        <v>38</v>
      </c>
      <c r="Q2401" t="s">
        <v>38</v>
      </c>
      <c r="R2401" t="s">
        <v>40</v>
      </c>
      <c r="S2401" t="s">
        <v>627</v>
      </c>
      <c r="T2401" t="s">
        <v>8196</v>
      </c>
      <c r="U2401" t="s">
        <v>8001</v>
      </c>
      <c r="V2401" t="s">
        <v>8002</v>
      </c>
      <c r="W2401" t="s">
        <v>8003</v>
      </c>
      <c r="X2401" t="s">
        <v>46</v>
      </c>
      <c r="AC2401">
        <f>COUNTIF(C:C,QLKV_gui_ket_qua_ra_soat[[#This Row],[Mã điểm bán]])</f>
        <v>1</v>
      </c>
    </row>
    <row r="2402" spans="1:29" x14ac:dyDescent="0.45">
      <c r="A2402" t="s">
        <v>7995</v>
      </c>
      <c r="B2402">
        <v>195</v>
      </c>
      <c r="C2402" t="s">
        <v>8675</v>
      </c>
      <c r="D2402" t="s">
        <v>8676</v>
      </c>
      <c r="E2402" t="s">
        <v>304</v>
      </c>
      <c r="F2402" t="s">
        <v>53</v>
      </c>
      <c r="G2402" t="s">
        <v>34</v>
      </c>
      <c r="H2402" t="s">
        <v>54</v>
      </c>
      <c r="I2402" t="s">
        <v>8590</v>
      </c>
      <c r="J2402" t="s">
        <v>37</v>
      </c>
      <c r="K2402" t="s">
        <v>37</v>
      </c>
      <c r="L2402" t="s">
        <v>40</v>
      </c>
      <c r="M2402" t="s">
        <v>37</v>
      </c>
      <c r="N2402" t="s">
        <v>37</v>
      </c>
      <c r="O2402" t="s">
        <v>40</v>
      </c>
      <c r="P2402" t="s">
        <v>37</v>
      </c>
      <c r="Q2402" t="s">
        <v>37</v>
      </c>
      <c r="R2402" t="s">
        <v>40</v>
      </c>
      <c r="S2402" t="s">
        <v>4783</v>
      </c>
      <c r="T2402" t="s">
        <v>8000</v>
      </c>
      <c r="U2402" t="s">
        <v>8001</v>
      </c>
      <c r="V2402" t="s">
        <v>8002</v>
      </c>
      <c r="W2402" t="s">
        <v>8003</v>
      </c>
      <c r="X2402" t="s">
        <v>46</v>
      </c>
      <c r="AC2402">
        <f>COUNTIF(C:C,QLKV_gui_ket_qua_ra_soat[[#This Row],[Mã điểm bán]])</f>
        <v>1</v>
      </c>
    </row>
    <row r="2403" spans="1:29" x14ac:dyDescent="0.45">
      <c r="A2403" t="s">
        <v>7995</v>
      </c>
      <c r="B2403">
        <v>196</v>
      </c>
      <c r="C2403" t="s">
        <v>8677</v>
      </c>
      <c r="D2403" t="s">
        <v>8678</v>
      </c>
      <c r="E2403" t="s">
        <v>304</v>
      </c>
      <c r="F2403" t="s">
        <v>53</v>
      </c>
      <c r="G2403" t="s">
        <v>34</v>
      </c>
      <c r="H2403" t="s">
        <v>54</v>
      </c>
      <c r="I2403" t="s">
        <v>8679</v>
      </c>
      <c r="J2403" t="s">
        <v>37</v>
      </c>
      <c r="K2403" t="s">
        <v>37</v>
      </c>
      <c r="L2403" t="s">
        <v>40</v>
      </c>
      <c r="M2403" t="s">
        <v>37</v>
      </c>
      <c r="N2403" t="s">
        <v>37</v>
      </c>
      <c r="O2403" t="s">
        <v>40</v>
      </c>
      <c r="P2403" t="s">
        <v>37</v>
      </c>
      <c r="Q2403" t="s">
        <v>37</v>
      </c>
      <c r="R2403" t="s">
        <v>40</v>
      </c>
      <c r="S2403" t="s">
        <v>41</v>
      </c>
      <c r="T2403" t="s">
        <v>8000</v>
      </c>
      <c r="U2403" t="s">
        <v>8001</v>
      </c>
      <c r="V2403" t="s">
        <v>8002</v>
      </c>
      <c r="W2403" t="s">
        <v>8003</v>
      </c>
      <c r="Z2403" t="s">
        <v>46</v>
      </c>
      <c r="AA2403" t="s">
        <v>8000</v>
      </c>
      <c r="AC2403">
        <f>COUNTIF(C:C,QLKV_gui_ket_qua_ra_soat[[#This Row],[Mã điểm bán]])</f>
        <v>1</v>
      </c>
    </row>
    <row r="2404" spans="1:29" x14ac:dyDescent="0.45">
      <c r="A2404" t="s">
        <v>7995</v>
      </c>
      <c r="B2404">
        <v>197</v>
      </c>
      <c r="C2404" t="s">
        <v>8680</v>
      </c>
      <c r="D2404" t="s">
        <v>8681</v>
      </c>
      <c r="E2404" t="s">
        <v>1443</v>
      </c>
      <c r="F2404" t="s">
        <v>166</v>
      </c>
      <c r="G2404" t="s">
        <v>34</v>
      </c>
      <c r="H2404" t="s">
        <v>1188</v>
      </c>
      <c r="I2404" t="s">
        <v>8682</v>
      </c>
      <c r="J2404" t="s">
        <v>38</v>
      </c>
      <c r="K2404" t="s">
        <v>38</v>
      </c>
      <c r="L2404" t="s">
        <v>40</v>
      </c>
      <c r="M2404" t="s">
        <v>37</v>
      </c>
      <c r="N2404" t="s">
        <v>37</v>
      </c>
      <c r="O2404" t="s">
        <v>39</v>
      </c>
      <c r="P2404" t="s">
        <v>38</v>
      </c>
      <c r="Q2404" t="s">
        <v>38</v>
      </c>
      <c r="R2404" t="s">
        <v>40</v>
      </c>
      <c r="S2404" t="s">
        <v>8683</v>
      </c>
      <c r="T2404" t="s">
        <v>8028</v>
      </c>
      <c r="U2404" t="s">
        <v>8029</v>
      </c>
      <c r="V2404" t="s">
        <v>8002</v>
      </c>
      <c r="W2404" t="s">
        <v>8030</v>
      </c>
      <c r="AC2404">
        <f>COUNTIF(C:C,QLKV_gui_ket_qua_ra_soat[[#This Row],[Mã điểm bán]])</f>
        <v>1</v>
      </c>
    </row>
    <row r="2405" spans="1:29" x14ac:dyDescent="0.45">
      <c r="A2405" t="s">
        <v>7995</v>
      </c>
      <c r="B2405">
        <v>198</v>
      </c>
      <c r="C2405" t="s">
        <v>8684</v>
      </c>
      <c r="D2405" t="s">
        <v>8685</v>
      </c>
      <c r="E2405" t="s">
        <v>789</v>
      </c>
      <c r="F2405" t="s">
        <v>3049</v>
      </c>
      <c r="G2405" t="s">
        <v>34</v>
      </c>
      <c r="H2405" t="s">
        <v>685</v>
      </c>
      <c r="I2405" t="s">
        <v>8686</v>
      </c>
      <c r="J2405" t="s">
        <v>38</v>
      </c>
      <c r="K2405" t="s">
        <v>38</v>
      </c>
      <c r="L2405" t="s">
        <v>39</v>
      </c>
      <c r="M2405" t="s">
        <v>38</v>
      </c>
      <c r="N2405" t="s">
        <v>38</v>
      </c>
      <c r="O2405" t="s">
        <v>39</v>
      </c>
      <c r="P2405" t="s">
        <v>38</v>
      </c>
      <c r="Q2405" t="s">
        <v>38</v>
      </c>
      <c r="R2405" t="s">
        <v>39</v>
      </c>
      <c r="S2405" t="s">
        <v>41</v>
      </c>
      <c r="T2405" t="s">
        <v>8060</v>
      </c>
      <c r="U2405" t="s">
        <v>8016</v>
      </c>
      <c r="V2405" t="s">
        <v>8002</v>
      </c>
      <c r="W2405" t="s">
        <v>8003</v>
      </c>
      <c r="X2405" t="s">
        <v>46</v>
      </c>
      <c r="AC2405">
        <f>COUNTIF(C:C,QLKV_gui_ket_qua_ra_soat[[#This Row],[Mã điểm bán]])</f>
        <v>1</v>
      </c>
    </row>
    <row r="2406" spans="1:29" x14ac:dyDescent="0.45">
      <c r="A2406" t="s">
        <v>7995</v>
      </c>
      <c r="B2406">
        <v>199</v>
      </c>
      <c r="C2406" t="s">
        <v>8687</v>
      </c>
      <c r="D2406" t="s">
        <v>5022</v>
      </c>
      <c r="E2406" t="s">
        <v>69</v>
      </c>
      <c r="F2406" t="s">
        <v>53</v>
      </c>
      <c r="G2406" t="s">
        <v>34</v>
      </c>
      <c r="H2406" t="s">
        <v>214</v>
      </c>
      <c r="I2406" t="s">
        <v>8688</v>
      </c>
      <c r="J2406" t="s">
        <v>38</v>
      </c>
      <c r="K2406" t="s">
        <v>38</v>
      </c>
      <c r="L2406" t="s">
        <v>40</v>
      </c>
      <c r="M2406" t="s">
        <v>38</v>
      </c>
      <c r="N2406" t="s">
        <v>38</v>
      </c>
      <c r="O2406" t="s">
        <v>40</v>
      </c>
      <c r="P2406" t="s">
        <v>38</v>
      </c>
      <c r="Q2406" t="s">
        <v>38</v>
      </c>
      <c r="R2406" t="s">
        <v>40</v>
      </c>
      <c r="S2406" t="s">
        <v>8295</v>
      </c>
      <c r="T2406" t="s">
        <v>8008</v>
      </c>
      <c r="U2406" t="s">
        <v>8009</v>
      </c>
      <c r="V2406" t="s">
        <v>8002</v>
      </c>
      <c r="W2406" t="s">
        <v>8010</v>
      </c>
      <c r="X2406" t="s">
        <v>46</v>
      </c>
      <c r="AC2406">
        <f>COUNTIF(C:C,QLKV_gui_ket_qua_ra_soat[[#This Row],[Mã điểm bán]])</f>
        <v>1</v>
      </c>
    </row>
    <row r="2407" spans="1:29" x14ac:dyDescent="0.45">
      <c r="A2407" t="s">
        <v>7995</v>
      </c>
      <c r="B2407">
        <v>200</v>
      </c>
      <c r="C2407" t="s">
        <v>8689</v>
      </c>
      <c r="D2407" t="s">
        <v>7278</v>
      </c>
      <c r="E2407" t="s">
        <v>1443</v>
      </c>
      <c r="F2407" t="s">
        <v>166</v>
      </c>
      <c r="G2407" t="s">
        <v>34</v>
      </c>
      <c r="H2407" t="s">
        <v>931</v>
      </c>
      <c r="I2407" t="s">
        <v>8690</v>
      </c>
      <c r="J2407" t="s">
        <v>38</v>
      </c>
      <c r="K2407" t="s">
        <v>38</v>
      </c>
      <c r="L2407" t="s">
        <v>40</v>
      </c>
      <c r="M2407" t="s">
        <v>37</v>
      </c>
      <c r="N2407" t="s">
        <v>37</v>
      </c>
      <c r="O2407" t="s">
        <v>39</v>
      </c>
      <c r="P2407" t="s">
        <v>38</v>
      </c>
      <c r="Q2407" t="s">
        <v>38</v>
      </c>
      <c r="R2407" t="s">
        <v>40</v>
      </c>
      <c r="S2407" t="s">
        <v>8691</v>
      </c>
      <c r="T2407" t="s">
        <v>8028</v>
      </c>
      <c r="U2407" t="s">
        <v>8029</v>
      </c>
      <c r="V2407" t="s">
        <v>8002</v>
      </c>
      <c r="W2407" t="s">
        <v>8030</v>
      </c>
      <c r="AC2407">
        <f>COUNTIF(C:C,QLKV_gui_ket_qua_ra_soat[[#This Row],[Mã điểm bán]])</f>
        <v>1</v>
      </c>
    </row>
    <row r="2408" spans="1:29" x14ac:dyDescent="0.45">
      <c r="A2408" t="s">
        <v>7995</v>
      </c>
      <c r="B2408">
        <v>201</v>
      </c>
      <c r="C2408" t="s">
        <v>8692</v>
      </c>
      <c r="D2408" t="s">
        <v>8693</v>
      </c>
      <c r="E2408" t="s">
        <v>338</v>
      </c>
      <c r="F2408" t="s">
        <v>115</v>
      </c>
      <c r="G2408" t="s">
        <v>34</v>
      </c>
      <c r="H2408" t="s">
        <v>402</v>
      </c>
      <c r="I2408" t="s">
        <v>8694</v>
      </c>
      <c r="J2408" t="s">
        <v>56</v>
      </c>
      <c r="K2408" t="s">
        <v>56</v>
      </c>
      <c r="L2408" t="s">
        <v>39</v>
      </c>
      <c r="M2408" t="s">
        <v>56</v>
      </c>
      <c r="N2408" t="s">
        <v>56</v>
      </c>
      <c r="O2408" t="s">
        <v>39</v>
      </c>
      <c r="P2408" t="s">
        <v>38</v>
      </c>
      <c r="Q2408" t="s">
        <v>38</v>
      </c>
      <c r="R2408" t="s">
        <v>40</v>
      </c>
      <c r="S2408" t="s">
        <v>8695</v>
      </c>
      <c r="T2408" t="s">
        <v>8238</v>
      </c>
      <c r="U2408" t="s">
        <v>8239</v>
      </c>
      <c r="V2408" t="s">
        <v>8002</v>
      </c>
      <c r="W2408" t="s">
        <v>8010</v>
      </c>
      <c r="Z2408" t="s">
        <v>46</v>
      </c>
      <c r="AA2408" t="s">
        <v>8238</v>
      </c>
      <c r="AC2408">
        <f>COUNTIF(C:C,QLKV_gui_ket_qua_ra_soat[[#This Row],[Mã điểm bán]])</f>
        <v>1</v>
      </c>
    </row>
    <row r="2409" spans="1:29" x14ac:dyDescent="0.45">
      <c r="A2409" t="s">
        <v>7995</v>
      </c>
      <c r="B2409">
        <v>202</v>
      </c>
      <c r="C2409" t="s">
        <v>8696</v>
      </c>
      <c r="D2409" t="s">
        <v>8697</v>
      </c>
      <c r="E2409" t="s">
        <v>291</v>
      </c>
      <c r="F2409" t="s">
        <v>417</v>
      </c>
      <c r="G2409" t="s">
        <v>34</v>
      </c>
      <c r="H2409" t="s">
        <v>2426</v>
      </c>
      <c r="I2409" t="s">
        <v>5444</v>
      </c>
      <c r="J2409" t="s">
        <v>38</v>
      </c>
      <c r="K2409" t="s">
        <v>38</v>
      </c>
      <c r="L2409" t="s">
        <v>40</v>
      </c>
      <c r="M2409" t="s">
        <v>37</v>
      </c>
      <c r="N2409" t="s">
        <v>37</v>
      </c>
      <c r="O2409" t="s">
        <v>39</v>
      </c>
      <c r="P2409" t="s">
        <v>38</v>
      </c>
      <c r="Q2409" t="s">
        <v>38</v>
      </c>
      <c r="R2409" t="s">
        <v>40</v>
      </c>
      <c r="S2409" t="s">
        <v>627</v>
      </c>
      <c r="T2409" t="s">
        <v>8196</v>
      </c>
      <c r="U2409" t="s">
        <v>8001</v>
      </c>
      <c r="V2409" t="s">
        <v>8002</v>
      </c>
      <c r="W2409" t="s">
        <v>8003</v>
      </c>
      <c r="X2409" t="s">
        <v>46</v>
      </c>
      <c r="AC2409">
        <f>COUNTIF(C:C,QLKV_gui_ket_qua_ra_soat[[#This Row],[Mã điểm bán]])</f>
        <v>1</v>
      </c>
    </row>
    <row r="2410" spans="1:29" x14ac:dyDescent="0.45">
      <c r="A2410" t="s">
        <v>7995</v>
      </c>
      <c r="B2410">
        <v>203</v>
      </c>
      <c r="C2410" t="s">
        <v>8698</v>
      </c>
      <c r="D2410" t="s">
        <v>8699</v>
      </c>
      <c r="E2410" t="s">
        <v>92</v>
      </c>
      <c r="F2410" t="s">
        <v>53</v>
      </c>
      <c r="G2410" t="s">
        <v>34</v>
      </c>
      <c r="H2410" t="s">
        <v>1280</v>
      </c>
      <c r="I2410" t="s">
        <v>489</v>
      </c>
      <c r="J2410" t="s">
        <v>38</v>
      </c>
      <c r="K2410" t="s">
        <v>38</v>
      </c>
      <c r="L2410" t="s">
        <v>40</v>
      </c>
      <c r="M2410" t="s">
        <v>38</v>
      </c>
      <c r="N2410" t="s">
        <v>38</v>
      </c>
      <c r="O2410" t="s">
        <v>40</v>
      </c>
      <c r="P2410" t="s">
        <v>38</v>
      </c>
      <c r="Q2410" t="s">
        <v>38</v>
      </c>
      <c r="R2410" t="s">
        <v>40</v>
      </c>
      <c r="S2410" t="s">
        <v>8295</v>
      </c>
      <c r="T2410" t="s">
        <v>8008</v>
      </c>
      <c r="U2410" t="s">
        <v>8009</v>
      </c>
      <c r="V2410" t="s">
        <v>8002</v>
      </c>
      <c r="W2410" t="s">
        <v>8010</v>
      </c>
      <c r="X2410" t="s">
        <v>46</v>
      </c>
      <c r="AC2410">
        <f>COUNTIF(C:C,QLKV_gui_ket_qua_ra_soat[[#This Row],[Mã điểm bán]])</f>
        <v>1</v>
      </c>
    </row>
    <row r="2411" spans="1:29" x14ac:dyDescent="0.45">
      <c r="A2411" t="s">
        <v>7995</v>
      </c>
      <c r="B2411">
        <v>204</v>
      </c>
      <c r="C2411" t="s">
        <v>8700</v>
      </c>
      <c r="D2411" t="s">
        <v>8701</v>
      </c>
      <c r="E2411" t="s">
        <v>219</v>
      </c>
      <c r="F2411" t="s">
        <v>53</v>
      </c>
      <c r="G2411" t="s">
        <v>34</v>
      </c>
      <c r="H2411" t="s">
        <v>319</v>
      </c>
      <c r="I2411" t="s">
        <v>8702</v>
      </c>
      <c r="J2411" t="s">
        <v>38</v>
      </c>
      <c r="K2411" t="s">
        <v>38</v>
      </c>
      <c r="L2411" t="s">
        <v>40</v>
      </c>
      <c r="M2411" t="s">
        <v>38</v>
      </c>
      <c r="N2411" t="s">
        <v>38</v>
      </c>
      <c r="O2411" t="s">
        <v>40</v>
      </c>
      <c r="P2411" t="s">
        <v>38</v>
      </c>
      <c r="Q2411" t="s">
        <v>38</v>
      </c>
      <c r="R2411" t="s">
        <v>40</v>
      </c>
      <c r="S2411" t="s">
        <v>8295</v>
      </c>
      <c r="T2411" t="s">
        <v>8008</v>
      </c>
      <c r="U2411" t="s">
        <v>8009</v>
      </c>
      <c r="V2411" t="s">
        <v>8002</v>
      </c>
      <c r="W2411" t="s">
        <v>8010</v>
      </c>
      <c r="X2411" t="s">
        <v>46</v>
      </c>
      <c r="AC2411">
        <f>COUNTIF(C:C,QLKV_gui_ket_qua_ra_soat[[#This Row],[Mã điểm bán]])</f>
        <v>1</v>
      </c>
    </row>
    <row r="2412" spans="1:29" x14ac:dyDescent="0.45">
      <c r="A2412" t="s">
        <v>7995</v>
      </c>
      <c r="B2412">
        <v>205</v>
      </c>
      <c r="C2412" t="s">
        <v>8703</v>
      </c>
      <c r="D2412" t="s">
        <v>8704</v>
      </c>
      <c r="E2412" t="s">
        <v>290</v>
      </c>
      <c r="F2412" t="s">
        <v>581</v>
      </c>
      <c r="G2412" t="s">
        <v>34</v>
      </c>
      <c r="H2412" t="s">
        <v>1877</v>
      </c>
      <c r="I2412" t="s">
        <v>8705</v>
      </c>
      <c r="J2412" t="s">
        <v>38</v>
      </c>
      <c r="K2412" t="s">
        <v>38</v>
      </c>
      <c r="L2412" t="s">
        <v>40</v>
      </c>
      <c r="M2412" t="s">
        <v>37</v>
      </c>
      <c r="N2412" t="s">
        <v>37</v>
      </c>
      <c r="O2412" t="s">
        <v>39</v>
      </c>
      <c r="P2412" t="s">
        <v>38</v>
      </c>
      <c r="Q2412" t="s">
        <v>38</v>
      </c>
      <c r="R2412" t="s">
        <v>40</v>
      </c>
      <c r="S2412" t="s">
        <v>627</v>
      </c>
      <c r="T2412" t="s">
        <v>8196</v>
      </c>
      <c r="U2412" t="s">
        <v>8001</v>
      </c>
      <c r="V2412" t="s">
        <v>8002</v>
      </c>
      <c r="W2412" t="s">
        <v>8003</v>
      </c>
      <c r="X2412" t="s">
        <v>46</v>
      </c>
      <c r="AC2412">
        <f>COUNTIF(C:C,QLKV_gui_ket_qua_ra_soat[[#This Row],[Mã điểm bán]])</f>
        <v>1</v>
      </c>
    </row>
    <row r="2413" spans="1:29" x14ac:dyDescent="0.45">
      <c r="A2413" t="s">
        <v>7995</v>
      </c>
      <c r="B2413">
        <v>206</v>
      </c>
      <c r="C2413" t="s">
        <v>8706</v>
      </c>
      <c r="D2413" t="s">
        <v>5680</v>
      </c>
      <c r="E2413" t="s">
        <v>455</v>
      </c>
      <c r="F2413" t="s">
        <v>99</v>
      </c>
      <c r="G2413" t="s">
        <v>34</v>
      </c>
      <c r="H2413" t="s">
        <v>100</v>
      </c>
      <c r="I2413" t="s">
        <v>8707</v>
      </c>
      <c r="J2413" t="s">
        <v>38</v>
      </c>
      <c r="K2413" t="s">
        <v>38</v>
      </c>
      <c r="L2413" t="s">
        <v>39</v>
      </c>
      <c r="M2413" t="s">
        <v>38</v>
      </c>
      <c r="N2413" t="s">
        <v>38</v>
      </c>
      <c r="O2413" t="s">
        <v>39</v>
      </c>
      <c r="P2413" t="s">
        <v>38</v>
      </c>
      <c r="Q2413" t="s">
        <v>38</v>
      </c>
      <c r="R2413" t="s">
        <v>39</v>
      </c>
      <c r="S2413" t="s">
        <v>8708</v>
      </c>
      <c r="T2413" t="s">
        <v>8038</v>
      </c>
      <c r="U2413" t="s">
        <v>8029</v>
      </c>
      <c r="V2413" t="s">
        <v>8002</v>
      </c>
      <c r="W2413" t="s">
        <v>8030</v>
      </c>
      <c r="AC2413">
        <f>COUNTIF(C:C,QLKV_gui_ket_qua_ra_soat[[#This Row],[Mã điểm bán]])</f>
        <v>1</v>
      </c>
    </row>
    <row r="2414" spans="1:29" x14ac:dyDescent="0.45">
      <c r="A2414" t="s">
        <v>7995</v>
      </c>
      <c r="B2414">
        <v>207</v>
      </c>
      <c r="C2414" t="s">
        <v>8709</v>
      </c>
      <c r="D2414" t="s">
        <v>7175</v>
      </c>
      <c r="E2414" t="s">
        <v>1886</v>
      </c>
      <c r="F2414" t="s">
        <v>2784</v>
      </c>
      <c r="G2414" t="s">
        <v>34</v>
      </c>
      <c r="H2414" t="s">
        <v>340</v>
      </c>
      <c r="I2414" t="s">
        <v>8710</v>
      </c>
      <c r="J2414" t="s">
        <v>56</v>
      </c>
      <c r="K2414" t="s">
        <v>56</v>
      </c>
      <c r="L2414" t="s">
        <v>39</v>
      </c>
      <c r="M2414" t="s">
        <v>56</v>
      </c>
      <c r="N2414" t="s">
        <v>37</v>
      </c>
      <c r="O2414" t="s">
        <v>39</v>
      </c>
      <c r="P2414" t="s">
        <v>38</v>
      </c>
      <c r="Q2414" t="s">
        <v>38</v>
      </c>
      <c r="R2414" t="s">
        <v>40</v>
      </c>
      <c r="S2414" t="s">
        <v>41</v>
      </c>
      <c r="T2414" t="s">
        <v>8105</v>
      </c>
      <c r="U2414" t="s">
        <v>8016</v>
      </c>
      <c r="V2414" t="s">
        <v>8002</v>
      </c>
      <c r="W2414" t="s">
        <v>8003</v>
      </c>
      <c r="X2414" t="s">
        <v>46</v>
      </c>
      <c r="AC2414">
        <f>COUNTIF(C:C,QLKV_gui_ket_qua_ra_soat[[#This Row],[Mã điểm bán]])</f>
        <v>1</v>
      </c>
    </row>
    <row r="2415" spans="1:29" x14ac:dyDescent="0.45">
      <c r="A2415" t="s">
        <v>7995</v>
      </c>
      <c r="B2415">
        <v>208</v>
      </c>
      <c r="C2415" t="s">
        <v>8711</v>
      </c>
      <c r="D2415" t="s">
        <v>8712</v>
      </c>
      <c r="E2415" t="s">
        <v>1970</v>
      </c>
      <c r="F2415" t="s">
        <v>401</v>
      </c>
      <c r="G2415" t="s">
        <v>34</v>
      </c>
      <c r="H2415" t="s">
        <v>1280</v>
      </c>
      <c r="I2415" t="s">
        <v>5956</v>
      </c>
      <c r="J2415" t="s">
        <v>56</v>
      </c>
      <c r="K2415" t="s">
        <v>56</v>
      </c>
      <c r="L2415" t="s">
        <v>39</v>
      </c>
      <c r="M2415" t="s">
        <v>56</v>
      </c>
      <c r="N2415" t="s">
        <v>56</v>
      </c>
      <c r="O2415" t="s">
        <v>39</v>
      </c>
      <c r="P2415" t="s">
        <v>38</v>
      </c>
      <c r="Q2415" t="s">
        <v>38</v>
      </c>
      <c r="R2415" t="s">
        <v>39</v>
      </c>
      <c r="S2415" t="s">
        <v>8713</v>
      </c>
      <c r="T2415" t="s">
        <v>8238</v>
      </c>
      <c r="U2415" t="s">
        <v>8239</v>
      </c>
      <c r="V2415" t="s">
        <v>8002</v>
      </c>
      <c r="W2415" t="s">
        <v>8010</v>
      </c>
      <c r="X2415" t="s">
        <v>46</v>
      </c>
      <c r="AC2415">
        <f>COUNTIF(C:C,QLKV_gui_ket_qua_ra_soat[[#This Row],[Mã điểm bán]])</f>
        <v>1</v>
      </c>
    </row>
    <row r="2416" spans="1:29" x14ac:dyDescent="0.45">
      <c r="A2416" t="s">
        <v>7995</v>
      </c>
      <c r="B2416">
        <v>209</v>
      </c>
      <c r="C2416" t="s">
        <v>8714</v>
      </c>
      <c r="D2416" t="s">
        <v>8715</v>
      </c>
      <c r="E2416" t="s">
        <v>69</v>
      </c>
      <c r="F2416" t="s">
        <v>53</v>
      </c>
      <c r="G2416" t="s">
        <v>34</v>
      </c>
      <c r="H2416" t="s">
        <v>54</v>
      </c>
      <c r="I2416" t="s">
        <v>8668</v>
      </c>
      <c r="J2416" t="s">
        <v>37</v>
      </c>
      <c r="K2416" t="s">
        <v>37</v>
      </c>
      <c r="L2416" t="s">
        <v>40</v>
      </c>
      <c r="M2416" t="s">
        <v>37</v>
      </c>
      <c r="N2416" t="s">
        <v>37</v>
      </c>
      <c r="O2416" t="s">
        <v>40</v>
      </c>
      <c r="P2416" t="s">
        <v>37</v>
      </c>
      <c r="Q2416" t="s">
        <v>37</v>
      </c>
      <c r="R2416" t="s">
        <v>40</v>
      </c>
      <c r="S2416" t="s">
        <v>41</v>
      </c>
      <c r="T2416" t="s">
        <v>8000</v>
      </c>
      <c r="U2416" t="s">
        <v>8001</v>
      </c>
      <c r="V2416" t="s">
        <v>8002</v>
      </c>
      <c r="W2416" t="s">
        <v>8003</v>
      </c>
      <c r="Z2416" t="s">
        <v>46</v>
      </c>
      <c r="AA2416" t="s">
        <v>8000</v>
      </c>
      <c r="AC2416">
        <f>COUNTIF(C:C,QLKV_gui_ket_qua_ra_soat[[#This Row],[Mã điểm bán]])</f>
        <v>1</v>
      </c>
    </row>
    <row r="2417" spans="1:29" x14ac:dyDescent="0.45">
      <c r="A2417" t="s">
        <v>7995</v>
      </c>
      <c r="B2417">
        <v>210</v>
      </c>
      <c r="C2417" t="s">
        <v>8716</v>
      </c>
      <c r="D2417" t="s">
        <v>8717</v>
      </c>
      <c r="E2417" t="s">
        <v>1646</v>
      </c>
      <c r="F2417" t="s">
        <v>401</v>
      </c>
      <c r="G2417" t="s">
        <v>34</v>
      </c>
      <c r="H2417" t="s">
        <v>402</v>
      </c>
      <c r="I2417" t="s">
        <v>5956</v>
      </c>
      <c r="J2417" t="s">
        <v>56</v>
      </c>
      <c r="K2417" t="s">
        <v>56</v>
      </c>
      <c r="L2417" t="s">
        <v>39</v>
      </c>
      <c r="M2417" t="s">
        <v>56</v>
      </c>
      <c r="N2417" t="s">
        <v>56</v>
      </c>
      <c r="O2417" t="s">
        <v>39</v>
      </c>
      <c r="P2417" t="s">
        <v>38</v>
      </c>
      <c r="Q2417" t="s">
        <v>38</v>
      </c>
      <c r="R2417" t="s">
        <v>39</v>
      </c>
      <c r="S2417" t="s">
        <v>8718</v>
      </c>
      <c r="T2417" t="s">
        <v>8238</v>
      </c>
      <c r="U2417" t="s">
        <v>8239</v>
      </c>
      <c r="V2417" t="s">
        <v>8002</v>
      </c>
      <c r="W2417" t="s">
        <v>8010</v>
      </c>
      <c r="X2417" t="s">
        <v>46</v>
      </c>
      <c r="AC2417">
        <f>COUNTIF(C:C,QLKV_gui_ket_qua_ra_soat[[#This Row],[Mã điểm bán]])</f>
        <v>1</v>
      </c>
    </row>
    <row r="2418" spans="1:29" x14ac:dyDescent="0.45">
      <c r="A2418" t="s">
        <v>7995</v>
      </c>
      <c r="B2418">
        <v>211</v>
      </c>
      <c r="C2418" t="s">
        <v>8719</v>
      </c>
      <c r="D2418" t="s">
        <v>8720</v>
      </c>
      <c r="E2418" t="s">
        <v>97</v>
      </c>
      <c r="F2418" t="s">
        <v>53</v>
      </c>
      <c r="G2418" t="s">
        <v>34</v>
      </c>
      <c r="H2418" t="s">
        <v>54</v>
      </c>
      <c r="I2418" t="s">
        <v>4305</v>
      </c>
      <c r="J2418" t="s">
        <v>38</v>
      </c>
      <c r="K2418" t="s">
        <v>38</v>
      </c>
      <c r="L2418" t="s">
        <v>40</v>
      </c>
      <c r="M2418" t="s">
        <v>37</v>
      </c>
      <c r="N2418" t="s">
        <v>37</v>
      </c>
      <c r="O2418" t="s">
        <v>39</v>
      </c>
      <c r="P2418" t="s">
        <v>38</v>
      </c>
      <c r="Q2418" t="s">
        <v>38</v>
      </c>
      <c r="R2418" t="s">
        <v>40</v>
      </c>
      <c r="S2418" t="s">
        <v>41</v>
      </c>
      <c r="T2418" t="s">
        <v>8136</v>
      </c>
      <c r="U2418" t="s">
        <v>8137</v>
      </c>
      <c r="V2418" t="s">
        <v>8002</v>
      </c>
      <c r="W2418" t="s">
        <v>8085</v>
      </c>
      <c r="X2418" t="s">
        <v>46</v>
      </c>
      <c r="AC2418">
        <f>COUNTIF(C:C,QLKV_gui_ket_qua_ra_soat[[#This Row],[Mã điểm bán]])</f>
        <v>1</v>
      </c>
    </row>
    <row r="2419" spans="1:29" x14ac:dyDescent="0.45">
      <c r="A2419" t="s">
        <v>7995</v>
      </c>
      <c r="B2419">
        <v>212</v>
      </c>
      <c r="C2419" t="s">
        <v>8721</v>
      </c>
      <c r="D2419" t="s">
        <v>8722</v>
      </c>
      <c r="E2419" t="s">
        <v>2630</v>
      </c>
      <c r="F2419" t="s">
        <v>819</v>
      </c>
      <c r="G2419" t="s">
        <v>34</v>
      </c>
      <c r="H2419" t="s">
        <v>697</v>
      </c>
      <c r="I2419" t="s">
        <v>8723</v>
      </c>
      <c r="J2419" t="s">
        <v>38</v>
      </c>
      <c r="K2419" t="s">
        <v>38</v>
      </c>
      <c r="L2419" t="s">
        <v>40</v>
      </c>
      <c r="M2419" t="s">
        <v>38</v>
      </c>
      <c r="N2419" t="s">
        <v>38</v>
      </c>
      <c r="O2419" t="s">
        <v>40</v>
      </c>
      <c r="P2419" t="s">
        <v>38</v>
      </c>
      <c r="Q2419" t="s">
        <v>38</v>
      </c>
      <c r="R2419" t="s">
        <v>40</v>
      </c>
      <c r="S2419" t="s">
        <v>8295</v>
      </c>
      <c r="T2419" t="s">
        <v>8008</v>
      </c>
      <c r="U2419" t="s">
        <v>8009</v>
      </c>
      <c r="V2419" t="s">
        <v>8002</v>
      </c>
      <c r="W2419" t="s">
        <v>8010</v>
      </c>
      <c r="X2419" t="s">
        <v>46</v>
      </c>
      <c r="AC2419">
        <f>COUNTIF(C:C,QLKV_gui_ket_qua_ra_soat[[#This Row],[Mã điểm bán]])</f>
        <v>1</v>
      </c>
    </row>
    <row r="2420" spans="1:29" x14ac:dyDescent="0.45">
      <c r="A2420" t="s">
        <v>7995</v>
      </c>
      <c r="B2420">
        <v>213</v>
      </c>
      <c r="C2420" t="s">
        <v>8724</v>
      </c>
      <c r="D2420" t="s">
        <v>8725</v>
      </c>
      <c r="E2420" t="s">
        <v>1837</v>
      </c>
      <c r="F2420" t="s">
        <v>115</v>
      </c>
      <c r="G2420" t="s">
        <v>34</v>
      </c>
      <c r="H2420" t="s">
        <v>697</v>
      </c>
      <c r="I2420" t="s">
        <v>8726</v>
      </c>
      <c r="J2420" t="s">
        <v>38</v>
      </c>
      <c r="K2420" t="s">
        <v>38</v>
      </c>
      <c r="L2420" t="s">
        <v>40</v>
      </c>
      <c r="M2420" t="s">
        <v>37</v>
      </c>
      <c r="N2420" t="s">
        <v>37</v>
      </c>
      <c r="O2420" t="s">
        <v>39</v>
      </c>
      <c r="P2420" t="s">
        <v>38</v>
      </c>
      <c r="Q2420" t="s">
        <v>38</v>
      </c>
      <c r="R2420" t="s">
        <v>40</v>
      </c>
      <c r="S2420" t="s">
        <v>41</v>
      </c>
      <c r="T2420" t="s">
        <v>8136</v>
      </c>
      <c r="U2420" t="s">
        <v>8137</v>
      </c>
      <c r="V2420" t="s">
        <v>8002</v>
      </c>
      <c r="W2420" t="s">
        <v>8085</v>
      </c>
      <c r="X2420" t="s">
        <v>46</v>
      </c>
      <c r="AC2420">
        <f>COUNTIF(C:C,QLKV_gui_ket_qua_ra_soat[[#This Row],[Mã điểm bán]])</f>
        <v>1</v>
      </c>
    </row>
    <row r="2421" spans="1:29" x14ac:dyDescent="0.45">
      <c r="A2421" t="s">
        <v>7995</v>
      </c>
      <c r="B2421">
        <v>214</v>
      </c>
      <c r="C2421" t="s">
        <v>8727</v>
      </c>
      <c r="D2421" t="s">
        <v>8728</v>
      </c>
      <c r="E2421" t="s">
        <v>128</v>
      </c>
      <c r="F2421" t="s">
        <v>325</v>
      </c>
      <c r="G2421" t="s">
        <v>150</v>
      </c>
      <c r="H2421" t="s">
        <v>546</v>
      </c>
      <c r="I2421" t="s">
        <v>8729</v>
      </c>
      <c r="J2421" t="s">
        <v>37</v>
      </c>
      <c r="K2421" t="s">
        <v>37</v>
      </c>
      <c r="L2421" t="s">
        <v>39</v>
      </c>
      <c r="M2421" t="s">
        <v>37</v>
      </c>
      <c r="N2421" t="s">
        <v>37</v>
      </c>
      <c r="O2421" t="s">
        <v>39</v>
      </c>
      <c r="P2421" t="s">
        <v>38</v>
      </c>
      <c r="Q2421" t="s">
        <v>37</v>
      </c>
      <c r="R2421" t="s">
        <v>39</v>
      </c>
      <c r="S2421" t="s">
        <v>8191</v>
      </c>
      <c r="T2421" t="s">
        <v>8192</v>
      </c>
      <c r="U2421" t="s">
        <v>8137</v>
      </c>
      <c r="V2421" t="s">
        <v>8002</v>
      </c>
      <c r="W2421" t="s">
        <v>8085</v>
      </c>
      <c r="Z2421" t="s">
        <v>46</v>
      </c>
      <c r="AA2421" t="s">
        <v>8192</v>
      </c>
      <c r="AC2421">
        <f>COUNTIF(C:C,QLKV_gui_ket_qua_ra_soat[[#This Row],[Mã điểm bán]])</f>
        <v>1</v>
      </c>
    </row>
    <row r="2422" spans="1:29" x14ac:dyDescent="0.45">
      <c r="A2422" t="s">
        <v>7995</v>
      </c>
      <c r="B2422">
        <v>215</v>
      </c>
      <c r="C2422" t="s">
        <v>8730</v>
      </c>
      <c r="D2422" t="s">
        <v>196</v>
      </c>
      <c r="E2422" t="s">
        <v>2373</v>
      </c>
      <c r="F2422" t="s">
        <v>4805</v>
      </c>
      <c r="G2422" t="s">
        <v>34</v>
      </c>
      <c r="H2422" t="s">
        <v>1280</v>
      </c>
      <c r="I2422" t="s">
        <v>8731</v>
      </c>
      <c r="J2422" t="s">
        <v>38</v>
      </c>
      <c r="K2422" t="s">
        <v>38</v>
      </c>
      <c r="L2422" t="s">
        <v>40</v>
      </c>
      <c r="M2422" t="s">
        <v>37</v>
      </c>
      <c r="N2422" t="s">
        <v>38</v>
      </c>
      <c r="O2422" t="s">
        <v>39</v>
      </c>
      <c r="P2422" t="s">
        <v>38</v>
      </c>
      <c r="Q2422" t="s">
        <v>38</v>
      </c>
      <c r="R2422" t="s">
        <v>40</v>
      </c>
      <c r="S2422" t="s">
        <v>41</v>
      </c>
      <c r="T2422" t="s">
        <v>8136</v>
      </c>
      <c r="U2422" t="s">
        <v>8137</v>
      </c>
      <c r="V2422" t="s">
        <v>8002</v>
      </c>
      <c r="W2422" t="s">
        <v>8085</v>
      </c>
      <c r="X2422" t="s">
        <v>46</v>
      </c>
      <c r="AC2422">
        <f>COUNTIF(C:C,QLKV_gui_ket_qua_ra_soat[[#This Row],[Mã điểm bán]])</f>
        <v>1</v>
      </c>
    </row>
    <row r="2423" spans="1:29" x14ac:dyDescent="0.45">
      <c r="A2423" t="s">
        <v>7995</v>
      </c>
      <c r="B2423">
        <v>216</v>
      </c>
      <c r="C2423" t="s">
        <v>8732</v>
      </c>
      <c r="D2423" t="s">
        <v>8733</v>
      </c>
      <c r="E2423" t="s">
        <v>212</v>
      </c>
      <c r="F2423" t="s">
        <v>930</v>
      </c>
      <c r="G2423" t="s">
        <v>34</v>
      </c>
      <c r="H2423" t="s">
        <v>546</v>
      </c>
      <c r="I2423" t="s">
        <v>8734</v>
      </c>
      <c r="J2423" t="s">
        <v>38</v>
      </c>
      <c r="K2423" t="s">
        <v>38</v>
      </c>
      <c r="L2423" t="s">
        <v>40</v>
      </c>
      <c r="M2423" t="s">
        <v>38</v>
      </c>
      <c r="N2423" t="s">
        <v>775</v>
      </c>
      <c r="O2423" t="s">
        <v>39</v>
      </c>
      <c r="P2423" t="s">
        <v>38</v>
      </c>
      <c r="Q2423" t="s">
        <v>38</v>
      </c>
      <c r="R2423" t="s">
        <v>40</v>
      </c>
      <c r="S2423" t="s">
        <v>8735</v>
      </c>
      <c r="T2423" t="s">
        <v>8008</v>
      </c>
      <c r="U2423" t="s">
        <v>8009</v>
      </c>
      <c r="V2423" t="s">
        <v>8002</v>
      </c>
      <c r="W2423" t="s">
        <v>8010</v>
      </c>
      <c r="X2423" t="s">
        <v>46</v>
      </c>
      <c r="AC2423">
        <f>COUNTIF(C:C,QLKV_gui_ket_qua_ra_soat[[#This Row],[Mã điểm bán]])</f>
        <v>1</v>
      </c>
    </row>
    <row r="2424" spans="1:29" x14ac:dyDescent="0.45">
      <c r="A2424" t="s">
        <v>7995</v>
      </c>
      <c r="B2424">
        <v>217</v>
      </c>
      <c r="C2424" t="s">
        <v>8736</v>
      </c>
      <c r="D2424" t="s">
        <v>8737</v>
      </c>
      <c r="E2424" t="s">
        <v>2789</v>
      </c>
      <c r="F2424" t="s">
        <v>426</v>
      </c>
      <c r="G2424" t="s">
        <v>34</v>
      </c>
      <c r="H2424" t="s">
        <v>1188</v>
      </c>
      <c r="I2424" t="s">
        <v>5956</v>
      </c>
      <c r="J2424" t="s">
        <v>56</v>
      </c>
      <c r="K2424" t="s">
        <v>56</v>
      </c>
      <c r="L2424" t="s">
        <v>39</v>
      </c>
      <c r="M2424" t="s">
        <v>56</v>
      </c>
      <c r="N2424" t="s">
        <v>56</v>
      </c>
      <c r="O2424" t="s">
        <v>39</v>
      </c>
      <c r="P2424" t="s">
        <v>37</v>
      </c>
      <c r="Q2424" t="s">
        <v>37</v>
      </c>
      <c r="R2424" t="s">
        <v>39</v>
      </c>
      <c r="S2424" t="s">
        <v>8738</v>
      </c>
      <c r="T2424" t="s">
        <v>8238</v>
      </c>
      <c r="U2424" t="s">
        <v>8239</v>
      </c>
      <c r="V2424" t="s">
        <v>8002</v>
      </c>
      <c r="W2424" t="s">
        <v>8010</v>
      </c>
      <c r="Z2424" t="s">
        <v>46</v>
      </c>
      <c r="AA2424" t="s">
        <v>8238</v>
      </c>
      <c r="AC2424">
        <f>COUNTIF(C:C,QLKV_gui_ket_qua_ra_soat[[#This Row],[Mã điểm bán]])</f>
        <v>1</v>
      </c>
    </row>
    <row r="2425" spans="1:29" x14ac:dyDescent="0.45">
      <c r="A2425" t="s">
        <v>7995</v>
      </c>
      <c r="B2425">
        <v>218</v>
      </c>
      <c r="C2425" t="s">
        <v>8739</v>
      </c>
      <c r="D2425" t="s">
        <v>8740</v>
      </c>
      <c r="E2425" t="s">
        <v>8741</v>
      </c>
      <c r="F2425" t="s">
        <v>401</v>
      </c>
      <c r="G2425" t="s">
        <v>34</v>
      </c>
      <c r="H2425" t="s">
        <v>1750</v>
      </c>
      <c r="I2425" t="s">
        <v>5956</v>
      </c>
      <c r="J2425" t="s">
        <v>56</v>
      </c>
      <c r="K2425" t="s">
        <v>56</v>
      </c>
      <c r="L2425" t="s">
        <v>39</v>
      </c>
      <c r="M2425" t="s">
        <v>56</v>
      </c>
      <c r="N2425" t="s">
        <v>56</v>
      </c>
      <c r="O2425" t="s">
        <v>39</v>
      </c>
      <c r="P2425" t="s">
        <v>56</v>
      </c>
      <c r="Q2425" t="s">
        <v>56</v>
      </c>
      <c r="R2425" t="s">
        <v>39</v>
      </c>
      <c r="S2425" t="s">
        <v>41</v>
      </c>
      <c r="T2425" t="s">
        <v>8238</v>
      </c>
      <c r="U2425" t="s">
        <v>8239</v>
      </c>
      <c r="V2425" t="s">
        <v>8002</v>
      </c>
      <c r="W2425" t="s">
        <v>8010</v>
      </c>
      <c r="X2425" t="s">
        <v>46</v>
      </c>
      <c r="AC2425">
        <f>COUNTIF(C:C,QLKV_gui_ket_qua_ra_soat[[#This Row],[Mã điểm bán]])</f>
        <v>1</v>
      </c>
    </row>
    <row r="2426" spans="1:29" x14ac:dyDescent="0.45">
      <c r="A2426" t="s">
        <v>7995</v>
      </c>
      <c r="B2426">
        <v>219</v>
      </c>
      <c r="C2426" t="s">
        <v>8742</v>
      </c>
      <c r="D2426" t="s">
        <v>8743</v>
      </c>
      <c r="E2426" t="s">
        <v>5661</v>
      </c>
      <c r="F2426" t="s">
        <v>99</v>
      </c>
      <c r="G2426" t="s">
        <v>34</v>
      </c>
      <c r="H2426" t="s">
        <v>1483</v>
      </c>
      <c r="I2426" t="s">
        <v>8744</v>
      </c>
      <c r="J2426" t="s">
        <v>38</v>
      </c>
      <c r="K2426" t="s">
        <v>38</v>
      </c>
      <c r="L2426" t="s">
        <v>39</v>
      </c>
      <c r="M2426" t="s">
        <v>38</v>
      </c>
      <c r="N2426" t="s">
        <v>38</v>
      </c>
      <c r="O2426" t="s">
        <v>39</v>
      </c>
      <c r="P2426" t="s">
        <v>38</v>
      </c>
      <c r="Q2426" t="s">
        <v>38</v>
      </c>
      <c r="R2426" t="s">
        <v>39</v>
      </c>
      <c r="S2426" t="s">
        <v>8745</v>
      </c>
      <c r="T2426" t="s">
        <v>8038</v>
      </c>
      <c r="U2426" t="s">
        <v>8029</v>
      </c>
      <c r="V2426" t="s">
        <v>8002</v>
      </c>
      <c r="W2426" t="s">
        <v>8010</v>
      </c>
      <c r="AC2426">
        <f>COUNTIF(C:C,QLKV_gui_ket_qua_ra_soat[[#This Row],[Mã điểm bán]])</f>
        <v>1</v>
      </c>
    </row>
    <row r="2427" spans="1:29" x14ac:dyDescent="0.45">
      <c r="A2427" t="s">
        <v>7995</v>
      </c>
      <c r="B2427">
        <v>220</v>
      </c>
      <c r="C2427" t="s">
        <v>8746</v>
      </c>
      <c r="D2427" t="s">
        <v>8747</v>
      </c>
      <c r="E2427" t="s">
        <v>8748</v>
      </c>
      <c r="F2427" t="s">
        <v>417</v>
      </c>
      <c r="G2427" t="s">
        <v>34</v>
      </c>
      <c r="H2427" t="s">
        <v>1648</v>
      </c>
      <c r="I2427" t="s">
        <v>8749</v>
      </c>
      <c r="J2427" t="s">
        <v>38</v>
      </c>
      <c r="K2427" t="s">
        <v>38</v>
      </c>
      <c r="L2427" t="s">
        <v>40</v>
      </c>
      <c r="M2427" t="s">
        <v>56</v>
      </c>
      <c r="N2427" t="s">
        <v>775</v>
      </c>
      <c r="O2427" t="s">
        <v>39</v>
      </c>
      <c r="P2427" t="s">
        <v>38</v>
      </c>
      <c r="Q2427" t="s">
        <v>38</v>
      </c>
      <c r="R2427" t="s">
        <v>40</v>
      </c>
      <c r="S2427" t="s">
        <v>8750</v>
      </c>
      <c r="T2427" t="s">
        <v>8015</v>
      </c>
      <c r="U2427" t="s">
        <v>8016</v>
      </c>
      <c r="V2427" t="s">
        <v>8002</v>
      </c>
      <c r="W2427" t="s">
        <v>8003</v>
      </c>
      <c r="X2427" t="s">
        <v>46</v>
      </c>
      <c r="AC2427">
        <f>COUNTIF(C:C,QLKV_gui_ket_qua_ra_soat[[#This Row],[Mã điểm bán]])</f>
        <v>1</v>
      </c>
    </row>
    <row r="2428" spans="1:29" x14ac:dyDescent="0.45">
      <c r="A2428" t="s">
        <v>7995</v>
      </c>
      <c r="B2428">
        <v>221</v>
      </c>
      <c r="C2428" t="s">
        <v>8751</v>
      </c>
      <c r="D2428" t="s">
        <v>8752</v>
      </c>
      <c r="E2428" t="s">
        <v>6330</v>
      </c>
      <c r="F2428" t="s">
        <v>426</v>
      </c>
      <c r="G2428" t="s">
        <v>34</v>
      </c>
      <c r="H2428" t="s">
        <v>54</v>
      </c>
      <c r="I2428" t="s">
        <v>8753</v>
      </c>
      <c r="J2428" t="s">
        <v>38</v>
      </c>
      <c r="K2428" t="s">
        <v>38</v>
      </c>
      <c r="L2428" t="s">
        <v>40</v>
      </c>
      <c r="M2428" t="s">
        <v>38</v>
      </c>
      <c r="N2428" t="s">
        <v>38</v>
      </c>
      <c r="O2428" t="s">
        <v>40</v>
      </c>
      <c r="P2428" t="s">
        <v>38</v>
      </c>
      <c r="Q2428" t="s">
        <v>38</v>
      </c>
      <c r="R2428" t="s">
        <v>40</v>
      </c>
      <c r="S2428" t="s">
        <v>8754</v>
      </c>
      <c r="T2428" t="s">
        <v>8015</v>
      </c>
      <c r="U2428" t="s">
        <v>8016</v>
      </c>
      <c r="V2428" t="s">
        <v>8002</v>
      </c>
      <c r="W2428" t="s">
        <v>8003</v>
      </c>
      <c r="X2428" t="s">
        <v>46</v>
      </c>
      <c r="AC2428">
        <f>COUNTIF(C:C,QLKV_gui_ket_qua_ra_soat[[#This Row],[Mã điểm bán]])</f>
        <v>1</v>
      </c>
    </row>
    <row r="2429" spans="1:29" x14ac:dyDescent="0.45">
      <c r="A2429" t="s">
        <v>7995</v>
      </c>
      <c r="B2429">
        <v>222</v>
      </c>
      <c r="C2429" t="s">
        <v>8755</v>
      </c>
      <c r="D2429" t="s">
        <v>8756</v>
      </c>
      <c r="E2429" t="s">
        <v>8757</v>
      </c>
      <c r="F2429" t="s">
        <v>8758</v>
      </c>
      <c r="G2429" t="s">
        <v>34</v>
      </c>
      <c r="H2429" t="s">
        <v>1942</v>
      </c>
      <c r="I2429" t="s">
        <v>8759</v>
      </c>
      <c r="J2429" t="s">
        <v>37</v>
      </c>
      <c r="K2429" t="s">
        <v>37</v>
      </c>
      <c r="L2429" t="s">
        <v>39</v>
      </c>
      <c r="M2429" t="s">
        <v>56</v>
      </c>
      <c r="N2429" t="s">
        <v>37</v>
      </c>
      <c r="O2429" t="s">
        <v>39</v>
      </c>
      <c r="P2429" t="s">
        <v>38</v>
      </c>
      <c r="Q2429" t="s">
        <v>38</v>
      </c>
      <c r="R2429" t="s">
        <v>39</v>
      </c>
      <c r="S2429" t="s">
        <v>41</v>
      </c>
      <c r="T2429" t="s">
        <v>8105</v>
      </c>
      <c r="U2429" t="s">
        <v>8016</v>
      </c>
      <c r="V2429" t="s">
        <v>8002</v>
      </c>
      <c r="W2429" t="s">
        <v>8003</v>
      </c>
      <c r="X2429" t="s">
        <v>46</v>
      </c>
      <c r="AC2429">
        <f>COUNTIF(C:C,QLKV_gui_ket_qua_ra_soat[[#This Row],[Mã điểm bán]])</f>
        <v>1</v>
      </c>
    </row>
    <row r="2430" spans="1:29" x14ac:dyDescent="0.45">
      <c r="A2430" t="s">
        <v>7995</v>
      </c>
      <c r="B2430">
        <v>223</v>
      </c>
      <c r="C2430" t="s">
        <v>8760</v>
      </c>
      <c r="D2430" t="s">
        <v>8761</v>
      </c>
      <c r="E2430" t="s">
        <v>323</v>
      </c>
      <c r="F2430" t="s">
        <v>53</v>
      </c>
      <c r="G2430" t="s">
        <v>34</v>
      </c>
      <c r="H2430" t="s">
        <v>697</v>
      </c>
      <c r="I2430" t="s">
        <v>8762</v>
      </c>
      <c r="J2430" t="s">
        <v>38</v>
      </c>
      <c r="K2430" t="s">
        <v>38</v>
      </c>
      <c r="L2430" t="s">
        <v>40</v>
      </c>
      <c r="M2430" t="s">
        <v>775</v>
      </c>
      <c r="N2430" t="s">
        <v>56</v>
      </c>
      <c r="O2430" t="s">
        <v>39</v>
      </c>
      <c r="P2430" t="s">
        <v>38</v>
      </c>
      <c r="Q2430" t="s">
        <v>38</v>
      </c>
      <c r="R2430" t="s">
        <v>40</v>
      </c>
      <c r="S2430" t="s">
        <v>779</v>
      </c>
      <c r="T2430" t="s">
        <v>8015</v>
      </c>
      <c r="U2430" t="s">
        <v>8016</v>
      </c>
      <c r="V2430" t="s">
        <v>8002</v>
      </c>
      <c r="W2430" t="s">
        <v>8003</v>
      </c>
      <c r="X2430" t="s">
        <v>46</v>
      </c>
      <c r="AC2430">
        <f>COUNTIF(C:C,QLKV_gui_ket_qua_ra_soat[[#This Row],[Mã điểm bán]])</f>
        <v>1</v>
      </c>
    </row>
    <row r="2431" spans="1:29" x14ac:dyDescent="0.45">
      <c r="A2431" t="s">
        <v>7995</v>
      </c>
      <c r="B2431">
        <v>224</v>
      </c>
      <c r="C2431" t="s">
        <v>8763</v>
      </c>
      <c r="D2431" t="s">
        <v>8764</v>
      </c>
      <c r="E2431" t="s">
        <v>4525</v>
      </c>
      <c r="F2431" t="s">
        <v>2365</v>
      </c>
      <c r="G2431" t="s">
        <v>34</v>
      </c>
      <c r="H2431" t="s">
        <v>54</v>
      </c>
      <c r="I2431" t="s">
        <v>843</v>
      </c>
      <c r="J2431" t="s">
        <v>38</v>
      </c>
      <c r="K2431" t="s">
        <v>38</v>
      </c>
      <c r="L2431" t="s">
        <v>39</v>
      </c>
      <c r="M2431" t="s">
        <v>38</v>
      </c>
      <c r="N2431" t="s">
        <v>38</v>
      </c>
      <c r="O2431" t="s">
        <v>39</v>
      </c>
      <c r="P2431" t="s">
        <v>38</v>
      </c>
      <c r="Q2431" t="s">
        <v>38</v>
      </c>
      <c r="R2431" t="s">
        <v>39</v>
      </c>
      <c r="S2431" t="s">
        <v>41</v>
      </c>
      <c r="T2431" t="s">
        <v>8060</v>
      </c>
      <c r="U2431" t="s">
        <v>8016</v>
      </c>
      <c r="V2431" t="s">
        <v>8002</v>
      </c>
      <c r="W2431" t="s">
        <v>8010</v>
      </c>
      <c r="X2431" t="s">
        <v>46</v>
      </c>
      <c r="AC2431">
        <f>COUNTIF(C:C,QLKV_gui_ket_qua_ra_soat[[#This Row],[Mã điểm bán]])</f>
        <v>1</v>
      </c>
    </row>
    <row r="2432" spans="1:29" x14ac:dyDescent="0.45">
      <c r="A2432" t="s">
        <v>7995</v>
      </c>
      <c r="B2432">
        <v>225</v>
      </c>
      <c r="C2432" t="s">
        <v>8765</v>
      </c>
      <c r="D2432" t="s">
        <v>8766</v>
      </c>
      <c r="E2432" t="s">
        <v>176</v>
      </c>
      <c r="F2432" t="s">
        <v>53</v>
      </c>
      <c r="G2432" t="s">
        <v>34</v>
      </c>
      <c r="H2432" t="s">
        <v>54</v>
      </c>
      <c r="I2432" t="s">
        <v>8767</v>
      </c>
      <c r="J2432" t="s">
        <v>38</v>
      </c>
      <c r="K2432" t="s">
        <v>38</v>
      </c>
      <c r="L2432" t="s">
        <v>40</v>
      </c>
      <c r="M2432" t="s">
        <v>38</v>
      </c>
      <c r="N2432" t="s">
        <v>38</v>
      </c>
      <c r="O2432" t="s">
        <v>40</v>
      </c>
      <c r="P2432" t="s">
        <v>38</v>
      </c>
      <c r="Q2432" t="s">
        <v>38</v>
      </c>
      <c r="R2432" t="s">
        <v>40</v>
      </c>
      <c r="S2432" t="s">
        <v>8768</v>
      </c>
      <c r="T2432" t="s">
        <v>8015</v>
      </c>
      <c r="U2432" t="s">
        <v>8016</v>
      </c>
      <c r="V2432" t="s">
        <v>8002</v>
      </c>
      <c r="W2432" t="s">
        <v>8003</v>
      </c>
      <c r="X2432" t="s">
        <v>46</v>
      </c>
      <c r="AC2432">
        <f>COUNTIF(C:C,QLKV_gui_ket_qua_ra_soat[[#This Row],[Mã điểm bán]])</f>
        <v>1</v>
      </c>
    </row>
    <row r="2433" spans="1:29" x14ac:dyDescent="0.45">
      <c r="A2433" t="s">
        <v>7995</v>
      </c>
      <c r="B2433">
        <v>226</v>
      </c>
      <c r="C2433" t="s">
        <v>8769</v>
      </c>
      <c r="D2433" t="s">
        <v>8770</v>
      </c>
      <c r="E2433" t="s">
        <v>32</v>
      </c>
      <c r="F2433" t="s">
        <v>653</v>
      </c>
      <c r="G2433" t="s">
        <v>34</v>
      </c>
      <c r="H2433" t="s">
        <v>1188</v>
      </c>
      <c r="I2433" t="s">
        <v>8771</v>
      </c>
      <c r="J2433" t="s">
        <v>38</v>
      </c>
      <c r="K2433" t="s">
        <v>38</v>
      </c>
      <c r="L2433" t="s">
        <v>40</v>
      </c>
      <c r="M2433" t="s">
        <v>38</v>
      </c>
      <c r="N2433" t="s">
        <v>38</v>
      </c>
      <c r="O2433" t="s">
        <v>40</v>
      </c>
      <c r="P2433" t="s">
        <v>38</v>
      </c>
      <c r="Q2433" t="s">
        <v>38</v>
      </c>
      <c r="R2433" t="s">
        <v>40</v>
      </c>
      <c r="S2433" t="s">
        <v>627</v>
      </c>
      <c r="T2433" t="s">
        <v>8015</v>
      </c>
      <c r="U2433" t="s">
        <v>8016</v>
      </c>
      <c r="V2433" t="s">
        <v>8002</v>
      </c>
      <c r="W2433" t="s">
        <v>8003</v>
      </c>
      <c r="X2433" t="s">
        <v>46</v>
      </c>
      <c r="AC2433">
        <f>COUNTIF(C:C,QLKV_gui_ket_qua_ra_soat[[#This Row],[Mã điểm bán]])</f>
        <v>1</v>
      </c>
    </row>
    <row r="2434" spans="1:29" x14ac:dyDescent="0.45">
      <c r="A2434" t="s">
        <v>7995</v>
      </c>
      <c r="B2434">
        <v>227</v>
      </c>
      <c r="C2434" t="s">
        <v>8772</v>
      </c>
      <c r="D2434" t="s">
        <v>8773</v>
      </c>
      <c r="E2434" t="s">
        <v>3357</v>
      </c>
      <c r="F2434" t="s">
        <v>292</v>
      </c>
      <c r="G2434" t="s">
        <v>34</v>
      </c>
      <c r="H2434" t="s">
        <v>1280</v>
      </c>
      <c r="I2434" t="s">
        <v>8774</v>
      </c>
      <c r="J2434" t="s">
        <v>38</v>
      </c>
      <c r="K2434" t="s">
        <v>38</v>
      </c>
      <c r="L2434" t="s">
        <v>40</v>
      </c>
      <c r="M2434" t="s">
        <v>38</v>
      </c>
      <c r="N2434" t="s">
        <v>38</v>
      </c>
      <c r="O2434" t="s">
        <v>40</v>
      </c>
      <c r="P2434" t="s">
        <v>38</v>
      </c>
      <c r="Q2434" t="s">
        <v>38</v>
      </c>
      <c r="R2434" t="s">
        <v>40</v>
      </c>
      <c r="S2434" t="s">
        <v>8775</v>
      </c>
      <c r="T2434" t="s">
        <v>8008</v>
      </c>
      <c r="U2434" t="s">
        <v>8009</v>
      </c>
      <c r="V2434" t="s">
        <v>8002</v>
      </c>
      <c r="W2434" t="s">
        <v>8010</v>
      </c>
      <c r="X2434" t="s">
        <v>46</v>
      </c>
      <c r="AC2434">
        <f>COUNTIF(C:C,QLKV_gui_ket_qua_ra_soat[[#This Row],[Mã điểm bán]])</f>
        <v>1</v>
      </c>
    </row>
    <row r="2435" spans="1:29" x14ac:dyDescent="0.45">
      <c r="A2435" t="s">
        <v>7995</v>
      </c>
      <c r="B2435">
        <v>228</v>
      </c>
      <c r="C2435" t="s">
        <v>8776</v>
      </c>
      <c r="D2435" t="s">
        <v>8777</v>
      </c>
      <c r="E2435" t="s">
        <v>98</v>
      </c>
      <c r="F2435" t="s">
        <v>441</v>
      </c>
      <c r="G2435" t="s">
        <v>34</v>
      </c>
      <c r="H2435" t="s">
        <v>3620</v>
      </c>
      <c r="I2435" t="s">
        <v>8778</v>
      </c>
      <c r="J2435" t="s">
        <v>37</v>
      </c>
      <c r="K2435" t="s">
        <v>38</v>
      </c>
      <c r="L2435" t="s">
        <v>39</v>
      </c>
      <c r="M2435" t="s">
        <v>38</v>
      </c>
      <c r="N2435" t="s">
        <v>38</v>
      </c>
      <c r="O2435" t="s">
        <v>39</v>
      </c>
      <c r="P2435" t="s">
        <v>38</v>
      </c>
      <c r="Q2435" t="s">
        <v>37</v>
      </c>
      <c r="R2435" t="s">
        <v>39</v>
      </c>
      <c r="S2435" t="s">
        <v>8191</v>
      </c>
      <c r="T2435" t="s">
        <v>8192</v>
      </c>
      <c r="U2435" t="s">
        <v>8137</v>
      </c>
      <c r="V2435" t="s">
        <v>8002</v>
      </c>
      <c r="W2435" t="s">
        <v>8085</v>
      </c>
      <c r="X2435" t="s">
        <v>46</v>
      </c>
      <c r="AC2435">
        <f>COUNTIF(C:C,QLKV_gui_ket_qua_ra_soat[[#This Row],[Mã điểm bán]])</f>
        <v>1</v>
      </c>
    </row>
    <row r="2436" spans="1:29" x14ac:dyDescent="0.45">
      <c r="A2436" t="s">
        <v>7995</v>
      </c>
      <c r="B2436">
        <v>229</v>
      </c>
      <c r="C2436" t="s">
        <v>8779</v>
      </c>
      <c r="D2436" t="s">
        <v>8780</v>
      </c>
      <c r="E2436" t="s">
        <v>157</v>
      </c>
      <c r="F2436" t="s">
        <v>417</v>
      </c>
      <c r="G2436" t="s">
        <v>34</v>
      </c>
      <c r="H2436" t="s">
        <v>345</v>
      </c>
      <c r="I2436" t="s">
        <v>8781</v>
      </c>
      <c r="J2436" t="s">
        <v>37</v>
      </c>
      <c r="K2436" t="s">
        <v>38</v>
      </c>
      <c r="L2436" t="s">
        <v>40</v>
      </c>
      <c r="M2436" t="s">
        <v>775</v>
      </c>
      <c r="N2436" t="s">
        <v>56</v>
      </c>
      <c r="O2436" t="s">
        <v>39</v>
      </c>
      <c r="P2436" t="s">
        <v>38</v>
      </c>
      <c r="Q2436" t="s">
        <v>38</v>
      </c>
      <c r="R2436" t="s">
        <v>40</v>
      </c>
      <c r="S2436" t="s">
        <v>8782</v>
      </c>
      <c r="T2436" t="s">
        <v>8015</v>
      </c>
      <c r="U2436" t="s">
        <v>8016</v>
      </c>
      <c r="V2436" t="s">
        <v>8002</v>
      </c>
      <c r="W2436" t="s">
        <v>8003</v>
      </c>
      <c r="Z2436" t="s">
        <v>46</v>
      </c>
      <c r="AA2436" t="s">
        <v>8015</v>
      </c>
      <c r="AC2436">
        <f>COUNTIF(C:C,QLKV_gui_ket_qua_ra_soat[[#This Row],[Mã điểm bán]])</f>
        <v>1</v>
      </c>
    </row>
    <row r="2437" spans="1:29" x14ac:dyDescent="0.45">
      <c r="A2437" t="s">
        <v>7995</v>
      </c>
      <c r="B2437">
        <v>230</v>
      </c>
      <c r="C2437" t="s">
        <v>8783</v>
      </c>
      <c r="D2437" t="s">
        <v>8784</v>
      </c>
      <c r="E2437" t="s">
        <v>176</v>
      </c>
      <c r="F2437" t="s">
        <v>53</v>
      </c>
      <c r="G2437" t="s">
        <v>34</v>
      </c>
      <c r="H2437" t="s">
        <v>402</v>
      </c>
      <c r="I2437" t="s">
        <v>8785</v>
      </c>
      <c r="J2437" t="s">
        <v>38</v>
      </c>
      <c r="K2437" t="s">
        <v>38</v>
      </c>
      <c r="L2437" t="s">
        <v>40</v>
      </c>
      <c r="M2437" t="s">
        <v>38</v>
      </c>
      <c r="N2437" t="s">
        <v>38</v>
      </c>
      <c r="O2437" t="s">
        <v>40</v>
      </c>
      <c r="P2437" t="s">
        <v>38</v>
      </c>
      <c r="Q2437" t="s">
        <v>38</v>
      </c>
      <c r="R2437" t="s">
        <v>40</v>
      </c>
      <c r="S2437" t="s">
        <v>517</v>
      </c>
      <c r="T2437" t="s">
        <v>8008</v>
      </c>
      <c r="U2437" t="s">
        <v>8009</v>
      </c>
      <c r="V2437" t="s">
        <v>8002</v>
      </c>
      <c r="W2437" t="s">
        <v>8010</v>
      </c>
      <c r="X2437" t="s">
        <v>46</v>
      </c>
      <c r="AC2437">
        <f>COUNTIF(C:C,QLKV_gui_ket_qua_ra_soat[[#This Row],[Mã điểm bán]])</f>
        <v>1</v>
      </c>
    </row>
    <row r="2438" spans="1:29" x14ac:dyDescent="0.45">
      <c r="A2438" t="s">
        <v>7995</v>
      </c>
      <c r="B2438">
        <v>231</v>
      </c>
      <c r="C2438" t="s">
        <v>8786</v>
      </c>
      <c r="D2438" t="s">
        <v>8787</v>
      </c>
      <c r="E2438" t="s">
        <v>2337</v>
      </c>
      <c r="F2438" t="s">
        <v>2365</v>
      </c>
      <c r="G2438" t="s">
        <v>34</v>
      </c>
      <c r="H2438" t="s">
        <v>54</v>
      </c>
      <c r="I2438" t="s">
        <v>4508</v>
      </c>
      <c r="J2438" t="s">
        <v>38</v>
      </c>
      <c r="K2438" t="s">
        <v>38</v>
      </c>
      <c r="L2438" t="s">
        <v>40</v>
      </c>
      <c r="M2438" t="s">
        <v>38</v>
      </c>
      <c r="N2438" t="s">
        <v>38</v>
      </c>
      <c r="O2438" t="s">
        <v>39</v>
      </c>
      <c r="P2438" t="s">
        <v>38</v>
      </c>
      <c r="Q2438" t="s">
        <v>38</v>
      </c>
      <c r="R2438" t="s">
        <v>40</v>
      </c>
      <c r="S2438" t="s">
        <v>8788</v>
      </c>
      <c r="T2438" t="s">
        <v>8028</v>
      </c>
      <c r="U2438" t="s">
        <v>8029</v>
      </c>
      <c r="V2438" t="s">
        <v>8002</v>
      </c>
      <c r="W2438" t="s">
        <v>8010</v>
      </c>
      <c r="AC2438">
        <f>COUNTIF(C:C,QLKV_gui_ket_qua_ra_soat[[#This Row],[Mã điểm bán]])</f>
        <v>1</v>
      </c>
    </row>
    <row r="2439" spans="1:29" x14ac:dyDescent="0.45">
      <c r="A2439" t="s">
        <v>7995</v>
      </c>
      <c r="B2439">
        <v>232</v>
      </c>
      <c r="C2439" t="s">
        <v>8789</v>
      </c>
      <c r="D2439" t="s">
        <v>8790</v>
      </c>
      <c r="E2439" t="s">
        <v>304</v>
      </c>
      <c r="F2439" t="s">
        <v>53</v>
      </c>
      <c r="G2439" t="s">
        <v>34</v>
      </c>
      <c r="H2439" t="s">
        <v>54</v>
      </c>
      <c r="I2439" t="s">
        <v>7623</v>
      </c>
      <c r="J2439" t="s">
        <v>37</v>
      </c>
      <c r="K2439" t="s">
        <v>37</v>
      </c>
      <c r="L2439" t="s">
        <v>40</v>
      </c>
      <c r="M2439" t="s">
        <v>37</v>
      </c>
      <c r="N2439" t="s">
        <v>37</v>
      </c>
      <c r="O2439" t="s">
        <v>40</v>
      </c>
      <c r="P2439" t="s">
        <v>37</v>
      </c>
      <c r="Q2439" t="s">
        <v>37</v>
      </c>
      <c r="R2439" t="s">
        <v>40</v>
      </c>
      <c r="S2439" t="s">
        <v>4783</v>
      </c>
      <c r="T2439" t="s">
        <v>8000</v>
      </c>
      <c r="U2439" t="s">
        <v>8001</v>
      </c>
      <c r="V2439" t="s">
        <v>8002</v>
      </c>
      <c r="W2439" t="s">
        <v>8003</v>
      </c>
      <c r="Z2439" t="s">
        <v>46</v>
      </c>
      <c r="AA2439" t="s">
        <v>8000</v>
      </c>
      <c r="AC2439">
        <f>COUNTIF(C:C,QLKV_gui_ket_qua_ra_soat[[#This Row],[Mã điểm bán]])</f>
        <v>1</v>
      </c>
    </row>
    <row r="2440" spans="1:29" x14ac:dyDescent="0.45">
      <c r="A2440" t="s">
        <v>7995</v>
      </c>
      <c r="B2440">
        <v>233</v>
      </c>
      <c r="C2440" t="s">
        <v>8791</v>
      </c>
      <c r="D2440" t="s">
        <v>8792</v>
      </c>
      <c r="E2440" t="s">
        <v>68</v>
      </c>
      <c r="F2440" t="s">
        <v>53</v>
      </c>
      <c r="G2440" t="s">
        <v>34</v>
      </c>
      <c r="H2440" t="s">
        <v>1188</v>
      </c>
      <c r="I2440" t="s">
        <v>8793</v>
      </c>
      <c r="J2440" t="s">
        <v>38</v>
      </c>
      <c r="K2440" t="s">
        <v>38</v>
      </c>
      <c r="L2440" t="s">
        <v>40</v>
      </c>
      <c r="M2440" t="s">
        <v>38</v>
      </c>
      <c r="N2440" t="s">
        <v>775</v>
      </c>
      <c r="O2440" t="s">
        <v>39</v>
      </c>
      <c r="P2440" t="s">
        <v>38</v>
      </c>
      <c r="Q2440" t="s">
        <v>38</v>
      </c>
      <c r="R2440" t="s">
        <v>40</v>
      </c>
      <c r="S2440" t="s">
        <v>8794</v>
      </c>
      <c r="T2440" t="s">
        <v>8008</v>
      </c>
      <c r="U2440" t="s">
        <v>8009</v>
      </c>
      <c r="V2440" t="s">
        <v>8002</v>
      </c>
      <c r="W2440" t="s">
        <v>8010</v>
      </c>
      <c r="X2440" t="s">
        <v>46</v>
      </c>
      <c r="AC2440">
        <f>COUNTIF(C:C,QLKV_gui_ket_qua_ra_soat[[#This Row],[Mã điểm bán]])</f>
        <v>1</v>
      </c>
    </row>
    <row r="2441" spans="1:29" x14ac:dyDescent="0.45">
      <c r="A2441" t="s">
        <v>7995</v>
      </c>
      <c r="B2441">
        <v>234</v>
      </c>
      <c r="C2441" t="s">
        <v>8795</v>
      </c>
      <c r="D2441" t="s">
        <v>8796</v>
      </c>
      <c r="E2441" t="s">
        <v>279</v>
      </c>
      <c r="F2441" t="s">
        <v>417</v>
      </c>
      <c r="G2441" t="s">
        <v>34</v>
      </c>
      <c r="H2441" t="s">
        <v>917</v>
      </c>
      <c r="I2441" t="s">
        <v>8797</v>
      </c>
      <c r="J2441" t="s">
        <v>38</v>
      </c>
      <c r="K2441" t="s">
        <v>38</v>
      </c>
      <c r="L2441" t="s">
        <v>40</v>
      </c>
      <c r="M2441" t="s">
        <v>37</v>
      </c>
      <c r="N2441" t="s">
        <v>37</v>
      </c>
      <c r="O2441" t="s">
        <v>39</v>
      </c>
      <c r="P2441" t="s">
        <v>38</v>
      </c>
      <c r="Q2441" t="s">
        <v>38</v>
      </c>
      <c r="R2441" t="s">
        <v>40</v>
      </c>
      <c r="S2441" t="s">
        <v>627</v>
      </c>
      <c r="T2441" t="s">
        <v>8196</v>
      </c>
      <c r="U2441" t="s">
        <v>8001</v>
      </c>
      <c r="V2441" t="s">
        <v>8002</v>
      </c>
      <c r="W2441" t="s">
        <v>8003</v>
      </c>
      <c r="X2441" t="s">
        <v>46</v>
      </c>
      <c r="AC2441">
        <f>COUNTIF(C:C,QLKV_gui_ket_qua_ra_soat[[#This Row],[Mã điểm bán]])</f>
        <v>1</v>
      </c>
    </row>
    <row r="2442" spans="1:29" x14ac:dyDescent="0.45">
      <c r="A2442" t="s">
        <v>7995</v>
      </c>
      <c r="B2442">
        <v>235</v>
      </c>
      <c r="C2442" t="s">
        <v>8798</v>
      </c>
      <c r="D2442" t="s">
        <v>8799</v>
      </c>
      <c r="E2442" t="s">
        <v>2420</v>
      </c>
      <c r="F2442" t="s">
        <v>115</v>
      </c>
      <c r="G2442" t="s">
        <v>34</v>
      </c>
      <c r="H2442" t="s">
        <v>1746</v>
      </c>
      <c r="I2442" t="s">
        <v>8800</v>
      </c>
      <c r="J2442" t="s">
        <v>38</v>
      </c>
      <c r="K2442" t="s">
        <v>37</v>
      </c>
      <c r="L2442" t="s">
        <v>39</v>
      </c>
      <c r="M2442" t="s">
        <v>37</v>
      </c>
      <c r="N2442" t="s">
        <v>37</v>
      </c>
      <c r="O2442" t="s">
        <v>39</v>
      </c>
      <c r="P2442" t="s">
        <v>38</v>
      </c>
      <c r="Q2442" t="s">
        <v>37</v>
      </c>
      <c r="R2442" t="s">
        <v>40</v>
      </c>
      <c r="S2442" t="s">
        <v>41</v>
      </c>
      <c r="T2442" t="s">
        <v>8083</v>
      </c>
      <c r="U2442" t="s">
        <v>8084</v>
      </c>
      <c r="V2442" t="s">
        <v>8002</v>
      </c>
      <c r="W2442" t="s">
        <v>8085</v>
      </c>
      <c r="X2442" t="s">
        <v>46</v>
      </c>
      <c r="AC2442">
        <f>COUNTIF(C:C,QLKV_gui_ket_qua_ra_soat[[#This Row],[Mã điểm bán]])</f>
        <v>1</v>
      </c>
    </row>
    <row r="2443" spans="1:29" x14ac:dyDescent="0.45">
      <c r="A2443" t="s">
        <v>7995</v>
      </c>
      <c r="B2443">
        <v>236</v>
      </c>
      <c r="C2443" t="s">
        <v>8801</v>
      </c>
      <c r="D2443" t="s">
        <v>8802</v>
      </c>
      <c r="E2443" t="s">
        <v>455</v>
      </c>
      <c r="F2443" t="s">
        <v>417</v>
      </c>
      <c r="G2443" t="s">
        <v>34</v>
      </c>
      <c r="H2443" t="s">
        <v>1715</v>
      </c>
      <c r="I2443" t="s">
        <v>8803</v>
      </c>
      <c r="J2443" t="s">
        <v>38</v>
      </c>
      <c r="K2443" t="s">
        <v>38</v>
      </c>
      <c r="L2443" t="s">
        <v>40</v>
      </c>
      <c r="M2443" t="s">
        <v>37</v>
      </c>
      <c r="N2443" t="s">
        <v>37</v>
      </c>
      <c r="O2443" t="s">
        <v>39</v>
      </c>
      <c r="P2443" t="s">
        <v>38</v>
      </c>
      <c r="Q2443" t="s">
        <v>38</v>
      </c>
      <c r="R2443" t="s">
        <v>40</v>
      </c>
      <c r="S2443" t="s">
        <v>627</v>
      </c>
      <c r="T2443" t="s">
        <v>8196</v>
      </c>
      <c r="U2443" t="s">
        <v>8001</v>
      </c>
      <c r="V2443" t="s">
        <v>8002</v>
      </c>
      <c r="W2443" t="s">
        <v>8003</v>
      </c>
      <c r="X2443" t="s">
        <v>46</v>
      </c>
      <c r="AC2443">
        <f>COUNTIF(C:C,QLKV_gui_ket_qua_ra_soat[[#This Row],[Mã điểm bán]])</f>
        <v>1</v>
      </c>
    </row>
    <row r="2444" spans="1:29" x14ac:dyDescent="0.45">
      <c r="A2444" t="s">
        <v>7995</v>
      </c>
      <c r="B2444">
        <v>237</v>
      </c>
      <c r="C2444" t="s">
        <v>8804</v>
      </c>
      <c r="D2444" t="s">
        <v>8805</v>
      </c>
      <c r="E2444" t="s">
        <v>91</v>
      </c>
      <c r="F2444" t="s">
        <v>401</v>
      </c>
      <c r="G2444" t="s">
        <v>34</v>
      </c>
      <c r="H2444" t="s">
        <v>192</v>
      </c>
      <c r="I2444" t="s">
        <v>8674</v>
      </c>
      <c r="J2444" t="s">
        <v>38</v>
      </c>
      <c r="K2444" t="s">
        <v>38</v>
      </c>
      <c r="L2444" t="s">
        <v>40</v>
      </c>
      <c r="M2444" t="s">
        <v>37</v>
      </c>
      <c r="N2444" t="s">
        <v>37</v>
      </c>
      <c r="O2444" t="s">
        <v>39</v>
      </c>
      <c r="P2444" t="s">
        <v>38</v>
      </c>
      <c r="Q2444" t="s">
        <v>38</v>
      </c>
      <c r="R2444" t="s">
        <v>40</v>
      </c>
      <c r="S2444" t="s">
        <v>627</v>
      </c>
      <c r="T2444" t="s">
        <v>8196</v>
      </c>
      <c r="U2444" t="s">
        <v>8001</v>
      </c>
      <c r="V2444" t="s">
        <v>8002</v>
      </c>
      <c r="W2444" t="s">
        <v>8003</v>
      </c>
      <c r="X2444" t="s">
        <v>46</v>
      </c>
      <c r="AC2444">
        <f>COUNTIF(C:C,QLKV_gui_ket_qua_ra_soat[[#This Row],[Mã điểm bán]])</f>
        <v>1</v>
      </c>
    </row>
    <row r="2445" spans="1:29" x14ac:dyDescent="0.45">
      <c r="A2445" t="s">
        <v>7995</v>
      </c>
      <c r="B2445">
        <v>238</v>
      </c>
      <c r="C2445" t="s">
        <v>8806</v>
      </c>
      <c r="D2445" t="s">
        <v>8807</v>
      </c>
      <c r="E2445" t="s">
        <v>2379</v>
      </c>
      <c r="F2445" t="s">
        <v>166</v>
      </c>
      <c r="G2445" t="s">
        <v>34</v>
      </c>
      <c r="H2445" t="s">
        <v>1280</v>
      </c>
      <c r="I2445" t="s">
        <v>8808</v>
      </c>
      <c r="J2445" t="s">
        <v>38</v>
      </c>
      <c r="K2445" t="s">
        <v>38</v>
      </c>
      <c r="L2445" t="s">
        <v>40</v>
      </c>
      <c r="M2445" t="s">
        <v>38</v>
      </c>
      <c r="N2445" t="s">
        <v>775</v>
      </c>
      <c r="O2445" t="s">
        <v>39</v>
      </c>
      <c r="P2445" t="s">
        <v>38</v>
      </c>
      <c r="Q2445" t="s">
        <v>38</v>
      </c>
      <c r="R2445" t="s">
        <v>40</v>
      </c>
      <c r="S2445" t="s">
        <v>8809</v>
      </c>
      <c r="T2445" t="s">
        <v>8008</v>
      </c>
      <c r="U2445" t="s">
        <v>8009</v>
      </c>
      <c r="V2445" t="s">
        <v>8002</v>
      </c>
      <c r="W2445" t="s">
        <v>8010</v>
      </c>
      <c r="X2445" t="s">
        <v>46</v>
      </c>
      <c r="AC2445">
        <f>COUNTIF(C:C,QLKV_gui_ket_qua_ra_soat[[#This Row],[Mã điểm bán]])</f>
        <v>1</v>
      </c>
    </row>
    <row r="2446" spans="1:29" x14ac:dyDescent="0.45">
      <c r="A2446" t="s">
        <v>7995</v>
      </c>
      <c r="B2446">
        <v>239</v>
      </c>
      <c r="C2446" t="s">
        <v>8810</v>
      </c>
      <c r="D2446" t="s">
        <v>8811</v>
      </c>
      <c r="E2446" t="s">
        <v>108</v>
      </c>
      <c r="F2446" t="s">
        <v>53</v>
      </c>
      <c r="G2446" t="s">
        <v>34</v>
      </c>
      <c r="H2446" t="s">
        <v>54</v>
      </c>
      <c r="I2446" t="s">
        <v>8812</v>
      </c>
      <c r="J2446" t="s">
        <v>37</v>
      </c>
      <c r="K2446" t="s">
        <v>37</v>
      </c>
      <c r="L2446" t="s">
        <v>40</v>
      </c>
      <c r="M2446" t="s">
        <v>37</v>
      </c>
      <c r="N2446" t="s">
        <v>37</v>
      </c>
      <c r="O2446" t="s">
        <v>40</v>
      </c>
      <c r="P2446" t="s">
        <v>37</v>
      </c>
      <c r="Q2446" t="s">
        <v>37</v>
      </c>
      <c r="R2446" t="s">
        <v>40</v>
      </c>
      <c r="S2446" t="s">
        <v>4783</v>
      </c>
      <c r="T2446" t="s">
        <v>8000</v>
      </c>
      <c r="U2446" t="s">
        <v>8001</v>
      </c>
      <c r="V2446" t="s">
        <v>8002</v>
      </c>
      <c r="W2446" t="s">
        <v>8003</v>
      </c>
      <c r="Z2446" t="s">
        <v>46</v>
      </c>
      <c r="AA2446" t="s">
        <v>8000</v>
      </c>
      <c r="AC2446">
        <f>COUNTIF(C:C,QLKV_gui_ket_qua_ra_soat[[#This Row],[Mã điểm bán]])</f>
        <v>1</v>
      </c>
    </row>
    <row r="2447" spans="1:29" x14ac:dyDescent="0.45">
      <c r="A2447" t="s">
        <v>7995</v>
      </c>
      <c r="B2447">
        <v>240</v>
      </c>
      <c r="C2447" t="s">
        <v>8813</v>
      </c>
      <c r="D2447" t="s">
        <v>8814</v>
      </c>
      <c r="E2447" t="s">
        <v>291</v>
      </c>
      <c r="F2447" t="s">
        <v>53</v>
      </c>
      <c r="G2447" t="s">
        <v>34</v>
      </c>
      <c r="H2447" t="s">
        <v>697</v>
      </c>
      <c r="I2447" t="s">
        <v>8815</v>
      </c>
      <c r="J2447" t="s">
        <v>38</v>
      </c>
      <c r="K2447" t="s">
        <v>38</v>
      </c>
      <c r="L2447" t="s">
        <v>40</v>
      </c>
      <c r="M2447" t="s">
        <v>38</v>
      </c>
      <c r="N2447" t="s">
        <v>38</v>
      </c>
      <c r="O2447" t="s">
        <v>40</v>
      </c>
      <c r="P2447" t="s">
        <v>38</v>
      </c>
      <c r="Q2447" t="s">
        <v>38</v>
      </c>
      <c r="R2447" t="s">
        <v>40</v>
      </c>
      <c r="S2447" t="s">
        <v>8816</v>
      </c>
      <c r="T2447" t="s">
        <v>8008</v>
      </c>
      <c r="U2447" t="s">
        <v>8009</v>
      </c>
      <c r="V2447" t="s">
        <v>8002</v>
      </c>
      <c r="W2447" t="s">
        <v>8010</v>
      </c>
      <c r="X2447" t="s">
        <v>46</v>
      </c>
      <c r="AC2447">
        <f>COUNTIF(C:C,QLKV_gui_ket_qua_ra_soat[[#This Row],[Mã điểm bán]])</f>
        <v>1</v>
      </c>
    </row>
    <row r="2448" spans="1:29" x14ac:dyDescent="0.45">
      <c r="A2448" t="s">
        <v>7995</v>
      </c>
      <c r="B2448">
        <v>241</v>
      </c>
      <c r="C2448" t="s">
        <v>8817</v>
      </c>
      <c r="D2448" t="s">
        <v>2254</v>
      </c>
      <c r="E2448" t="s">
        <v>8818</v>
      </c>
      <c r="F2448" t="s">
        <v>166</v>
      </c>
      <c r="G2448" t="s">
        <v>34</v>
      </c>
      <c r="H2448" t="s">
        <v>4115</v>
      </c>
      <c r="I2448" t="s">
        <v>8819</v>
      </c>
      <c r="J2448" t="s">
        <v>38</v>
      </c>
      <c r="K2448" t="s">
        <v>38</v>
      </c>
      <c r="L2448" t="s">
        <v>40</v>
      </c>
      <c r="M2448" t="s">
        <v>37</v>
      </c>
      <c r="N2448" t="s">
        <v>37</v>
      </c>
      <c r="O2448" t="s">
        <v>39</v>
      </c>
      <c r="P2448" t="s">
        <v>38</v>
      </c>
      <c r="Q2448" t="s">
        <v>37</v>
      </c>
      <c r="R2448" t="s">
        <v>39</v>
      </c>
      <c r="S2448" t="s">
        <v>41</v>
      </c>
      <c r="T2448" t="s">
        <v>8083</v>
      </c>
      <c r="U2448" t="s">
        <v>8137</v>
      </c>
      <c r="V2448" t="s">
        <v>8002</v>
      </c>
      <c r="W2448" t="s">
        <v>8085</v>
      </c>
      <c r="X2448" t="s">
        <v>46</v>
      </c>
      <c r="AC2448">
        <f>COUNTIF(C:C,QLKV_gui_ket_qua_ra_soat[[#This Row],[Mã điểm bán]])</f>
        <v>1</v>
      </c>
    </row>
    <row r="2449" spans="1:29" x14ac:dyDescent="0.45">
      <c r="A2449" t="s">
        <v>7995</v>
      </c>
      <c r="B2449">
        <v>242</v>
      </c>
      <c r="C2449" t="s">
        <v>8820</v>
      </c>
      <c r="D2449" t="s">
        <v>8821</v>
      </c>
      <c r="E2449" t="s">
        <v>97</v>
      </c>
      <c r="F2449" t="s">
        <v>417</v>
      </c>
      <c r="G2449" t="s">
        <v>34</v>
      </c>
      <c r="H2449" t="s">
        <v>2044</v>
      </c>
      <c r="I2449" t="s">
        <v>8822</v>
      </c>
      <c r="J2449" t="s">
        <v>38</v>
      </c>
      <c r="K2449" t="s">
        <v>38</v>
      </c>
      <c r="L2449" t="s">
        <v>40</v>
      </c>
      <c r="M2449" t="s">
        <v>37</v>
      </c>
      <c r="N2449" t="s">
        <v>37</v>
      </c>
      <c r="O2449" t="s">
        <v>39</v>
      </c>
      <c r="P2449" t="s">
        <v>38</v>
      </c>
      <c r="Q2449" t="s">
        <v>38</v>
      </c>
      <c r="R2449" t="s">
        <v>40</v>
      </c>
      <c r="S2449" t="s">
        <v>627</v>
      </c>
      <c r="T2449" t="s">
        <v>8196</v>
      </c>
      <c r="U2449" t="s">
        <v>8001</v>
      </c>
      <c r="V2449" t="s">
        <v>8002</v>
      </c>
      <c r="W2449" t="s">
        <v>8003</v>
      </c>
      <c r="X2449" t="s">
        <v>46</v>
      </c>
      <c r="AC2449">
        <f>COUNTIF(C:C,QLKV_gui_ket_qua_ra_soat[[#This Row],[Mã điểm bán]])</f>
        <v>1</v>
      </c>
    </row>
    <row r="2450" spans="1:29" x14ac:dyDescent="0.45">
      <c r="A2450" t="s">
        <v>7995</v>
      </c>
      <c r="B2450">
        <v>243</v>
      </c>
      <c r="C2450" t="s">
        <v>8823</v>
      </c>
      <c r="D2450" t="s">
        <v>3740</v>
      </c>
      <c r="E2450" t="s">
        <v>8824</v>
      </c>
      <c r="F2450" t="s">
        <v>53</v>
      </c>
      <c r="G2450" t="s">
        <v>34</v>
      </c>
      <c r="H2450" t="s">
        <v>685</v>
      </c>
      <c r="I2450" t="s">
        <v>8825</v>
      </c>
      <c r="J2450" t="s">
        <v>38</v>
      </c>
      <c r="K2450" t="s">
        <v>38</v>
      </c>
      <c r="L2450" t="s">
        <v>40</v>
      </c>
      <c r="M2450" t="s">
        <v>38</v>
      </c>
      <c r="N2450" t="s">
        <v>38</v>
      </c>
      <c r="O2450" t="s">
        <v>40</v>
      </c>
      <c r="P2450" t="s">
        <v>38</v>
      </c>
      <c r="Q2450" t="s">
        <v>38</v>
      </c>
      <c r="R2450" t="s">
        <v>40</v>
      </c>
      <c r="S2450" t="s">
        <v>8826</v>
      </c>
      <c r="T2450" t="s">
        <v>8008</v>
      </c>
      <c r="U2450" t="s">
        <v>8009</v>
      </c>
      <c r="V2450" t="s">
        <v>8002</v>
      </c>
      <c r="W2450" t="s">
        <v>8010</v>
      </c>
      <c r="X2450" t="s">
        <v>46</v>
      </c>
      <c r="AC2450">
        <f>COUNTIF(C:C,QLKV_gui_ket_qua_ra_soat[[#This Row],[Mã điểm bán]])</f>
        <v>1</v>
      </c>
    </row>
    <row r="2451" spans="1:29" x14ac:dyDescent="0.45">
      <c r="A2451" t="s">
        <v>7995</v>
      </c>
      <c r="B2451">
        <v>244</v>
      </c>
      <c r="C2451" t="s">
        <v>8827</v>
      </c>
      <c r="D2451" t="s">
        <v>8828</v>
      </c>
      <c r="E2451" t="s">
        <v>69</v>
      </c>
      <c r="F2451" t="s">
        <v>53</v>
      </c>
      <c r="G2451" t="s">
        <v>177</v>
      </c>
      <c r="H2451" t="s">
        <v>54</v>
      </c>
      <c r="I2451" t="s">
        <v>8829</v>
      </c>
      <c r="J2451" t="s">
        <v>38</v>
      </c>
      <c r="K2451" t="s">
        <v>38</v>
      </c>
      <c r="L2451" t="s">
        <v>39</v>
      </c>
      <c r="M2451" t="s">
        <v>38</v>
      </c>
      <c r="N2451" t="s">
        <v>38</v>
      </c>
      <c r="O2451" t="s">
        <v>39</v>
      </c>
      <c r="P2451" t="s">
        <v>38</v>
      </c>
      <c r="Q2451" t="s">
        <v>38</v>
      </c>
      <c r="R2451" t="s">
        <v>39</v>
      </c>
      <c r="S2451" t="s">
        <v>8830</v>
      </c>
      <c r="T2451" t="s">
        <v>8038</v>
      </c>
      <c r="U2451" t="s">
        <v>8029</v>
      </c>
      <c r="V2451" t="s">
        <v>8002</v>
      </c>
      <c r="W2451" t="s">
        <v>8030</v>
      </c>
      <c r="AC2451">
        <f>COUNTIF(C:C,QLKV_gui_ket_qua_ra_soat[[#This Row],[Mã điểm bán]])</f>
        <v>1</v>
      </c>
    </row>
    <row r="2452" spans="1:29" x14ac:dyDescent="0.45">
      <c r="A2452" t="s">
        <v>7995</v>
      </c>
      <c r="B2452">
        <v>245</v>
      </c>
      <c r="C2452" t="s">
        <v>8831</v>
      </c>
      <c r="D2452" t="s">
        <v>8832</v>
      </c>
      <c r="E2452" t="s">
        <v>91</v>
      </c>
      <c r="F2452" t="s">
        <v>581</v>
      </c>
      <c r="G2452" t="s">
        <v>34</v>
      </c>
      <c r="H2452" t="s">
        <v>1731</v>
      </c>
      <c r="I2452" t="s">
        <v>8833</v>
      </c>
      <c r="J2452" t="s">
        <v>38</v>
      </c>
      <c r="K2452" t="s">
        <v>38</v>
      </c>
      <c r="L2452" t="s">
        <v>40</v>
      </c>
      <c r="M2452" t="s">
        <v>37</v>
      </c>
      <c r="N2452" t="s">
        <v>37</v>
      </c>
      <c r="O2452" t="s">
        <v>39</v>
      </c>
      <c r="P2452" t="s">
        <v>38</v>
      </c>
      <c r="Q2452" t="s">
        <v>38</v>
      </c>
      <c r="R2452" t="s">
        <v>40</v>
      </c>
      <c r="S2452" t="s">
        <v>627</v>
      </c>
      <c r="T2452" t="s">
        <v>8196</v>
      </c>
      <c r="U2452" t="s">
        <v>8001</v>
      </c>
      <c r="V2452" t="s">
        <v>8002</v>
      </c>
      <c r="W2452" t="s">
        <v>8003</v>
      </c>
      <c r="X2452" t="s">
        <v>46</v>
      </c>
      <c r="AC2452">
        <f>COUNTIF(C:C,QLKV_gui_ket_qua_ra_soat[[#This Row],[Mã điểm bán]])</f>
        <v>1</v>
      </c>
    </row>
    <row r="2453" spans="1:29" x14ac:dyDescent="0.45">
      <c r="A2453" t="s">
        <v>7995</v>
      </c>
      <c r="B2453">
        <v>246</v>
      </c>
      <c r="C2453" t="s">
        <v>8834</v>
      </c>
      <c r="D2453" t="s">
        <v>8835</v>
      </c>
      <c r="E2453" t="s">
        <v>1803</v>
      </c>
      <c r="F2453" t="s">
        <v>53</v>
      </c>
      <c r="G2453" t="s">
        <v>34</v>
      </c>
      <c r="H2453" t="s">
        <v>697</v>
      </c>
      <c r="I2453" t="s">
        <v>8836</v>
      </c>
      <c r="J2453" t="s">
        <v>38</v>
      </c>
      <c r="K2453" t="s">
        <v>38</v>
      </c>
      <c r="L2453" t="s">
        <v>40</v>
      </c>
      <c r="M2453" t="s">
        <v>38</v>
      </c>
      <c r="N2453" t="s">
        <v>38</v>
      </c>
      <c r="O2453" t="s">
        <v>40</v>
      </c>
      <c r="P2453" t="s">
        <v>38</v>
      </c>
      <c r="Q2453" t="s">
        <v>38</v>
      </c>
      <c r="R2453" t="s">
        <v>40</v>
      </c>
      <c r="S2453" t="s">
        <v>41</v>
      </c>
      <c r="T2453" t="s">
        <v>8136</v>
      </c>
      <c r="U2453" t="s">
        <v>8137</v>
      </c>
      <c r="V2453" t="s">
        <v>8002</v>
      </c>
      <c r="W2453" t="s">
        <v>8085</v>
      </c>
      <c r="X2453" t="s">
        <v>46</v>
      </c>
      <c r="AC2453">
        <f>COUNTIF(C:C,QLKV_gui_ket_qua_ra_soat[[#This Row],[Mã điểm bán]])</f>
        <v>1</v>
      </c>
    </row>
    <row r="2454" spans="1:29" x14ac:dyDescent="0.45">
      <c r="A2454" t="s">
        <v>7995</v>
      </c>
      <c r="B2454">
        <v>247</v>
      </c>
      <c r="C2454" t="s">
        <v>8837</v>
      </c>
      <c r="D2454" t="s">
        <v>8838</v>
      </c>
      <c r="E2454" t="s">
        <v>529</v>
      </c>
      <c r="F2454" t="s">
        <v>53</v>
      </c>
      <c r="G2454" t="s">
        <v>34</v>
      </c>
      <c r="H2454" t="s">
        <v>54</v>
      </c>
      <c r="I2454" t="s">
        <v>8839</v>
      </c>
      <c r="J2454" t="s">
        <v>37</v>
      </c>
      <c r="K2454" t="s">
        <v>37</v>
      </c>
      <c r="L2454" t="s">
        <v>40</v>
      </c>
      <c r="M2454" t="s">
        <v>37</v>
      </c>
      <c r="N2454" t="s">
        <v>37</v>
      </c>
      <c r="O2454" t="s">
        <v>40</v>
      </c>
      <c r="P2454" t="s">
        <v>37</v>
      </c>
      <c r="Q2454" t="s">
        <v>37</v>
      </c>
      <c r="R2454" t="s">
        <v>40</v>
      </c>
      <c r="S2454" t="s">
        <v>8840</v>
      </c>
      <c r="T2454" t="s">
        <v>8000</v>
      </c>
      <c r="U2454" t="s">
        <v>8001</v>
      </c>
      <c r="V2454" t="s">
        <v>8002</v>
      </c>
      <c r="W2454" t="s">
        <v>8003</v>
      </c>
      <c r="Z2454" t="s">
        <v>46</v>
      </c>
      <c r="AA2454" t="s">
        <v>8000</v>
      </c>
      <c r="AC2454">
        <f>COUNTIF(C:C,QLKV_gui_ket_qua_ra_soat[[#This Row],[Mã điểm bán]])</f>
        <v>1</v>
      </c>
    </row>
    <row r="2455" spans="1:29" x14ac:dyDescent="0.45">
      <c r="A2455" t="s">
        <v>7995</v>
      </c>
      <c r="B2455">
        <v>248</v>
      </c>
      <c r="C2455" t="s">
        <v>8841</v>
      </c>
      <c r="D2455" t="s">
        <v>8842</v>
      </c>
      <c r="E2455" t="s">
        <v>304</v>
      </c>
      <c r="F2455" t="s">
        <v>53</v>
      </c>
      <c r="G2455" t="s">
        <v>177</v>
      </c>
      <c r="H2455" t="s">
        <v>54</v>
      </c>
      <c r="I2455" t="s">
        <v>4597</v>
      </c>
      <c r="J2455" t="s">
        <v>37</v>
      </c>
      <c r="K2455" t="s">
        <v>37</v>
      </c>
      <c r="L2455" t="s">
        <v>40</v>
      </c>
      <c r="M2455" t="s">
        <v>37</v>
      </c>
      <c r="N2455" t="s">
        <v>37</v>
      </c>
      <c r="O2455" t="s">
        <v>40</v>
      </c>
      <c r="P2455" t="s">
        <v>37</v>
      </c>
      <c r="Q2455" t="s">
        <v>37</v>
      </c>
      <c r="R2455" t="s">
        <v>40</v>
      </c>
      <c r="S2455" t="s">
        <v>41</v>
      </c>
      <c r="T2455" t="s">
        <v>8000</v>
      </c>
      <c r="U2455" t="s">
        <v>8001</v>
      </c>
      <c r="V2455" t="s">
        <v>8002</v>
      </c>
      <c r="W2455" t="s">
        <v>8003</v>
      </c>
      <c r="Z2455" t="s">
        <v>46</v>
      </c>
      <c r="AA2455" t="s">
        <v>8000</v>
      </c>
      <c r="AC2455">
        <f>COUNTIF(C:C,QLKV_gui_ket_qua_ra_soat[[#This Row],[Mã điểm bán]])</f>
        <v>1</v>
      </c>
    </row>
    <row r="2456" spans="1:29" x14ac:dyDescent="0.45">
      <c r="A2456" t="s">
        <v>7995</v>
      </c>
      <c r="B2456">
        <v>249</v>
      </c>
      <c r="C2456" t="s">
        <v>8843</v>
      </c>
      <c r="D2456" t="s">
        <v>8844</v>
      </c>
      <c r="E2456" t="s">
        <v>1797</v>
      </c>
      <c r="F2456" t="s">
        <v>2784</v>
      </c>
      <c r="G2456" t="s">
        <v>34</v>
      </c>
      <c r="H2456" t="s">
        <v>8400</v>
      </c>
      <c r="I2456" t="s">
        <v>8845</v>
      </c>
      <c r="J2456" t="s">
        <v>775</v>
      </c>
      <c r="K2456" t="s">
        <v>775</v>
      </c>
      <c r="L2456" t="s">
        <v>39</v>
      </c>
      <c r="M2456" t="s">
        <v>56</v>
      </c>
      <c r="N2456" t="s">
        <v>775</v>
      </c>
      <c r="O2456" t="s">
        <v>39</v>
      </c>
      <c r="P2456" t="s">
        <v>775</v>
      </c>
      <c r="Q2456" t="s">
        <v>775</v>
      </c>
      <c r="R2456" t="s">
        <v>39</v>
      </c>
      <c r="S2456" t="s">
        <v>8846</v>
      </c>
      <c r="T2456" t="s">
        <v>8105</v>
      </c>
      <c r="U2456" t="s">
        <v>8016</v>
      </c>
      <c r="V2456" t="s">
        <v>8002</v>
      </c>
      <c r="W2456" t="s">
        <v>8003</v>
      </c>
      <c r="X2456" t="s">
        <v>46</v>
      </c>
      <c r="AC2456">
        <f>COUNTIF(C:C,QLKV_gui_ket_qua_ra_soat[[#This Row],[Mã điểm bán]])</f>
        <v>1</v>
      </c>
    </row>
    <row r="2457" spans="1:29" x14ac:dyDescent="0.45">
      <c r="A2457" t="s">
        <v>7995</v>
      </c>
      <c r="B2457">
        <v>250</v>
      </c>
      <c r="C2457" t="s">
        <v>8847</v>
      </c>
      <c r="D2457" t="s">
        <v>8848</v>
      </c>
      <c r="E2457" t="s">
        <v>176</v>
      </c>
      <c r="F2457" t="s">
        <v>53</v>
      </c>
      <c r="G2457" t="s">
        <v>34</v>
      </c>
      <c r="H2457" t="s">
        <v>54</v>
      </c>
      <c r="I2457" t="s">
        <v>8849</v>
      </c>
      <c r="J2457" t="s">
        <v>38</v>
      </c>
      <c r="K2457" t="s">
        <v>38</v>
      </c>
      <c r="L2457" t="s">
        <v>40</v>
      </c>
      <c r="M2457" t="s">
        <v>38</v>
      </c>
      <c r="N2457" t="s">
        <v>38</v>
      </c>
      <c r="O2457" t="s">
        <v>39</v>
      </c>
      <c r="P2457" t="s">
        <v>38</v>
      </c>
      <c r="Q2457" t="s">
        <v>38</v>
      </c>
      <c r="R2457" t="s">
        <v>39</v>
      </c>
      <c r="S2457" t="s">
        <v>8850</v>
      </c>
      <c r="T2457" t="s">
        <v>8038</v>
      </c>
      <c r="U2457" t="s">
        <v>8029</v>
      </c>
      <c r="V2457" t="s">
        <v>8002</v>
      </c>
      <c r="W2457" t="s">
        <v>8030</v>
      </c>
      <c r="AC2457">
        <f>COUNTIF(C:C,QLKV_gui_ket_qua_ra_soat[[#This Row],[Mã điểm bán]])</f>
        <v>1</v>
      </c>
    </row>
    <row r="2458" spans="1:29" x14ac:dyDescent="0.45">
      <c r="A2458" t="s">
        <v>7995</v>
      </c>
      <c r="B2458">
        <v>251</v>
      </c>
      <c r="C2458" t="s">
        <v>8851</v>
      </c>
      <c r="D2458" t="s">
        <v>8852</v>
      </c>
      <c r="E2458" t="s">
        <v>1129</v>
      </c>
      <c r="F2458" t="s">
        <v>70</v>
      </c>
      <c r="G2458" t="s">
        <v>34</v>
      </c>
      <c r="H2458" t="s">
        <v>457</v>
      </c>
      <c r="I2458" t="s">
        <v>8853</v>
      </c>
      <c r="J2458" t="s">
        <v>38</v>
      </c>
      <c r="K2458" t="s">
        <v>38</v>
      </c>
      <c r="L2458" t="s">
        <v>40</v>
      </c>
      <c r="M2458" t="s">
        <v>38</v>
      </c>
      <c r="N2458" t="s">
        <v>1034</v>
      </c>
      <c r="O2458" t="s">
        <v>121</v>
      </c>
      <c r="P2458" t="s">
        <v>38</v>
      </c>
      <c r="Q2458" t="s">
        <v>38</v>
      </c>
      <c r="R2458" t="s">
        <v>40</v>
      </c>
      <c r="S2458" t="s">
        <v>8854</v>
      </c>
      <c r="T2458" t="s">
        <v>8008</v>
      </c>
      <c r="U2458" t="s">
        <v>8009</v>
      </c>
      <c r="V2458" t="s">
        <v>8002</v>
      </c>
      <c r="W2458" t="s">
        <v>8010</v>
      </c>
      <c r="X2458" t="s">
        <v>46</v>
      </c>
      <c r="AC2458">
        <f>COUNTIF(C:C,QLKV_gui_ket_qua_ra_soat[[#This Row],[Mã điểm bán]])</f>
        <v>1</v>
      </c>
    </row>
    <row r="2459" spans="1:29" x14ac:dyDescent="0.45">
      <c r="A2459" t="s">
        <v>7995</v>
      </c>
      <c r="B2459">
        <v>252</v>
      </c>
      <c r="C2459" t="s">
        <v>8855</v>
      </c>
      <c r="D2459" t="s">
        <v>6011</v>
      </c>
      <c r="E2459" t="s">
        <v>416</v>
      </c>
      <c r="F2459" t="s">
        <v>696</v>
      </c>
      <c r="G2459" t="s">
        <v>34</v>
      </c>
      <c r="H2459" t="s">
        <v>54</v>
      </c>
      <c r="I2459" t="s">
        <v>8856</v>
      </c>
      <c r="J2459" t="s">
        <v>38</v>
      </c>
      <c r="K2459" t="s">
        <v>38</v>
      </c>
      <c r="L2459" t="s">
        <v>39</v>
      </c>
      <c r="M2459" t="s">
        <v>38</v>
      </c>
      <c r="N2459" t="s">
        <v>38</v>
      </c>
      <c r="O2459" t="s">
        <v>39</v>
      </c>
      <c r="P2459" t="s">
        <v>38</v>
      </c>
      <c r="Q2459" t="s">
        <v>38</v>
      </c>
      <c r="R2459" t="s">
        <v>39</v>
      </c>
      <c r="S2459" t="s">
        <v>8857</v>
      </c>
      <c r="T2459" t="s">
        <v>8038</v>
      </c>
      <c r="U2459" t="s">
        <v>8029</v>
      </c>
      <c r="V2459" t="s">
        <v>8002</v>
      </c>
      <c r="W2459" t="s">
        <v>8030</v>
      </c>
      <c r="AC2459">
        <f>COUNTIF(C:C,QLKV_gui_ket_qua_ra_soat[[#This Row],[Mã điểm bán]])</f>
        <v>1</v>
      </c>
    </row>
    <row r="2460" spans="1:29" x14ac:dyDescent="0.45">
      <c r="A2460" t="s">
        <v>7995</v>
      </c>
      <c r="B2460">
        <v>253</v>
      </c>
      <c r="C2460" t="s">
        <v>8858</v>
      </c>
      <c r="D2460" t="s">
        <v>8859</v>
      </c>
      <c r="E2460" t="s">
        <v>98</v>
      </c>
      <c r="F2460" t="s">
        <v>115</v>
      </c>
      <c r="G2460" t="s">
        <v>34</v>
      </c>
      <c r="H2460" t="s">
        <v>319</v>
      </c>
      <c r="I2460" t="s">
        <v>8860</v>
      </c>
      <c r="J2460" t="s">
        <v>38</v>
      </c>
      <c r="K2460" t="s">
        <v>38</v>
      </c>
      <c r="L2460" t="s">
        <v>40</v>
      </c>
      <c r="M2460" t="s">
        <v>38</v>
      </c>
      <c r="N2460" t="s">
        <v>775</v>
      </c>
      <c r="O2460" t="s">
        <v>39</v>
      </c>
      <c r="P2460" t="s">
        <v>38</v>
      </c>
      <c r="Q2460" t="s">
        <v>38</v>
      </c>
      <c r="R2460" t="s">
        <v>40</v>
      </c>
      <c r="S2460" t="s">
        <v>8861</v>
      </c>
      <c r="T2460" t="s">
        <v>8008</v>
      </c>
      <c r="U2460" t="s">
        <v>8009</v>
      </c>
      <c r="V2460" t="s">
        <v>8002</v>
      </c>
      <c r="W2460" t="s">
        <v>8010</v>
      </c>
      <c r="X2460" t="s">
        <v>46</v>
      </c>
      <c r="AC2460">
        <f>COUNTIF(C:C,QLKV_gui_ket_qua_ra_soat[[#This Row],[Mã điểm bán]])</f>
        <v>1</v>
      </c>
    </row>
    <row r="2461" spans="1:29" x14ac:dyDescent="0.45">
      <c r="A2461" t="s">
        <v>7995</v>
      </c>
      <c r="B2461">
        <v>254</v>
      </c>
      <c r="C2461" t="s">
        <v>8862</v>
      </c>
      <c r="D2461" t="s">
        <v>8863</v>
      </c>
      <c r="E2461" t="s">
        <v>212</v>
      </c>
      <c r="F2461" t="s">
        <v>1573</v>
      </c>
      <c r="G2461" t="s">
        <v>34</v>
      </c>
      <c r="H2461" t="s">
        <v>4797</v>
      </c>
      <c r="I2461" t="s">
        <v>8864</v>
      </c>
      <c r="J2461" t="s">
        <v>56</v>
      </c>
      <c r="K2461" t="s">
        <v>56</v>
      </c>
      <c r="L2461" t="s">
        <v>39</v>
      </c>
      <c r="M2461" t="s">
        <v>56</v>
      </c>
      <c r="N2461" t="s">
        <v>56</v>
      </c>
      <c r="O2461" t="s">
        <v>39</v>
      </c>
      <c r="P2461" t="s">
        <v>37</v>
      </c>
      <c r="Q2461" t="s">
        <v>37</v>
      </c>
      <c r="R2461" t="s">
        <v>39</v>
      </c>
      <c r="S2461" t="s">
        <v>8695</v>
      </c>
      <c r="T2461" t="s">
        <v>8238</v>
      </c>
      <c r="U2461" t="s">
        <v>8239</v>
      </c>
      <c r="V2461" t="s">
        <v>8002</v>
      </c>
      <c r="W2461" t="s">
        <v>8010</v>
      </c>
      <c r="X2461" t="s">
        <v>46</v>
      </c>
      <c r="AC2461">
        <f>COUNTIF(C:C,QLKV_gui_ket_qua_ra_soat[[#This Row],[Mã điểm bán]])</f>
        <v>1</v>
      </c>
    </row>
    <row r="2462" spans="1:29" x14ac:dyDescent="0.45">
      <c r="A2462" t="s">
        <v>7995</v>
      </c>
      <c r="B2462">
        <v>255</v>
      </c>
      <c r="C2462" t="s">
        <v>8865</v>
      </c>
      <c r="D2462" t="s">
        <v>8866</v>
      </c>
      <c r="E2462" t="s">
        <v>108</v>
      </c>
      <c r="F2462" t="s">
        <v>53</v>
      </c>
      <c r="G2462" t="s">
        <v>34</v>
      </c>
      <c r="H2462" t="s">
        <v>54</v>
      </c>
      <c r="I2462" t="s">
        <v>8867</v>
      </c>
      <c r="J2462" t="s">
        <v>37</v>
      </c>
      <c r="K2462" t="s">
        <v>37</v>
      </c>
      <c r="L2462" t="s">
        <v>40</v>
      </c>
      <c r="M2462" t="s">
        <v>37</v>
      </c>
      <c r="N2462" t="s">
        <v>37</v>
      </c>
      <c r="O2462" t="s">
        <v>40</v>
      </c>
      <c r="P2462" t="s">
        <v>37</v>
      </c>
      <c r="Q2462" t="s">
        <v>37</v>
      </c>
      <c r="R2462" t="s">
        <v>40</v>
      </c>
      <c r="S2462" t="s">
        <v>4783</v>
      </c>
      <c r="T2462" t="s">
        <v>8000</v>
      </c>
      <c r="U2462" t="s">
        <v>8001</v>
      </c>
      <c r="V2462" t="s">
        <v>8002</v>
      </c>
      <c r="W2462" t="s">
        <v>8003</v>
      </c>
      <c r="Z2462" t="s">
        <v>46</v>
      </c>
      <c r="AA2462" t="s">
        <v>8000</v>
      </c>
      <c r="AC2462">
        <f>COUNTIF(C:C,QLKV_gui_ket_qua_ra_soat[[#This Row],[Mã điểm bán]])</f>
        <v>1</v>
      </c>
    </row>
    <row r="2463" spans="1:29" x14ac:dyDescent="0.45">
      <c r="A2463" t="s">
        <v>7995</v>
      </c>
      <c r="B2463">
        <v>256</v>
      </c>
      <c r="C2463" t="s">
        <v>8868</v>
      </c>
      <c r="D2463" t="s">
        <v>8869</v>
      </c>
      <c r="E2463" t="s">
        <v>416</v>
      </c>
      <c r="F2463" t="s">
        <v>53</v>
      </c>
      <c r="G2463" t="s">
        <v>34</v>
      </c>
      <c r="H2463" t="s">
        <v>685</v>
      </c>
      <c r="I2463" t="s">
        <v>722</v>
      </c>
      <c r="J2463" t="s">
        <v>38</v>
      </c>
      <c r="K2463" t="s">
        <v>38</v>
      </c>
      <c r="L2463" t="s">
        <v>40</v>
      </c>
      <c r="M2463" t="s">
        <v>38</v>
      </c>
      <c r="N2463" t="s">
        <v>38</v>
      </c>
      <c r="O2463" t="s">
        <v>40</v>
      </c>
      <c r="P2463" t="s">
        <v>38</v>
      </c>
      <c r="Q2463" t="s">
        <v>38</v>
      </c>
      <c r="R2463" t="s">
        <v>40</v>
      </c>
      <c r="S2463" t="s">
        <v>8295</v>
      </c>
      <c r="T2463" t="s">
        <v>8008</v>
      </c>
      <c r="U2463" t="s">
        <v>8009</v>
      </c>
      <c r="V2463" t="s">
        <v>8002</v>
      </c>
      <c r="W2463" t="s">
        <v>8010</v>
      </c>
      <c r="X2463" t="s">
        <v>46</v>
      </c>
      <c r="AC2463">
        <f>COUNTIF(C:C,QLKV_gui_ket_qua_ra_soat[[#This Row],[Mã điểm bán]])</f>
        <v>1</v>
      </c>
    </row>
    <row r="2464" spans="1:29" x14ac:dyDescent="0.45">
      <c r="A2464" t="s">
        <v>7995</v>
      </c>
      <c r="B2464">
        <v>257</v>
      </c>
      <c r="C2464" t="s">
        <v>8870</v>
      </c>
      <c r="D2464" t="s">
        <v>8871</v>
      </c>
      <c r="E2464" t="s">
        <v>323</v>
      </c>
      <c r="F2464" t="s">
        <v>426</v>
      </c>
      <c r="G2464" t="s">
        <v>34</v>
      </c>
      <c r="H2464" t="s">
        <v>1177</v>
      </c>
      <c r="I2464" t="s">
        <v>8872</v>
      </c>
      <c r="J2464" t="s">
        <v>56</v>
      </c>
      <c r="K2464" t="s">
        <v>56</v>
      </c>
      <c r="L2464" t="s">
        <v>39</v>
      </c>
      <c r="M2464" t="s">
        <v>56</v>
      </c>
      <c r="N2464" t="s">
        <v>56</v>
      </c>
      <c r="O2464" t="s">
        <v>39</v>
      </c>
      <c r="P2464" t="s">
        <v>38</v>
      </c>
      <c r="Q2464" t="s">
        <v>38</v>
      </c>
      <c r="R2464" t="s">
        <v>40</v>
      </c>
      <c r="S2464" t="s">
        <v>8873</v>
      </c>
      <c r="T2464" t="s">
        <v>8238</v>
      </c>
      <c r="U2464" t="s">
        <v>8239</v>
      </c>
      <c r="V2464" t="s">
        <v>8002</v>
      </c>
      <c r="W2464" t="s">
        <v>8010</v>
      </c>
      <c r="X2464" t="s">
        <v>46</v>
      </c>
      <c r="AC2464">
        <f>COUNTIF(C:C,QLKV_gui_ket_qua_ra_soat[[#This Row],[Mã điểm bán]])</f>
        <v>1</v>
      </c>
    </row>
    <row r="2465" spans="1:29" x14ac:dyDescent="0.45">
      <c r="A2465" t="s">
        <v>7995</v>
      </c>
      <c r="B2465">
        <v>258</v>
      </c>
      <c r="C2465" t="s">
        <v>8874</v>
      </c>
      <c r="D2465" t="s">
        <v>8875</v>
      </c>
      <c r="E2465" t="s">
        <v>338</v>
      </c>
      <c r="F2465" t="s">
        <v>115</v>
      </c>
      <c r="G2465" t="s">
        <v>34</v>
      </c>
      <c r="H2465" t="s">
        <v>685</v>
      </c>
      <c r="I2465" t="s">
        <v>8876</v>
      </c>
      <c r="J2465" t="s">
        <v>56</v>
      </c>
      <c r="K2465" t="s">
        <v>56</v>
      </c>
      <c r="L2465" t="s">
        <v>39</v>
      </c>
      <c r="M2465" t="s">
        <v>775</v>
      </c>
      <c r="N2465" t="s">
        <v>775</v>
      </c>
      <c r="O2465" t="s">
        <v>39</v>
      </c>
      <c r="P2465" t="s">
        <v>38</v>
      </c>
      <c r="Q2465" t="s">
        <v>38</v>
      </c>
      <c r="R2465" t="s">
        <v>40</v>
      </c>
      <c r="S2465" t="s">
        <v>8877</v>
      </c>
      <c r="T2465" t="s">
        <v>8238</v>
      </c>
      <c r="U2465" t="s">
        <v>8239</v>
      </c>
      <c r="V2465" t="s">
        <v>8002</v>
      </c>
      <c r="W2465" t="s">
        <v>8010</v>
      </c>
      <c r="X2465" t="s">
        <v>46</v>
      </c>
      <c r="AC2465">
        <f>COUNTIF(C:C,QLKV_gui_ket_qua_ra_soat[[#This Row],[Mã điểm bán]])</f>
        <v>1</v>
      </c>
    </row>
    <row r="2466" spans="1:29" x14ac:dyDescent="0.45">
      <c r="A2466" t="s">
        <v>7995</v>
      </c>
      <c r="B2466">
        <v>259</v>
      </c>
      <c r="C2466" t="s">
        <v>8878</v>
      </c>
      <c r="D2466" t="s">
        <v>8879</v>
      </c>
      <c r="E2466" t="s">
        <v>148</v>
      </c>
      <c r="F2466" t="s">
        <v>401</v>
      </c>
      <c r="G2466" t="s">
        <v>34</v>
      </c>
      <c r="H2466" t="s">
        <v>171</v>
      </c>
      <c r="I2466" t="s">
        <v>8880</v>
      </c>
      <c r="J2466" t="s">
        <v>38</v>
      </c>
      <c r="K2466" t="s">
        <v>38</v>
      </c>
      <c r="L2466" t="s">
        <v>39</v>
      </c>
      <c r="M2466" t="s">
        <v>38</v>
      </c>
      <c r="N2466" t="s">
        <v>38</v>
      </c>
      <c r="O2466" t="s">
        <v>39</v>
      </c>
      <c r="P2466" t="s">
        <v>38</v>
      </c>
      <c r="Q2466" t="s">
        <v>38</v>
      </c>
      <c r="R2466" t="s">
        <v>39</v>
      </c>
      <c r="S2466" t="s">
        <v>41</v>
      </c>
      <c r="T2466" t="s">
        <v>8060</v>
      </c>
      <c r="U2466" t="s">
        <v>8016</v>
      </c>
      <c r="V2466" t="s">
        <v>8002</v>
      </c>
      <c r="W2466" t="s">
        <v>8003</v>
      </c>
      <c r="X2466" t="s">
        <v>46</v>
      </c>
      <c r="AC2466">
        <f>COUNTIF(C:C,QLKV_gui_ket_qua_ra_soat[[#This Row],[Mã điểm bán]])</f>
        <v>1</v>
      </c>
    </row>
    <row r="2467" spans="1:29" x14ac:dyDescent="0.45">
      <c r="A2467" t="s">
        <v>7995</v>
      </c>
      <c r="B2467">
        <v>260</v>
      </c>
      <c r="C2467" t="s">
        <v>8881</v>
      </c>
      <c r="D2467" t="s">
        <v>8882</v>
      </c>
      <c r="E2467" t="s">
        <v>69</v>
      </c>
      <c r="F2467" t="s">
        <v>53</v>
      </c>
      <c r="G2467" t="s">
        <v>34</v>
      </c>
      <c r="H2467" t="s">
        <v>54</v>
      </c>
      <c r="I2467" t="s">
        <v>8883</v>
      </c>
      <c r="J2467" t="s">
        <v>38</v>
      </c>
      <c r="K2467" t="s">
        <v>37</v>
      </c>
      <c r="L2467" t="s">
        <v>39</v>
      </c>
      <c r="M2467" t="s">
        <v>38</v>
      </c>
      <c r="N2467" t="s">
        <v>37</v>
      </c>
      <c r="O2467" t="s">
        <v>39</v>
      </c>
      <c r="P2467" t="s">
        <v>38</v>
      </c>
      <c r="Q2467" t="s">
        <v>37</v>
      </c>
      <c r="R2467" t="s">
        <v>39</v>
      </c>
      <c r="S2467" t="s">
        <v>8191</v>
      </c>
      <c r="T2467" t="s">
        <v>8192</v>
      </c>
      <c r="U2467" t="s">
        <v>8084</v>
      </c>
      <c r="V2467" t="s">
        <v>8002</v>
      </c>
      <c r="W2467" t="s">
        <v>8085</v>
      </c>
      <c r="X2467" t="s">
        <v>46</v>
      </c>
      <c r="AC2467">
        <f>COUNTIF(C:C,QLKV_gui_ket_qua_ra_soat[[#This Row],[Mã điểm bán]])</f>
        <v>1</v>
      </c>
    </row>
    <row r="2468" spans="1:29" x14ac:dyDescent="0.45">
      <c r="A2468" t="s">
        <v>7995</v>
      </c>
      <c r="B2468">
        <v>261</v>
      </c>
      <c r="C2468" t="s">
        <v>8884</v>
      </c>
      <c r="D2468" t="s">
        <v>8885</v>
      </c>
      <c r="E2468" t="s">
        <v>109</v>
      </c>
      <c r="F2468" t="s">
        <v>53</v>
      </c>
      <c r="G2468" t="s">
        <v>34</v>
      </c>
      <c r="H2468" t="s">
        <v>1188</v>
      </c>
      <c r="I2468" t="s">
        <v>8886</v>
      </c>
      <c r="J2468" t="s">
        <v>38</v>
      </c>
      <c r="K2468" t="s">
        <v>38</v>
      </c>
      <c r="L2468" t="s">
        <v>40</v>
      </c>
      <c r="M2468" t="s">
        <v>38</v>
      </c>
      <c r="N2468" t="s">
        <v>38</v>
      </c>
      <c r="O2468" t="s">
        <v>40</v>
      </c>
      <c r="P2468" t="s">
        <v>38</v>
      </c>
      <c r="Q2468" t="s">
        <v>38</v>
      </c>
      <c r="R2468" t="s">
        <v>40</v>
      </c>
      <c r="S2468" t="s">
        <v>8295</v>
      </c>
      <c r="T2468" t="s">
        <v>8008</v>
      </c>
      <c r="U2468" t="s">
        <v>8009</v>
      </c>
      <c r="V2468" t="s">
        <v>8002</v>
      </c>
      <c r="W2468" t="s">
        <v>8010</v>
      </c>
      <c r="Z2468" t="s">
        <v>46</v>
      </c>
      <c r="AA2468" t="s">
        <v>8008</v>
      </c>
      <c r="AC2468">
        <f>COUNTIF(C:C,QLKV_gui_ket_qua_ra_soat[[#This Row],[Mã điểm bán]])</f>
        <v>1</v>
      </c>
    </row>
    <row r="2469" spans="1:29" x14ac:dyDescent="0.45">
      <c r="A2469" t="s">
        <v>7995</v>
      </c>
      <c r="B2469">
        <v>262</v>
      </c>
      <c r="C2469" t="s">
        <v>8887</v>
      </c>
      <c r="D2469" t="s">
        <v>8888</v>
      </c>
      <c r="E2469" t="s">
        <v>206</v>
      </c>
      <c r="F2469" t="s">
        <v>8889</v>
      </c>
      <c r="G2469" t="s">
        <v>34</v>
      </c>
      <c r="H2469" t="s">
        <v>1188</v>
      </c>
      <c r="I2469" t="s">
        <v>8890</v>
      </c>
      <c r="J2469" t="s">
        <v>38</v>
      </c>
      <c r="K2469" t="s">
        <v>38</v>
      </c>
      <c r="L2469" t="s">
        <v>40</v>
      </c>
      <c r="M2469" t="s">
        <v>37</v>
      </c>
      <c r="N2469" t="s">
        <v>37</v>
      </c>
      <c r="O2469" t="s">
        <v>39</v>
      </c>
      <c r="P2469" t="s">
        <v>38</v>
      </c>
      <c r="Q2469" t="s">
        <v>38</v>
      </c>
      <c r="R2469" t="s">
        <v>40</v>
      </c>
      <c r="S2469" t="s">
        <v>627</v>
      </c>
      <c r="T2469" t="s">
        <v>8196</v>
      </c>
      <c r="U2469" t="s">
        <v>8001</v>
      </c>
      <c r="V2469" t="s">
        <v>8002</v>
      </c>
      <c r="W2469" t="s">
        <v>8003</v>
      </c>
      <c r="X2469" t="s">
        <v>46</v>
      </c>
      <c r="AC2469">
        <f>COUNTIF(C:C,QLKV_gui_ket_qua_ra_soat[[#This Row],[Mã điểm bán]])</f>
        <v>1</v>
      </c>
    </row>
    <row r="2470" spans="1:29" x14ac:dyDescent="0.45">
      <c r="A2470" t="s">
        <v>7995</v>
      </c>
      <c r="B2470">
        <v>263</v>
      </c>
      <c r="C2470" t="s">
        <v>8891</v>
      </c>
      <c r="D2470" t="s">
        <v>8892</v>
      </c>
      <c r="E2470" t="s">
        <v>416</v>
      </c>
      <c r="F2470" t="s">
        <v>53</v>
      </c>
      <c r="G2470" t="s">
        <v>34</v>
      </c>
      <c r="H2470" t="s">
        <v>54</v>
      </c>
      <c r="I2470" t="s">
        <v>8893</v>
      </c>
      <c r="J2470" t="s">
        <v>38</v>
      </c>
      <c r="K2470" t="s">
        <v>37</v>
      </c>
      <c r="L2470" t="s">
        <v>40</v>
      </c>
      <c r="M2470" t="s">
        <v>38</v>
      </c>
      <c r="N2470" t="s">
        <v>775</v>
      </c>
      <c r="O2470" t="s">
        <v>39</v>
      </c>
      <c r="P2470" t="s">
        <v>38</v>
      </c>
      <c r="Q2470" t="s">
        <v>38</v>
      </c>
      <c r="R2470" t="s">
        <v>40</v>
      </c>
      <c r="S2470" t="s">
        <v>8894</v>
      </c>
      <c r="T2470" t="s">
        <v>8038</v>
      </c>
      <c r="U2470" t="s">
        <v>8029</v>
      </c>
      <c r="V2470" t="s">
        <v>8002</v>
      </c>
      <c r="W2470" t="s">
        <v>8030</v>
      </c>
      <c r="AC2470">
        <f>COUNTIF(C:C,QLKV_gui_ket_qua_ra_soat[[#This Row],[Mã điểm bán]])</f>
        <v>1</v>
      </c>
    </row>
    <row r="2471" spans="1:29" x14ac:dyDescent="0.45">
      <c r="A2471" t="s">
        <v>7995</v>
      </c>
      <c r="B2471">
        <v>264</v>
      </c>
      <c r="C2471" t="s">
        <v>8895</v>
      </c>
      <c r="D2471" t="s">
        <v>8896</v>
      </c>
      <c r="E2471" t="s">
        <v>330</v>
      </c>
      <c r="F2471" t="s">
        <v>166</v>
      </c>
      <c r="G2471" t="s">
        <v>34</v>
      </c>
      <c r="H2471" t="s">
        <v>1052</v>
      </c>
      <c r="I2471" t="s">
        <v>8897</v>
      </c>
      <c r="J2471" t="s">
        <v>38</v>
      </c>
      <c r="K2471" t="s">
        <v>38</v>
      </c>
      <c r="L2471" t="s">
        <v>40</v>
      </c>
      <c r="M2471" t="s">
        <v>37</v>
      </c>
      <c r="N2471" t="s">
        <v>37</v>
      </c>
      <c r="O2471" t="s">
        <v>40</v>
      </c>
      <c r="P2471" t="s">
        <v>38</v>
      </c>
      <c r="Q2471" t="s">
        <v>38</v>
      </c>
      <c r="R2471" t="s">
        <v>39</v>
      </c>
      <c r="S2471" t="s">
        <v>41</v>
      </c>
      <c r="T2471" t="s">
        <v>8136</v>
      </c>
      <c r="U2471" t="s">
        <v>8137</v>
      </c>
      <c r="V2471" t="s">
        <v>8002</v>
      </c>
      <c r="W2471" t="s">
        <v>8085</v>
      </c>
      <c r="X2471" t="s">
        <v>46</v>
      </c>
      <c r="AC2471">
        <f>COUNTIF(C:C,QLKV_gui_ket_qua_ra_soat[[#This Row],[Mã điểm bán]])</f>
        <v>1</v>
      </c>
    </row>
    <row r="2472" spans="1:29" x14ac:dyDescent="0.45">
      <c r="A2472" t="s">
        <v>7995</v>
      </c>
      <c r="B2472">
        <v>265</v>
      </c>
      <c r="C2472" t="s">
        <v>8898</v>
      </c>
      <c r="D2472" t="s">
        <v>8899</v>
      </c>
      <c r="E2472" t="s">
        <v>2563</v>
      </c>
      <c r="F2472" t="s">
        <v>401</v>
      </c>
      <c r="G2472" t="s">
        <v>34</v>
      </c>
      <c r="H2472" t="s">
        <v>319</v>
      </c>
      <c r="I2472" t="s">
        <v>8420</v>
      </c>
      <c r="J2472" t="s">
        <v>37</v>
      </c>
      <c r="K2472" t="s">
        <v>37</v>
      </c>
      <c r="L2472" t="s">
        <v>39</v>
      </c>
      <c r="M2472" t="s">
        <v>56</v>
      </c>
      <c r="N2472" t="s">
        <v>56</v>
      </c>
      <c r="O2472" t="s">
        <v>39</v>
      </c>
      <c r="P2472" t="s">
        <v>38</v>
      </c>
      <c r="Q2472" t="s">
        <v>38</v>
      </c>
      <c r="R2472" t="s">
        <v>39</v>
      </c>
      <c r="S2472" t="s">
        <v>8900</v>
      </c>
      <c r="T2472" t="s">
        <v>8238</v>
      </c>
      <c r="U2472" t="s">
        <v>8239</v>
      </c>
      <c r="V2472" t="s">
        <v>8002</v>
      </c>
      <c r="W2472" t="s">
        <v>8010</v>
      </c>
      <c r="X2472" t="s">
        <v>46</v>
      </c>
      <c r="AC2472">
        <f>COUNTIF(C:C,QLKV_gui_ket_qua_ra_soat[[#This Row],[Mã điểm bán]])</f>
        <v>1</v>
      </c>
    </row>
    <row r="2473" spans="1:29" x14ac:dyDescent="0.45">
      <c r="A2473" t="s">
        <v>7995</v>
      </c>
      <c r="B2473">
        <v>266</v>
      </c>
      <c r="C2473" t="s">
        <v>8901</v>
      </c>
      <c r="D2473" t="s">
        <v>8902</v>
      </c>
      <c r="E2473" t="s">
        <v>291</v>
      </c>
      <c r="F2473" t="s">
        <v>115</v>
      </c>
      <c r="G2473" t="s">
        <v>34</v>
      </c>
      <c r="H2473" t="s">
        <v>1280</v>
      </c>
      <c r="I2473" t="s">
        <v>8903</v>
      </c>
      <c r="J2473" t="s">
        <v>38</v>
      </c>
      <c r="K2473" t="s">
        <v>38</v>
      </c>
      <c r="L2473" t="s">
        <v>40</v>
      </c>
      <c r="M2473" t="s">
        <v>56</v>
      </c>
      <c r="N2473" t="s">
        <v>56</v>
      </c>
      <c r="O2473" t="s">
        <v>39</v>
      </c>
      <c r="P2473" t="s">
        <v>38</v>
      </c>
      <c r="Q2473" t="s">
        <v>38</v>
      </c>
      <c r="R2473" t="s">
        <v>40</v>
      </c>
      <c r="S2473" t="s">
        <v>8904</v>
      </c>
      <c r="T2473" t="s">
        <v>8008</v>
      </c>
      <c r="U2473" t="s">
        <v>8009</v>
      </c>
      <c r="V2473" t="s">
        <v>8002</v>
      </c>
      <c r="W2473" t="s">
        <v>8010</v>
      </c>
      <c r="X2473" t="s">
        <v>46</v>
      </c>
      <c r="AC2473">
        <f>COUNTIF(C:C,QLKV_gui_ket_qua_ra_soat[[#This Row],[Mã điểm bán]])</f>
        <v>1</v>
      </c>
    </row>
    <row r="2474" spans="1:29" x14ac:dyDescent="0.45">
      <c r="A2474" t="s">
        <v>7995</v>
      </c>
      <c r="B2474">
        <v>267</v>
      </c>
      <c r="C2474" t="s">
        <v>8905</v>
      </c>
      <c r="D2474" t="s">
        <v>8906</v>
      </c>
      <c r="E2474" t="s">
        <v>219</v>
      </c>
      <c r="F2474" t="s">
        <v>581</v>
      </c>
      <c r="G2474" t="s">
        <v>34</v>
      </c>
      <c r="H2474" t="s">
        <v>214</v>
      </c>
      <c r="I2474" t="s">
        <v>8907</v>
      </c>
      <c r="J2474" t="s">
        <v>38</v>
      </c>
      <c r="K2474" t="s">
        <v>38</v>
      </c>
      <c r="L2474" t="s">
        <v>40</v>
      </c>
      <c r="M2474" t="s">
        <v>37</v>
      </c>
      <c r="N2474" t="s">
        <v>37</v>
      </c>
      <c r="O2474" t="s">
        <v>40</v>
      </c>
      <c r="P2474" t="s">
        <v>38</v>
      </c>
      <c r="Q2474" t="s">
        <v>38</v>
      </c>
      <c r="R2474" t="s">
        <v>40</v>
      </c>
      <c r="S2474" t="s">
        <v>627</v>
      </c>
      <c r="T2474" t="s">
        <v>8196</v>
      </c>
      <c r="U2474" t="s">
        <v>8001</v>
      </c>
      <c r="V2474" t="s">
        <v>8002</v>
      </c>
      <c r="W2474" t="s">
        <v>8003</v>
      </c>
      <c r="X2474" t="s">
        <v>46</v>
      </c>
      <c r="AC2474">
        <f>COUNTIF(C:C,QLKV_gui_ket_qua_ra_soat[[#This Row],[Mã điểm bán]])</f>
        <v>1</v>
      </c>
    </row>
    <row r="2475" spans="1:29" x14ac:dyDescent="0.45">
      <c r="A2475" t="s">
        <v>7995</v>
      </c>
      <c r="B2475">
        <v>268</v>
      </c>
      <c r="C2475" t="s">
        <v>8908</v>
      </c>
      <c r="D2475" t="s">
        <v>8909</v>
      </c>
      <c r="E2475" t="s">
        <v>1610</v>
      </c>
      <c r="F2475" t="s">
        <v>6570</v>
      </c>
      <c r="G2475" t="s">
        <v>34</v>
      </c>
      <c r="H2475" t="s">
        <v>319</v>
      </c>
      <c r="I2475" t="s">
        <v>8910</v>
      </c>
      <c r="J2475" t="s">
        <v>38</v>
      </c>
      <c r="K2475" t="s">
        <v>38</v>
      </c>
      <c r="L2475" t="s">
        <v>39</v>
      </c>
      <c r="M2475" t="s">
        <v>38</v>
      </c>
      <c r="N2475" t="s">
        <v>38</v>
      </c>
      <c r="O2475" t="s">
        <v>39</v>
      </c>
      <c r="P2475" t="s">
        <v>38</v>
      </c>
      <c r="Q2475" t="s">
        <v>38</v>
      </c>
      <c r="R2475" t="s">
        <v>39</v>
      </c>
      <c r="S2475" t="s">
        <v>41</v>
      </c>
      <c r="T2475" t="s">
        <v>8060</v>
      </c>
      <c r="U2475" t="s">
        <v>8016</v>
      </c>
      <c r="V2475" t="s">
        <v>8002</v>
      </c>
      <c r="W2475" t="s">
        <v>8003</v>
      </c>
      <c r="X2475" t="s">
        <v>46</v>
      </c>
      <c r="AC2475">
        <f>COUNTIF(C:C,QLKV_gui_ket_qua_ra_soat[[#This Row],[Mã điểm bán]])</f>
        <v>1</v>
      </c>
    </row>
    <row r="2476" spans="1:29" x14ac:dyDescent="0.45">
      <c r="A2476" t="s">
        <v>7995</v>
      </c>
      <c r="B2476">
        <v>269</v>
      </c>
      <c r="C2476" t="s">
        <v>8911</v>
      </c>
      <c r="D2476" t="s">
        <v>8912</v>
      </c>
      <c r="E2476" t="s">
        <v>499</v>
      </c>
      <c r="F2476" t="s">
        <v>426</v>
      </c>
      <c r="G2476" t="s">
        <v>34</v>
      </c>
      <c r="H2476" t="s">
        <v>1280</v>
      </c>
      <c r="I2476" t="s">
        <v>8913</v>
      </c>
      <c r="J2476" t="s">
        <v>38</v>
      </c>
      <c r="K2476" t="s">
        <v>38</v>
      </c>
      <c r="L2476" t="s">
        <v>39</v>
      </c>
      <c r="M2476" t="s">
        <v>38</v>
      </c>
      <c r="N2476" t="s">
        <v>37</v>
      </c>
      <c r="O2476" t="s">
        <v>39</v>
      </c>
      <c r="P2476" t="s">
        <v>37</v>
      </c>
      <c r="Q2476" t="s">
        <v>38</v>
      </c>
      <c r="R2476" t="s">
        <v>39</v>
      </c>
      <c r="S2476" t="s">
        <v>8191</v>
      </c>
      <c r="T2476" t="s">
        <v>8192</v>
      </c>
      <c r="U2476" t="s">
        <v>8084</v>
      </c>
      <c r="V2476" t="s">
        <v>8002</v>
      </c>
      <c r="W2476" t="s">
        <v>8085</v>
      </c>
      <c r="X2476" t="s">
        <v>46</v>
      </c>
      <c r="AC2476">
        <f>COUNTIF(C:C,QLKV_gui_ket_qua_ra_soat[[#This Row],[Mã điểm bán]])</f>
        <v>1</v>
      </c>
    </row>
    <row r="2477" spans="1:29" x14ac:dyDescent="0.45">
      <c r="A2477" t="s">
        <v>7995</v>
      </c>
      <c r="B2477">
        <v>270</v>
      </c>
      <c r="C2477" t="s">
        <v>8914</v>
      </c>
      <c r="D2477" t="s">
        <v>8915</v>
      </c>
      <c r="E2477" t="s">
        <v>529</v>
      </c>
      <c r="F2477" t="s">
        <v>4431</v>
      </c>
      <c r="G2477" t="s">
        <v>34</v>
      </c>
      <c r="H2477" t="s">
        <v>1280</v>
      </c>
      <c r="I2477" t="s">
        <v>8916</v>
      </c>
      <c r="J2477" t="s">
        <v>38</v>
      </c>
      <c r="K2477" t="s">
        <v>38</v>
      </c>
      <c r="L2477" t="s">
        <v>40</v>
      </c>
      <c r="M2477" t="s">
        <v>38</v>
      </c>
      <c r="N2477" t="s">
        <v>38</v>
      </c>
      <c r="O2477" t="s">
        <v>40</v>
      </c>
      <c r="P2477" t="s">
        <v>38</v>
      </c>
      <c r="Q2477" t="s">
        <v>38</v>
      </c>
      <c r="R2477" t="s">
        <v>40</v>
      </c>
      <c r="S2477" t="s">
        <v>8917</v>
      </c>
      <c r="T2477" t="s">
        <v>8008</v>
      </c>
      <c r="U2477" t="s">
        <v>8009</v>
      </c>
      <c r="V2477" t="s">
        <v>8002</v>
      </c>
      <c r="W2477" t="s">
        <v>8010</v>
      </c>
      <c r="X2477" t="s">
        <v>46</v>
      </c>
      <c r="AC2477">
        <f>COUNTIF(C:C,QLKV_gui_ket_qua_ra_soat[[#This Row],[Mã điểm bán]])</f>
        <v>1</v>
      </c>
    </row>
    <row r="2478" spans="1:29" x14ac:dyDescent="0.45">
      <c r="A2478" t="s">
        <v>7995</v>
      </c>
      <c r="B2478">
        <v>271</v>
      </c>
      <c r="C2478" t="s">
        <v>8918</v>
      </c>
      <c r="D2478" t="s">
        <v>8189</v>
      </c>
      <c r="E2478" t="s">
        <v>882</v>
      </c>
      <c r="F2478" t="s">
        <v>115</v>
      </c>
      <c r="G2478" t="s">
        <v>34</v>
      </c>
      <c r="H2478" t="s">
        <v>54</v>
      </c>
      <c r="I2478" t="s">
        <v>8919</v>
      </c>
      <c r="J2478" t="s">
        <v>37</v>
      </c>
      <c r="K2478" t="s">
        <v>37</v>
      </c>
      <c r="L2478" t="s">
        <v>40</v>
      </c>
      <c r="M2478" t="s">
        <v>37</v>
      </c>
      <c r="N2478" t="s">
        <v>37</v>
      </c>
      <c r="O2478" t="s">
        <v>40</v>
      </c>
      <c r="P2478" t="s">
        <v>37</v>
      </c>
      <c r="Q2478" t="s">
        <v>37</v>
      </c>
      <c r="R2478" t="s">
        <v>40</v>
      </c>
      <c r="S2478" t="s">
        <v>627</v>
      </c>
      <c r="T2478" t="s">
        <v>8000</v>
      </c>
      <c r="U2478" t="s">
        <v>8001</v>
      </c>
      <c r="V2478" t="s">
        <v>8002</v>
      </c>
      <c r="W2478" t="s">
        <v>8003</v>
      </c>
      <c r="Z2478" t="s">
        <v>46</v>
      </c>
      <c r="AA2478" t="s">
        <v>8000</v>
      </c>
      <c r="AC2478">
        <f>COUNTIF(C:C,QLKV_gui_ket_qua_ra_soat[[#This Row],[Mã điểm bán]])</f>
        <v>1</v>
      </c>
    </row>
    <row r="2479" spans="1:29" x14ac:dyDescent="0.45">
      <c r="A2479" t="s">
        <v>7995</v>
      </c>
      <c r="B2479">
        <v>272</v>
      </c>
      <c r="C2479" t="s">
        <v>8920</v>
      </c>
      <c r="D2479" t="s">
        <v>8921</v>
      </c>
      <c r="E2479" t="s">
        <v>206</v>
      </c>
      <c r="F2479" t="s">
        <v>2204</v>
      </c>
      <c r="G2479" t="s">
        <v>34</v>
      </c>
      <c r="H2479" t="s">
        <v>863</v>
      </c>
      <c r="I2479" t="s">
        <v>8922</v>
      </c>
      <c r="J2479" t="s">
        <v>38</v>
      </c>
      <c r="K2479" t="s">
        <v>38</v>
      </c>
      <c r="L2479" t="s">
        <v>40</v>
      </c>
      <c r="M2479" t="s">
        <v>37</v>
      </c>
      <c r="N2479" t="s">
        <v>37</v>
      </c>
      <c r="O2479" t="s">
        <v>40</v>
      </c>
      <c r="P2479" t="s">
        <v>38</v>
      </c>
      <c r="Q2479" t="s">
        <v>38</v>
      </c>
      <c r="R2479" t="s">
        <v>40</v>
      </c>
      <c r="S2479" t="s">
        <v>627</v>
      </c>
      <c r="T2479" t="s">
        <v>8196</v>
      </c>
      <c r="U2479" t="s">
        <v>8001</v>
      </c>
      <c r="V2479" t="s">
        <v>8002</v>
      </c>
      <c r="W2479" t="s">
        <v>8003</v>
      </c>
      <c r="X2479" t="s">
        <v>46</v>
      </c>
      <c r="AC2479">
        <f>COUNTIF(C:C,QLKV_gui_ket_qua_ra_soat[[#This Row],[Mã điểm bán]])</f>
        <v>1</v>
      </c>
    </row>
    <row r="2480" spans="1:29" x14ac:dyDescent="0.45">
      <c r="A2480" t="s">
        <v>7995</v>
      </c>
      <c r="B2480">
        <v>273</v>
      </c>
      <c r="C2480" t="s">
        <v>8923</v>
      </c>
      <c r="D2480" t="s">
        <v>1992</v>
      </c>
      <c r="E2480" t="s">
        <v>279</v>
      </c>
      <c r="F2480" t="s">
        <v>166</v>
      </c>
      <c r="G2480" t="s">
        <v>34</v>
      </c>
      <c r="H2480" t="s">
        <v>2736</v>
      </c>
      <c r="I2480" t="s">
        <v>8924</v>
      </c>
      <c r="J2480" t="s">
        <v>37</v>
      </c>
      <c r="K2480" t="s">
        <v>38</v>
      </c>
      <c r="L2480" t="s">
        <v>40</v>
      </c>
      <c r="M2480" t="s">
        <v>37</v>
      </c>
      <c r="N2480" t="s">
        <v>37</v>
      </c>
      <c r="O2480" t="s">
        <v>39</v>
      </c>
      <c r="P2480" t="s">
        <v>38</v>
      </c>
      <c r="Q2480" t="s">
        <v>38</v>
      </c>
      <c r="R2480" t="s">
        <v>40</v>
      </c>
      <c r="S2480" t="s">
        <v>8925</v>
      </c>
      <c r="T2480" t="s">
        <v>8008</v>
      </c>
      <c r="U2480" t="s">
        <v>8009</v>
      </c>
      <c r="V2480" t="s">
        <v>8002</v>
      </c>
      <c r="W2480" t="s">
        <v>8010</v>
      </c>
      <c r="X2480" t="s">
        <v>46</v>
      </c>
      <c r="AC2480">
        <f>COUNTIF(C:C,QLKV_gui_ket_qua_ra_soat[[#This Row],[Mã điểm bán]])</f>
        <v>1</v>
      </c>
    </row>
    <row r="2481" spans="1:29" x14ac:dyDescent="0.45">
      <c r="A2481" t="s">
        <v>7995</v>
      </c>
      <c r="B2481">
        <v>274</v>
      </c>
      <c r="C2481" t="s">
        <v>8926</v>
      </c>
      <c r="D2481" t="s">
        <v>6177</v>
      </c>
      <c r="E2481" t="s">
        <v>4381</v>
      </c>
      <c r="F2481" t="s">
        <v>2365</v>
      </c>
      <c r="G2481" t="s">
        <v>34</v>
      </c>
      <c r="H2481" t="s">
        <v>1188</v>
      </c>
      <c r="I2481" t="s">
        <v>8927</v>
      </c>
      <c r="J2481" t="s">
        <v>37</v>
      </c>
      <c r="K2481" t="s">
        <v>37</v>
      </c>
      <c r="L2481" t="s">
        <v>39</v>
      </c>
      <c r="M2481" t="s">
        <v>38</v>
      </c>
      <c r="N2481" t="s">
        <v>38</v>
      </c>
      <c r="O2481" t="s">
        <v>39</v>
      </c>
      <c r="P2481" t="s">
        <v>38</v>
      </c>
      <c r="Q2481" t="s">
        <v>38</v>
      </c>
      <c r="R2481" t="s">
        <v>40</v>
      </c>
      <c r="S2481" t="s">
        <v>41</v>
      </c>
      <c r="T2481" t="s">
        <v>8060</v>
      </c>
      <c r="U2481" t="s">
        <v>8016</v>
      </c>
      <c r="V2481" t="s">
        <v>8002</v>
      </c>
      <c r="W2481" t="s">
        <v>8003</v>
      </c>
      <c r="X2481" t="s">
        <v>46</v>
      </c>
      <c r="AC2481">
        <f>COUNTIF(C:C,QLKV_gui_ket_qua_ra_soat[[#This Row],[Mã điểm bán]])</f>
        <v>1</v>
      </c>
    </row>
    <row r="2482" spans="1:29" x14ac:dyDescent="0.45">
      <c r="A2482" t="s">
        <v>7995</v>
      </c>
      <c r="B2482">
        <v>275</v>
      </c>
      <c r="C2482" t="s">
        <v>8928</v>
      </c>
      <c r="D2482" t="s">
        <v>8929</v>
      </c>
      <c r="E2482" t="s">
        <v>772</v>
      </c>
      <c r="F2482" t="s">
        <v>166</v>
      </c>
      <c r="G2482" t="s">
        <v>34</v>
      </c>
      <c r="H2482" t="s">
        <v>546</v>
      </c>
      <c r="I2482" t="s">
        <v>8930</v>
      </c>
      <c r="J2482" t="s">
        <v>37</v>
      </c>
      <c r="K2482" t="s">
        <v>38</v>
      </c>
      <c r="L2482" t="s">
        <v>40</v>
      </c>
      <c r="M2482" t="s">
        <v>37</v>
      </c>
      <c r="N2482" t="s">
        <v>38</v>
      </c>
      <c r="O2482" t="s">
        <v>121</v>
      </c>
      <c r="P2482" t="s">
        <v>38</v>
      </c>
      <c r="Q2482" t="s">
        <v>38</v>
      </c>
      <c r="R2482" t="s">
        <v>39</v>
      </c>
      <c r="S2482" t="s">
        <v>8191</v>
      </c>
      <c r="T2482" t="s">
        <v>8192</v>
      </c>
      <c r="U2482" t="s">
        <v>8084</v>
      </c>
      <c r="V2482" t="s">
        <v>8002</v>
      </c>
      <c r="W2482" t="s">
        <v>8085</v>
      </c>
      <c r="X2482" t="s">
        <v>46</v>
      </c>
      <c r="AC2482">
        <f>COUNTIF(C:C,QLKV_gui_ket_qua_ra_soat[[#This Row],[Mã điểm bán]])</f>
        <v>1</v>
      </c>
    </row>
    <row r="2483" spans="1:29" x14ac:dyDescent="0.45">
      <c r="A2483" t="s">
        <v>7995</v>
      </c>
      <c r="B2483">
        <v>276</v>
      </c>
      <c r="C2483" t="s">
        <v>8931</v>
      </c>
      <c r="D2483" t="s">
        <v>8932</v>
      </c>
      <c r="E2483" t="s">
        <v>8933</v>
      </c>
      <c r="F2483" t="s">
        <v>53</v>
      </c>
      <c r="G2483" t="s">
        <v>34</v>
      </c>
      <c r="H2483" t="s">
        <v>697</v>
      </c>
      <c r="I2483" t="s">
        <v>8934</v>
      </c>
      <c r="J2483" t="s">
        <v>38</v>
      </c>
      <c r="K2483" t="s">
        <v>38</v>
      </c>
      <c r="L2483" t="s">
        <v>40</v>
      </c>
      <c r="M2483" t="s">
        <v>37</v>
      </c>
      <c r="N2483" t="s">
        <v>38</v>
      </c>
      <c r="O2483" t="s">
        <v>40</v>
      </c>
      <c r="P2483" t="s">
        <v>38</v>
      </c>
      <c r="Q2483" t="s">
        <v>38</v>
      </c>
      <c r="R2483" t="s">
        <v>40</v>
      </c>
      <c r="S2483" t="s">
        <v>41</v>
      </c>
      <c r="T2483" t="s">
        <v>8136</v>
      </c>
      <c r="U2483" t="s">
        <v>8137</v>
      </c>
      <c r="V2483" t="s">
        <v>8002</v>
      </c>
      <c r="W2483" t="s">
        <v>8085</v>
      </c>
      <c r="X2483" t="s">
        <v>46</v>
      </c>
      <c r="AC2483">
        <f>COUNTIF(C:C,QLKV_gui_ket_qua_ra_soat[[#This Row],[Mã điểm bán]])</f>
        <v>1</v>
      </c>
    </row>
    <row r="2484" spans="1:29" x14ac:dyDescent="0.45">
      <c r="A2484" t="s">
        <v>7995</v>
      </c>
      <c r="B2484">
        <v>277</v>
      </c>
      <c r="C2484" t="s">
        <v>8935</v>
      </c>
      <c r="D2484" t="s">
        <v>8936</v>
      </c>
      <c r="E2484" t="s">
        <v>8937</v>
      </c>
      <c r="F2484" t="s">
        <v>8938</v>
      </c>
      <c r="G2484" t="s">
        <v>34</v>
      </c>
      <c r="H2484" t="s">
        <v>171</v>
      </c>
      <c r="I2484" t="s">
        <v>8939</v>
      </c>
      <c r="J2484" t="s">
        <v>56</v>
      </c>
      <c r="K2484" t="s">
        <v>56</v>
      </c>
      <c r="L2484" t="s">
        <v>39</v>
      </c>
      <c r="M2484" t="s">
        <v>56</v>
      </c>
      <c r="N2484" t="s">
        <v>56</v>
      </c>
      <c r="O2484" t="s">
        <v>39</v>
      </c>
      <c r="P2484" t="s">
        <v>56</v>
      </c>
      <c r="Q2484" t="s">
        <v>56</v>
      </c>
      <c r="R2484" t="s">
        <v>39</v>
      </c>
      <c r="S2484" t="s">
        <v>41</v>
      </c>
      <c r="T2484" t="s">
        <v>8105</v>
      </c>
      <c r="U2484" t="s">
        <v>8016</v>
      </c>
      <c r="V2484" t="s">
        <v>8002</v>
      </c>
      <c r="W2484" t="s">
        <v>8003</v>
      </c>
      <c r="X2484" t="s">
        <v>46</v>
      </c>
      <c r="AC2484">
        <f>COUNTIF(C:C,QLKV_gui_ket_qua_ra_soat[[#This Row],[Mã điểm bán]])</f>
        <v>1</v>
      </c>
    </row>
    <row r="2485" spans="1:29" x14ac:dyDescent="0.45">
      <c r="A2485" t="s">
        <v>7995</v>
      </c>
      <c r="B2485">
        <v>278</v>
      </c>
      <c r="C2485" t="s">
        <v>8940</v>
      </c>
      <c r="D2485" t="s">
        <v>8941</v>
      </c>
      <c r="E2485" t="s">
        <v>2139</v>
      </c>
      <c r="F2485" t="s">
        <v>426</v>
      </c>
      <c r="G2485" t="s">
        <v>34</v>
      </c>
      <c r="H2485" t="s">
        <v>171</v>
      </c>
      <c r="I2485" t="s">
        <v>8942</v>
      </c>
      <c r="J2485" t="s">
        <v>56</v>
      </c>
      <c r="K2485" t="s">
        <v>56</v>
      </c>
      <c r="L2485" t="s">
        <v>39</v>
      </c>
      <c r="M2485" t="s">
        <v>37</v>
      </c>
      <c r="N2485" t="s">
        <v>37</v>
      </c>
      <c r="O2485" t="s">
        <v>39</v>
      </c>
      <c r="P2485" t="s">
        <v>38</v>
      </c>
      <c r="Q2485" t="s">
        <v>38</v>
      </c>
      <c r="R2485" t="s">
        <v>39</v>
      </c>
      <c r="S2485" t="s">
        <v>8943</v>
      </c>
      <c r="T2485" t="s">
        <v>8238</v>
      </c>
      <c r="U2485" t="s">
        <v>8239</v>
      </c>
      <c r="V2485" t="s">
        <v>8002</v>
      </c>
      <c r="W2485" t="s">
        <v>8010</v>
      </c>
      <c r="X2485" t="s">
        <v>46</v>
      </c>
      <c r="AC2485">
        <f>COUNTIF(C:C,QLKV_gui_ket_qua_ra_soat[[#This Row],[Mã điểm bán]])</f>
        <v>1</v>
      </c>
    </row>
    <row r="2486" spans="1:29" x14ac:dyDescent="0.45">
      <c r="A2486" t="s">
        <v>7995</v>
      </c>
      <c r="B2486">
        <v>279</v>
      </c>
      <c r="C2486" t="s">
        <v>8944</v>
      </c>
      <c r="D2486" t="s">
        <v>8945</v>
      </c>
      <c r="E2486" t="s">
        <v>176</v>
      </c>
      <c r="F2486" t="s">
        <v>53</v>
      </c>
      <c r="G2486" t="s">
        <v>34</v>
      </c>
      <c r="H2486" t="s">
        <v>54</v>
      </c>
      <c r="I2486" t="s">
        <v>843</v>
      </c>
      <c r="J2486" t="s">
        <v>38</v>
      </c>
      <c r="K2486" t="s">
        <v>38</v>
      </c>
      <c r="L2486" t="s">
        <v>39</v>
      </c>
      <c r="M2486" t="s">
        <v>38</v>
      </c>
      <c r="N2486" t="s">
        <v>38</v>
      </c>
      <c r="O2486" t="s">
        <v>39</v>
      </c>
      <c r="P2486" t="s">
        <v>38</v>
      </c>
      <c r="Q2486" t="s">
        <v>38</v>
      </c>
      <c r="R2486" t="s">
        <v>39</v>
      </c>
      <c r="S2486" t="s">
        <v>41</v>
      </c>
      <c r="T2486" t="s">
        <v>8060</v>
      </c>
      <c r="U2486" t="s">
        <v>8016</v>
      </c>
      <c r="V2486" t="s">
        <v>8002</v>
      </c>
      <c r="W2486" t="s">
        <v>8003</v>
      </c>
      <c r="X2486" t="s">
        <v>46</v>
      </c>
      <c r="AC2486">
        <f>COUNTIF(C:C,QLKV_gui_ket_qua_ra_soat[[#This Row],[Mã điểm bán]])</f>
        <v>1</v>
      </c>
    </row>
    <row r="2487" spans="1:29" x14ac:dyDescent="0.45">
      <c r="A2487" t="s">
        <v>7995</v>
      </c>
      <c r="B2487">
        <v>280</v>
      </c>
      <c r="C2487" t="s">
        <v>8946</v>
      </c>
      <c r="D2487" t="s">
        <v>8947</v>
      </c>
      <c r="E2487" t="s">
        <v>219</v>
      </c>
      <c r="F2487" t="s">
        <v>6570</v>
      </c>
      <c r="G2487" t="s">
        <v>34</v>
      </c>
      <c r="H2487" t="s">
        <v>54</v>
      </c>
      <c r="I2487" t="s">
        <v>8948</v>
      </c>
      <c r="J2487" t="s">
        <v>37</v>
      </c>
      <c r="K2487" t="s">
        <v>37</v>
      </c>
      <c r="L2487" t="s">
        <v>40</v>
      </c>
      <c r="M2487" t="s">
        <v>37</v>
      </c>
      <c r="N2487" t="s">
        <v>37</v>
      </c>
      <c r="O2487" t="s">
        <v>40</v>
      </c>
      <c r="P2487" t="s">
        <v>37</v>
      </c>
      <c r="Q2487" t="s">
        <v>37</v>
      </c>
      <c r="R2487" t="s">
        <v>40</v>
      </c>
      <c r="S2487" t="s">
        <v>627</v>
      </c>
      <c r="T2487" t="s">
        <v>8000</v>
      </c>
      <c r="U2487" t="s">
        <v>8001</v>
      </c>
      <c r="V2487" t="s">
        <v>8002</v>
      </c>
      <c r="W2487" t="s">
        <v>8003</v>
      </c>
      <c r="Z2487" t="s">
        <v>46</v>
      </c>
      <c r="AA2487" t="s">
        <v>8000</v>
      </c>
      <c r="AC2487">
        <f>COUNTIF(C:C,QLKV_gui_ket_qua_ra_soat[[#This Row],[Mã điểm bán]])</f>
        <v>1</v>
      </c>
    </row>
    <row r="2488" spans="1:29" x14ac:dyDescent="0.45">
      <c r="A2488" t="s">
        <v>7995</v>
      </c>
      <c r="B2488">
        <v>281</v>
      </c>
      <c r="C2488" t="s">
        <v>8949</v>
      </c>
      <c r="D2488" t="s">
        <v>8950</v>
      </c>
      <c r="E2488" t="s">
        <v>682</v>
      </c>
      <c r="F2488" t="s">
        <v>417</v>
      </c>
      <c r="G2488" t="s">
        <v>34</v>
      </c>
      <c r="H2488" t="s">
        <v>1746</v>
      </c>
      <c r="I2488" t="s">
        <v>8951</v>
      </c>
      <c r="J2488" t="s">
        <v>38</v>
      </c>
      <c r="K2488" t="s">
        <v>38</v>
      </c>
      <c r="L2488" t="s">
        <v>40</v>
      </c>
      <c r="M2488" t="s">
        <v>37</v>
      </c>
      <c r="N2488" t="s">
        <v>37</v>
      </c>
      <c r="O2488" t="s">
        <v>40</v>
      </c>
      <c r="P2488" t="s">
        <v>38</v>
      </c>
      <c r="Q2488" t="s">
        <v>38</v>
      </c>
      <c r="R2488" t="s">
        <v>40</v>
      </c>
      <c r="S2488" t="s">
        <v>627</v>
      </c>
      <c r="T2488" t="s">
        <v>8196</v>
      </c>
      <c r="U2488" t="s">
        <v>8001</v>
      </c>
      <c r="V2488" t="s">
        <v>8002</v>
      </c>
      <c r="W2488" t="s">
        <v>8003</v>
      </c>
      <c r="X2488" t="s">
        <v>46</v>
      </c>
      <c r="AC2488">
        <f>COUNTIF(C:C,QLKV_gui_ket_qua_ra_soat[[#This Row],[Mã điểm bán]])</f>
        <v>1</v>
      </c>
    </row>
    <row r="2489" spans="1:29" x14ac:dyDescent="0.45">
      <c r="A2489" t="s">
        <v>7995</v>
      </c>
      <c r="B2489">
        <v>282</v>
      </c>
      <c r="C2489" t="s">
        <v>8952</v>
      </c>
      <c r="D2489" t="s">
        <v>8026</v>
      </c>
      <c r="E2489" t="s">
        <v>344</v>
      </c>
      <c r="F2489" t="s">
        <v>401</v>
      </c>
      <c r="G2489" t="s">
        <v>34</v>
      </c>
      <c r="H2489" t="s">
        <v>214</v>
      </c>
      <c r="I2489" t="s">
        <v>8953</v>
      </c>
      <c r="J2489" t="s">
        <v>38</v>
      </c>
      <c r="K2489" t="s">
        <v>38</v>
      </c>
      <c r="L2489" t="s">
        <v>40</v>
      </c>
      <c r="M2489" t="s">
        <v>38</v>
      </c>
      <c r="N2489" t="s">
        <v>38</v>
      </c>
      <c r="O2489" t="s">
        <v>39</v>
      </c>
      <c r="P2489" t="s">
        <v>38</v>
      </c>
      <c r="Q2489" t="s">
        <v>38</v>
      </c>
      <c r="R2489" t="s">
        <v>40</v>
      </c>
      <c r="S2489" t="s">
        <v>41</v>
      </c>
      <c r="T2489" t="s">
        <v>8060</v>
      </c>
      <c r="U2489" t="s">
        <v>8016</v>
      </c>
      <c r="V2489" t="s">
        <v>8002</v>
      </c>
      <c r="W2489" t="s">
        <v>8003</v>
      </c>
      <c r="X2489" t="s">
        <v>46</v>
      </c>
      <c r="AC2489">
        <f>COUNTIF(C:C,QLKV_gui_ket_qua_ra_soat[[#This Row],[Mã điểm bán]])</f>
        <v>1</v>
      </c>
    </row>
    <row r="2490" spans="1:29" x14ac:dyDescent="0.45">
      <c r="A2490" t="s">
        <v>7995</v>
      </c>
      <c r="B2490">
        <v>283</v>
      </c>
      <c r="C2490" t="s">
        <v>8954</v>
      </c>
      <c r="D2490" t="s">
        <v>8955</v>
      </c>
      <c r="E2490" t="s">
        <v>788</v>
      </c>
      <c r="F2490" t="s">
        <v>115</v>
      </c>
      <c r="G2490" t="s">
        <v>34</v>
      </c>
      <c r="H2490" t="s">
        <v>1982</v>
      </c>
      <c r="I2490" t="s">
        <v>8956</v>
      </c>
      <c r="J2490" t="s">
        <v>38</v>
      </c>
      <c r="K2490" t="s">
        <v>38</v>
      </c>
      <c r="L2490" t="s">
        <v>40</v>
      </c>
      <c r="M2490" t="s">
        <v>37</v>
      </c>
      <c r="N2490" t="s">
        <v>37</v>
      </c>
      <c r="O2490" t="s">
        <v>39</v>
      </c>
      <c r="P2490" t="s">
        <v>38</v>
      </c>
      <c r="Q2490" t="s">
        <v>37</v>
      </c>
      <c r="R2490" t="s">
        <v>39</v>
      </c>
      <c r="S2490" t="s">
        <v>8957</v>
      </c>
      <c r="T2490" t="s">
        <v>8083</v>
      </c>
      <c r="U2490" t="s">
        <v>8084</v>
      </c>
      <c r="V2490" t="s">
        <v>8002</v>
      </c>
      <c r="W2490" t="s">
        <v>8085</v>
      </c>
      <c r="X2490" t="s">
        <v>46</v>
      </c>
      <c r="AC2490">
        <f>COUNTIF(C:C,QLKV_gui_ket_qua_ra_soat[[#This Row],[Mã điểm bán]])</f>
        <v>1</v>
      </c>
    </row>
    <row r="2491" spans="1:29" x14ac:dyDescent="0.45">
      <c r="A2491" t="s">
        <v>7995</v>
      </c>
      <c r="B2491">
        <v>284</v>
      </c>
      <c r="C2491" t="s">
        <v>8958</v>
      </c>
      <c r="D2491" t="s">
        <v>8959</v>
      </c>
      <c r="E2491" t="s">
        <v>8960</v>
      </c>
      <c r="F2491" t="s">
        <v>8961</v>
      </c>
      <c r="G2491" t="s">
        <v>34</v>
      </c>
      <c r="H2491" t="s">
        <v>565</v>
      </c>
      <c r="I2491" t="s">
        <v>8962</v>
      </c>
      <c r="J2491" t="s">
        <v>775</v>
      </c>
      <c r="K2491" t="s">
        <v>775</v>
      </c>
      <c r="L2491" t="s">
        <v>39</v>
      </c>
      <c r="M2491" t="s">
        <v>56</v>
      </c>
      <c r="N2491" t="s">
        <v>775</v>
      </c>
      <c r="O2491" t="s">
        <v>39</v>
      </c>
      <c r="P2491" t="s">
        <v>56</v>
      </c>
      <c r="Q2491" t="s">
        <v>56</v>
      </c>
      <c r="R2491" t="s">
        <v>39</v>
      </c>
      <c r="S2491" t="s">
        <v>41</v>
      </c>
      <c r="T2491" t="s">
        <v>8105</v>
      </c>
      <c r="U2491" t="s">
        <v>8016</v>
      </c>
      <c r="V2491" t="s">
        <v>8002</v>
      </c>
      <c r="W2491" t="s">
        <v>8003</v>
      </c>
      <c r="X2491" t="s">
        <v>46</v>
      </c>
      <c r="AC2491">
        <f>COUNTIF(C:C,QLKV_gui_ket_qua_ra_soat[[#This Row],[Mã điểm bán]])</f>
        <v>1</v>
      </c>
    </row>
    <row r="2492" spans="1:29" x14ac:dyDescent="0.45">
      <c r="A2492" t="s">
        <v>7995</v>
      </c>
      <c r="B2492">
        <v>285</v>
      </c>
      <c r="C2492" t="s">
        <v>8963</v>
      </c>
      <c r="D2492" t="s">
        <v>8964</v>
      </c>
      <c r="E2492" t="s">
        <v>2148</v>
      </c>
      <c r="F2492" t="s">
        <v>4316</v>
      </c>
      <c r="G2492" t="s">
        <v>34</v>
      </c>
      <c r="H2492" t="s">
        <v>214</v>
      </c>
      <c r="I2492" t="s">
        <v>8965</v>
      </c>
      <c r="J2492" t="s">
        <v>38</v>
      </c>
      <c r="K2492" t="s">
        <v>38</v>
      </c>
      <c r="L2492" t="s">
        <v>40</v>
      </c>
      <c r="M2492" t="s">
        <v>37</v>
      </c>
      <c r="N2492" t="s">
        <v>37</v>
      </c>
      <c r="O2492" t="s">
        <v>40</v>
      </c>
      <c r="P2492" t="s">
        <v>38</v>
      </c>
      <c r="Q2492" t="s">
        <v>38</v>
      </c>
      <c r="R2492" t="s">
        <v>40</v>
      </c>
      <c r="S2492" t="s">
        <v>627</v>
      </c>
      <c r="T2492" t="s">
        <v>8196</v>
      </c>
      <c r="U2492" t="s">
        <v>8001</v>
      </c>
      <c r="V2492" t="s">
        <v>8002</v>
      </c>
      <c r="W2492" t="s">
        <v>8003</v>
      </c>
      <c r="X2492" t="s">
        <v>46</v>
      </c>
      <c r="AC2492">
        <f>COUNTIF(C:C,QLKV_gui_ket_qua_ra_soat[[#This Row],[Mã điểm bán]])</f>
        <v>1</v>
      </c>
    </row>
    <row r="2493" spans="1:29" x14ac:dyDescent="0.45">
      <c r="A2493" t="s">
        <v>7995</v>
      </c>
      <c r="B2493">
        <v>286</v>
      </c>
      <c r="C2493" t="s">
        <v>8966</v>
      </c>
      <c r="D2493" t="s">
        <v>8967</v>
      </c>
      <c r="E2493" t="s">
        <v>148</v>
      </c>
      <c r="F2493" t="s">
        <v>53</v>
      </c>
      <c r="G2493" t="s">
        <v>34</v>
      </c>
      <c r="H2493" t="s">
        <v>54</v>
      </c>
      <c r="I2493" t="s">
        <v>151</v>
      </c>
      <c r="J2493" t="s">
        <v>38</v>
      </c>
      <c r="K2493" t="s">
        <v>38</v>
      </c>
      <c r="L2493" t="s">
        <v>39</v>
      </c>
      <c r="M2493" t="s">
        <v>38</v>
      </c>
      <c r="N2493" t="s">
        <v>38</v>
      </c>
      <c r="O2493" t="s">
        <v>39</v>
      </c>
      <c r="P2493" t="s">
        <v>38</v>
      </c>
      <c r="Q2493" t="s">
        <v>38</v>
      </c>
      <c r="R2493" t="s">
        <v>39</v>
      </c>
      <c r="S2493" t="s">
        <v>41</v>
      </c>
      <c r="T2493" t="s">
        <v>8060</v>
      </c>
      <c r="U2493" t="s">
        <v>8016</v>
      </c>
      <c r="V2493" t="s">
        <v>8002</v>
      </c>
      <c r="W2493" t="s">
        <v>8003</v>
      </c>
      <c r="X2493" t="s">
        <v>46</v>
      </c>
      <c r="AC2493">
        <f>COUNTIF(C:C,QLKV_gui_ket_qua_ra_soat[[#This Row],[Mã điểm bán]])</f>
        <v>1</v>
      </c>
    </row>
    <row r="2494" spans="1:29" x14ac:dyDescent="0.45">
      <c r="A2494" t="s">
        <v>7995</v>
      </c>
      <c r="B2494">
        <v>287</v>
      </c>
      <c r="C2494" t="s">
        <v>8968</v>
      </c>
      <c r="D2494" t="s">
        <v>8969</v>
      </c>
      <c r="E2494" t="s">
        <v>8970</v>
      </c>
      <c r="F2494" t="s">
        <v>8971</v>
      </c>
      <c r="G2494" t="s">
        <v>34</v>
      </c>
      <c r="H2494" t="s">
        <v>917</v>
      </c>
      <c r="I2494" t="s">
        <v>8972</v>
      </c>
      <c r="J2494" t="s">
        <v>56</v>
      </c>
      <c r="K2494" t="s">
        <v>775</v>
      </c>
      <c r="L2494" t="s">
        <v>40</v>
      </c>
      <c r="M2494" t="s">
        <v>56</v>
      </c>
      <c r="N2494" t="s">
        <v>37</v>
      </c>
      <c r="O2494" t="s">
        <v>39</v>
      </c>
      <c r="P2494" t="s">
        <v>56</v>
      </c>
      <c r="Q2494" t="s">
        <v>37</v>
      </c>
      <c r="R2494" t="s">
        <v>39</v>
      </c>
      <c r="S2494" t="s">
        <v>41</v>
      </c>
      <c r="T2494" t="s">
        <v>8105</v>
      </c>
      <c r="U2494" t="s">
        <v>8016</v>
      </c>
      <c r="V2494" t="s">
        <v>8002</v>
      </c>
      <c r="W2494" t="s">
        <v>8003</v>
      </c>
      <c r="X2494" t="s">
        <v>46</v>
      </c>
      <c r="AC2494">
        <f>COUNTIF(C:C,QLKV_gui_ket_qua_ra_soat[[#This Row],[Mã điểm bán]])</f>
        <v>1</v>
      </c>
    </row>
    <row r="2495" spans="1:29" x14ac:dyDescent="0.45">
      <c r="A2495" t="s">
        <v>7995</v>
      </c>
      <c r="B2495">
        <v>288</v>
      </c>
      <c r="C2495" t="s">
        <v>8973</v>
      </c>
      <c r="D2495" t="s">
        <v>8974</v>
      </c>
      <c r="E2495" t="s">
        <v>657</v>
      </c>
      <c r="F2495" t="s">
        <v>417</v>
      </c>
      <c r="G2495" t="s">
        <v>34</v>
      </c>
      <c r="H2495" t="s">
        <v>1052</v>
      </c>
      <c r="I2495" t="s">
        <v>8975</v>
      </c>
      <c r="J2495" t="s">
        <v>38</v>
      </c>
      <c r="K2495" t="s">
        <v>38</v>
      </c>
      <c r="L2495" t="s">
        <v>40</v>
      </c>
      <c r="M2495" t="s">
        <v>56</v>
      </c>
      <c r="N2495" t="s">
        <v>56</v>
      </c>
      <c r="O2495" t="s">
        <v>39</v>
      </c>
      <c r="P2495" t="s">
        <v>38</v>
      </c>
      <c r="Q2495" t="s">
        <v>38</v>
      </c>
      <c r="R2495" t="s">
        <v>40</v>
      </c>
      <c r="S2495" t="s">
        <v>8976</v>
      </c>
      <c r="T2495" t="s">
        <v>8015</v>
      </c>
      <c r="U2495" t="s">
        <v>8016</v>
      </c>
      <c r="V2495" t="s">
        <v>8002</v>
      </c>
      <c r="W2495" t="s">
        <v>8003</v>
      </c>
      <c r="X2495" t="s">
        <v>46</v>
      </c>
      <c r="AC2495">
        <f>COUNTIF(C:C,QLKV_gui_ket_qua_ra_soat[[#This Row],[Mã điểm bán]])</f>
        <v>1</v>
      </c>
    </row>
    <row r="2496" spans="1:29" x14ac:dyDescent="0.45">
      <c r="A2496" t="s">
        <v>7995</v>
      </c>
      <c r="B2496">
        <v>289</v>
      </c>
      <c r="C2496" t="s">
        <v>8977</v>
      </c>
      <c r="D2496" t="s">
        <v>8978</v>
      </c>
      <c r="E2496" t="s">
        <v>2771</v>
      </c>
      <c r="F2496" t="s">
        <v>7047</v>
      </c>
      <c r="G2496" t="s">
        <v>34</v>
      </c>
      <c r="H2496" t="s">
        <v>402</v>
      </c>
      <c r="I2496" t="s">
        <v>8979</v>
      </c>
      <c r="J2496" t="s">
        <v>56</v>
      </c>
      <c r="K2496" t="s">
        <v>56</v>
      </c>
      <c r="L2496" t="s">
        <v>39</v>
      </c>
      <c r="M2496" t="s">
        <v>56</v>
      </c>
      <c r="N2496" t="s">
        <v>56</v>
      </c>
      <c r="O2496" t="s">
        <v>39</v>
      </c>
      <c r="P2496" t="s">
        <v>38</v>
      </c>
      <c r="Q2496" t="s">
        <v>38</v>
      </c>
      <c r="R2496" t="s">
        <v>40</v>
      </c>
      <c r="S2496" t="s">
        <v>8980</v>
      </c>
      <c r="T2496" t="s">
        <v>8238</v>
      </c>
      <c r="U2496" t="s">
        <v>8239</v>
      </c>
      <c r="V2496" t="s">
        <v>8002</v>
      </c>
      <c r="W2496" t="s">
        <v>8010</v>
      </c>
      <c r="X2496" t="s">
        <v>46</v>
      </c>
      <c r="AC2496">
        <f>COUNTIF(C:C,QLKV_gui_ket_qua_ra_soat[[#This Row],[Mã điểm bán]])</f>
        <v>1</v>
      </c>
    </row>
    <row r="2497" spans="1:29" x14ac:dyDescent="0.45">
      <c r="A2497" t="s">
        <v>7995</v>
      </c>
      <c r="B2497">
        <v>290</v>
      </c>
      <c r="C2497" t="s">
        <v>8981</v>
      </c>
      <c r="D2497" t="s">
        <v>8982</v>
      </c>
      <c r="E2497" t="s">
        <v>3206</v>
      </c>
      <c r="F2497" t="s">
        <v>4688</v>
      </c>
      <c r="G2497" t="s">
        <v>34</v>
      </c>
      <c r="H2497" t="s">
        <v>35</v>
      </c>
      <c r="I2497" t="s">
        <v>8983</v>
      </c>
      <c r="J2497" t="s">
        <v>38</v>
      </c>
      <c r="K2497" t="s">
        <v>38</v>
      </c>
      <c r="L2497" t="s">
        <v>40</v>
      </c>
      <c r="M2497" t="s">
        <v>37</v>
      </c>
      <c r="N2497" t="s">
        <v>37</v>
      </c>
      <c r="O2497" t="s">
        <v>40</v>
      </c>
      <c r="P2497" t="s">
        <v>38</v>
      </c>
      <c r="Q2497" t="s">
        <v>38</v>
      </c>
      <c r="R2497" t="s">
        <v>39</v>
      </c>
      <c r="S2497" t="s">
        <v>41</v>
      </c>
      <c r="T2497" t="s">
        <v>8136</v>
      </c>
      <c r="U2497" t="s">
        <v>8137</v>
      </c>
      <c r="V2497" t="s">
        <v>8002</v>
      </c>
      <c r="W2497" t="s">
        <v>8085</v>
      </c>
      <c r="X2497" t="s">
        <v>46</v>
      </c>
      <c r="AC2497">
        <f>COUNTIF(C:C,QLKV_gui_ket_qua_ra_soat[[#This Row],[Mã điểm bán]])</f>
        <v>1</v>
      </c>
    </row>
    <row r="2498" spans="1:29" x14ac:dyDescent="0.45">
      <c r="A2498" t="s">
        <v>7995</v>
      </c>
      <c r="B2498">
        <v>291</v>
      </c>
      <c r="C2498" t="s">
        <v>8984</v>
      </c>
      <c r="D2498" t="s">
        <v>5335</v>
      </c>
      <c r="E2498" t="s">
        <v>162</v>
      </c>
      <c r="F2498" t="s">
        <v>417</v>
      </c>
      <c r="G2498" t="s">
        <v>34</v>
      </c>
      <c r="H2498" t="s">
        <v>1188</v>
      </c>
      <c r="I2498" t="s">
        <v>5366</v>
      </c>
      <c r="J2498" t="s">
        <v>56</v>
      </c>
      <c r="K2498" t="s">
        <v>56</v>
      </c>
      <c r="L2498" t="s">
        <v>39</v>
      </c>
      <c r="M2498" t="s">
        <v>56</v>
      </c>
      <c r="N2498" t="s">
        <v>56</v>
      </c>
      <c r="O2498" t="s">
        <v>39</v>
      </c>
      <c r="P2498" t="s">
        <v>38</v>
      </c>
      <c r="Q2498" t="s">
        <v>38</v>
      </c>
      <c r="R2498" t="s">
        <v>39</v>
      </c>
      <c r="S2498" t="s">
        <v>8985</v>
      </c>
      <c r="T2498" t="s">
        <v>8238</v>
      </c>
      <c r="U2498" t="s">
        <v>8239</v>
      </c>
      <c r="V2498" t="s">
        <v>8002</v>
      </c>
      <c r="W2498" t="s">
        <v>8010</v>
      </c>
      <c r="X2498" t="s">
        <v>46</v>
      </c>
      <c r="AC2498">
        <f>COUNTIF(C:C,QLKV_gui_ket_qua_ra_soat[[#This Row],[Mã điểm bán]])</f>
        <v>1</v>
      </c>
    </row>
    <row r="2499" spans="1:29" x14ac:dyDescent="0.45">
      <c r="A2499" t="s">
        <v>7995</v>
      </c>
      <c r="B2499">
        <v>292</v>
      </c>
      <c r="C2499" t="s">
        <v>8986</v>
      </c>
      <c r="D2499" t="s">
        <v>8987</v>
      </c>
      <c r="E2499" t="s">
        <v>157</v>
      </c>
      <c r="F2499" t="s">
        <v>441</v>
      </c>
      <c r="G2499" t="s">
        <v>1624</v>
      </c>
      <c r="H2499" t="s">
        <v>473</v>
      </c>
      <c r="I2499" t="s">
        <v>8988</v>
      </c>
      <c r="J2499" t="s">
        <v>38</v>
      </c>
      <c r="K2499" t="s">
        <v>38</v>
      </c>
      <c r="L2499" t="s">
        <v>39</v>
      </c>
      <c r="M2499" t="s">
        <v>38</v>
      </c>
      <c r="N2499" t="s">
        <v>37</v>
      </c>
      <c r="O2499" t="s">
        <v>39</v>
      </c>
      <c r="P2499" t="s">
        <v>38</v>
      </c>
      <c r="Q2499" t="s">
        <v>38</v>
      </c>
      <c r="R2499" t="s">
        <v>39</v>
      </c>
      <c r="S2499" t="s">
        <v>8191</v>
      </c>
      <c r="T2499" t="s">
        <v>8192</v>
      </c>
      <c r="U2499" t="s">
        <v>8084</v>
      </c>
      <c r="V2499" t="s">
        <v>8002</v>
      </c>
      <c r="W2499" t="s">
        <v>8085</v>
      </c>
      <c r="X2499" t="s">
        <v>46</v>
      </c>
      <c r="AC2499">
        <f>COUNTIF(C:C,QLKV_gui_ket_qua_ra_soat[[#This Row],[Mã điểm bán]])</f>
        <v>1</v>
      </c>
    </row>
    <row r="2500" spans="1:29" x14ac:dyDescent="0.45">
      <c r="A2500" t="s">
        <v>7995</v>
      </c>
      <c r="B2500">
        <v>293</v>
      </c>
      <c r="C2500" t="s">
        <v>8989</v>
      </c>
      <c r="D2500" t="s">
        <v>8990</v>
      </c>
      <c r="E2500" t="s">
        <v>529</v>
      </c>
      <c r="F2500" t="s">
        <v>53</v>
      </c>
      <c r="G2500" t="s">
        <v>34</v>
      </c>
      <c r="H2500" t="s">
        <v>1280</v>
      </c>
      <c r="I2500" t="s">
        <v>4572</v>
      </c>
      <c r="J2500" t="s">
        <v>775</v>
      </c>
      <c r="K2500" t="s">
        <v>775</v>
      </c>
      <c r="L2500" t="s">
        <v>39</v>
      </c>
      <c r="M2500" t="s">
        <v>56</v>
      </c>
      <c r="N2500" t="s">
        <v>56</v>
      </c>
      <c r="O2500" t="s">
        <v>39</v>
      </c>
      <c r="P2500" t="s">
        <v>38</v>
      </c>
      <c r="Q2500" t="s">
        <v>38</v>
      </c>
      <c r="R2500" t="s">
        <v>39</v>
      </c>
      <c r="S2500" t="s">
        <v>41</v>
      </c>
      <c r="T2500" t="s">
        <v>8238</v>
      </c>
      <c r="U2500" t="s">
        <v>8239</v>
      </c>
      <c r="V2500" t="s">
        <v>8002</v>
      </c>
      <c r="W2500" t="s">
        <v>8010</v>
      </c>
      <c r="X2500" t="s">
        <v>46</v>
      </c>
      <c r="AC2500">
        <f>COUNTIF(C:C,QLKV_gui_ket_qua_ra_soat[[#This Row],[Mã điểm bán]])</f>
        <v>1</v>
      </c>
    </row>
    <row r="2501" spans="1:29" x14ac:dyDescent="0.45">
      <c r="A2501" t="s">
        <v>7995</v>
      </c>
      <c r="B2501">
        <v>294</v>
      </c>
      <c r="C2501" t="s">
        <v>8991</v>
      </c>
      <c r="D2501" t="s">
        <v>4981</v>
      </c>
      <c r="E2501" t="s">
        <v>91</v>
      </c>
      <c r="F2501" t="s">
        <v>53</v>
      </c>
      <c r="G2501" t="s">
        <v>34</v>
      </c>
      <c r="H2501" t="s">
        <v>214</v>
      </c>
      <c r="I2501" t="s">
        <v>351</v>
      </c>
      <c r="J2501" t="s">
        <v>37</v>
      </c>
      <c r="K2501" t="s">
        <v>38</v>
      </c>
      <c r="L2501" t="s">
        <v>39</v>
      </c>
      <c r="M2501" t="s">
        <v>37</v>
      </c>
      <c r="N2501" t="s">
        <v>37</v>
      </c>
      <c r="O2501" t="s">
        <v>39</v>
      </c>
      <c r="P2501" t="s">
        <v>38</v>
      </c>
      <c r="Q2501" t="s">
        <v>38</v>
      </c>
      <c r="R2501" t="s">
        <v>40</v>
      </c>
      <c r="S2501" t="s">
        <v>41</v>
      </c>
      <c r="T2501" t="s">
        <v>8083</v>
      </c>
      <c r="U2501" t="s">
        <v>8084</v>
      </c>
      <c r="V2501" t="s">
        <v>8002</v>
      </c>
      <c r="W2501" t="s">
        <v>8085</v>
      </c>
      <c r="X2501" t="s">
        <v>46</v>
      </c>
      <c r="AC2501">
        <f>COUNTIF(C:C,QLKV_gui_ket_qua_ra_soat[[#This Row],[Mã điểm bán]])</f>
        <v>1</v>
      </c>
    </row>
    <row r="2502" spans="1:29" x14ac:dyDescent="0.45">
      <c r="A2502" t="s">
        <v>7995</v>
      </c>
      <c r="B2502">
        <v>295</v>
      </c>
      <c r="C2502" t="s">
        <v>8992</v>
      </c>
      <c r="D2502" t="s">
        <v>8993</v>
      </c>
      <c r="E2502" t="s">
        <v>219</v>
      </c>
      <c r="F2502" t="s">
        <v>53</v>
      </c>
      <c r="G2502" t="s">
        <v>34</v>
      </c>
      <c r="H2502" t="s">
        <v>54</v>
      </c>
      <c r="I2502" t="s">
        <v>8994</v>
      </c>
      <c r="J2502" t="s">
        <v>37</v>
      </c>
      <c r="K2502" t="s">
        <v>38</v>
      </c>
      <c r="L2502" t="s">
        <v>40</v>
      </c>
      <c r="M2502" t="s">
        <v>37</v>
      </c>
      <c r="N2502" t="s">
        <v>37</v>
      </c>
      <c r="O2502" t="s">
        <v>40</v>
      </c>
      <c r="P2502" t="s">
        <v>37</v>
      </c>
      <c r="Q2502" t="s">
        <v>38</v>
      </c>
      <c r="R2502" t="s">
        <v>40</v>
      </c>
      <c r="S2502" t="s">
        <v>627</v>
      </c>
      <c r="T2502" t="s">
        <v>8136</v>
      </c>
      <c r="U2502" t="s">
        <v>8137</v>
      </c>
      <c r="V2502" t="s">
        <v>8002</v>
      </c>
      <c r="W2502" t="s">
        <v>8085</v>
      </c>
      <c r="X2502" t="s">
        <v>46</v>
      </c>
      <c r="AC2502">
        <f>COUNTIF(C:C,QLKV_gui_ket_qua_ra_soat[[#This Row],[Mã điểm bán]])</f>
        <v>1</v>
      </c>
    </row>
    <row r="2503" spans="1:29" x14ac:dyDescent="0.45">
      <c r="A2503" t="s">
        <v>7995</v>
      </c>
      <c r="B2503">
        <v>296</v>
      </c>
      <c r="C2503" t="s">
        <v>8995</v>
      </c>
      <c r="D2503" t="s">
        <v>8996</v>
      </c>
      <c r="E2503" t="s">
        <v>142</v>
      </c>
      <c r="F2503" t="s">
        <v>325</v>
      </c>
      <c r="G2503" t="s">
        <v>34</v>
      </c>
      <c r="H2503" t="s">
        <v>54</v>
      </c>
      <c r="I2503" t="s">
        <v>8997</v>
      </c>
      <c r="J2503" t="s">
        <v>38</v>
      </c>
      <c r="K2503" t="s">
        <v>38</v>
      </c>
      <c r="L2503" t="s">
        <v>40</v>
      </c>
      <c r="M2503" t="s">
        <v>38</v>
      </c>
      <c r="N2503" t="s">
        <v>38</v>
      </c>
      <c r="O2503" t="s">
        <v>39</v>
      </c>
      <c r="P2503" t="s">
        <v>38</v>
      </c>
      <c r="Q2503" t="s">
        <v>38</v>
      </c>
      <c r="R2503" t="s">
        <v>40</v>
      </c>
      <c r="S2503" t="s">
        <v>41</v>
      </c>
      <c r="T2503" t="s">
        <v>8060</v>
      </c>
      <c r="U2503" t="s">
        <v>8016</v>
      </c>
      <c r="V2503" t="s">
        <v>8002</v>
      </c>
      <c r="W2503" t="s">
        <v>8003</v>
      </c>
      <c r="X2503" t="s">
        <v>46</v>
      </c>
      <c r="AC2503">
        <f>COUNTIF(C:C,QLKV_gui_ket_qua_ra_soat[[#This Row],[Mã điểm bán]])</f>
        <v>1</v>
      </c>
    </row>
    <row r="2504" spans="1:29" x14ac:dyDescent="0.45">
      <c r="A2504" t="s">
        <v>7995</v>
      </c>
      <c r="B2504">
        <v>297</v>
      </c>
      <c r="C2504" t="s">
        <v>8998</v>
      </c>
      <c r="D2504" t="s">
        <v>8999</v>
      </c>
      <c r="E2504" t="s">
        <v>6662</v>
      </c>
      <c r="F2504" t="s">
        <v>4395</v>
      </c>
      <c r="G2504" t="s">
        <v>34</v>
      </c>
      <c r="H2504" t="s">
        <v>1188</v>
      </c>
      <c r="I2504" t="s">
        <v>4989</v>
      </c>
      <c r="J2504" t="s">
        <v>56</v>
      </c>
      <c r="K2504" t="s">
        <v>38</v>
      </c>
      <c r="L2504" t="s">
        <v>39</v>
      </c>
      <c r="M2504" t="s">
        <v>37</v>
      </c>
      <c r="N2504" t="s">
        <v>37</v>
      </c>
      <c r="O2504" t="s">
        <v>121</v>
      </c>
      <c r="P2504" t="s">
        <v>38</v>
      </c>
      <c r="Q2504" t="s">
        <v>38</v>
      </c>
      <c r="R2504" t="s">
        <v>40</v>
      </c>
      <c r="S2504" t="s">
        <v>9000</v>
      </c>
      <c r="T2504" t="s">
        <v>8060</v>
      </c>
      <c r="U2504" t="s">
        <v>8016</v>
      </c>
      <c r="V2504" t="s">
        <v>8002</v>
      </c>
      <c r="W2504" t="s">
        <v>8003</v>
      </c>
      <c r="X2504" t="s">
        <v>46</v>
      </c>
      <c r="AC2504">
        <f>COUNTIF(C:C,QLKV_gui_ket_qua_ra_soat[[#This Row],[Mã điểm bán]])</f>
        <v>1</v>
      </c>
    </row>
    <row r="2505" spans="1:29" x14ac:dyDescent="0.45">
      <c r="A2505" t="s">
        <v>7995</v>
      </c>
      <c r="B2505">
        <v>298</v>
      </c>
      <c r="C2505" t="s">
        <v>9001</v>
      </c>
      <c r="D2505" t="s">
        <v>9002</v>
      </c>
      <c r="E2505" t="s">
        <v>190</v>
      </c>
      <c r="F2505" t="s">
        <v>53</v>
      </c>
      <c r="G2505" t="s">
        <v>34</v>
      </c>
      <c r="H2505" t="s">
        <v>54</v>
      </c>
      <c r="I2505" t="s">
        <v>9003</v>
      </c>
      <c r="J2505" t="s">
        <v>38</v>
      </c>
      <c r="K2505" t="s">
        <v>38</v>
      </c>
      <c r="L2505" t="s">
        <v>39</v>
      </c>
      <c r="M2505" t="s">
        <v>38</v>
      </c>
      <c r="N2505" t="s">
        <v>37</v>
      </c>
      <c r="O2505" t="s">
        <v>39</v>
      </c>
      <c r="P2505" t="s">
        <v>38</v>
      </c>
      <c r="Q2505" t="s">
        <v>38</v>
      </c>
      <c r="R2505" t="s">
        <v>39</v>
      </c>
      <c r="S2505" t="s">
        <v>8313</v>
      </c>
      <c r="T2505" t="s">
        <v>8192</v>
      </c>
      <c r="U2505" t="s">
        <v>8084</v>
      </c>
      <c r="V2505" t="s">
        <v>8002</v>
      </c>
      <c r="W2505" t="s">
        <v>8085</v>
      </c>
      <c r="X2505" t="s">
        <v>46</v>
      </c>
      <c r="AC2505">
        <f>COUNTIF(C:C,QLKV_gui_ket_qua_ra_soat[[#This Row],[Mã điểm bán]])</f>
        <v>1</v>
      </c>
    </row>
    <row r="2506" spans="1:29" x14ac:dyDescent="0.45">
      <c r="A2506" t="s">
        <v>7995</v>
      </c>
      <c r="B2506">
        <v>299</v>
      </c>
      <c r="C2506" t="s">
        <v>9004</v>
      </c>
      <c r="D2506" t="s">
        <v>6761</v>
      </c>
      <c r="E2506" t="s">
        <v>9005</v>
      </c>
      <c r="F2506" t="s">
        <v>3258</v>
      </c>
      <c r="G2506" t="s">
        <v>150</v>
      </c>
      <c r="H2506" t="s">
        <v>1494</v>
      </c>
      <c r="I2506" t="s">
        <v>9006</v>
      </c>
      <c r="J2506" t="s">
        <v>38</v>
      </c>
      <c r="K2506" t="s">
        <v>38</v>
      </c>
      <c r="L2506" t="s">
        <v>40</v>
      </c>
      <c r="M2506" t="s">
        <v>38</v>
      </c>
      <c r="N2506" t="s">
        <v>37</v>
      </c>
      <c r="O2506" t="s">
        <v>39</v>
      </c>
      <c r="P2506" t="s">
        <v>38</v>
      </c>
      <c r="Q2506" t="s">
        <v>38</v>
      </c>
      <c r="R2506" t="s">
        <v>39</v>
      </c>
      <c r="S2506" t="s">
        <v>8540</v>
      </c>
      <c r="T2506" t="s">
        <v>8192</v>
      </c>
      <c r="U2506" t="s">
        <v>8084</v>
      </c>
      <c r="V2506" t="s">
        <v>8002</v>
      </c>
      <c r="W2506" t="s">
        <v>8085</v>
      </c>
      <c r="X2506" t="s">
        <v>46</v>
      </c>
      <c r="AC2506">
        <f>COUNTIF(C:C,QLKV_gui_ket_qua_ra_soat[[#This Row],[Mã điểm bán]])</f>
        <v>1</v>
      </c>
    </row>
    <row r="2507" spans="1:29" x14ac:dyDescent="0.45">
      <c r="A2507" t="s">
        <v>7995</v>
      </c>
      <c r="B2507">
        <v>300</v>
      </c>
      <c r="C2507" t="s">
        <v>9007</v>
      </c>
      <c r="D2507" t="s">
        <v>2963</v>
      </c>
      <c r="E2507" t="s">
        <v>74</v>
      </c>
      <c r="F2507" t="s">
        <v>9008</v>
      </c>
      <c r="G2507" t="s">
        <v>34</v>
      </c>
      <c r="H2507" t="s">
        <v>457</v>
      </c>
      <c r="J2507" t="s">
        <v>56</v>
      </c>
      <c r="K2507" t="s">
        <v>38</v>
      </c>
      <c r="L2507" t="s">
        <v>39</v>
      </c>
      <c r="M2507" t="s">
        <v>56</v>
      </c>
      <c r="N2507" t="s">
        <v>37</v>
      </c>
      <c r="O2507" t="s">
        <v>39</v>
      </c>
      <c r="P2507" t="s">
        <v>38</v>
      </c>
      <c r="Q2507" t="s">
        <v>38</v>
      </c>
      <c r="R2507" t="s">
        <v>40</v>
      </c>
      <c r="S2507" t="s">
        <v>41</v>
      </c>
      <c r="T2507" t="s">
        <v>8008</v>
      </c>
      <c r="U2507" t="s">
        <v>8009</v>
      </c>
      <c r="V2507" t="s">
        <v>8002</v>
      </c>
      <c r="W2507" t="s">
        <v>8010</v>
      </c>
      <c r="X2507" t="s">
        <v>46</v>
      </c>
      <c r="AC2507">
        <f>COUNTIF(C:C,QLKV_gui_ket_qua_ra_soat[[#This Row],[Mã điểm bán]])</f>
        <v>1</v>
      </c>
    </row>
    <row r="2508" spans="1:29" x14ac:dyDescent="0.45">
      <c r="A2508" t="s">
        <v>7995</v>
      </c>
      <c r="B2508">
        <v>301</v>
      </c>
      <c r="C2508" t="s">
        <v>9009</v>
      </c>
      <c r="D2508" t="s">
        <v>7635</v>
      </c>
      <c r="E2508" t="s">
        <v>9010</v>
      </c>
      <c r="F2508" t="s">
        <v>166</v>
      </c>
      <c r="G2508" t="s">
        <v>34</v>
      </c>
      <c r="H2508" t="s">
        <v>54</v>
      </c>
      <c r="I2508" t="s">
        <v>4989</v>
      </c>
      <c r="J2508" t="s">
        <v>37</v>
      </c>
      <c r="K2508" t="s">
        <v>56</v>
      </c>
      <c r="L2508" t="s">
        <v>39</v>
      </c>
      <c r="M2508" t="s">
        <v>38</v>
      </c>
      <c r="N2508" t="s">
        <v>38</v>
      </c>
      <c r="O2508" t="s">
        <v>39</v>
      </c>
      <c r="P2508" t="s">
        <v>38</v>
      </c>
      <c r="Q2508" t="s">
        <v>38</v>
      </c>
      <c r="R2508" t="s">
        <v>40</v>
      </c>
      <c r="S2508" t="s">
        <v>9011</v>
      </c>
      <c r="T2508" t="s">
        <v>8060</v>
      </c>
      <c r="U2508" t="s">
        <v>8016</v>
      </c>
      <c r="V2508" t="s">
        <v>8002</v>
      </c>
      <c r="W2508" t="s">
        <v>8003</v>
      </c>
      <c r="X2508" t="s">
        <v>46</v>
      </c>
      <c r="AC2508">
        <f>COUNTIF(C:C,QLKV_gui_ket_qua_ra_soat[[#This Row],[Mã điểm bán]])</f>
        <v>1</v>
      </c>
    </row>
    <row r="2509" spans="1:29" x14ac:dyDescent="0.45">
      <c r="A2509" t="s">
        <v>7995</v>
      </c>
      <c r="B2509">
        <v>302</v>
      </c>
      <c r="C2509" t="s">
        <v>9012</v>
      </c>
      <c r="D2509" t="s">
        <v>9013</v>
      </c>
      <c r="E2509" t="s">
        <v>3866</v>
      </c>
      <c r="F2509" t="s">
        <v>401</v>
      </c>
      <c r="G2509" t="s">
        <v>34</v>
      </c>
      <c r="H2509" t="s">
        <v>863</v>
      </c>
      <c r="I2509" t="s">
        <v>9014</v>
      </c>
      <c r="J2509" t="s">
        <v>56</v>
      </c>
      <c r="K2509" t="s">
        <v>38</v>
      </c>
      <c r="L2509" t="s">
        <v>40</v>
      </c>
      <c r="M2509" t="s">
        <v>56</v>
      </c>
      <c r="N2509" t="s">
        <v>37</v>
      </c>
      <c r="O2509" t="s">
        <v>39</v>
      </c>
      <c r="P2509" t="s">
        <v>38</v>
      </c>
      <c r="Q2509" t="s">
        <v>38</v>
      </c>
      <c r="R2509" t="s">
        <v>40</v>
      </c>
      <c r="S2509" t="s">
        <v>9015</v>
      </c>
      <c r="T2509" t="s">
        <v>8015</v>
      </c>
      <c r="U2509" t="s">
        <v>8016</v>
      </c>
      <c r="V2509" t="s">
        <v>8002</v>
      </c>
      <c r="W2509" t="s">
        <v>8003</v>
      </c>
      <c r="X2509" t="s">
        <v>46</v>
      </c>
      <c r="AC2509">
        <f>COUNTIF(C:C,QLKV_gui_ket_qua_ra_soat[[#This Row],[Mã điểm bán]])</f>
        <v>1</v>
      </c>
    </row>
    <row r="2510" spans="1:29" x14ac:dyDescent="0.45">
      <c r="A2510" t="s">
        <v>7995</v>
      </c>
      <c r="B2510">
        <v>303</v>
      </c>
      <c r="C2510" t="s">
        <v>9016</v>
      </c>
      <c r="D2510" t="s">
        <v>9017</v>
      </c>
      <c r="E2510" t="s">
        <v>190</v>
      </c>
      <c r="F2510" t="s">
        <v>166</v>
      </c>
      <c r="G2510" t="s">
        <v>34</v>
      </c>
      <c r="H2510" t="s">
        <v>54</v>
      </c>
      <c r="I2510" t="s">
        <v>9018</v>
      </c>
      <c r="J2510" t="s">
        <v>38</v>
      </c>
      <c r="K2510" t="s">
        <v>38</v>
      </c>
      <c r="L2510" t="s">
        <v>40</v>
      </c>
      <c r="M2510" t="s">
        <v>38</v>
      </c>
      <c r="N2510" t="s">
        <v>38</v>
      </c>
      <c r="O2510" t="s">
        <v>40</v>
      </c>
      <c r="P2510" t="s">
        <v>38</v>
      </c>
      <c r="Q2510" t="s">
        <v>38</v>
      </c>
      <c r="R2510" t="s">
        <v>39</v>
      </c>
      <c r="S2510" t="s">
        <v>8313</v>
      </c>
      <c r="T2510" t="s">
        <v>8192</v>
      </c>
      <c r="U2510" t="s">
        <v>8084</v>
      </c>
      <c r="V2510" t="s">
        <v>8002</v>
      </c>
      <c r="W2510" t="s">
        <v>8085</v>
      </c>
      <c r="X2510" t="s">
        <v>46</v>
      </c>
      <c r="AC2510">
        <f>COUNTIF(C:C,QLKV_gui_ket_qua_ra_soat[[#This Row],[Mã điểm bán]])</f>
        <v>1</v>
      </c>
    </row>
    <row r="2511" spans="1:29" x14ac:dyDescent="0.45">
      <c r="A2511" t="s">
        <v>7995</v>
      </c>
      <c r="B2511">
        <v>304</v>
      </c>
      <c r="C2511" t="s">
        <v>9019</v>
      </c>
      <c r="D2511" t="s">
        <v>9020</v>
      </c>
      <c r="E2511" t="s">
        <v>9021</v>
      </c>
      <c r="F2511" t="s">
        <v>9022</v>
      </c>
      <c r="G2511" t="s">
        <v>34</v>
      </c>
      <c r="H2511" t="s">
        <v>345</v>
      </c>
      <c r="I2511" t="s">
        <v>9023</v>
      </c>
      <c r="J2511" t="s">
        <v>37</v>
      </c>
      <c r="K2511" t="s">
        <v>56</v>
      </c>
      <c r="L2511" t="s">
        <v>39</v>
      </c>
      <c r="M2511" t="s">
        <v>775</v>
      </c>
      <c r="N2511" t="s">
        <v>1034</v>
      </c>
      <c r="O2511" t="s">
        <v>121</v>
      </c>
      <c r="P2511" t="s">
        <v>56</v>
      </c>
      <c r="Q2511" t="s">
        <v>37</v>
      </c>
      <c r="R2511" t="s">
        <v>39</v>
      </c>
      <c r="S2511" t="s">
        <v>9024</v>
      </c>
      <c r="T2511" t="s">
        <v>8105</v>
      </c>
      <c r="U2511" t="s">
        <v>8016</v>
      </c>
      <c r="V2511" t="s">
        <v>8002</v>
      </c>
      <c r="W2511" t="s">
        <v>8003</v>
      </c>
      <c r="X2511" t="s">
        <v>46</v>
      </c>
      <c r="AC2511">
        <f>COUNTIF(C:C,QLKV_gui_ket_qua_ra_soat[[#This Row],[Mã điểm bán]])</f>
        <v>1</v>
      </c>
    </row>
    <row r="2512" spans="1:29" x14ac:dyDescent="0.45">
      <c r="A2512" t="s">
        <v>7995</v>
      </c>
      <c r="B2512">
        <v>305</v>
      </c>
      <c r="C2512" t="s">
        <v>9025</v>
      </c>
      <c r="D2512" t="s">
        <v>9026</v>
      </c>
      <c r="E2512" t="s">
        <v>113</v>
      </c>
      <c r="F2512" t="s">
        <v>417</v>
      </c>
      <c r="G2512" t="s">
        <v>34</v>
      </c>
      <c r="H2512" t="s">
        <v>1483</v>
      </c>
      <c r="I2512" t="s">
        <v>9027</v>
      </c>
      <c r="J2512" t="s">
        <v>38</v>
      </c>
      <c r="K2512" t="s">
        <v>56</v>
      </c>
      <c r="L2512" t="s">
        <v>39</v>
      </c>
      <c r="M2512" t="s">
        <v>775</v>
      </c>
      <c r="N2512" t="s">
        <v>56</v>
      </c>
      <c r="O2512" t="s">
        <v>39</v>
      </c>
      <c r="P2512" t="s">
        <v>38</v>
      </c>
      <c r="Q2512" t="s">
        <v>38</v>
      </c>
      <c r="R2512" t="s">
        <v>40</v>
      </c>
      <c r="S2512" t="s">
        <v>9028</v>
      </c>
      <c r="T2512" t="s">
        <v>8015</v>
      </c>
      <c r="U2512" t="s">
        <v>8016</v>
      </c>
      <c r="V2512" t="s">
        <v>8002</v>
      </c>
      <c r="W2512" t="s">
        <v>8003</v>
      </c>
      <c r="X2512" t="s">
        <v>46</v>
      </c>
      <c r="AC2512">
        <f>COUNTIF(C:C,QLKV_gui_ket_qua_ra_soat[[#This Row],[Mã điểm bán]])</f>
        <v>1</v>
      </c>
    </row>
    <row r="2513" spans="1:29" x14ac:dyDescent="0.45">
      <c r="A2513" t="s">
        <v>7995</v>
      </c>
      <c r="B2513">
        <v>306</v>
      </c>
      <c r="C2513" t="s">
        <v>9029</v>
      </c>
      <c r="D2513" t="s">
        <v>9030</v>
      </c>
      <c r="E2513" t="s">
        <v>371</v>
      </c>
      <c r="F2513" t="s">
        <v>3522</v>
      </c>
      <c r="G2513" t="s">
        <v>34</v>
      </c>
      <c r="H2513" t="s">
        <v>1263</v>
      </c>
      <c r="I2513" t="s">
        <v>9031</v>
      </c>
      <c r="J2513" t="s">
        <v>38</v>
      </c>
      <c r="K2513" t="s">
        <v>38</v>
      </c>
      <c r="L2513" t="s">
        <v>40</v>
      </c>
      <c r="M2513" t="s">
        <v>56</v>
      </c>
      <c r="N2513" t="s">
        <v>38</v>
      </c>
      <c r="O2513" t="s">
        <v>39</v>
      </c>
      <c r="P2513" t="s">
        <v>38</v>
      </c>
      <c r="Q2513" t="s">
        <v>38</v>
      </c>
      <c r="R2513" t="s">
        <v>40</v>
      </c>
      <c r="S2513" t="s">
        <v>9032</v>
      </c>
      <c r="T2513" t="s">
        <v>8015</v>
      </c>
      <c r="U2513" t="s">
        <v>8016</v>
      </c>
      <c r="V2513" t="s">
        <v>8002</v>
      </c>
      <c r="W2513" t="s">
        <v>8003</v>
      </c>
      <c r="X2513" t="s">
        <v>46</v>
      </c>
      <c r="AC2513">
        <f>COUNTIF(C:C,QLKV_gui_ket_qua_ra_soat[[#This Row],[Mã điểm bán]])</f>
        <v>1</v>
      </c>
    </row>
    <row r="2514" spans="1:29" x14ac:dyDescent="0.45">
      <c r="A2514" t="s">
        <v>7995</v>
      </c>
      <c r="B2514">
        <v>307</v>
      </c>
      <c r="C2514" t="s">
        <v>9033</v>
      </c>
      <c r="D2514" t="s">
        <v>9034</v>
      </c>
      <c r="E2514" t="s">
        <v>5967</v>
      </c>
      <c r="F2514" t="s">
        <v>2089</v>
      </c>
      <c r="G2514" t="s">
        <v>34</v>
      </c>
      <c r="H2514" t="s">
        <v>54</v>
      </c>
      <c r="I2514" t="s">
        <v>9035</v>
      </c>
      <c r="J2514" t="s">
        <v>38</v>
      </c>
      <c r="K2514" t="s">
        <v>38</v>
      </c>
      <c r="L2514" t="s">
        <v>40</v>
      </c>
      <c r="M2514" t="s">
        <v>38</v>
      </c>
      <c r="N2514" t="s">
        <v>56</v>
      </c>
      <c r="O2514" t="s">
        <v>39</v>
      </c>
      <c r="P2514" t="s">
        <v>38</v>
      </c>
      <c r="Q2514" t="s">
        <v>38</v>
      </c>
      <c r="R2514" t="s">
        <v>40</v>
      </c>
      <c r="S2514" t="s">
        <v>9036</v>
      </c>
      <c r="T2514" t="s">
        <v>8015</v>
      </c>
      <c r="U2514" t="s">
        <v>8016</v>
      </c>
      <c r="V2514" t="s">
        <v>8002</v>
      </c>
      <c r="W2514" t="s">
        <v>8003</v>
      </c>
      <c r="X2514" t="s">
        <v>46</v>
      </c>
      <c r="AC2514">
        <f>COUNTIF(C:C,QLKV_gui_ket_qua_ra_soat[[#This Row],[Mã điểm bán]])</f>
        <v>1</v>
      </c>
    </row>
    <row r="2515" spans="1:29" x14ac:dyDescent="0.45">
      <c r="A2515" t="s">
        <v>7995</v>
      </c>
      <c r="B2515">
        <v>308</v>
      </c>
      <c r="C2515" t="s">
        <v>9037</v>
      </c>
      <c r="D2515" t="s">
        <v>9038</v>
      </c>
      <c r="E2515" t="s">
        <v>6877</v>
      </c>
      <c r="F2515" t="s">
        <v>2178</v>
      </c>
      <c r="G2515" t="s">
        <v>34</v>
      </c>
      <c r="H2515" t="s">
        <v>842</v>
      </c>
      <c r="I2515" t="s">
        <v>9039</v>
      </c>
      <c r="J2515" t="s">
        <v>38</v>
      </c>
      <c r="K2515" t="s">
        <v>38</v>
      </c>
      <c r="L2515" t="s">
        <v>40</v>
      </c>
      <c r="M2515" t="s">
        <v>56</v>
      </c>
      <c r="N2515" t="s">
        <v>38</v>
      </c>
      <c r="O2515" t="s">
        <v>40</v>
      </c>
      <c r="P2515" t="s">
        <v>38</v>
      </c>
      <c r="Q2515" t="s">
        <v>38</v>
      </c>
      <c r="R2515" t="s">
        <v>40</v>
      </c>
      <c r="S2515" t="s">
        <v>9040</v>
      </c>
      <c r="T2515" t="s">
        <v>8015</v>
      </c>
      <c r="U2515" t="s">
        <v>8016</v>
      </c>
      <c r="V2515" t="s">
        <v>8002</v>
      </c>
      <c r="W2515" t="s">
        <v>8003</v>
      </c>
      <c r="X2515" t="s">
        <v>46</v>
      </c>
      <c r="AC2515">
        <f>COUNTIF(C:C,QLKV_gui_ket_qua_ra_soat[[#This Row],[Mã điểm bán]])</f>
        <v>1</v>
      </c>
    </row>
    <row r="2516" spans="1:29" x14ac:dyDescent="0.45">
      <c r="A2516" t="s">
        <v>7995</v>
      </c>
      <c r="B2516">
        <v>309</v>
      </c>
      <c r="C2516" t="s">
        <v>9041</v>
      </c>
      <c r="D2516" t="s">
        <v>9042</v>
      </c>
      <c r="E2516" t="s">
        <v>9043</v>
      </c>
      <c r="F2516" t="s">
        <v>9044</v>
      </c>
      <c r="G2516" t="s">
        <v>34</v>
      </c>
      <c r="H2516" t="s">
        <v>319</v>
      </c>
      <c r="I2516" t="s">
        <v>9045</v>
      </c>
      <c r="J2516" t="s">
        <v>56</v>
      </c>
      <c r="K2516" t="s">
        <v>56</v>
      </c>
      <c r="L2516" t="s">
        <v>39</v>
      </c>
      <c r="M2516" t="s">
        <v>56</v>
      </c>
      <c r="N2516" t="s">
        <v>775</v>
      </c>
      <c r="O2516" t="s">
        <v>39</v>
      </c>
      <c r="P2516" t="s">
        <v>37</v>
      </c>
      <c r="Q2516" t="s">
        <v>37</v>
      </c>
      <c r="R2516" t="s">
        <v>39</v>
      </c>
      <c r="S2516" t="s">
        <v>41</v>
      </c>
      <c r="T2516" t="s">
        <v>8105</v>
      </c>
      <c r="U2516" t="s">
        <v>8016</v>
      </c>
      <c r="V2516" t="s">
        <v>8002</v>
      </c>
      <c r="W2516" t="s">
        <v>8003</v>
      </c>
      <c r="Y2516" t="s">
        <v>46</v>
      </c>
      <c r="AC2516">
        <f>COUNTIF(C:C,QLKV_gui_ket_qua_ra_soat[[#This Row],[Mã điểm bán]])</f>
        <v>1</v>
      </c>
    </row>
    <row r="2517" spans="1:29" x14ac:dyDescent="0.45">
      <c r="A2517" t="s">
        <v>7995</v>
      </c>
      <c r="B2517">
        <v>310</v>
      </c>
      <c r="C2517" t="s">
        <v>9046</v>
      </c>
      <c r="D2517" t="s">
        <v>7901</v>
      </c>
      <c r="E2517" t="s">
        <v>9047</v>
      </c>
      <c r="F2517" t="s">
        <v>53</v>
      </c>
      <c r="G2517" t="s">
        <v>34</v>
      </c>
      <c r="H2517" t="s">
        <v>54</v>
      </c>
      <c r="I2517" t="s">
        <v>9048</v>
      </c>
      <c r="J2517" t="s">
        <v>38</v>
      </c>
      <c r="K2517" t="s">
        <v>38</v>
      </c>
      <c r="L2517" t="s">
        <v>40</v>
      </c>
      <c r="M2517" t="s">
        <v>1034</v>
      </c>
      <c r="N2517" t="s">
        <v>56</v>
      </c>
      <c r="O2517" t="s">
        <v>39</v>
      </c>
      <c r="P2517" t="s">
        <v>38</v>
      </c>
      <c r="Q2517" t="s">
        <v>38</v>
      </c>
      <c r="R2517" t="s">
        <v>40</v>
      </c>
      <c r="S2517" t="s">
        <v>9049</v>
      </c>
      <c r="T2517" t="s">
        <v>8015</v>
      </c>
      <c r="U2517" t="s">
        <v>8016</v>
      </c>
      <c r="V2517" t="s">
        <v>8002</v>
      </c>
      <c r="W2517" t="s">
        <v>8003</v>
      </c>
      <c r="X2517" t="s">
        <v>46</v>
      </c>
      <c r="AC2517">
        <f>COUNTIF(C:C,QLKV_gui_ket_qua_ra_soat[[#This Row],[Mã điểm bán]])</f>
        <v>1</v>
      </c>
    </row>
    <row r="2518" spans="1:29" x14ac:dyDescent="0.45">
      <c r="A2518" t="s">
        <v>7995</v>
      </c>
      <c r="B2518">
        <v>311</v>
      </c>
      <c r="C2518" t="s">
        <v>9050</v>
      </c>
      <c r="D2518" t="s">
        <v>9051</v>
      </c>
      <c r="E2518" t="s">
        <v>728</v>
      </c>
      <c r="F2518" t="s">
        <v>1160</v>
      </c>
      <c r="G2518" t="s">
        <v>34</v>
      </c>
      <c r="H2518" t="s">
        <v>54</v>
      </c>
      <c r="I2518" t="s">
        <v>9052</v>
      </c>
      <c r="J2518" t="s">
        <v>38</v>
      </c>
      <c r="K2518" t="s">
        <v>38</v>
      </c>
      <c r="L2518" t="s">
        <v>40</v>
      </c>
      <c r="M2518" t="s">
        <v>56</v>
      </c>
      <c r="N2518" t="s">
        <v>775</v>
      </c>
      <c r="O2518" t="s">
        <v>40</v>
      </c>
      <c r="P2518" t="s">
        <v>38</v>
      </c>
      <c r="Q2518" t="s">
        <v>38</v>
      </c>
      <c r="R2518" t="s">
        <v>40</v>
      </c>
      <c r="S2518" t="s">
        <v>9053</v>
      </c>
      <c r="T2518" t="s">
        <v>8015</v>
      </c>
      <c r="U2518" t="s">
        <v>8016</v>
      </c>
      <c r="V2518" t="s">
        <v>8002</v>
      </c>
      <c r="W2518" t="s">
        <v>8003</v>
      </c>
      <c r="X2518" t="s">
        <v>46</v>
      </c>
      <c r="AC2518">
        <f>COUNTIF(C:C,QLKV_gui_ket_qua_ra_soat[[#This Row],[Mã điểm bán]])</f>
        <v>1</v>
      </c>
    </row>
    <row r="2519" spans="1:29" x14ac:dyDescent="0.45">
      <c r="A2519" t="s">
        <v>7995</v>
      </c>
      <c r="B2519">
        <v>312</v>
      </c>
      <c r="C2519" t="s">
        <v>9054</v>
      </c>
      <c r="D2519" t="s">
        <v>9055</v>
      </c>
      <c r="E2519" t="s">
        <v>9056</v>
      </c>
      <c r="F2519" t="s">
        <v>9057</v>
      </c>
      <c r="G2519" t="s">
        <v>34</v>
      </c>
      <c r="H2519" t="s">
        <v>685</v>
      </c>
      <c r="I2519" t="s">
        <v>4709</v>
      </c>
      <c r="J2519" t="s">
        <v>38</v>
      </c>
      <c r="K2519" t="s">
        <v>38</v>
      </c>
      <c r="L2519" t="s">
        <v>40</v>
      </c>
      <c r="M2519" t="s">
        <v>38</v>
      </c>
      <c r="N2519" t="s">
        <v>38</v>
      </c>
      <c r="O2519" t="s">
        <v>39</v>
      </c>
      <c r="P2519" t="s">
        <v>38</v>
      </c>
      <c r="Q2519" t="s">
        <v>38</v>
      </c>
      <c r="R2519" t="s">
        <v>40</v>
      </c>
      <c r="S2519" t="s">
        <v>41</v>
      </c>
      <c r="T2519" t="s">
        <v>8060</v>
      </c>
      <c r="U2519" t="s">
        <v>8016</v>
      </c>
      <c r="V2519" t="s">
        <v>8002</v>
      </c>
      <c r="W2519" t="s">
        <v>8003</v>
      </c>
      <c r="Z2519" t="s">
        <v>46</v>
      </c>
      <c r="AA2519" t="s">
        <v>8060</v>
      </c>
      <c r="AC2519">
        <f>COUNTIF(C:C,QLKV_gui_ket_qua_ra_soat[[#This Row],[Mã điểm bán]])</f>
        <v>1</v>
      </c>
    </row>
    <row r="2520" spans="1:29" x14ac:dyDescent="0.45">
      <c r="A2520" t="s">
        <v>7995</v>
      </c>
      <c r="B2520">
        <v>313</v>
      </c>
      <c r="C2520" t="s">
        <v>9058</v>
      </c>
      <c r="D2520" t="s">
        <v>9059</v>
      </c>
      <c r="E2520" t="s">
        <v>157</v>
      </c>
      <c r="F2520" t="s">
        <v>53</v>
      </c>
      <c r="G2520" t="s">
        <v>34</v>
      </c>
      <c r="H2520" t="s">
        <v>54</v>
      </c>
      <c r="I2520" t="s">
        <v>9060</v>
      </c>
      <c r="J2520" t="s">
        <v>37</v>
      </c>
      <c r="K2520" t="s">
        <v>38</v>
      </c>
      <c r="L2520" t="s">
        <v>39</v>
      </c>
      <c r="M2520" t="s">
        <v>37</v>
      </c>
      <c r="N2520" t="s">
        <v>37</v>
      </c>
      <c r="O2520" t="s">
        <v>39</v>
      </c>
      <c r="P2520" t="s">
        <v>37</v>
      </c>
      <c r="Q2520" t="s">
        <v>38</v>
      </c>
      <c r="R2520" t="s">
        <v>39</v>
      </c>
      <c r="S2520" t="s">
        <v>41</v>
      </c>
      <c r="T2520" t="s">
        <v>8083</v>
      </c>
      <c r="U2520" t="s">
        <v>8084</v>
      </c>
      <c r="V2520" t="s">
        <v>8002</v>
      </c>
      <c r="W2520" t="s">
        <v>8085</v>
      </c>
      <c r="X2520" t="s">
        <v>46</v>
      </c>
      <c r="AC2520">
        <f>COUNTIF(C:C,QLKV_gui_ket_qua_ra_soat[[#This Row],[Mã điểm bán]])</f>
        <v>1</v>
      </c>
    </row>
    <row r="2521" spans="1:29" x14ac:dyDescent="0.45">
      <c r="A2521" t="s">
        <v>7995</v>
      </c>
      <c r="B2521">
        <v>314</v>
      </c>
      <c r="C2521" t="s">
        <v>9061</v>
      </c>
      <c r="D2521" t="s">
        <v>9062</v>
      </c>
      <c r="E2521" t="s">
        <v>148</v>
      </c>
      <c r="F2521" t="s">
        <v>53</v>
      </c>
      <c r="G2521" t="s">
        <v>34</v>
      </c>
      <c r="H2521" t="s">
        <v>565</v>
      </c>
      <c r="I2521" t="s">
        <v>2049</v>
      </c>
      <c r="J2521" t="s">
        <v>37</v>
      </c>
      <c r="K2521" t="s">
        <v>38</v>
      </c>
      <c r="L2521" t="s">
        <v>39</v>
      </c>
      <c r="M2521" t="s">
        <v>37</v>
      </c>
      <c r="N2521" t="s">
        <v>38</v>
      </c>
      <c r="O2521" t="s">
        <v>39</v>
      </c>
      <c r="P2521" t="s">
        <v>38</v>
      </c>
      <c r="Q2521" t="s">
        <v>37</v>
      </c>
      <c r="R2521" t="s">
        <v>39</v>
      </c>
      <c r="S2521" t="s">
        <v>41</v>
      </c>
      <c r="T2521" t="s">
        <v>8083</v>
      </c>
      <c r="U2521" t="s">
        <v>8084</v>
      </c>
      <c r="V2521" t="s">
        <v>8002</v>
      </c>
      <c r="W2521" t="s">
        <v>8085</v>
      </c>
      <c r="X2521" t="s">
        <v>46</v>
      </c>
      <c r="AC2521">
        <f>COUNTIF(C:C,QLKV_gui_ket_qua_ra_soat[[#This Row],[Mã điểm bán]])</f>
        <v>1</v>
      </c>
    </row>
    <row r="2522" spans="1:29" x14ac:dyDescent="0.45">
      <c r="A2522" t="s">
        <v>7995</v>
      </c>
      <c r="B2522">
        <v>315</v>
      </c>
      <c r="C2522" t="s">
        <v>9063</v>
      </c>
      <c r="D2522" t="s">
        <v>9064</v>
      </c>
      <c r="E2522" t="s">
        <v>176</v>
      </c>
      <c r="F2522" t="s">
        <v>600</v>
      </c>
      <c r="G2522" t="s">
        <v>34</v>
      </c>
      <c r="H2522" t="s">
        <v>54</v>
      </c>
      <c r="I2522" t="s">
        <v>9065</v>
      </c>
      <c r="J2522" t="s">
        <v>37</v>
      </c>
      <c r="K2522" t="s">
        <v>38</v>
      </c>
      <c r="L2522" t="s">
        <v>40</v>
      </c>
      <c r="M2522" t="s">
        <v>1034</v>
      </c>
      <c r="N2522" t="s">
        <v>1034</v>
      </c>
      <c r="O2522" t="s">
        <v>39</v>
      </c>
      <c r="P2522" t="s">
        <v>38</v>
      </c>
      <c r="Q2522" t="s">
        <v>38</v>
      </c>
      <c r="R2522" t="s">
        <v>39</v>
      </c>
      <c r="S2522" t="s">
        <v>9066</v>
      </c>
      <c r="T2522" t="s">
        <v>8015</v>
      </c>
      <c r="U2522" t="s">
        <v>8016</v>
      </c>
      <c r="V2522" t="s">
        <v>8002</v>
      </c>
      <c r="W2522" t="s">
        <v>8003</v>
      </c>
      <c r="X2522" t="s">
        <v>46</v>
      </c>
      <c r="AC2522">
        <f>COUNTIF(C:C,QLKV_gui_ket_qua_ra_soat[[#This Row],[Mã điểm bán]])</f>
        <v>1</v>
      </c>
    </row>
    <row r="2523" spans="1:29" x14ac:dyDescent="0.45">
      <c r="A2523" t="s">
        <v>7995</v>
      </c>
      <c r="B2523">
        <v>316</v>
      </c>
      <c r="C2523" t="s">
        <v>9067</v>
      </c>
      <c r="D2523" t="s">
        <v>9068</v>
      </c>
      <c r="E2523" t="s">
        <v>291</v>
      </c>
      <c r="F2523" t="s">
        <v>5415</v>
      </c>
      <c r="G2523" t="s">
        <v>34</v>
      </c>
      <c r="H2523" t="s">
        <v>402</v>
      </c>
      <c r="I2523" t="s">
        <v>9069</v>
      </c>
      <c r="J2523" t="s">
        <v>38</v>
      </c>
      <c r="K2523" t="s">
        <v>38</v>
      </c>
      <c r="L2523" t="s">
        <v>40</v>
      </c>
      <c r="M2523" t="s">
        <v>1034</v>
      </c>
      <c r="N2523" t="s">
        <v>1034</v>
      </c>
      <c r="O2523" t="s">
        <v>39</v>
      </c>
      <c r="P2523" t="s">
        <v>38</v>
      </c>
      <c r="Q2523" t="s">
        <v>38</v>
      </c>
      <c r="R2523" t="s">
        <v>39</v>
      </c>
      <c r="S2523" t="s">
        <v>9070</v>
      </c>
      <c r="T2523" t="s">
        <v>8015</v>
      </c>
      <c r="U2523" t="s">
        <v>8016</v>
      </c>
      <c r="V2523" t="s">
        <v>8002</v>
      </c>
      <c r="W2523" t="s">
        <v>8003</v>
      </c>
      <c r="X2523" t="s">
        <v>46</v>
      </c>
      <c r="AC2523">
        <f>COUNTIF(C:C,QLKV_gui_ket_qua_ra_soat[[#This Row],[Mã điểm bán]])</f>
        <v>1</v>
      </c>
    </row>
    <row r="2524" spans="1:29" x14ac:dyDescent="0.45">
      <c r="A2524" t="s">
        <v>7995</v>
      </c>
      <c r="B2524">
        <v>317</v>
      </c>
      <c r="C2524" t="s">
        <v>9071</v>
      </c>
      <c r="D2524" t="s">
        <v>9072</v>
      </c>
      <c r="E2524" t="s">
        <v>9073</v>
      </c>
      <c r="F2524" t="s">
        <v>53</v>
      </c>
      <c r="G2524" t="s">
        <v>34</v>
      </c>
      <c r="H2524" t="s">
        <v>697</v>
      </c>
      <c r="I2524" t="s">
        <v>9074</v>
      </c>
      <c r="J2524" t="s">
        <v>56</v>
      </c>
      <c r="K2524" t="s">
        <v>56</v>
      </c>
      <c r="L2524" t="s">
        <v>39</v>
      </c>
      <c r="M2524" t="s">
        <v>37</v>
      </c>
      <c r="N2524" t="s">
        <v>56</v>
      </c>
      <c r="O2524" t="s">
        <v>39</v>
      </c>
      <c r="P2524" t="s">
        <v>37</v>
      </c>
      <c r="Q2524" t="s">
        <v>37</v>
      </c>
      <c r="R2524" t="s">
        <v>39</v>
      </c>
      <c r="S2524" t="s">
        <v>41</v>
      </c>
      <c r="T2524" t="s">
        <v>8105</v>
      </c>
      <c r="U2524" t="s">
        <v>8016</v>
      </c>
      <c r="V2524" t="s">
        <v>8002</v>
      </c>
      <c r="W2524" t="s">
        <v>8003</v>
      </c>
      <c r="X2524" t="s">
        <v>46</v>
      </c>
      <c r="AC2524">
        <f>COUNTIF(C:C,QLKV_gui_ket_qua_ra_soat[[#This Row],[Mã điểm bán]])</f>
        <v>1</v>
      </c>
    </row>
    <row r="2525" spans="1:29" x14ac:dyDescent="0.45">
      <c r="A2525" t="s">
        <v>7995</v>
      </c>
      <c r="B2525">
        <v>318</v>
      </c>
      <c r="C2525" t="s">
        <v>9075</v>
      </c>
      <c r="D2525" t="s">
        <v>9076</v>
      </c>
      <c r="E2525" t="s">
        <v>323</v>
      </c>
      <c r="F2525" t="s">
        <v>325</v>
      </c>
      <c r="G2525" t="s">
        <v>34</v>
      </c>
      <c r="H2525" t="s">
        <v>171</v>
      </c>
      <c r="I2525" t="s">
        <v>9077</v>
      </c>
      <c r="J2525" t="s">
        <v>37</v>
      </c>
      <c r="K2525" t="s">
        <v>37</v>
      </c>
      <c r="L2525" t="s">
        <v>40</v>
      </c>
      <c r="M2525" t="s">
        <v>775</v>
      </c>
      <c r="N2525" t="s">
        <v>1034</v>
      </c>
      <c r="O2525" t="s">
        <v>39</v>
      </c>
      <c r="P2525" t="s">
        <v>38</v>
      </c>
      <c r="Q2525" t="s">
        <v>38</v>
      </c>
      <c r="R2525" t="s">
        <v>40</v>
      </c>
      <c r="S2525" t="s">
        <v>9078</v>
      </c>
      <c r="T2525" t="s">
        <v>8015</v>
      </c>
      <c r="U2525" t="s">
        <v>8016</v>
      </c>
      <c r="V2525" t="s">
        <v>8002</v>
      </c>
      <c r="W2525" t="s">
        <v>8003</v>
      </c>
      <c r="X2525" t="s">
        <v>46</v>
      </c>
      <c r="AC2525">
        <f>COUNTIF(C:C,QLKV_gui_ket_qua_ra_soat[[#This Row],[Mã điểm bán]])</f>
        <v>1</v>
      </c>
    </row>
    <row r="2526" spans="1:29" x14ac:dyDescent="0.45">
      <c r="A2526" t="s">
        <v>7995</v>
      </c>
      <c r="B2526">
        <v>319</v>
      </c>
      <c r="C2526" t="s">
        <v>9079</v>
      </c>
      <c r="D2526" t="s">
        <v>9080</v>
      </c>
      <c r="E2526" t="s">
        <v>297</v>
      </c>
      <c r="F2526" t="s">
        <v>1160</v>
      </c>
      <c r="G2526" t="s">
        <v>34</v>
      </c>
      <c r="H2526" t="s">
        <v>685</v>
      </c>
      <c r="I2526" t="s">
        <v>9081</v>
      </c>
      <c r="J2526" t="s">
        <v>56</v>
      </c>
      <c r="K2526" t="s">
        <v>37</v>
      </c>
      <c r="L2526" t="s">
        <v>39</v>
      </c>
      <c r="M2526" t="s">
        <v>56</v>
      </c>
      <c r="N2526" t="s">
        <v>775</v>
      </c>
      <c r="O2526" t="s">
        <v>39</v>
      </c>
      <c r="P2526" t="s">
        <v>38</v>
      </c>
      <c r="Q2526" t="s">
        <v>38</v>
      </c>
      <c r="R2526" t="s">
        <v>40</v>
      </c>
      <c r="S2526" t="s">
        <v>9082</v>
      </c>
      <c r="T2526" t="s">
        <v>8015</v>
      </c>
      <c r="U2526" t="s">
        <v>8016</v>
      </c>
      <c r="V2526" t="s">
        <v>8002</v>
      </c>
      <c r="W2526" t="s">
        <v>8003</v>
      </c>
      <c r="X2526" t="s">
        <v>46</v>
      </c>
      <c r="AC2526">
        <f>COUNTIF(C:C,QLKV_gui_ket_qua_ra_soat[[#This Row],[Mã điểm bán]])</f>
        <v>1</v>
      </c>
    </row>
    <row r="2527" spans="1:29" x14ac:dyDescent="0.45">
      <c r="A2527" t="s">
        <v>7995</v>
      </c>
      <c r="B2527">
        <v>320</v>
      </c>
      <c r="C2527" t="s">
        <v>9083</v>
      </c>
      <c r="D2527" t="s">
        <v>9084</v>
      </c>
      <c r="E2527" t="s">
        <v>9085</v>
      </c>
      <c r="F2527" t="s">
        <v>9086</v>
      </c>
      <c r="G2527" t="s">
        <v>34</v>
      </c>
      <c r="H2527" t="s">
        <v>457</v>
      </c>
      <c r="I2527" t="s">
        <v>4782</v>
      </c>
      <c r="J2527" t="s">
        <v>56</v>
      </c>
      <c r="K2527" t="s">
        <v>37</v>
      </c>
      <c r="L2527" t="s">
        <v>40</v>
      </c>
      <c r="M2527" t="s">
        <v>1034</v>
      </c>
      <c r="N2527" t="s">
        <v>1034</v>
      </c>
      <c r="O2527" t="s">
        <v>40</v>
      </c>
      <c r="P2527" t="s">
        <v>37</v>
      </c>
      <c r="Q2527" t="s">
        <v>37</v>
      </c>
      <c r="R2527" t="s">
        <v>40</v>
      </c>
      <c r="S2527" t="s">
        <v>9087</v>
      </c>
      <c r="T2527" t="s">
        <v>8015</v>
      </c>
      <c r="U2527" t="s">
        <v>8016</v>
      </c>
      <c r="V2527" t="s">
        <v>8002</v>
      </c>
      <c r="W2527" t="s">
        <v>8003</v>
      </c>
      <c r="X2527" t="s">
        <v>46</v>
      </c>
      <c r="AC2527">
        <f>COUNTIF(C:C,QLKV_gui_ket_qua_ra_soat[[#This Row],[Mã điểm bán]])</f>
        <v>1</v>
      </c>
    </row>
    <row r="2528" spans="1:29" x14ac:dyDescent="0.45">
      <c r="A2528" t="s">
        <v>9088</v>
      </c>
      <c r="B2528">
        <v>36</v>
      </c>
      <c r="C2528" t="s">
        <v>9089</v>
      </c>
      <c r="D2528" t="s">
        <v>9090</v>
      </c>
      <c r="E2528" t="s">
        <v>523</v>
      </c>
      <c r="F2528" t="s">
        <v>401</v>
      </c>
      <c r="G2528" t="s">
        <v>34</v>
      </c>
      <c r="H2528" t="s">
        <v>54</v>
      </c>
      <c r="I2528" t="s">
        <v>2516</v>
      </c>
      <c r="J2528" t="s">
        <v>38</v>
      </c>
      <c r="K2528" t="s">
        <v>38</v>
      </c>
      <c r="L2528" t="s">
        <v>40</v>
      </c>
      <c r="M2528" t="s">
        <v>1034</v>
      </c>
      <c r="N2528" t="s">
        <v>56</v>
      </c>
      <c r="O2528" t="s">
        <v>39</v>
      </c>
      <c r="P2528" t="s">
        <v>38</v>
      </c>
      <c r="Q2528" t="s">
        <v>38</v>
      </c>
      <c r="R2528" t="s">
        <v>39</v>
      </c>
      <c r="S2528" t="s">
        <v>41</v>
      </c>
      <c r="T2528" t="s">
        <v>9091</v>
      </c>
      <c r="U2528" t="s">
        <v>9092</v>
      </c>
      <c r="V2528" t="s">
        <v>9093</v>
      </c>
      <c r="W2528" t="s">
        <v>9094</v>
      </c>
      <c r="Z2528" t="s">
        <v>46</v>
      </c>
      <c r="AA2528" t="s">
        <v>9095</v>
      </c>
      <c r="AC2528">
        <f>COUNTIF(C:C,QLKV_gui_ket_qua_ra_soat[[#This Row],[Mã điểm bán]])</f>
        <v>1</v>
      </c>
    </row>
    <row r="2529" spans="1:29" x14ac:dyDescent="0.45">
      <c r="A2529" t="s">
        <v>9088</v>
      </c>
      <c r="B2529">
        <v>56</v>
      </c>
      <c r="C2529" t="s">
        <v>9096</v>
      </c>
      <c r="D2529" t="s">
        <v>9097</v>
      </c>
      <c r="E2529" t="s">
        <v>1508</v>
      </c>
      <c r="F2529" t="s">
        <v>115</v>
      </c>
      <c r="G2529" t="s">
        <v>34</v>
      </c>
      <c r="H2529" t="s">
        <v>620</v>
      </c>
      <c r="I2529" t="s">
        <v>9098</v>
      </c>
      <c r="J2529" t="s">
        <v>38</v>
      </c>
      <c r="K2529" t="s">
        <v>38</v>
      </c>
      <c r="L2529" t="s">
        <v>40</v>
      </c>
      <c r="M2529" t="s">
        <v>38</v>
      </c>
      <c r="N2529" t="s">
        <v>38</v>
      </c>
      <c r="O2529" t="s">
        <v>40</v>
      </c>
      <c r="P2529" t="s">
        <v>38</v>
      </c>
      <c r="Q2529" t="s">
        <v>38</v>
      </c>
      <c r="R2529" t="s">
        <v>40</v>
      </c>
      <c r="S2529" t="s">
        <v>41</v>
      </c>
      <c r="T2529" t="s">
        <v>9099</v>
      </c>
      <c r="U2529" t="s">
        <v>9100</v>
      </c>
      <c r="V2529" t="s">
        <v>9093</v>
      </c>
      <c r="W2529" t="s">
        <v>9101</v>
      </c>
      <c r="X2529" t="s">
        <v>46</v>
      </c>
      <c r="AC2529">
        <f>COUNTIF(C:C,QLKV_gui_ket_qua_ra_soat[[#This Row],[Mã điểm bán]])</f>
        <v>1</v>
      </c>
    </row>
    <row r="2530" spans="1:29" x14ac:dyDescent="0.45">
      <c r="A2530" t="s">
        <v>9088</v>
      </c>
      <c r="B2530">
        <v>62</v>
      </c>
      <c r="C2530" t="s">
        <v>9102</v>
      </c>
      <c r="D2530" t="s">
        <v>9103</v>
      </c>
      <c r="E2530" t="s">
        <v>9104</v>
      </c>
      <c r="F2530" t="s">
        <v>401</v>
      </c>
      <c r="G2530" t="s">
        <v>34</v>
      </c>
      <c r="H2530" t="s">
        <v>1483</v>
      </c>
      <c r="I2530" t="s">
        <v>9105</v>
      </c>
      <c r="J2530" t="s">
        <v>38</v>
      </c>
      <c r="K2530" t="s">
        <v>38</v>
      </c>
      <c r="L2530" t="s">
        <v>40</v>
      </c>
      <c r="M2530" t="s">
        <v>38</v>
      </c>
      <c r="N2530" t="s">
        <v>38</v>
      </c>
      <c r="O2530" t="s">
        <v>40</v>
      </c>
      <c r="P2530" t="s">
        <v>38</v>
      </c>
      <c r="Q2530" t="s">
        <v>38</v>
      </c>
      <c r="R2530" t="s">
        <v>40</v>
      </c>
      <c r="S2530" t="s">
        <v>41</v>
      </c>
      <c r="T2530" t="s">
        <v>9099</v>
      </c>
      <c r="U2530" t="s">
        <v>9100</v>
      </c>
      <c r="V2530" t="s">
        <v>9093</v>
      </c>
      <c r="W2530" t="s">
        <v>9101</v>
      </c>
      <c r="X2530" t="s">
        <v>46</v>
      </c>
      <c r="AC2530">
        <f>COUNTIF(C:C,QLKV_gui_ket_qua_ra_soat[[#This Row],[Mã điểm bán]])</f>
        <v>1</v>
      </c>
    </row>
    <row r="2531" spans="1:29" x14ac:dyDescent="0.45">
      <c r="A2531" t="s">
        <v>9088</v>
      </c>
      <c r="B2531">
        <v>64</v>
      </c>
      <c r="C2531" t="s">
        <v>9106</v>
      </c>
      <c r="D2531" t="s">
        <v>9107</v>
      </c>
      <c r="E2531" t="s">
        <v>1360</v>
      </c>
      <c r="F2531" t="s">
        <v>401</v>
      </c>
      <c r="G2531" t="s">
        <v>34</v>
      </c>
      <c r="H2531" t="s">
        <v>1542</v>
      </c>
      <c r="I2531" t="s">
        <v>9109</v>
      </c>
      <c r="J2531" t="s">
        <v>38</v>
      </c>
      <c r="K2531" t="s">
        <v>38</v>
      </c>
      <c r="L2531" t="s">
        <v>40</v>
      </c>
      <c r="M2531" t="s">
        <v>38</v>
      </c>
      <c r="N2531" t="s">
        <v>38</v>
      </c>
      <c r="O2531" t="s">
        <v>40</v>
      </c>
      <c r="P2531" t="s">
        <v>38</v>
      </c>
      <c r="Q2531" t="s">
        <v>38</v>
      </c>
      <c r="R2531" t="s">
        <v>40</v>
      </c>
      <c r="S2531" t="s">
        <v>41</v>
      </c>
      <c r="T2531" t="s">
        <v>9099</v>
      </c>
      <c r="U2531" t="s">
        <v>9100</v>
      </c>
      <c r="V2531" t="s">
        <v>9093</v>
      </c>
      <c r="W2531" t="s">
        <v>9101</v>
      </c>
      <c r="Z2531" t="s">
        <v>46</v>
      </c>
      <c r="AA2531" t="s">
        <v>9095</v>
      </c>
      <c r="AC2531">
        <f>COUNTIF(C:C,QLKV_gui_ket_qua_ra_soat[[#This Row],[Mã điểm bán]])</f>
        <v>1</v>
      </c>
    </row>
    <row r="2532" spans="1:29" x14ac:dyDescent="0.45">
      <c r="A2532" t="s">
        <v>9088</v>
      </c>
      <c r="B2532">
        <v>65</v>
      </c>
      <c r="C2532" t="s">
        <v>9110</v>
      </c>
      <c r="D2532" t="s">
        <v>9111</v>
      </c>
      <c r="E2532" t="s">
        <v>7000</v>
      </c>
      <c r="F2532" t="s">
        <v>53</v>
      </c>
      <c r="G2532" t="s">
        <v>34</v>
      </c>
      <c r="H2532" t="s">
        <v>54</v>
      </c>
      <c r="I2532" t="s">
        <v>9112</v>
      </c>
      <c r="J2532" t="s">
        <v>38</v>
      </c>
      <c r="K2532" t="s">
        <v>38</v>
      </c>
      <c r="L2532" t="s">
        <v>40</v>
      </c>
      <c r="M2532" t="s">
        <v>38</v>
      </c>
      <c r="N2532" t="s">
        <v>38</v>
      </c>
      <c r="O2532" t="s">
        <v>40</v>
      </c>
      <c r="P2532" t="s">
        <v>38</v>
      </c>
      <c r="Q2532" t="s">
        <v>38</v>
      </c>
      <c r="R2532" t="s">
        <v>40</v>
      </c>
      <c r="S2532" t="s">
        <v>41</v>
      </c>
      <c r="T2532" t="s">
        <v>9099</v>
      </c>
      <c r="U2532" t="s">
        <v>9100</v>
      </c>
      <c r="V2532" t="s">
        <v>9093</v>
      </c>
      <c r="W2532" t="s">
        <v>9101</v>
      </c>
      <c r="X2532" t="s">
        <v>46</v>
      </c>
      <c r="AC2532">
        <f>COUNTIF(C:C,QLKV_gui_ket_qua_ra_soat[[#This Row],[Mã điểm bán]])</f>
        <v>1</v>
      </c>
    </row>
    <row r="2533" spans="1:29" x14ac:dyDescent="0.45">
      <c r="A2533" t="s">
        <v>9088</v>
      </c>
      <c r="B2533">
        <v>86</v>
      </c>
      <c r="C2533" t="s">
        <v>9113</v>
      </c>
      <c r="D2533" t="s">
        <v>9114</v>
      </c>
      <c r="E2533" t="s">
        <v>9115</v>
      </c>
      <c r="F2533" t="s">
        <v>401</v>
      </c>
      <c r="G2533" t="s">
        <v>34</v>
      </c>
      <c r="H2533" t="s">
        <v>2294</v>
      </c>
      <c r="I2533" t="s">
        <v>9098</v>
      </c>
      <c r="J2533" t="s">
        <v>38</v>
      </c>
      <c r="K2533" t="s">
        <v>38</v>
      </c>
      <c r="L2533" t="s">
        <v>40</v>
      </c>
      <c r="M2533" t="s">
        <v>38</v>
      </c>
      <c r="N2533" t="s">
        <v>38</v>
      </c>
      <c r="O2533" t="s">
        <v>40</v>
      </c>
      <c r="P2533" t="s">
        <v>38</v>
      </c>
      <c r="Q2533" t="s">
        <v>38</v>
      </c>
      <c r="R2533" t="s">
        <v>40</v>
      </c>
      <c r="S2533" t="s">
        <v>41</v>
      </c>
      <c r="T2533" t="s">
        <v>9099</v>
      </c>
      <c r="U2533" t="s">
        <v>9100</v>
      </c>
      <c r="V2533" t="s">
        <v>9093</v>
      </c>
      <c r="W2533" t="s">
        <v>9101</v>
      </c>
      <c r="X2533" t="s">
        <v>46</v>
      </c>
      <c r="AC2533">
        <f>COUNTIF(C:C,QLKV_gui_ket_qua_ra_soat[[#This Row],[Mã điểm bán]])</f>
        <v>1</v>
      </c>
    </row>
    <row r="2534" spans="1:29" x14ac:dyDescent="0.45">
      <c r="A2534" t="s">
        <v>9088</v>
      </c>
      <c r="B2534">
        <v>88</v>
      </c>
      <c r="C2534" t="s">
        <v>9116</v>
      </c>
      <c r="D2534" t="s">
        <v>9117</v>
      </c>
      <c r="E2534" t="s">
        <v>9118</v>
      </c>
      <c r="F2534" t="s">
        <v>401</v>
      </c>
      <c r="G2534" t="s">
        <v>34</v>
      </c>
      <c r="H2534" t="s">
        <v>834</v>
      </c>
      <c r="I2534" t="s">
        <v>9098</v>
      </c>
      <c r="J2534" t="s">
        <v>38</v>
      </c>
      <c r="K2534" t="s">
        <v>38</v>
      </c>
      <c r="L2534" t="s">
        <v>40</v>
      </c>
      <c r="M2534" t="s">
        <v>38</v>
      </c>
      <c r="N2534" t="s">
        <v>38</v>
      </c>
      <c r="O2534" t="s">
        <v>40</v>
      </c>
      <c r="P2534" t="s">
        <v>38</v>
      </c>
      <c r="Q2534" t="s">
        <v>38</v>
      </c>
      <c r="R2534" t="s">
        <v>40</v>
      </c>
      <c r="S2534" t="s">
        <v>41</v>
      </c>
      <c r="T2534" t="s">
        <v>9099</v>
      </c>
      <c r="U2534" t="s">
        <v>9100</v>
      </c>
      <c r="V2534" t="s">
        <v>9093</v>
      </c>
      <c r="W2534" t="s">
        <v>9101</v>
      </c>
      <c r="Z2534" t="s">
        <v>46</v>
      </c>
      <c r="AA2534" t="s">
        <v>9119</v>
      </c>
      <c r="AC2534">
        <f>COUNTIF(C:C,QLKV_gui_ket_qua_ra_soat[[#This Row],[Mã điểm bán]])</f>
        <v>1</v>
      </c>
    </row>
    <row r="2535" spans="1:29" x14ac:dyDescent="0.45">
      <c r="A2535" t="s">
        <v>9088</v>
      </c>
      <c r="B2535">
        <v>90</v>
      </c>
      <c r="C2535" t="s">
        <v>9120</v>
      </c>
      <c r="D2535" t="s">
        <v>9121</v>
      </c>
      <c r="E2535" t="s">
        <v>324</v>
      </c>
      <c r="F2535" t="s">
        <v>53</v>
      </c>
      <c r="G2535" t="s">
        <v>34</v>
      </c>
      <c r="H2535" t="s">
        <v>620</v>
      </c>
      <c r="I2535" t="s">
        <v>2049</v>
      </c>
      <c r="J2535" t="s">
        <v>38</v>
      </c>
      <c r="K2535" t="s">
        <v>38</v>
      </c>
      <c r="L2535" t="s">
        <v>40</v>
      </c>
      <c r="M2535" t="s">
        <v>38</v>
      </c>
      <c r="N2535" t="s">
        <v>38</v>
      </c>
      <c r="O2535" t="s">
        <v>40</v>
      </c>
      <c r="P2535" t="s">
        <v>38</v>
      </c>
      <c r="Q2535" t="s">
        <v>38</v>
      </c>
      <c r="R2535" t="s">
        <v>40</v>
      </c>
      <c r="S2535" t="s">
        <v>41</v>
      </c>
      <c r="T2535" t="s">
        <v>9099</v>
      </c>
      <c r="U2535" t="s">
        <v>9100</v>
      </c>
      <c r="V2535" t="s">
        <v>9093</v>
      </c>
      <c r="W2535" t="s">
        <v>9101</v>
      </c>
      <c r="Z2535" t="s">
        <v>46</v>
      </c>
      <c r="AA2535" t="s">
        <v>9095</v>
      </c>
      <c r="AC2535">
        <f>COUNTIF(C:C,QLKV_gui_ket_qua_ra_soat[[#This Row],[Mã điểm bán]])</f>
        <v>1</v>
      </c>
    </row>
    <row r="2536" spans="1:29" x14ac:dyDescent="0.45">
      <c r="A2536" t="s">
        <v>9088</v>
      </c>
      <c r="B2536">
        <v>94</v>
      </c>
      <c r="C2536" t="s">
        <v>9122</v>
      </c>
      <c r="D2536" t="s">
        <v>9123</v>
      </c>
      <c r="E2536" t="s">
        <v>7000</v>
      </c>
      <c r="F2536" t="s">
        <v>53</v>
      </c>
      <c r="G2536" t="s">
        <v>34</v>
      </c>
      <c r="H2536" t="s">
        <v>54</v>
      </c>
      <c r="I2536" t="s">
        <v>9112</v>
      </c>
      <c r="J2536" t="s">
        <v>38</v>
      </c>
      <c r="K2536" t="s">
        <v>38</v>
      </c>
      <c r="L2536" t="s">
        <v>40</v>
      </c>
      <c r="M2536" t="s">
        <v>38</v>
      </c>
      <c r="N2536" t="s">
        <v>38</v>
      </c>
      <c r="O2536" t="s">
        <v>40</v>
      </c>
      <c r="P2536" t="s">
        <v>38</v>
      </c>
      <c r="Q2536" t="s">
        <v>38</v>
      </c>
      <c r="R2536" t="s">
        <v>40</v>
      </c>
      <c r="S2536" t="s">
        <v>41</v>
      </c>
      <c r="T2536" t="s">
        <v>9099</v>
      </c>
      <c r="U2536" t="s">
        <v>9100</v>
      </c>
      <c r="V2536" t="s">
        <v>9093</v>
      </c>
      <c r="W2536" t="s">
        <v>9101</v>
      </c>
      <c r="X2536" t="s">
        <v>46</v>
      </c>
      <c r="AC2536">
        <f>COUNTIF(C:C,QLKV_gui_ket_qua_ra_soat[[#This Row],[Mã điểm bán]])</f>
        <v>1</v>
      </c>
    </row>
    <row r="2537" spans="1:29" x14ac:dyDescent="0.45">
      <c r="A2537" t="s">
        <v>9088</v>
      </c>
      <c r="B2537">
        <v>157</v>
      </c>
      <c r="C2537" t="s">
        <v>9124</v>
      </c>
      <c r="D2537" t="s">
        <v>9125</v>
      </c>
      <c r="E2537" t="s">
        <v>9126</v>
      </c>
      <c r="F2537" t="s">
        <v>9127</v>
      </c>
      <c r="G2537" t="s">
        <v>34</v>
      </c>
      <c r="H2537" t="s">
        <v>345</v>
      </c>
      <c r="I2537" t="s">
        <v>9128</v>
      </c>
      <c r="J2537" t="s">
        <v>38</v>
      </c>
      <c r="K2537" t="s">
        <v>38</v>
      </c>
      <c r="L2537" t="s">
        <v>39</v>
      </c>
      <c r="M2537" t="s">
        <v>37</v>
      </c>
      <c r="N2537" t="s">
        <v>37</v>
      </c>
      <c r="O2537" t="s">
        <v>39</v>
      </c>
      <c r="P2537" t="s">
        <v>38</v>
      </c>
      <c r="Q2537" t="s">
        <v>38</v>
      </c>
      <c r="R2537" t="s">
        <v>39</v>
      </c>
      <c r="S2537" t="s">
        <v>41</v>
      </c>
      <c r="T2537" t="s">
        <v>9129</v>
      </c>
      <c r="U2537" t="s">
        <v>9130</v>
      </c>
      <c r="V2537" t="s">
        <v>9093</v>
      </c>
      <c r="W2537" t="s">
        <v>9131</v>
      </c>
      <c r="X2537" t="s">
        <v>46</v>
      </c>
      <c r="AC2537">
        <f>COUNTIF(C:C,QLKV_gui_ket_qua_ra_soat[[#This Row],[Mã điểm bán]])</f>
        <v>1</v>
      </c>
    </row>
    <row r="2538" spans="1:29" x14ac:dyDescent="0.45">
      <c r="A2538" t="s">
        <v>9088</v>
      </c>
      <c r="B2538">
        <v>158</v>
      </c>
      <c r="C2538" t="s">
        <v>9132</v>
      </c>
      <c r="D2538" t="s">
        <v>9133</v>
      </c>
      <c r="E2538" t="s">
        <v>338</v>
      </c>
      <c r="F2538" t="s">
        <v>417</v>
      </c>
      <c r="G2538" t="s">
        <v>177</v>
      </c>
      <c r="H2538" t="s">
        <v>1188</v>
      </c>
      <c r="I2538" t="s">
        <v>9134</v>
      </c>
      <c r="J2538" t="s">
        <v>38</v>
      </c>
      <c r="K2538" t="s">
        <v>38</v>
      </c>
      <c r="L2538" t="s">
        <v>40</v>
      </c>
      <c r="M2538" t="s">
        <v>38</v>
      </c>
      <c r="N2538" t="s">
        <v>38</v>
      </c>
      <c r="O2538" t="s">
        <v>40</v>
      </c>
      <c r="P2538" t="s">
        <v>38</v>
      </c>
      <c r="Q2538" t="s">
        <v>38</v>
      </c>
      <c r="R2538" t="s">
        <v>40</v>
      </c>
      <c r="S2538" t="s">
        <v>41</v>
      </c>
      <c r="T2538" t="s">
        <v>9129</v>
      </c>
      <c r="U2538" t="s">
        <v>9130</v>
      </c>
      <c r="V2538" t="s">
        <v>9093</v>
      </c>
      <c r="W2538" t="s">
        <v>9131</v>
      </c>
      <c r="X2538" t="s">
        <v>46</v>
      </c>
      <c r="AC2538">
        <f>COUNTIF(C:C,QLKV_gui_ket_qua_ra_soat[[#This Row],[Mã điểm bán]])</f>
        <v>1</v>
      </c>
    </row>
    <row r="2539" spans="1:29" x14ac:dyDescent="0.45">
      <c r="A2539" t="s">
        <v>9088</v>
      </c>
      <c r="B2539">
        <v>234</v>
      </c>
      <c r="C2539" t="s">
        <v>9135</v>
      </c>
      <c r="D2539" t="s">
        <v>9136</v>
      </c>
      <c r="E2539" t="s">
        <v>344</v>
      </c>
      <c r="F2539" t="s">
        <v>115</v>
      </c>
      <c r="G2539" t="s">
        <v>177</v>
      </c>
      <c r="H2539" t="s">
        <v>54</v>
      </c>
      <c r="I2539" t="s">
        <v>9137</v>
      </c>
      <c r="J2539" t="s">
        <v>38</v>
      </c>
      <c r="K2539" t="s">
        <v>38</v>
      </c>
      <c r="L2539" t="s">
        <v>40</v>
      </c>
      <c r="M2539" t="s">
        <v>38</v>
      </c>
      <c r="N2539" t="s">
        <v>38</v>
      </c>
      <c r="O2539" t="s">
        <v>40</v>
      </c>
      <c r="P2539" t="s">
        <v>38</v>
      </c>
      <c r="Q2539" t="s">
        <v>38</v>
      </c>
      <c r="R2539" t="s">
        <v>40</v>
      </c>
      <c r="S2539" t="s">
        <v>41</v>
      </c>
      <c r="T2539" t="s">
        <v>9129</v>
      </c>
      <c r="U2539" t="s">
        <v>9130</v>
      </c>
      <c r="V2539" t="s">
        <v>9093</v>
      </c>
      <c r="W2539" t="s">
        <v>9131</v>
      </c>
      <c r="X2539" t="s">
        <v>46</v>
      </c>
      <c r="AC2539">
        <f>COUNTIF(C:C,QLKV_gui_ket_qua_ra_soat[[#This Row],[Mã điểm bán]])</f>
        <v>1</v>
      </c>
    </row>
    <row r="2540" spans="1:29" x14ac:dyDescent="0.45">
      <c r="A2540" t="s">
        <v>9088</v>
      </c>
      <c r="B2540">
        <v>253</v>
      </c>
      <c r="C2540" t="s">
        <v>9138</v>
      </c>
      <c r="D2540" t="s">
        <v>3520</v>
      </c>
      <c r="E2540" t="s">
        <v>9139</v>
      </c>
      <c r="F2540" t="s">
        <v>9140</v>
      </c>
      <c r="G2540" t="s">
        <v>34</v>
      </c>
      <c r="H2540" t="s">
        <v>214</v>
      </c>
      <c r="I2540" t="s">
        <v>9141</v>
      </c>
      <c r="J2540" t="s">
        <v>38</v>
      </c>
      <c r="K2540" t="s">
        <v>38</v>
      </c>
      <c r="L2540" t="s">
        <v>40</v>
      </c>
      <c r="M2540" t="s">
        <v>56</v>
      </c>
      <c r="N2540" t="s">
        <v>56</v>
      </c>
      <c r="O2540" t="s">
        <v>39</v>
      </c>
      <c r="P2540" t="s">
        <v>38</v>
      </c>
      <c r="Q2540" t="s">
        <v>37</v>
      </c>
      <c r="R2540" t="s">
        <v>39</v>
      </c>
      <c r="S2540" t="s">
        <v>41</v>
      </c>
      <c r="T2540" t="s">
        <v>9142</v>
      </c>
      <c r="U2540" t="s">
        <v>9143</v>
      </c>
      <c r="V2540" t="s">
        <v>9093</v>
      </c>
      <c r="W2540" t="s">
        <v>2978</v>
      </c>
      <c r="Z2540" t="s">
        <v>46</v>
      </c>
      <c r="AA2540" t="s">
        <v>9095</v>
      </c>
      <c r="AC2540">
        <f>COUNTIF(C:C,QLKV_gui_ket_qua_ra_soat[[#This Row],[Mã điểm bán]])</f>
        <v>1</v>
      </c>
    </row>
    <row r="2541" spans="1:29" x14ac:dyDescent="0.45">
      <c r="A2541" t="s">
        <v>9088</v>
      </c>
      <c r="B2541">
        <v>288</v>
      </c>
      <c r="C2541" t="s">
        <v>9144</v>
      </c>
      <c r="D2541" t="s">
        <v>9145</v>
      </c>
      <c r="E2541" t="s">
        <v>69</v>
      </c>
      <c r="F2541" t="s">
        <v>53</v>
      </c>
      <c r="G2541" t="s">
        <v>34</v>
      </c>
      <c r="H2541" t="s">
        <v>54</v>
      </c>
      <c r="I2541" t="s">
        <v>9146</v>
      </c>
      <c r="J2541" t="s">
        <v>41</v>
      </c>
      <c r="K2541" t="s">
        <v>41</v>
      </c>
      <c r="L2541" t="s">
        <v>41</v>
      </c>
      <c r="M2541" t="s">
        <v>41</v>
      </c>
      <c r="N2541" t="s">
        <v>41</v>
      </c>
      <c r="O2541" t="s">
        <v>41</v>
      </c>
      <c r="P2541" t="s">
        <v>41</v>
      </c>
      <c r="Q2541" t="s">
        <v>41</v>
      </c>
      <c r="R2541" t="s">
        <v>41</v>
      </c>
      <c r="S2541" t="s">
        <v>41</v>
      </c>
      <c r="T2541" t="s">
        <v>9147</v>
      </c>
      <c r="U2541" t="s">
        <v>9148</v>
      </c>
      <c r="V2541" t="s">
        <v>9093</v>
      </c>
      <c r="W2541" t="s">
        <v>9094</v>
      </c>
      <c r="X2541" t="s">
        <v>46</v>
      </c>
      <c r="AC2541">
        <f>COUNTIF(C:C,QLKV_gui_ket_qua_ra_soat[[#This Row],[Mã điểm bán]])</f>
        <v>1</v>
      </c>
    </row>
    <row r="2542" spans="1:29" x14ac:dyDescent="0.45">
      <c r="A2542" t="s">
        <v>9088</v>
      </c>
      <c r="B2542">
        <v>291</v>
      </c>
      <c r="C2542" t="s">
        <v>9149</v>
      </c>
      <c r="D2542" t="s">
        <v>9150</v>
      </c>
      <c r="E2542" t="s">
        <v>206</v>
      </c>
      <c r="F2542" t="s">
        <v>377</v>
      </c>
      <c r="G2542" t="s">
        <v>34</v>
      </c>
      <c r="H2542" t="s">
        <v>54</v>
      </c>
      <c r="I2542" t="s">
        <v>9151</v>
      </c>
      <c r="J2542" t="s">
        <v>37</v>
      </c>
      <c r="K2542" t="s">
        <v>37</v>
      </c>
      <c r="L2542" t="s">
        <v>39</v>
      </c>
      <c r="M2542" t="s">
        <v>37</v>
      </c>
      <c r="N2542" t="s">
        <v>37</v>
      </c>
      <c r="O2542" t="s">
        <v>39</v>
      </c>
      <c r="P2542" t="s">
        <v>38</v>
      </c>
      <c r="Q2542" t="s">
        <v>38</v>
      </c>
      <c r="R2542" t="s">
        <v>40</v>
      </c>
      <c r="S2542" t="s">
        <v>41</v>
      </c>
      <c r="T2542" t="s">
        <v>9147</v>
      </c>
      <c r="U2542" t="s">
        <v>9148</v>
      </c>
      <c r="V2542" t="s">
        <v>9093</v>
      </c>
      <c r="W2542" t="s">
        <v>9094</v>
      </c>
      <c r="X2542" t="s">
        <v>46</v>
      </c>
      <c r="AC2542">
        <f>COUNTIF(C:C,QLKV_gui_ket_qua_ra_soat[[#This Row],[Mã điểm bán]])</f>
        <v>1</v>
      </c>
    </row>
    <row r="2543" spans="1:29" x14ac:dyDescent="0.45">
      <c r="A2543" t="s">
        <v>9088</v>
      </c>
      <c r="B2543">
        <v>296</v>
      </c>
      <c r="C2543" t="s">
        <v>9152</v>
      </c>
      <c r="D2543" t="s">
        <v>9153</v>
      </c>
      <c r="E2543" t="s">
        <v>5628</v>
      </c>
      <c r="F2543" t="s">
        <v>115</v>
      </c>
      <c r="G2543" t="s">
        <v>34</v>
      </c>
      <c r="H2543" t="s">
        <v>214</v>
      </c>
      <c r="I2543" t="s">
        <v>4989</v>
      </c>
      <c r="J2543" t="s">
        <v>38</v>
      </c>
      <c r="K2543" t="s">
        <v>38</v>
      </c>
      <c r="L2543" t="s">
        <v>39</v>
      </c>
      <c r="M2543" t="s">
        <v>1034</v>
      </c>
      <c r="N2543" t="s">
        <v>37</v>
      </c>
      <c r="O2543" t="s">
        <v>39</v>
      </c>
      <c r="P2543" t="s">
        <v>38</v>
      </c>
      <c r="Q2543" t="s">
        <v>38</v>
      </c>
      <c r="R2543" t="s">
        <v>39</v>
      </c>
      <c r="S2543" t="s">
        <v>41</v>
      </c>
      <c r="T2543" t="s">
        <v>9091</v>
      </c>
      <c r="U2543" t="s">
        <v>9092</v>
      </c>
      <c r="V2543" t="s">
        <v>9093</v>
      </c>
      <c r="W2543" t="s">
        <v>9094</v>
      </c>
      <c r="Z2543" t="s">
        <v>46</v>
      </c>
      <c r="AA2543" t="s">
        <v>9095</v>
      </c>
      <c r="AC2543">
        <f>COUNTIF(C:C,QLKV_gui_ket_qua_ra_soat[[#This Row],[Mã điểm bán]])</f>
        <v>1</v>
      </c>
    </row>
    <row r="2544" spans="1:29" x14ac:dyDescent="0.45">
      <c r="A2544" t="s">
        <v>9088</v>
      </c>
      <c r="B2544">
        <v>340</v>
      </c>
      <c r="C2544" t="s">
        <v>9154</v>
      </c>
      <c r="D2544" t="s">
        <v>9155</v>
      </c>
      <c r="E2544" t="s">
        <v>6418</v>
      </c>
      <c r="F2544" t="s">
        <v>9156</v>
      </c>
      <c r="G2544" t="s">
        <v>177</v>
      </c>
      <c r="H2544" t="s">
        <v>54</v>
      </c>
      <c r="I2544" t="s">
        <v>9157</v>
      </c>
      <c r="J2544" t="s">
        <v>38</v>
      </c>
      <c r="K2544" t="s">
        <v>38</v>
      </c>
      <c r="L2544" t="s">
        <v>39</v>
      </c>
      <c r="M2544" t="s">
        <v>38</v>
      </c>
      <c r="N2544" t="s">
        <v>38</v>
      </c>
      <c r="O2544" t="s">
        <v>39</v>
      </c>
      <c r="P2544" t="s">
        <v>38</v>
      </c>
      <c r="Q2544" t="s">
        <v>38</v>
      </c>
      <c r="R2544" t="s">
        <v>39</v>
      </c>
      <c r="S2544" t="s">
        <v>5662</v>
      </c>
      <c r="T2544" t="s">
        <v>9158</v>
      </c>
      <c r="U2544" t="s">
        <v>9159</v>
      </c>
      <c r="V2544" t="s">
        <v>9093</v>
      </c>
      <c r="W2544" t="s">
        <v>2978</v>
      </c>
      <c r="Z2544" t="s">
        <v>46</v>
      </c>
      <c r="AA2544" t="s">
        <v>9160</v>
      </c>
      <c r="AC2544">
        <f>COUNTIF(C:C,QLKV_gui_ket_qua_ra_soat[[#This Row],[Mã điểm bán]])</f>
        <v>1</v>
      </c>
    </row>
    <row r="2545" spans="1:29" x14ac:dyDescent="0.45">
      <c r="A2545" t="s">
        <v>9088</v>
      </c>
      <c r="B2545">
        <v>358</v>
      </c>
      <c r="C2545" t="s">
        <v>9161</v>
      </c>
      <c r="D2545" t="s">
        <v>4103</v>
      </c>
      <c r="E2545" t="s">
        <v>682</v>
      </c>
      <c r="F2545" t="s">
        <v>3069</v>
      </c>
      <c r="G2545" t="s">
        <v>34</v>
      </c>
      <c r="H2545" t="s">
        <v>35</v>
      </c>
      <c r="I2545" t="s">
        <v>9162</v>
      </c>
      <c r="J2545" t="s">
        <v>37</v>
      </c>
      <c r="K2545" t="s">
        <v>37</v>
      </c>
      <c r="L2545" t="s">
        <v>39</v>
      </c>
      <c r="M2545" t="s">
        <v>37</v>
      </c>
      <c r="N2545" t="s">
        <v>37</v>
      </c>
      <c r="O2545" t="s">
        <v>39</v>
      </c>
      <c r="P2545" t="s">
        <v>38</v>
      </c>
      <c r="Q2545" t="s">
        <v>38</v>
      </c>
      <c r="R2545" t="s">
        <v>40</v>
      </c>
      <c r="S2545" t="s">
        <v>41</v>
      </c>
      <c r="T2545" t="s">
        <v>9147</v>
      </c>
      <c r="U2545" t="s">
        <v>9148</v>
      </c>
      <c r="V2545" t="s">
        <v>9093</v>
      </c>
      <c r="W2545" t="s">
        <v>9094</v>
      </c>
      <c r="X2545" t="s">
        <v>46</v>
      </c>
      <c r="AB2545" t="s">
        <v>2999</v>
      </c>
      <c r="AC2545">
        <f>COUNTIF(C:C,QLKV_gui_ket_qua_ra_soat[[#This Row],[Mã điểm bán]])</f>
        <v>1</v>
      </c>
    </row>
    <row r="2546" spans="1:29" x14ac:dyDescent="0.45">
      <c r="A2546" t="s">
        <v>9088</v>
      </c>
      <c r="B2546">
        <v>364</v>
      </c>
      <c r="C2546" t="s">
        <v>9163</v>
      </c>
      <c r="D2546" t="s">
        <v>9164</v>
      </c>
      <c r="E2546" t="s">
        <v>9165</v>
      </c>
      <c r="F2546" t="s">
        <v>4655</v>
      </c>
      <c r="G2546" t="s">
        <v>34</v>
      </c>
      <c r="H2546" t="s">
        <v>54</v>
      </c>
      <c r="I2546" t="s">
        <v>9166</v>
      </c>
      <c r="J2546" t="s">
        <v>38</v>
      </c>
      <c r="K2546" t="s">
        <v>38</v>
      </c>
      <c r="L2546" t="s">
        <v>39</v>
      </c>
      <c r="M2546" t="s">
        <v>38</v>
      </c>
      <c r="N2546" t="s">
        <v>38</v>
      </c>
      <c r="O2546" t="s">
        <v>39</v>
      </c>
      <c r="P2546" t="s">
        <v>38</v>
      </c>
      <c r="Q2546" t="s">
        <v>38</v>
      </c>
      <c r="R2546" t="s">
        <v>39</v>
      </c>
      <c r="S2546" t="s">
        <v>41</v>
      </c>
      <c r="T2546" t="s">
        <v>9158</v>
      </c>
      <c r="U2546" t="s">
        <v>9159</v>
      </c>
      <c r="V2546" t="s">
        <v>9093</v>
      </c>
      <c r="W2546" t="s">
        <v>2978</v>
      </c>
      <c r="Z2546" t="s">
        <v>46</v>
      </c>
      <c r="AA2546" t="s">
        <v>9160</v>
      </c>
      <c r="AC2546">
        <f>COUNTIF(C:C,QLKV_gui_ket_qua_ra_soat[[#This Row],[Mã điểm bán]])</f>
        <v>1</v>
      </c>
    </row>
    <row r="2547" spans="1:29" x14ac:dyDescent="0.45">
      <c r="A2547" t="s">
        <v>9088</v>
      </c>
      <c r="B2547">
        <v>366</v>
      </c>
      <c r="C2547" t="s">
        <v>9167</v>
      </c>
      <c r="D2547" t="s">
        <v>9168</v>
      </c>
      <c r="E2547" t="s">
        <v>9169</v>
      </c>
      <c r="F2547" t="s">
        <v>401</v>
      </c>
      <c r="G2547" t="s">
        <v>34</v>
      </c>
      <c r="H2547" t="s">
        <v>54</v>
      </c>
      <c r="I2547" t="s">
        <v>9098</v>
      </c>
      <c r="J2547" t="s">
        <v>38</v>
      </c>
      <c r="K2547" t="s">
        <v>38</v>
      </c>
      <c r="L2547" t="s">
        <v>40</v>
      </c>
      <c r="M2547" t="s">
        <v>38</v>
      </c>
      <c r="N2547" t="s">
        <v>38</v>
      </c>
      <c r="O2547" t="s">
        <v>40</v>
      </c>
      <c r="P2547" t="s">
        <v>38</v>
      </c>
      <c r="Q2547" t="s">
        <v>38</v>
      </c>
      <c r="R2547" t="s">
        <v>40</v>
      </c>
      <c r="S2547" t="s">
        <v>41</v>
      </c>
      <c r="T2547" t="s">
        <v>9099</v>
      </c>
      <c r="U2547" t="s">
        <v>9100</v>
      </c>
      <c r="V2547" t="s">
        <v>9093</v>
      </c>
      <c r="W2547" t="s">
        <v>9101</v>
      </c>
      <c r="X2547" t="s">
        <v>46</v>
      </c>
      <c r="AC2547">
        <f>COUNTIF(C:C,QLKV_gui_ket_qua_ra_soat[[#This Row],[Mã điểm bán]])</f>
        <v>1</v>
      </c>
    </row>
    <row r="2548" spans="1:29" x14ac:dyDescent="0.45">
      <c r="A2548" t="s">
        <v>9088</v>
      </c>
      <c r="B2548">
        <v>371</v>
      </c>
      <c r="C2548" t="s">
        <v>9170</v>
      </c>
      <c r="D2548" t="s">
        <v>9171</v>
      </c>
      <c r="E2548" t="s">
        <v>8644</v>
      </c>
      <c r="F2548" t="s">
        <v>53</v>
      </c>
      <c r="G2548" t="s">
        <v>34</v>
      </c>
      <c r="H2548" t="s">
        <v>54</v>
      </c>
      <c r="I2548" t="s">
        <v>9172</v>
      </c>
      <c r="J2548" t="s">
        <v>38</v>
      </c>
      <c r="K2548" t="s">
        <v>38</v>
      </c>
      <c r="L2548" t="s">
        <v>40</v>
      </c>
      <c r="M2548" t="s">
        <v>38</v>
      </c>
      <c r="N2548" t="s">
        <v>38</v>
      </c>
      <c r="O2548" t="s">
        <v>40</v>
      </c>
      <c r="P2548" t="s">
        <v>38</v>
      </c>
      <c r="Q2548" t="s">
        <v>38</v>
      </c>
      <c r="R2548" t="s">
        <v>40</v>
      </c>
      <c r="S2548" t="s">
        <v>41</v>
      </c>
      <c r="T2548" t="s">
        <v>9099</v>
      </c>
      <c r="U2548" t="s">
        <v>9100</v>
      </c>
      <c r="V2548" t="s">
        <v>9093</v>
      </c>
      <c r="W2548" t="s">
        <v>9101</v>
      </c>
      <c r="X2548" t="s">
        <v>46</v>
      </c>
      <c r="AC2548">
        <f>COUNTIF(C:C,QLKV_gui_ket_qua_ra_soat[[#This Row],[Mã điểm bán]])</f>
        <v>1</v>
      </c>
    </row>
    <row r="2549" spans="1:29" x14ac:dyDescent="0.45">
      <c r="A2549" t="s">
        <v>9088</v>
      </c>
      <c r="B2549">
        <v>373</v>
      </c>
      <c r="C2549" t="s">
        <v>9173</v>
      </c>
      <c r="D2549" t="s">
        <v>9174</v>
      </c>
      <c r="E2549" t="s">
        <v>7790</v>
      </c>
      <c r="F2549" t="s">
        <v>53</v>
      </c>
      <c r="G2549" t="s">
        <v>34</v>
      </c>
      <c r="H2549" t="s">
        <v>100</v>
      </c>
      <c r="I2549" t="s">
        <v>9175</v>
      </c>
      <c r="J2549" t="s">
        <v>38</v>
      </c>
      <c r="K2549" t="s">
        <v>38</v>
      </c>
      <c r="L2549" t="s">
        <v>40</v>
      </c>
      <c r="M2549" t="s">
        <v>38</v>
      </c>
      <c r="N2549" t="s">
        <v>38</v>
      </c>
      <c r="O2549" t="s">
        <v>40</v>
      </c>
      <c r="P2549" t="s">
        <v>38</v>
      </c>
      <c r="Q2549" t="s">
        <v>38</v>
      </c>
      <c r="R2549" t="s">
        <v>40</v>
      </c>
      <c r="S2549" t="s">
        <v>41</v>
      </c>
      <c r="T2549" t="s">
        <v>9099</v>
      </c>
      <c r="U2549" t="s">
        <v>9100</v>
      </c>
      <c r="V2549" t="s">
        <v>9093</v>
      </c>
      <c r="W2549" t="s">
        <v>9101</v>
      </c>
      <c r="X2549" t="s">
        <v>46</v>
      </c>
      <c r="AC2549">
        <f>COUNTIF(C:C,QLKV_gui_ket_qua_ra_soat[[#This Row],[Mã điểm bán]])</f>
        <v>1</v>
      </c>
    </row>
    <row r="2550" spans="1:29" x14ac:dyDescent="0.45">
      <c r="A2550" t="s">
        <v>9088</v>
      </c>
      <c r="B2550">
        <v>375</v>
      </c>
      <c r="C2550" t="s">
        <v>9176</v>
      </c>
      <c r="D2550" t="s">
        <v>7585</v>
      </c>
      <c r="E2550" t="s">
        <v>355</v>
      </c>
      <c r="F2550" t="s">
        <v>1914</v>
      </c>
      <c r="G2550" t="s">
        <v>177</v>
      </c>
      <c r="H2550" t="s">
        <v>54</v>
      </c>
      <c r="I2550" t="s">
        <v>9177</v>
      </c>
      <c r="J2550" t="s">
        <v>38</v>
      </c>
      <c r="K2550" t="s">
        <v>38</v>
      </c>
      <c r="L2550" t="s">
        <v>39</v>
      </c>
      <c r="M2550" t="s">
        <v>37</v>
      </c>
      <c r="N2550" t="s">
        <v>37</v>
      </c>
      <c r="O2550" t="s">
        <v>39</v>
      </c>
      <c r="P2550" t="s">
        <v>38</v>
      </c>
      <c r="Q2550" t="s">
        <v>38</v>
      </c>
      <c r="R2550" t="s">
        <v>39</v>
      </c>
      <c r="S2550" t="s">
        <v>41</v>
      </c>
      <c r="T2550" t="s">
        <v>9178</v>
      </c>
      <c r="U2550" t="s">
        <v>9179</v>
      </c>
      <c r="V2550" t="s">
        <v>9093</v>
      </c>
      <c r="W2550" t="s">
        <v>9180</v>
      </c>
      <c r="X2550" t="s">
        <v>46</v>
      </c>
      <c r="AB2550" t="s">
        <v>3012</v>
      </c>
      <c r="AC2550">
        <f>COUNTIF(C:C,QLKV_gui_ket_qua_ra_soat[[#This Row],[Mã điểm bán]])</f>
        <v>1</v>
      </c>
    </row>
    <row r="2551" spans="1:29" x14ac:dyDescent="0.45">
      <c r="A2551" t="s">
        <v>9088</v>
      </c>
      <c r="B2551">
        <v>379</v>
      </c>
      <c r="C2551" t="s">
        <v>9181</v>
      </c>
      <c r="D2551" t="s">
        <v>9182</v>
      </c>
      <c r="E2551" t="s">
        <v>1714</v>
      </c>
      <c r="F2551" t="s">
        <v>331</v>
      </c>
      <c r="G2551" t="s">
        <v>34</v>
      </c>
      <c r="H2551" t="s">
        <v>462</v>
      </c>
      <c r="I2551" t="s">
        <v>9183</v>
      </c>
      <c r="J2551" t="s">
        <v>38</v>
      </c>
      <c r="K2551" t="s">
        <v>38</v>
      </c>
      <c r="L2551" t="s">
        <v>39</v>
      </c>
      <c r="M2551" t="s">
        <v>37</v>
      </c>
      <c r="N2551" t="s">
        <v>37</v>
      </c>
      <c r="O2551" t="s">
        <v>39</v>
      </c>
      <c r="P2551" t="s">
        <v>38</v>
      </c>
      <c r="Q2551" t="s">
        <v>38</v>
      </c>
      <c r="R2551" t="s">
        <v>39</v>
      </c>
      <c r="S2551" t="s">
        <v>41</v>
      </c>
      <c r="T2551" t="s">
        <v>9178</v>
      </c>
      <c r="U2551" t="s">
        <v>9179</v>
      </c>
      <c r="V2551" t="s">
        <v>9093</v>
      </c>
      <c r="W2551" t="s">
        <v>9180</v>
      </c>
      <c r="X2551" t="s">
        <v>46</v>
      </c>
      <c r="AC2551">
        <f>COUNTIF(C:C,QLKV_gui_ket_qua_ra_soat[[#This Row],[Mã điểm bán]])</f>
        <v>1</v>
      </c>
    </row>
    <row r="2552" spans="1:29" x14ac:dyDescent="0.45">
      <c r="A2552" t="s">
        <v>9088</v>
      </c>
      <c r="B2552">
        <v>389</v>
      </c>
      <c r="C2552" t="s">
        <v>9184</v>
      </c>
      <c r="D2552" t="s">
        <v>9185</v>
      </c>
      <c r="E2552" t="s">
        <v>108</v>
      </c>
      <c r="F2552" t="s">
        <v>53</v>
      </c>
      <c r="G2552" t="s">
        <v>177</v>
      </c>
      <c r="H2552" t="s">
        <v>54</v>
      </c>
      <c r="I2552" t="s">
        <v>5576</v>
      </c>
      <c r="J2552" t="s">
        <v>38</v>
      </c>
      <c r="K2552" t="s">
        <v>38</v>
      </c>
      <c r="L2552" t="s">
        <v>39</v>
      </c>
      <c r="M2552" t="s">
        <v>37</v>
      </c>
      <c r="N2552" t="s">
        <v>37</v>
      </c>
      <c r="O2552" t="s">
        <v>39</v>
      </c>
      <c r="P2552" t="s">
        <v>38</v>
      </c>
      <c r="Q2552" t="s">
        <v>38</v>
      </c>
      <c r="R2552" t="s">
        <v>39</v>
      </c>
      <c r="S2552" t="s">
        <v>41</v>
      </c>
      <c r="T2552" t="s">
        <v>9178</v>
      </c>
      <c r="U2552" t="s">
        <v>9179</v>
      </c>
      <c r="V2552" t="s">
        <v>9093</v>
      </c>
      <c r="W2552" t="s">
        <v>9180</v>
      </c>
      <c r="X2552" t="s">
        <v>46</v>
      </c>
      <c r="AC2552">
        <f>COUNTIF(C:C,QLKV_gui_ket_qua_ra_soat[[#This Row],[Mã điểm bán]])</f>
        <v>1</v>
      </c>
    </row>
    <row r="2553" spans="1:29" x14ac:dyDescent="0.45">
      <c r="A2553" t="s">
        <v>9088</v>
      </c>
      <c r="B2553">
        <v>391</v>
      </c>
      <c r="C2553" t="s">
        <v>9186</v>
      </c>
      <c r="D2553" t="s">
        <v>9187</v>
      </c>
      <c r="E2553" t="s">
        <v>9188</v>
      </c>
      <c r="F2553" t="s">
        <v>9189</v>
      </c>
      <c r="G2553" t="s">
        <v>34</v>
      </c>
      <c r="H2553" t="s">
        <v>685</v>
      </c>
      <c r="I2553" t="s">
        <v>9190</v>
      </c>
      <c r="J2553" t="s">
        <v>38</v>
      </c>
      <c r="K2553" t="s">
        <v>38</v>
      </c>
      <c r="L2553" t="s">
        <v>40</v>
      </c>
      <c r="M2553" t="s">
        <v>1034</v>
      </c>
      <c r="N2553" t="s">
        <v>37</v>
      </c>
      <c r="O2553" t="s">
        <v>39</v>
      </c>
      <c r="P2553" t="s">
        <v>38</v>
      </c>
      <c r="Q2553" t="s">
        <v>38</v>
      </c>
      <c r="R2553" t="s">
        <v>39</v>
      </c>
      <c r="S2553" t="s">
        <v>41</v>
      </c>
      <c r="T2553" t="s">
        <v>9091</v>
      </c>
      <c r="U2553" t="s">
        <v>9092</v>
      </c>
      <c r="V2553" t="s">
        <v>9093</v>
      </c>
      <c r="W2553" t="s">
        <v>9094</v>
      </c>
      <c r="Y2553" t="s">
        <v>46</v>
      </c>
      <c r="AC2553">
        <f>COUNTIF(C:C,QLKV_gui_ket_qua_ra_soat[[#This Row],[Mã điểm bán]])</f>
        <v>1</v>
      </c>
    </row>
    <row r="2554" spans="1:29" x14ac:dyDescent="0.45">
      <c r="A2554" t="s">
        <v>9088</v>
      </c>
      <c r="B2554">
        <v>403</v>
      </c>
      <c r="C2554" t="s">
        <v>9191</v>
      </c>
      <c r="D2554" t="s">
        <v>9192</v>
      </c>
      <c r="E2554" t="s">
        <v>6316</v>
      </c>
      <c r="F2554" t="s">
        <v>325</v>
      </c>
      <c r="G2554" t="s">
        <v>34</v>
      </c>
      <c r="H2554" t="s">
        <v>54</v>
      </c>
      <c r="I2554" t="s">
        <v>9193</v>
      </c>
      <c r="J2554" t="s">
        <v>38</v>
      </c>
      <c r="K2554" t="s">
        <v>38</v>
      </c>
      <c r="L2554" t="s">
        <v>39</v>
      </c>
      <c r="M2554" t="s">
        <v>38</v>
      </c>
      <c r="N2554" t="s">
        <v>38</v>
      </c>
      <c r="O2554" t="s">
        <v>39</v>
      </c>
      <c r="P2554" t="s">
        <v>38</v>
      </c>
      <c r="Q2554" t="s">
        <v>38</v>
      </c>
      <c r="R2554" t="s">
        <v>39</v>
      </c>
      <c r="S2554" t="s">
        <v>41</v>
      </c>
      <c r="T2554" t="s">
        <v>9158</v>
      </c>
      <c r="U2554" t="s">
        <v>9159</v>
      </c>
      <c r="V2554" t="s">
        <v>9093</v>
      </c>
      <c r="W2554" t="s">
        <v>2978</v>
      </c>
      <c r="X2554" t="s">
        <v>46</v>
      </c>
      <c r="AC2554">
        <f>COUNTIF(C:C,QLKV_gui_ket_qua_ra_soat[[#This Row],[Mã điểm bán]])</f>
        <v>1</v>
      </c>
    </row>
    <row r="2555" spans="1:29" x14ac:dyDescent="0.45">
      <c r="A2555" t="s">
        <v>9088</v>
      </c>
      <c r="B2555">
        <v>409</v>
      </c>
      <c r="C2555" t="s">
        <v>9194</v>
      </c>
      <c r="D2555" t="s">
        <v>9195</v>
      </c>
      <c r="E2555" t="s">
        <v>157</v>
      </c>
      <c r="F2555" t="s">
        <v>53</v>
      </c>
      <c r="G2555" t="s">
        <v>177</v>
      </c>
      <c r="H2555" t="s">
        <v>54</v>
      </c>
      <c r="I2555" t="s">
        <v>2274</v>
      </c>
      <c r="J2555" t="s">
        <v>38</v>
      </c>
      <c r="K2555" t="s">
        <v>38</v>
      </c>
      <c r="L2555" t="s">
        <v>39</v>
      </c>
      <c r="M2555" t="s">
        <v>37</v>
      </c>
      <c r="N2555" t="s">
        <v>37</v>
      </c>
      <c r="O2555" t="s">
        <v>39</v>
      </c>
      <c r="P2555" t="s">
        <v>38</v>
      </c>
      <c r="Q2555" t="s">
        <v>38</v>
      </c>
      <c r="R2555" t="s">
        <v>39</v>
      </c>
      <c r="S2555" t="s">
        <v>41</v>
      </c>
      <c r="T2555" t="s">
        <v>9178</v>
      </c>
      <c r="U2555" t="s">
        <v>9179</v>
      </c>
      <c r="V2555" t="s">
        <v>9093</v>
      </c>
      <c r="W2555" t="s">
        <v>9180</v>
      </c>
      <c r="X2555" t="s">
        <v>46</v>
      </c>
      <c r="AC2555">
        <f>COUNTIF(C:C,QLKV_gui_ket_qua_ra_soat[[#This Row],[Mã điểm bán]])</f>
        <v>1</v>
      </c>
    </row>
    <row r="2556" spans="1:29" x14ac:dyDescent="0.45">
      <c r="A2556" t="s">
        <v>9088</v>
      </c>
      <c r="B2556">
        <v>420</v>
      </c>
      <c r="C2556" t="s">
        <v>9196</v>
      </c>
      <c r="D2556" t="s">
        <v>9197</v>
      </c>
      <c r="E2556" t="s">
        <v>157</v>
      </c>
      <c r="F2556" t="s">
        <v>53</v>
      </c>
      <c r="G2556" t="s">
        <v>177</v>
      </c>
      <c r="H2556" t="s">
        <v>1177</v>
      </c>
      <c r="I2556" t="s">
        <v>9198</v>
      </c>
      <c r="J2556" t="s">
        <v>38</v>
      </c>
      <c r="K2556" t="s">
        <v>38</v>
      </c>
      <c r="L2556" t="s">
        <v>40</v>
      </c>
      <c r="M2556" t="s">
        <v>37</v>
      </c>
      <c r="N2556" t="s">
        <v>37</v>
      </c>
      <c r="O2556" t="s">
        <v>39</v>
      </c>
      <c r="P2556" t="s">
        <v>38</v>
      </c>
      <c r="Q2556" t="s">
        <v>38</v>
      </c>
      <c r="R2556" t="s">
        <v>40</v>
      </c>
      <c r="S2556" t="s">
        <v>41</v>
      </c>
      <c r="T2556" t="s">
        <v>9199</v>
      </c>
      <c r="U2556" t="s">
        <v>9200</v>
      </c>
      <c r="V2556" t="s">
        <v>9093</v>
      </c>
      <c r="W2556" t="s">
        <v>9180</v>
      </c>
      <c r="X2556" t="s">
        <v>46</v>
      </c>
      <c r="AC2556">
        <f>COUNTIF(C:C,QLKV_gui_ket_qua_ra_soat[[#This Row],[Mã điểm bán]])</f>
        <v>1</v>
      </c>
    </row>
    <row r="2557" spans="1:29" x14ac:dyDescent="0.45">
      <c r="A2557" t="s">
        <v>9088</v>
      </c>
      <c r="B2557">
        <v>449</v>
      </c>
      <c r="C2557" t="s">
        <v>9201</v>
      </c>
      <c r="D2557" t="s">
        <v>9202</v>
      </c>
      <c r="E2557" t="s">
        <v>7000</v>
      </c>
      <c r="F2557" t="s">
        <v>53</v>
      </c>
      <c r="G2557" t="s">
        <v>34</v>
      </c>
      <c r="H2557" t="s">
        <v>1929</v>
      </c>
      <c r="I2557" t="s">
        <v>489</v>
      </c>
      <c r="J2557" t="s">
        <v>38</v>
      </c>
      <c r="K2557" t="s">
        <v>38</v>
      </c>
      <c r="L2557" t="s">
        <v>40</v>
      </c>
      <c r="M2557" t="s">
        <v>38</v>
      </c>
      <c r="N2557" t="s">
        <v>38</v>
      </c>
      <c r="O2557" t="s">
        <v>40</v>
      </c>
      <c r="P2557" t="s">
        <v>38</v>
      </c>
      <c r="Q2557" t="s">
        <v>38</v>
      </c>
      <c r="R2557" t="s">
        <v>40</v>
      </c>
      <c r="S2557" t="s">
        <v>41</v>
      </c>
      <c r="T2557" t="s">
        <v>9099</v>
      </c>
      <c r="U2557" t="s">
        <v>9100</v>
      </c>
      <c r="V2557" t="s">
        <v>9093</v>
      </c>
      <c r="W2557" t="s">
        <v>9101</v>
      </c>
      <c r="X2557" t="s">
        <v>46</v>
      </c>
      <c r="AC2557">
        <f>COUNTIF(C:C,QLKV_gui_ket_qua_ra_soat[[#This Row],[Mã điểm bán]])</f>
        <v>1</v>
      </c>
    </row>
    <row r="2558" spans="1:29" x14ac:dyDescent="0.45">
      <c r="A2558" t="s">
        <v>9088</v>
      </c>
      <c r="B2558">
        <v>452</v>
      </c>
      <c r="C2558" t="s">
        <v>9203</v>
      </c>
      <c r="D2558" t="s">
        <v>9204</v>
      </c>
      <c r="E2558" t="s">
        <v>1695</v>
      </c>
      <c r="F2558" t="s">
        <v>53</v>
      </c>
      <c r="G2558" t="s">
        <v>34</v>
      </c>
      <c r="H2558" t="s">
        <v>54</v>
      </c>
      <c r="I2558" t="s">
        <v>2061</v>
      </c>
      <c r="J2558" t="s">
        <v>38</v>
      </c>
      <c r="K2558" t="s">
        <v>38</v>
      </c>
      <c r="L2558" t="s">
        <v>39</v>
      </c>
      <c r="M2558" t="s">
        <v>1034</v>
      </c>
      <c r="N2558" t="s">
        <v>37</v>
      </c>
      <c r="O2558" t="s">
        <v>39</v>
      </c>
      <c r="P2558" t="s">
        <v>38</v>
      </c>
      <c r="Q2558" t="s">
        <v>38</v>
      </c>
      <c r="R2558" t="s">
        <v>39</v>
      </c>
      <c r="S2558" t="s">
        <v>41</v>
      </c>
      <c r="T2558" t="s">
        <v>9091</v>
      </c>
      <c r="U2558" t="s">
        <v>9205</v>
      </c>
      <c r="V2558" t="s">
        <v>9093</v>
      </c>
      <c r="W2558" t="s">
        <v>9094</v>
      </c>
      <c r="Z2558" t="s">
        <v>46</v>
      </c>
      <c r="AA2558" t="s">
        <v>9095</v>
      </c>
      <c r="AC2558">
        <f>COUNTIF(C:C,QLKV_gui_ket_qua_ra_soat[[#This Row],[Mã điểm bán]])</f>
        <v>1</v>
      </c>
    </row>
    <row r="2559" spans="1:29" x14ac:dyDescent="0.45">
      <c r="A2559" t="s">
        <v>9088</v>
      </c>
      <c r="B2559">
        <v>458</v>
      </c>
      <c r="C2559" t="s">
        <v>9206</v>
      </c>
      <c r="D2559" t="s">
        <v>7480</v>
      </c>
      <c r="E2559" t="s">
        <v>176</v>
      </c>
      <c r="F2559" t="s">
        <v>53</v>
      </c>
      <c r="G2559" t="s">
        <v>177</v>
      </c>
      <c r="H2559" t="s">
        <v>1177</v>
      </c>
      <c r="I2559" t="s">
        <v>9198</v>
      </c>
      <c r="J2559" t="s">
        <v>38</v>
      </c>
      <c r="K2559" t="s">
        <v>38</v>
      </c>
      <c r="L2559" t="s">
        <v>40</v>
      </c>
      <c r="M2559" t="s">
        <v>37</v>
      </c>
      <c r="N2559" t="s">
        <v>37</v>
      </c>
      <c r="O2559" t="s">
        <v>39</v>
      </c>
      <c r="P2559" t="s">
        <v>38</v>
      </c>
      <c r="Q2559" t="s">
        <v>38</v>
      </c>
      <c r="R2559" t="s">
        <v>40</v>
      </c>
      <c r="S2559" t="s">
        <v>41</v>
      </c>
      <c r="T2559" t="s">
        <v>9199</v>
      </c>
      <c r="U2559" t="s">
        <v>9200</v>
      </c>
      <c r="V2559" t="s">
        <v>9093</v>
      </c>
      <c r="W2559" t="s">
        <v>9180</v>
      </c>
      <c r="Z2559" t="s">
        <v>46</v>
      </c>
      <c r="AA2559" t="s">
        <v>9119</v>
      </c>
      <c r="AC2559">
        <f>COUNTIF(C:C,QLKV_gui_ket_qua_ra_soat[[#This Row],[Mã điểm bán]])</f>
        <v>1</v>
      </c>
    </row>
    <row r="2560" spans="1:29" x14ac:dyDescent="0.45">
      <c r="A2560" t="s">
        <v>9088</v>
      </c>
      <c r="B2560">
        <v>460</v>
      </c>
      <c r="C2560" t="s">
        <v>9207</v>
      </c>
      <c r="D2560" t="s">
        <v>9208</v>
      </c>
      <c r="E2560" t="s">
        <v>69</v>
      </c>
      <c r="F2560" t="s">
        <v>53</v>
      </c>
      <c r="G2560" t="s">
        <v>34</v>
      </c>
      <c r="H2560" t="s">
        <v>2593</v>
      </c>
      <c r="I2560" t="s">
        <v>9198</v>
      </c>
      <c r="J2560" t="s">
        <v>38</v>
      </c>
      <c r="K2560" t="s">
        <v>38</v>
      </c>
      <c r="L2560" t="s">
        <v>40</v>
      </c>
      <c r="M2560" t="s">
        <v>56</v>
      </c>
      <c r="N2560" t="s">
        <v>56</v>
      </c>
      <c r="O2560" t="s">
        <v>39</v>
      </c>
      <c r="P2560" t="s">
        <v>38</v>
      </c>
      <c r="Q2560" t="s">
        <v>38</v>
      </c>
      <c r="R2560" t="s">
        <v>40</v>
      </c>
      <c r="S2560" t="s">
        <v>41</v>
      </c>
      <c r="T2560" t="s">
        <v>9199</v>
      </c>
      <c r="U2560" t="s">
        <v>9200</v>
      </c>
      <c r="V2560" t="s">
        <v>9093</v>
      </c>
      <c r="W2560" t="s">
        <v>9180</v>
      </c>
      <c r="Z2560" t="s">
        <v>46</v>
      </c>
      <c r="AA2560" t="s">
        <v>9119</v>
      </c>
      <c r="AC2560">
        <f>COUNTIF(C:C,QLKV_gui_ket_qua_ra_soat[[#This Row],[Mã điểm bán]])</f>
        <v>1</v>
      </c>
    </row>
    <row r="2561" spans="1:29" x14ac:dyDescent="0.45">
      <c r="A2561" t="s">
        <v>9088</v>
      </c>
      <c r="B2561">
        <v>468</v>
      </c>
      <c r="C2561" t="s">
        <v>9209</v>
      </c>
      <c r="D2561" t="s">
        <v>9210</v>
      </c>
      <c r="E2561" t="s">
        <v>1492</v>
      </c>
      <c r="F2561" t="s">
        <v>9211</v>
      </c>
      <c r="G2561" t="s">
        <v>34</v>
      </c>
      <c r="H2561" t="s">
        <v>171</v>
      </c>
      <c r="I2561" t="s">
        <v>9212</v>
      </c>
      <c r="J2561" t="s">
        <v>38</v>
      </c>
      <c r="K2561" t="s">
        <v>38</v>
      </c>
      <c r="L2561" t="s">
        <v>40</v>
      </c>
      <c r="M2561" t="s">
        <v>1034</v>
      </c>
      <c r="N2561" t="s">
        <v>56</v>
      </c>
      <c r="O2561" t="s">
        <v>39</v>
      </c>
      <c r="P2561" t="s">
        <v>38</v>
      </c>
      <c r="Q2561" t="s">
        <v>38</v>
      </c>
      <c r="R2561" t="s">
        <v>39</v>
      </c>
      <c r="S2561" t="s">
        <v>9213</v>
      </c>
      <c r="T2561" t="s">
        <v>9091</v>
      </c>
      <c r="U2561" t="s">
        <v>9092</v>
      </c>
      <c r="V2561" t="s">
        <v>9093</v>
      </c>
      <c r="W2561" t="s">
        <v>9094</v>
      </c>
      <c r="Z2561" t="s">
        <v>46</v>
      </c>
      <c r="AA2561" t="s">
        <v>9095</v>
      </c>
      <c r="AC2561">
        <f>COUNTIF(C:C,QLKV_gui_ket_qua_ra_soat[[#This Row],[Mã điểm bán]])</f>
        <v>1</v>
      </c>
    </row>
    <row r="2562" spans="1:29" x14ac:dyDescent="0.45">
      <c r="A2562" t="s">
        <v>9088</v>
      </c>
      <c r="B2562">
        <v>477</v>
      </c>
      <c r="C2562" t="s">
        <v>9214</v>
      </c>
      <c r="D2562" t="s">
        <v>9215</v>
      </c>
      <c r="E2562" t="s">
        <v>1735</v>
      </c>
      <c r="F2562" t="s">
        <v>115</v>
      </c>
      <c r="G2562" t="s">
        <v>34</v>
      </c>
      <c r="H2562" t="s">
        <v>2625</v>
      </c>
      <c r="I2562" t="s">
        <v>2160</v>
      </c>
      <c r="J2562" t="s">
        <v>38</v>
      </c>
      <c r="K2562" t="s">
        <v>38</v>
      </c>
      <c r="L2562" t="s">
        <v>39</v>
      </c>
      <c r="M2562" t="s">
        <v>37</v>
      </c>
      <c r="N2562" t="s">
        <v>37</v>
      </c>
      <c r="O2562" t="s">
        <v>39</v>
      </c>
      <c r="P2562" t="s">
        <v>38</v>
      </c>
      <c r="Q2562" t="s">
        <v>38</v>
      </c>
      <c r="R2562" t="s">
        <v>39</v>
      </c>
      <c r="S2562" t="s">
        <v>41</v>
      </c>
      <c r="T2562" t="s">
        <v>9178</v>
      </c>
      <c r="U2562" t="s">
        <v>9179</v>
      </c>
      <c r="V2562" t="s">
        <v>9093</v>
      </c>
      <c r="W2562" t="s">
        <v>9180</v>
      </c>
      <c r="X2562" t="s">
        <v>46</v>
      </c>
      <c r="AC2562">
        <f>COUNTIF(C:C,QLKV_gui_ket_qua_ra_soat[[#This Row],[Mã điểm bán]])</f>
        <v>1</v>
      </c>
    </row>
    <row r="2563" spans="1:29" x14ac:dyDescent="0.45">
      <c r="A2563" t="s">
        <v>9088</v>
      </c>
      <c r="B2563">
        <v>481</v>
      </c>
      <c r="C2563" t="s">
        <v>9216</v>
      </c>
      <c r="D2563" t="s">
        <v>9217</v>
      </c>
      <c r="E2563" t="s">
        <v>2384</v>
      </c>
      <c r="F2563" t="s">
        <v>53</v>
      </c>
      <c r="G2563" t="s">
        <v>34</v>
      </c>
      <c r="H2563" t="s">
        <v>1052</v>
      </c>
      <c r="I2563" t="s">
        <v>2921</v>
      </c>
      <c r="J2563" t="s">
        <v>38</v>
      </c>
      <c r="K2563" t="s">
        <v>38</v>
      </c>
      <c r="L2563" t="s">
        <v>39</v>
      </c>
      <c r="M2563" t="s">
        <v>37</v>
      </c>
      <c r="N2563" t="s">
        <v>37</v>
      </c>
      <c r="O2563" t="s">
        <v>39</v>
      </c>
      <c r="P2563" t="s">
        <v>38</v>
      </c>
      <c r="Q2563" t="s">
        <v>38</v>
      </c>
      <c r="R2563" t="s">
        <v>39</v>
      </c>
      <c r="S2563" t="s">
        <v>41</v>
      </c>
      <c r="T2563" t="s">
        <v>9178</v>
      </c>
      <c r="U2563" t="s">
        <v>9179</v>
      </c>
      <c r="V2563" t="s">
        <v>9093</v>
      </c>
      <c r="W2563" t="s">
        <v>9180</v>
      </c>
      <c r="X2563" t="s">
        <v>46</v>
      </c>
      <c r="AC2563">
        <f>COUNTIF(C:C,QLKV_gui_ket_qua_ra_soat[[#This Row],[Mã điểm bán]])</f>
        <v>1</v>
      </c>
    </row>
    <row r="2564" spans="1:29" x14ac:dyDescent="0.45">
      <c r="A2564" t="s">
        <v>9088</v>
      </c>
      <c r="B2564">
        <v>514</v>
      </c>
      <c r="C2564" t="s">
        <v>9218</v>
      </c>
      <c r="D2564" t="s">
        <v>9219</v>
      </c>
      <c r="E2564" t="s">
        <v>1933</v>
      </c>
      <c r="F2564" t="s">
        <v>492</v>
      </c>
      <c r="G2564" t="s">
        <v>34</v>
      </c>
      <c r="H2564" t="s">
        <v>214</v>
      </c>
      <c r="I2564" t="s">
        <v>9220</v>
      </c>
      <c r="J2564" t="s">
        <v>38</v>
      </c>
      <c r="K2564" t="s">
        <v>38</v>
      </c>
      <c r="L2564" t="s">
        <v>40</v>
      </c>
      <c r="M2564" t="s">
        <v>1034</v>
      </c>
      <c r="N2564" t="s">
        <v>37</v>
      </c>
      <c r="O2564" t="s">
        <v>39</v>
      </c>
      <c r="P2564" t="s">
        <v>38</v>
      </c>
      <c r="Q2564" t="s">
        <v>38</v>
      </c>
      <c r="R2564" t="s">
        <v>39</v>
      </c>
      <c r="S2564" t="s">
        <v>41</v>
      </c>
      <c r="T2564" t="s">
        <v>9091</v>
      </c>
      <c r="U2564" t="s">
        <v>9092</v>
      </c>
      <c r="V2564" t="s">
        <v>9093</v>
      </c>
      <c r="W2564" t="s">
        <v>9094</v>
      </c>
      <c r="Y2564" t="s">
        <v>46</v>
      </c>
      <c r="AC2564">
        <f>COUNTIF(C:C,QLKV_gui_ket_qua_ra_soat[[#This Row],[Mã điểm bán]])</f>
        <v>1</v>
      </c>
    </row>
    <row r="2565" spans="1:29" x14ac:dyDescent="0.45">
      <c r="A2565" t="s">
        <v>9088</v>
      </c>
      <c r="B2565">
        <v>534</v>
      </c>
      <c r="C2565" t="s">
        <v>9221</v>
      </c>
      <c r="D2565" t="s">
        <v>9222</v>
      </c>
      <c r="E2565" t="s">
        <v>9223</v>
      </c>
      <c r="F2565" t="s">
        <v>325</v>
      </c>
      <c r="G2565" t="s">
        <v>34</v>
      </c>
      <c r="H2565" t="s">
        <v>214</v>
      </c>
      <c r="I2565" t="s">
        <v>9224</v>
      </c>
      <c r="J2565" t="s">
        <v>38</v>
      </c>
      <c r="K2565" t="s">
        <v>38</v>
      </c>
      <c r="L2565" t="s">
        <v>39</v>
      </c>
      <c r="M2565" t="s">
        <v>37</v>
      </c>
      <c r="N2565" t="s">
        <v>37</v>
      </c>
      <c r="O2565" t="s">
        <v>39</v>
      </c>
      <c r="P2565" t="s">
        <v>38</v>
      </c>
      <c r="Q2565" t="s">
        <v>38</v>
      </c>
      <c r="R2565" t="s">
        <v>39</v>
      </c>
      <c r="S2565" t="s">
        <v>41</v>
      </c>
      <c r="T2565" t="s">
        <v>9225</v>
      </c>
      <c r="U2565" t="s">
        <v>9226</v>
      </c>
      <c r="V2565" t="s">
        <v>9093</v>
      </c>
      <c r="W2565" t="s">
        <v>9227</v>
      </c>
      <c r="Y2565" t="s">
        <v>46</v>
      </c>
      <c r="AC2565">
        <f>COUNTIF(C:C,QLKV_gui_ket_qua_ra_soat[[#This Row],[Mã điểm bán]])</f>
        <v>1</v>
      </c>
    </row>
    <row r="2566" spans="1:29" x14ac:dyDescent="0.45">
      <c r="A2566" t="s">
        <v>9088</v>
      </c>
      <c r="B2566">
        <v>537</v>
      </c>
      <c r="C2566" t="s">
        <v>9228</v>
      </c>
      <c r="D2566" t="s">
        <v>9229</v>
      </c>
      <c r="E2566" t="s">
        <v>176</v>
      </c>
      <c r="F2566" t="s">
        <v>53</v>
      </c>
      <c r="G2566" t="s">
        <v>177</v>
      </c>
      <c r="H2566" t="s">
        <v>2952</v>
      </c>
      <c r="I2566" t="s">
        <v>9230</v>
      </c>
      <c r="J2566" t="s">
        <v>38</v>
      </c>
      <c r="K2566" t="s">
        <v>38</v>
      </c>
      <c r="L2566" t="s">
        <v>40</v>
      </c>
      <c r="M2566" t="s">
        <v>56</v>
      </c>
      <c r="N2566" t="s">
        <v>56</v>
      </c>
      <c r="O2566" t="s">
        <v>39</v>
      </c>
      <c r="P2566" t="s">
        <v>38</v>
      </c>
      <c r="Q2566" t="s">
        <v>38</v>
      </c>
      <c r="R2566" t="s">
        <v>40</v>
      </c>
      <c r="S2566" t="s">
        <v>9231</v>
      </c>
      <c r="T2566" t="s">
        <v>9199</v>
      </c>
      <c r="U2566" t="s">
        <v>9200</v>
      </c>
      <c r="V2566" t="s">
        <v>9093</v>
      </c>
      <c r="W2566" t="s">
        <v>9180</v>
      </c>
      <c r="X2566" t="s">
        <v>46</v>
      </c>
      <c r="AC2566">
        <f>COUNTIF(C:C,QLKV_gui_ket_qua_ra_soat[[#This Row],[Mã điểm bán]])</f>
        <v>1</v>
      </c>
    </row>
    <row r="2567" spans="1:29" x14ac:dyDescent="0.45">
      <c r="A2567" t="s">
        <v>9088</v>
      </c>
      <c r="B2567">
        <v>539</v>
      </c>
      <c r="C2567" t="s">
        <v>9232</v>
      </c>
      <c r="D2567" t="s">
        <v>9233</v>
      </c>
      <c r="E2567" t="s">
        <v>9234</v>
      </c>
      <c r="F2567" t="s">
        <v>325</v>
      </c>
      <c r="G2567" t="s">
        <v>34</v>
      </c>
      <c r="H2567" t="s">
        <v>214</v>
      </c>
      <c r="I2567" t="s">
        <v>9224</v>
      </c>
      <c r="J2567" t="s">
        <v>38</v>
      </c>
      <c r="K2567" t="s">
        <v>38</v>
      </c>
      <c r="L2567" t="s">
        <v>39</v>
      </c>
      <c r="M2567" t="s">
        <v>37</v>
      </c>
      <c r="N2567" t="s">
        <v>37</v>
      </c>
      <c r="O2567" t="s">
        <v>39</v>
      </c>
      <c r="P2567" t="s">
        <v>38</v>
      </c>
      <c r="Q2567" t="s">
        <v>38</v>
      </c>
      <c r="R2567" t="s">
        <v>39</v>
      </c>
      <c r="S2567" t="s">
        <v>41</v>
      </c>
      <c r="T2567" t="s">
        <v>9225</v>
      </c>
      <c r="U2567" t="s">
        <v>9226</v>
      </c>
      <c r="V2567" t="s">
        <v>9093</v>
      </c>
      <c r="W2567" t="s">
        <v>9227</v>
      </c>
      <c r="Z2567" t="s">
        <v>46</v>
      </c>
      <c r="AA2567" t="s">
        <v>9235</v>
      </c>
      <c r="AC2567">
        <f>COUNTIF(C:C,QLKV_gui_ket_qua_ra_soat[[#This Row],[Mã điểm bán]])</f>
        <v>1</v>
      </c>
    </row>
    <row r="2568" spans="1:29" x14ac:dyDescent="0.45">
      <c r="A2568" t="s">
        <v>9088</v>
      </c>
      <c r="B2568">
        <v>540</v>
      </c>
      <c r="C2568" t="s">
        <v>9236</v>
      </c>
      <c r="D2568" t="s">
        <v>9237</v>
      </c>
      <c r="E2568" t="s">
        <v>9238</v>
      </c>
      <c r="F2568" t="s">
        <v>2425</v>
      </c>
      <c r="G2568" t="s">
        <v>177</v>
      </c>
      <c r="H2568" t="s">
        <v>1263</v>
      </c>
      <c r="I2568" t="s">
        <v>9239</v>
      </c>
      <c r="J2568" t="s">
        <v>37</v>
      </c>
      <c r="K2568" t="s">
        <v>37</v>
      </c>
      <c r="L2568" t="s">
        <v>39</v>
      </c>
      <c r="M2568" t="s">
        <v>37</v>
      </c>
      <c r="N2568" t="s">
        <v>37</v>
      </c>
      <c r="O2568" t="s">
        <v>39</v>
      </c>
      <c r="P2568" t="s">
        <v>38</v>
      </c>
      <c r="Q2568" t="s">
        <v>38</v>
      </c>
      <c r="R2568" t="s">
        <v>39</v>
      </c>
      <c r="S2568" t="s">
        <v>41</v>
      </c>
      <c r="T2568" t="s">
        <v>9240</v>
      </c>
      <c r="U2568" t="s">
        <v>9205</v>
      </c>
      <c r="V2568" t="s">
        <v>9093</v>
      </c>
      <c r="W2568" t="s">
        <v>9227</v>
      </c>
      <c r="Z2568" t="s">
        <v>46</v>
      </c>
      <c r="AA2568" t="s">
        <v>9095</v>
      </c>
      <c r="AC2568">
        <f>COUNTIF(C:C,QLKV_gui_ket_qua_ra_soat[[#This Row],[Mã điểm bán]])</f>
        <v>1</v>
      </c>
    </row>
    <row r="2569" spans="1:29" x14ac:dyDescent="0.45">
      <c r="A2569" t="s">
        <v>9088</v>
      </c>
      <c r="B2569">
        <v>542</v>
      </c>
      <c r="C2569" t="s">
        <v>9241</v>
      </c>
      <c r="D2569" t="s">
        <v>9242</v>
      </c>
      <c r="E2569" t="s">
        <v>176</v>
      </c>
      <c r="F2569" t="s">
        <v>53</v>
      </c>
      <c r="G2569" t="s">
        <v>177</v>
      </c>
      <c r="H2569" t="s">
        <v>1574</v>
      </c>
      <c r="I2569" t="s">
        <v>9230</v>
      </c>
      <c r="J2569" t="s">
        <v>38</v>
      </c>
      <c r="K2569" t="s">
        <v>38</v>
      </c>
      <c r="L2569" t="s">
        <v>40</v>
      </c>
      <c r="M2569" t="s">
        <v>56</v>
      </c>
      <c r="N2569" t="s">
        <v>56</v>
      </c>
      <c r="O2569" t="s">
        <v>39</v>
      </c>
      <c r="P2569" t="s">
        <v>38</v>
      </c>
      <c r="Q2569" t="s">
        <v>38</v>
      </c>
      <c r="R2569" t="s">
        <v>40</v>
      </c>
      <c r="S2569" t="s">
        <v>41</v>
      </c>
      <c r="T2569" t="s">
        <v>9199</v>
      </c>
      <c r="U2569" t="s">
        <v>9200</v>
      </c>
      <c r="V2569" t="s">
        <v>9093</v>
      </c>
      <c r="W2569" t="s">
        <v>9180</v>
      </c>
      <c r="X2569" t="s">
        <v>46</v>
      </c>
      <c r="AC2569">
        <f>COUNTIF(C:C,QLKV_gui_ket_qua_ra_soat[[#This Row],[Mã điểm bán]])</f>
        <v>1</v>
      </c>
    </row>
    <row r="2570" spans="1:29" x14ac:dyDescent="0.45">
      <c r="A2570" t="s">
        <v>9088</v>
      </c>
      <c r="B2570">
        <v>544</v>
      </c>
      <c r="C2570" t="s">
        <v>9243</v>
      </c>
      <c r="D2570" t="s">
        <v>9244</v>
      </c>
      <c r="E2570" t="s">
        <v>9245</v>
      </c>
      <c r="F2570" t="s">
        <v>325</v>
      </c>
      <c r="G2570" t="s">
        <v>34</v>
      </c>
      <c r="H2570" t="s">
        <v>214</v>
      </c>
      <c r="I2570" t="s">
        <v>9224</v>
      </c>
      <c r="J2570" t="s">
        <v>38</v>
      </c>
      <c r="K2570" t="s">
        <v>38</v>
      </c>
      <c r="L2570" t="s">
        <v>39</v>
      </c>
      <c r="M2570" t="s">
        <v>37</v>
      </c>
      <c r="N2570" t="s">
        <v>37</v>
      </c>
      <c r="O2570" t="s">
        <v>39</v>
      </c>
      <c r="P2570" t="s">
        <v>38</v>
      </c>
      <c r="Q2570" t="s">
        <v>38</v>
      </c>
      <c r="R2570" t="s">
        <v>39</v>
      </c>
      <c r="S2570" t="s">
        <v>41</v>
      </c>
      <c r="T2570" t="s">
        <v>9225</v>
      </c>
      <c r="U2570" t="s">
        <v>9226</v>
      </c>
      <c r="V2570" t="s">
        <v>9093</v>
      </c>
      <c r="W2570" t="s">
        <v>9227</v>
      </c>
      <c r="Y2570" t="s">
        <v>46</v>
      </c>
      <c r="AC2570">
        <f>COUNTIF(C:C,QLKV_gui_ket_qua_ra_soat[[#This Row],[Mã điểm bán]])</f>
        <v>1</v>
      </c>
    </row>
    <row r="2571" spans="1:29" x14ac:dyDescent="0.45">
      <c r="A2571" t="s">
        <v>9088</v>
      </c>
      <c r="B2571">
        <v>546</v>
      </c>
      <c r="C2571" t="s">
        <v>9246</v>
      </c>
      <c r="D2571" t="s">
        <v>9247</v>
      </c>
      <c r="E2571" t="s">
        <v>176</v>
      </c>
      <c r="F2571" t="s">
        <v>53</v>
      </c>
      <c r="G2571" t="s">
        <v>177</v>
      </c>
      <c r="H2571" t="s">
        <v>1280</v>
      </c>
      <c r="I2571" t="s">
        <v>9248</v>
      </c>
      <c r="J2571" t="s">
        <v>38</v>
      </c>
      <c r="K2571" t="s">
        <v>38</v>
      </c>
      <c r="L2571" t="s">
        <v>40</v>
      </c>
      <c r="M2571" t="s">
        <v>37</v>
      </c>
      <c r="N2571" t="s">
        <v>37</v>
      </c>
      <c r="O2571" t="s">
        <v>39</v>
      </c>
      <c r="P2571" t="s">
        <v>38</v>
      </c>
      <c r="Q2571" t="s">
        <v>38</v>
      </c>
      <c r="R2571" t="s">
        <v>40</v>
      </c>
      <c r="S2571" t="s">
        <v>41</v>
      </c>
      <c r="T2571" t="s">
        <v>9199</v>
      </c>
      <c r="U2571" t="s">
        <v>9200</v>
      </c>
      <c r="V2571" t="s">
        <v>9093</v>
      </c>
      <c r="W2571" t="s">
        <v>9180</v>
      </c>
      <c r="X2571" t="s">
        <v>46</v>
      </c>
      <c r="AC2571">
        <f>COUNTIF(C:C,QLKV_gui_ket_qua_ra_soat[[#This Row],[Mã điểm bán]])</f>
        <v>1</v>
      </c>
    </row>
    <row r="2572" spans="1:29" x14ac:dyDescent="0.45">
      <c r="A2572" t="s">
        <v>9088</v>
      </c>
      <c r="B2572">
        <v>549</v>
      </c>
      <c r="C2572" t="s">
        <v>9249</v>
      </c>
      <c r="D2572" t="s">
        <v>9250</v>
      </c>
      <c r="E2572" t="s">
        <v>9251</v>
      </c>
      <c r="F2572" t="s">
        <v>166</v>
      </c>
      <c r="G2572" t="s">
        <v>34</v>
      </c>
      <c r="H2572" t="s">
        <v>214</v>
      </c>
      <c r="I2572" t="s">
        <v>9224</v>
      </c>
      <c r="J2572" t="s">
        <v>37</v>
      </c>
      <c r="K2572" t="s">
        <v>38</v>
      </c>
      <c r="L2572" t="s">
        <v>39</v>
      </c>
      <c r="M2572" t="s">
        <v>37</v>
      </c>
      <c r="N2572" t="s">
        <v>37</v>
      </c>
      <c r="O2572" t="s">
        <v>39</v>
      </c>
      <c r="P2572" t="s">
        <v>38</v>
      </c>
      <c r="Q2572" t="s">
        <v>38</v>
      </c>
      <c r="R2572" t="s">
        <v>39</v>
      </c>
      <c r="S2572" t="s">
        <v>41</v>
      </c>
      <c r="T2572" t="s">
        <v>9225</v>
      </c>
      <c r="U2572" t="s">
        <v>9226</v>
      </c>
      <c r="V2572" t="s">
        <v>9093</v>
      </c>
      <c r="W2572" t="s">
        <v>9227</v>
      </c>
      <c r="Y2572" t="s">
        <v>46</v>
      </c>
      <c r="AC2572">
        <f>COUNTIF(C:C,QLKV_gui_ket_qua_ra_soat[[#This Row],[Mã điểm bán]])</f>
        <v>1</v>
      </c>
    </row>
    <row r="2573" spans="1:29" x14ac:dyDescent="0.45">
      <c r="A2573" t="s">
        <v>9088</v>
      </c>
      <c r="B2573">
        <v>553</v>
      </c>
      <c r="C2573" t="s">
        <v>9252</v>
      </c>
      <c r="D2573" t="s">
        <v>9253</v>
      </c>
      <c r="E2573" t="s">
        <v>176</v>
      </c>
      <c r="F2573" t="s">
        <v>53</v>
      </c>
      <c r="G2573" t="s">
        <v>177</v>
      </c>
      <c r="H2573" t="s">
        <v>4335</v>
      </c>
      <c r="I2573" t="s">
        <v>9198</v>
      </c>
      <c r="J2573" t="s">
        <v>38</v>
      </c>
      <c r="K2573" t="s">
        <v>38</v>
      </c>
      <c r="L2573" t="s">
        <v>40</v>
      </c>
      <c r="M2573" t="s">
        <v>37</v>
      </c>
      <c r="N2573" t="s">
        <v>37</v>
      </c>
      <c r="O2573" t="s">
        <v>39</v>
      </c>
      <c r="P2573" t="s">
        <v>38</v>
      </c>
      <c r="Q2573" t="s">
        <v>38</v>
      </c>
      <c r="R2573" t="s">
        <v>40</v>
      </c>
      <c r="S2573" t="s">
        <v>41</v>
      </c>
      <c r="T2573" t="s">
        <v>9199</v>
      </c>
      <c r="U2573" t="s">
        <v>9200</v>
      </c>
      <c r="V2573" t="s">
        <v>9093</v>
      </c>
      <c r="W2573" t="s">
        <v>9180</v>
      </c>
      <c r="Z2573" t="s">
        <v>46</v>
      </c>
      <c r="AA2573" t="s">
        <v>9119</v>
      </c>
      <c r="AC2573">
        <f>COUNTIF(C:C,QLKV_gui_ket_qua_ra_soat[[#This Row],[Mã điểm bán]])</f>
        <v>1</v>
      </c>
    </row>
    <row r="2574" spans="1:29" x14ac:dyDescent="0.45">
      <c r="A2574" t="s">
        <v>9088</v>
      </c>
      <c r="B2574">
        <v>555</v>
      </c>
      <c r="C2574" t="s">
        <v>9254</v>
      </c>
      <c r="D2574" t="s">
        <v>9255</v>
      </c>
      <c r="E2574" t="s">
        <v>9256</v>
      </c>
      <c r="F2574" t="s">
        <v>53</v>
      </c>
      <c r="G2574" t="s">
        <v>177</v>
      </c>
      <c r="H2574" t="s">
        <v>433</v>
      </c>
      <c r="I2574" t="s">
        <v>9257</v>
      </c>
      <c r="J2574" t="s">
        <v>41</v>
      </c>
      <c r="K2574" t="s">
        <v>41</v>
      </c>
      <c r="L2574" t="s">
        <v>41</v>
      </c>
      <c r="M2574" t="s">
        <v>41</v>
      </c>
      <c r="N2574" t="s">
        <v>41</v>
      </c>
      <c r="O2574" t="s">
        <v>41</v>
      </c>
      <c r="P2574" t="s">
        <v>41</v>
      </c>
      <c r="Q2574" t="s">
        <v>41</v>
      </c>
      <c r="R2574" t="s">
        <v>41</v>
      </c>
      <c r="S2574" t="s">
        <v>41</v>
      </c>
      <c r="T2574" t="s">
        <v>9199</v>
      </c>
      <c r="U2574" t="s">
        <v>9200</v>
      </c>
      <c r="V2574" t="s">
        <v>9093</v>
      </c>
      <c r="W2574" t="s">
        <v>9180</v>
      </c>
      <c r="Z2574" t="s">
        <v>46</v>
      </c>
      <c r="AA2574" t="s">
        <v>9119</v>
      </c>
      <c r="AC2574">
        <f>COUNTIF(C:C,QLKV_gui_ket_qua_ra_soat[[#This Row],[Mã điểm bán]])</f>
        <v>1</v>
      </c>
    </row>
    <row r="2575" spans="1:29" x14ac:dyDescent="0.45">
      <c r="A2575" t="s">
        <v>9088</v>
      </c>
      <c r="B2575">
        <v>556</v>
      </c>
      <c r="C2575" t="s">
        <v>9258</v>
      </c>
      <c r="D2575" t="s">
        <v>9259</v>
      </c>
      <c r="E2575" t="s">
        <v>9260</v>
      </c>
      <c r="F2575" t="s">
        <v>9261</v>
      </c>
      <c r="G2575" t="s">
        <v>177</v>
      </c>
      <c r="H2575" t="s">
        <v>2643</v>
      </c>
      <c r="I2575" t="s">
        <v>9262</v>
      </c>
      <c r="J2575" t="s">
        <v>37</v>
      </c>
      <c r="K2575" t="s">
        <v>37</v>
      </c>
      <c r="L2575" t="s">
        <v>39</v>
      </c>
      <c r="M2575" t="s">
        <v>37</v>
      </c>
      <c r="N2575" t="s">
        <v>37</v>
      </c>
      <c r="O2575" t="s">
        <v>39</v>
      </c>
      <c r="P2575" t="s">
        <v>38</v>
      </c>
      <c r="Q2575" t="s">
        <v>38</v>
      </c>
      <c r="R2575" t="s">
        <v>39</v>
      </c>
      <c r="S2575" t="s">
        <v>41</v>
      </c>
      <c r="T2575" t="s">
        <v>9240</v>
      </c>
      <c r="U2575" t="s">
        <v>9205</v>
      </c>
      <c r="V2575" t="s">
        <v>9093</v>
      </c>
      <c r="W2575" t="s">
        <v>9227</v>
      </c>
      <c r="Z2575" t="s">
        <v>46</v>
      </c>
      <c r="AA2575" t="s">
        <v>9263</v>
      </c>
      <c r="AC2575">
        <f>COUNTIF(C:C,QLKV_gui_ket_qua_ra_soat[[#This Row],[Mã điểm bán]])</f>
        <v>1</v>
      </c>
    </row>
    <row r="2576" spans="1:29" x14ac:dyDescent="0.45">
      <c r="A2576" t="s">
        <v>9088</v>
      </c>
      <c r="B2576">
        <v>557</v>
      </c>
      <c r="C2576" t="s">
        <v>9264</v>
      </c>
      <c r="D2576" t="s">
        <v>9265</v>
      </c>
      <c r="E2576" t="s">
        <v>9266</v>
      </c>
      <c r="F2576" t="s">
        <v>53</v>
      </c>
      <c r="G2576" t="s">
        <v>177</v>
      </c>
      <c r="H2576" t="s">
        <v>319</v>
      </c>
      <c r="I2576" t="s">
        <v>9267</v>
      </c>
      <c r="J2576" t="s">
        <v>38</v>
      </c>
      <c r="K2576" t="s">
        <v>38</v>
      </c>
      <c r="L2576" t="s">
        <v>40</v>
      </c>
      <c r="M2576" t="s">
        <v>775</v>
      </c>
      <c r="N2576" t="s">
        <v>775</v>
      </c>
      <c r="O2576" t="s">
        <v>121</v>
      </c>
      <c r="P2576" t="s">
        <v>38</v>
      </c>
      <c r="Q2576" t="s">
        <v>38</v>
      </c>
      <c r="R2576" t="s">
        <v>40</v>
      </c>
      <c r="S2576" t="s">
        <v>41</v>
      </c>
      <c r="T2576" t="s">
        <v>9199</v>
      </c>
      <c r="U2576" t="s">
        <v>9200</v>
      </c>
      <c r="V2576" t="s">
        <v>9093</v>
      </c>
      <c r="W2576" t="s">
        <v>9180</v>
      </c>
      <c r="Z2576" t="s">
        <v>46</v>
      </c>
      <c r="AA2576" t="s">
        <v>9119</v>
      </c>
      <c r="AC2576">
        <f>COUNTIF(C:C,QLKV_gui_ket_qua_ra_soat[[#This Row],[Mã điểm bán]])</f>
        <v>1</v>
      </c>
    </row>
    <row r="2577" spans="1:29" x14ac:dyDescent="0.45">
      <c r="A2577" t="s">
        <v>9088</v>
      </c>
      <c r="B2577">
        <v>558</v>
      </c>
      <c r="C2577" t="s">
        <v>9268</v>
      </c>
      <c r="D2577" t="s">
        <v>8902</v>
      </c>
      <c r="E2577" t="s">
        <v>370</v>
      </c>
      <c r="F2577" t="s">
        <v>9269</v>
      </c>
      <c r="G2577" t="s">
        <v>177</v>
      </c>
      <c r="H2577" t="s">
        <v>54</v>
      </c>
      <c r="I2577" t="s">
        <v>9270</v>
      </c>
      <c r="J2577" t="s">
        <v>38</v>
      </c>
      <c r="K2577" t="s">
        <v>38</v>
      </c>
      <c r="L2577" t="s">
        <v>40</v>
      </c>
      <c r="M2577" t="s">
        <v>38</v>
      </c>
      <c r="N2577" t="s">
        <v>38</v>
      </c>
      <c r="O2577" t="s">
        <v>40</v>
      </c>
      <c r="P2577" t="s">
        <v>38</v>
      </c>
      <c r="Q2577" t="s">
        <v>38</v>
      </c>
      <c r="R2577" t="s">
        <v>40</v>
      </c>
      <c r="S2577" t="s">
        <v>41</v>
      </c>
      <c r="T2577" t="s">
        <v>9129</v>
      </c>
      <c r="U2577" t="s">
        <v>9130</v>
      </c>
      <c r="V2577" t="s">
        <v>9093</v>
      </c>
      <c r="W2577" t="s">
        <v>9131</v>
      </c>
      <c r="X2577" t="s">
        <v>46</v>
      </c>
      <c r="AC2577">
        <f>COUNTIF(C:C,QLKV_gui_ket_qua_ra_soat[[#This Row],[Mã điểm bán]])</f>
        <v>1</v>
      </c>
    </row>
    <row r="2578" spans="1:29" x14ac:dyDescent="0.45">
      <c r="A2578" t="s">
        <v>9088</v>
      </c>
      <c r="B2578">
        <v>559</v>
      </c>
      <c r="C2578" t="s">
        <v>9271</v>
      </c>
      <c r="D2578" t="s">
        <v>9272</v>
      </c>
      <c r="E2578" t="s">
        <v>9273</v>
      </c>
      <c r="F2578" t="s">
        <v>53</v>
      </c>
      <c r="G2578" t="s">
        <v>177</v>
      </c>
      <c r="H2578" t="s">
        <v>1658</v>
      </c>
      <c r="I2578" t="s">
        <v>9198</v>
      </c>
      <c r="J2578" t="s">
        <v>38</v>
      </c>
      <c r="K2578" t="s">
        <v>38</v>
      </c>
      <c r="L2578" t="s">
        <v>40</v>
      </c>
      <c r="M2578" t="s">
        <v>775</v>
      </c>
      <c r="N2578" t="s">
        <v>775</v>
      </c>
      <c r="O2578" t="s">
        <v>121</v>
      </c>
      <c r="P2578" t="s">
        <v>38</v>
      </c>
      <c r="Q2578" t="s">
        <v>38</v>
      </c>
      <c r="R2578" t="s">
        <v>40</v>
      </c>
      <c r="S2578" t="s">
        <v>9274</v>
      </c>
      <c r="T2578" t="s">
        <v>9199</v>
      </c>
      <c r="U2578" t="s">
        <v>9200</v>
      </c>
      <c r="V2578" t="s">
        <v>9093</v>
      </c>
      <c r="W2578" t="s">
        <v>9180</v>
      </c>
      <c r="Z2578" t="s">
        <v>46</v>
      </c>
      <c r="AA2578" t="s">
        <v>9119</v>
      </c>
      <c r="AC2578">
        <f>COUNTIF(C:C,QLKV_gui_ket_qua_ra_soat[[#This Row],[Mã điểm bán]])</f>
        <v>1</v>
      </c>
    </row>
    <row r="2579" spans="1:29" x14ac:dyDescent="0.45">
      <c r="A2579" t="s">
        <v>9088</v>
      </c>
      <c r="B2579">
        <v>561</v>
      </c>
      <c r="C2579" t="s">
        <v>9275</v>
      </c>
      <c r="D2579" t="s">
        <v>9276</v>
      </c>
      <c r="E2579" t="s">
        <v>91</v>
      </c>
      <c r="F2579" t="s">
        <v>53</v>
      </c>
      <c r="G2579" t="s">
        <v>177</v>
      </c>
      <c r="H2579" t="s">
        <v>2426</v>
      </c>
      <c r="I2579" t="s">
        <v>9198</v>
      </c>
      <c r="J2579" t="s">
        <v>38</v>
      </c>
      <c r="K2579" t="s">
        <v>38</v>
      </c>
      <c r="L2579" t="s">
        <v>40</v>
      </c>
      <c r="M2579" t="s">
        <v>56</v>
      </c>
      <c r="N2579" t="s">
        <v>56</v>
      </c>
      <c r="O2579" t="s">
        <v>39</v>
      </c>
      <c r="P2579" t="s">
        <v>38</v>
      </c>
      <c r="Q2579" t="s">
        <v>38</v>
      </c>
      <c r="R2579" t="s">
        <v>40</v>
      </c>
      <c r="S2579" t="s">
        <v>41</v>
      </c>
      <c r="T2579" t="s">
        <v>9199</v>
      </c>
      <c r="U2579" t="s">
        <v>9200</v>
      </c>
      <c r="V2579" t="s">
        <v>9093</v>
      </c>
      <c r="W2579" t="s">
        <v>9180</v>
      </c>
      <c r="Z2579" t="s">
        <v>46</v>
      </c>
      <c r="AA2579" t="s">
        <v>9095</v>
      </c>
      <c r="AC2579">
        <f>COUNTIF(C:C,QLKV_gui_ket_qua_ra_soat[[#This Row],[Mã điểm bán]])</f>
        <v>1</v>
      </c>
    </row>
    <row r="2580" spans="1:29" x14ac:dyDescent="0.45">
      <c r="A2580" t="s">
        <v>9088</v>
      </c>
      <c r="B2580">
        <v>562</v>
      </c>
      <c r="C2580" t="s">
        <v>9277</v>
      </c>
      <c r="D2580" t="s">
        <v>9278</v>
      </c>
      <c r="E2580" t="s">
        <v>9279</v>
      </c>
      <c r="F2580" t="s">
        <v>325</v>
      </c>
      <c r="G2580" t="s">
        <v>177</v>
      </c>
      <c r="H2580" t="s">
        <v>54</v>
      </c>
      <c r="I2580" t="s">
        <v>4709</v>
      </c>
      <c r="J2580" t="s">
        <v>38</v>
      </c>
      <c r="K2580" t="s">
        <v>38</v>
      </c>
      <c r="L2580" t="s">
        <v>39</v>
      </c>
      <c r="M2580" t="s">
        <v>38</v>
      </c>
      <c r="N2580" t="s">
        <v>38</v>
      </c>
      <c r="O2580" t="s">
        <v>39</v>
      </c>
      <c r="P2580" t="s">
        <v>38</v>
      </c>
      <c r="Q2580" t="s">
        <v>38</v>
      </c>
      <c r="R2580" t="s">
        <v>39</v>
      </c>
      <c r="S2580" t="s">
        <v>5662</v>
      </c>
      <c r="T2580" t="s">
        <v>9158</v>
      </c>
      <c r="U2580" t="s">
        <v>9159</v>
      </c>
      <c r="V2580" t="s">
        <v>9093</v>
      </c>
      <c r="W2580" t="s">
        <v>2978</v>
      </c>
      <c r="X2580" t="s">
        <v>46</v>
      </c>
      <c r="AC2580">
        <f>COUNTIF(C:C,QLKV_gui_ket_qua_ra_soat[[#This Row],[Mã điểm bán]])</f>
        <v>1</v>
      </c>
    </row>
    <row r="2581" spans="1:29" x14ac:dyDescent="0.45">
      <c r="A2581" t="s">
        <v>9088</v>
      </c>
      <c r="B2581">
        <v>563</v>
      </c>
      <c r="C2581" t="s">
        <v>9280</v>
      </c>
      <c r="D2581" t="s">
        <v>9281</v>
      </c>
      <c r="E2581" t="s">
        <v>9251</v>
      </c>
      <c r="F2581" t="s">
        <v>325</v>
      </c>
      <c r="G2581" t="s">
        <v>34</v>
      </c>
      <c r="H2581" t="s">
        <v>214</v>
      </c>
      <c r="I2581" t="s">
        <v>9224</v>
      </c>
      <c r="J2581" t="s">
        <v>38</v>
      </c>
      <c r="K2581" t="s">
        <v>38</v>
      </c>
      <c r="L2581" t="s">
        <v>39</v>
      </c>
      <c r="M2581" t="s">
        <v>37</v>
      </c>
      <c r="N2581" t="s">
        <v>37</v>
      </c>
      <c r="O2581" t="s">
        <v>39</v>
      </c>
      <c r="P2581" t="s">
        <v>38</v>
      </c>
      <c r="Q2581" t="s">
        <v>38</v>
      </c>
      <c r="R2581" t="s">
        <v>39</v>
      </c>
      <c r="S2581" t="s">
        <v>41</v>
      </c>
      <c r="T2581" t="s">
        <v>9225</v>
      </c>
      <c r="U2581" t="s">
        <v>9226</v>
      </c>
      <c r="V2581" t="s">
        <v>9093</v>
      </c>
      <c r="W2581" t="s">
        <v>9227</v>
      </c>
      <c r="Z2581" t="s">
        <v>46</v>
      </c>
      <c r="AA2581" t="s">
        <v>9235</v>
      </c>
      <c r="AC2581">
        <f>COUNTIF(C:C,QLKV_gui_ket_qua_ra_soat[[#This Row],[Mã điểm bán]])</f>
        <v>1</v>
      </c>
    </row>
    <row r="2582" spans="1:29" x14ac:dyDescent="0.45">
      <c r="A2582" t="s">
        <v>9088</v>
      </c>
      <c r="B2582">
        <v>564</v>
      </c>
      <c r="C2582" t="s">
        <v>9282</v>
      </c>
      <c r="D2582" t="s">
        <v>9283</v>
      </c>
      <c r="E2582" t="s">
        <v>9284</v>
      </c>
      <c r="F2582" t="s">
        <v>166</v>
      </c>
      <c r="G2582" t="s">
        <v>177</v>
      </c>
      <c r="H2582" t="s">
        <v>214</v>
      </c>
      <c r="I2582" t="s">
        <v>9285</v>
      </c>
      <c r="J2582" t="s">
        <v>37</v>
      </c>
      <c r="K2582" t="s">
        <v>37</v>
      </c>
      <c r="L2582" t="s">
        <v>39</v>
      </c>
      <c r="M2582" t="s">
        <v>37</v>
      </c>
      <c r="N2582" t="s">
        <v>37</v>
      </c>
      <c r="O2582" t="s">
        <v>39</v>
      </c>
      <c r="P2582" t="s">
        <v>38</v>
      </c>
      <c r="Q2582" t="s">
        <v>38</v>
      </c>
      <c r="R2582" t="s">
        <v>39</v>
      </c>
      <c r="S2582" t="s">
        <v>41</v>
      </c>
      <c r="T2582" t="s">
        <v>9240</v>
      </c>
      <c r="U2582" t="s">
        <v>9205</v>
      </c>
      <c r="V2582" t="s">
        <v>9093</v>
      </c>
      <c r="W2582" t="s">
        <v>9227</v>
      </c>
      <c r="Y2582" t="s">
        <v>46</v>
      </c>
      <c r="AC2582">
        <f>COUNTIF(C:C,QLKV_gui_ket_qua_ra_soat[[#This Row],[Mã điểm bán]])</f>
        <v>1</v>
      </c>
    </row>
    <row r="2583" spans="1:29" x14ac:dyDescent="0.45">
      <c r="A2583" t="s">
        <v>9088</v>
      </c>
      <c r="B2583">
        <v>565</v>
      </c>
      <c r="C2583" t="s">
        <v>9286</v>
      </c>
      <c r="D2583" t="s">
        <v>9287</v>
      </c>
      <c r="E2583" t="s">
        <v>2816</v>
      </c>
      <c r="F2583" t="s">
        <v>9288</v>
      </c>
      <c r="G2583" t="s">
        <v>177</v>
      </c>
      <c r="H2583" t="s">
        <v>402</v>
      </c>
      <c r="I2583" t="s">
        <v>9289</v>
      </c>
      <c r="J2583" t="s">
        <v>38</v>
      </c>
      <c r="K2583" t="s">
        <v>38</v>
      </c>
      <c r="L2583" t="s">
        <v>40</v>
      </c>
      <c r="M2583" t="s">
        <v>38</v>
      </c>
      <c r="N2583" t="s">
        <v>38</v>
      </c>
      <c r="O2583" t="s">
        <v>40</v>
      </c>
      <c r="P2583" t="s">
        <v>38</v>
      </c>
      <c r="Q2583" t="s">
        <v>38</v>
      </c>
      <c r="R2583" t="s">
        <v>40</v>
      </c>
      <c r="S2583" t="s">
        <v>41</v>
      </c>
      <c r="T2583" t="s">
        <v>9129</v>
      </c>
      <c r="U2583" t="s">
        <v>9130</v>
      </c>
      <c r="V2583" t="s">
        <v>9093</v>
      </c>
      <c r="W2583" t="s">
        <v>9131</v>
      </c>
      <c r="X2583" t="s">
        <v>46</v>
      </c>
      <c r="AC2583">
        <f>COUNTIF(C:C,QLKV_gui_ket_qua_ra_soat[[#This Row],[Mã điểm bán]])</f>
        <v>1</v>
      </c>
    </row>
    <row r="2584" spans="1:29" x14ac:dyDescent="0.45">
      <c r="A2584" t="s">
        <v>9088</v>
      </c>
      <c r="B2584">
        <v>568</v>
      </c>
      <c r="C2584" t="s">
        <v>9290</v>
      </c>
      <c r="D2584" t="s">
        <v>9291</v>
      </c>
      <c r="E2584" t="s">
        <v>9292</v>
      </c>
      <c r="F2584" t="s">
        <v>325</v>
      </c>
      <c r="G2584" t="s">
        <v>34</v>
      </c>
      <c r="H2584" t="s">
        <v>214</v>
      </c>
      <c r="I2584" t="s">
        <v>9224</v>
      </c>
      <c r="J2584" t="s">
        <v>38</v>
      </c>
      <c r="K2584" t="s">
        <v>38</v>
      </c>
      <c r="L2584" t="s">
        <v>39</v>
      </c>
      <c r="M2584" t="s">
        <v>37</v>
      </c>
      <c r="N2584" t="s">
        <v>37</v>
      </c>
      <c r="O2584" t="s">
        <v>39</v>
      </c>
      <c r="P2584" t="s">
        <v>38</v>
      </c>
      <c r="Q2584" t="s">
        <v>38</v>
      </c>
      <c r="R2584" t="s">
        <v>39</v>
      </c>
      <c r="S2584" t="s">
        <v>41</v>
      </c>
      <c r="T2584" t="s">
        <v>9225</v>
      </c>
      <c r="U2584" t="s">
        <v>9226</v>
      </c>
      <c r="V2584" t="s">
        <v>9093</v>
      </c>
      <c r="W2584" t="s">
        <v>9227</v>
      </c>
      <c r="Y2584" t="s">
        <v>46</v>
      </c>
      <c r="AC2584">
        <f>COUNTIF(C:C,QLKV_gui_ket_qua_ra_soat[[#This Row],[Mã điểm bán]])</f>
        <v>1</v>
      </c>
    </row>
    <row r="2585" spans="1:29" x14ac:dyDescent="0.45">
      <c r="A2585" t="s">
        <v>9088</v>
      </c>
      <c r="B2585">
        <v>569</v>
      </c>
      <c r="C2585" t="s">
        <v>9293</v>
      </c>
      <c r="D2585" t="s">
        <v>9294</v>
      </c>
      <c r="E2585" t="s">
        <v>9295</v>
      </c>
      <c r="F2585" t="s">
        <v>829</v>
      </c>
      <c r="G2585" t="s">
        <v>34</v>
      </c>
      <c r="H2585" t="s">
        <v>54</v>
      </c>
      <c r="I2585" t="s">
        <v>9296</v>
      </c>
      <c r="J2585" t="s">
        <v>38</v>
      </c>
      <c r="K2585" t="s">
        <v>38</v>
      </c>
      <c r="L2585" t="s">
        <v>40</v>
      </c>
      <c r="M2585" t="s">
        <v>38</v>
      </c>
      <c r="N2585" t="s">
        <v>37</v>
      </c>
      <c r="O2585" t="s">
        <v>39</v>
      </c>
      <c r="P2585" t="s">
        <v>38</v>
      </c>
      <c r="Q2585" t="s">
        <v>38</v>
      </c>
      <c r="R2585" t="s">
        <v>40</v>
      </c>
      <c r="S2585" t="s">
        <v>9297</v>
      </c>
      <c r="T2585" t="s">
        <v>9298</v>
      </c>
      <c r="U2585" t="s">
        <v>9299</v>
      </c>
      <c r="V2585" t="s">
        <v>9093</v>
      </c>
      <c r="W2585" t="s">
        <v>2978</v>
      </c>
      <c r="X2585" t="s">
        <v>46</v>
      </c>
      <c r="AC2585">
        <f>COUNTIF(C:C,QLKV_gui_ket_qua_ra_soat[[#This Row],[Mã điểm bán]])</f>
        <v>1</v>
      </c>
    </row>
    <row r="2586" spans="1:29" x14ac:dyDescent="0.45">
      <c r="A2586" t="s">
        <v>9088</v>
      </c>
      <c r="B2586">
        <v>570</v>
      </c>
      <c r="C2586" t="s">
        <v>9300</v>
      </c>
      <c r="D2586" t="s">
        <v>9301</v>
      </c>
      <c r="E2586" t="s">
        <v>304</v>
      </c>
      <c r="F2586" t="s">
        <v>53</v>
      </c>
      <c r="G2586" t="s">
        <v>177</v>
      </c>
      <c r="H2586" t="s">
        <v>1639</v>
      </c>
      <c r="I2586" t="s">
        <v>9302</v>
      </c>
      <c r="J2586" t="s">
        <v>38</v>
      </c>
      <c r="K2586" t="s">
        <v>38</v>
      </c>
      <c r="L2586" t="s">
        <v>40</v>
      </c>
      <c r="M2586" t="s">
        <v>775</v>
      </c>
      <c r="N2586" t="s">
        <v>775</v>
      </c>
      <c r="O2586" t="s">
        <v>121</v>
      </c>
      <c r="P2586" t="s">
        <v>38</v>
      </c>
      <c r="Q2586" t="s">
        <v>38</v>
      </c>
      <c r="R2586" t="s">
        <v>40</v>
      </c>
      <c r="S2586" t="s">
        <v>41</v>
      </c>
      <c r="T2586" t="s">
        <v>9199</v>
      </c>
      <c r="U2586" t="s">
        <v>9200</v>
      </c>
      <c r="V2586" t="s">
        <v>9093</v>
      </c>
      <c r="W2586" t="s">
        <v>9180</v>
      </c>
      <c r="Z2586" t="s">
        <v>46</v>
      </c>
      <c r="AA2586" t="s">
        <v>9119</v>
      </c>
      <c r="AC2586">
        <f>COUNTIF(C:C,QLKV_gui_ket_qua_ra_soat[[#This Row],[Mã điểm bán]])</f>
        <v>1</v>
      </c>
    </row>
    <row r="2587" spans="1:29" x14ac:dyDescent="0.45">
      <c r="A2587" t="s">
        <v>9088</v>
      </c>
      <c r="B2587">
        <v>571</v>
      </c>
      <c r="C2587" t="s">
        <v>9303</v>
      </c>
      <c r="D2587" t="s">
        <v>9304</v>
      </c>
      <c r="E2587" t="s">
        <v>9256</v>
      </c>
      <c r="F2587" t="s">
        <v>53</v>
      </c>
      <c r="G2587" t="s">
        <v>177</v>
      </c>
      <c r="H2587" t="s">
        <v>2643</v>
      </c>
      <c r="I2587" t="s">
        <v>9198</v>
      </c>
      <c r="J2587" t="s">
        <v>38</v>
      </c>
      <c r="K2587" t="s">
        <v>38</v>
      </c>
      <c r="L2587" t="s">
        <v>40</v>
      </c>
      <c r="M2587" t="s">
        <v>775</v>
      </c>
      <c r="N2587" t="s">
        <v>775</v>
      </c>
      <c r="O2587" t="s">
        <v>121</v>
      </c>
      <c r="P2587" t="s">
        <v>38</v>
      </c>
      <c r="Q2587" t="s">
        <v>38</v>
      </c>
      <c r="R2587" t="s">
        <v>40</v>
      </c>
      <c r="S2587" t="s">
        <v>9305</v>
      </c>
      <c r="T2587" t="s">
        <v>9199</v>
      </c>
      <c r="U2587" t="s">
        <v>9200</v>
      </c>
      <c r="V2587" t="s">
        <v>9093</v>
      </c>
      <c r="W2587" t="s">
        <v>9180</v>
      </c>
      <c r="Z2587" t="s">
        <v>46</v>
      </c>
      <c r="AA2587" t="s">
        <v>9119</v>
      </c>
      <c r="AC2587">
        <f>COUNTIF(C:C,QLKV_gui_ket_qua_ra_soat[[#This Row],[Mã điểm bán]])</f>
        <v>1</v>
      </c>
    </row>
    <row r="2588" spans="1:29" x14ac:dyDescent="0.45">
      <c r="A2588" t="s">
        <v>9088</v>
      </c>
      <c r="B2588">
        <v>572</v>
      </c>
      <c r="C2588" t="s">
        <v>9306</v>
      </c>
      <c r="D2588" t="s">
        <v>9307</v>
      </c>
      <c r="E2588" t="s">
        <v>9308</v>
      </c>
      <c r="F2588" t="s">
        <v>325</v>
      </c>
      <c r="G2588" t="s">
        <v>34</v>
      </c>
      <c r="H2588" t="s">
        <v>214</v>
      </c>
      <c r="I2588" t="s">
        <v>9224</v>
      </c>
      <c r="J2588" t="s">
        <v>38</v>
      </c>
      <c r="K2588" t="s">
        <v>38</v>
      </c>
      <c r="L2588" t="s">
        <v>39</v>
      </c>
      <c r="M2588" t="s">
        <v>37</v>
      </c>
      <c r="N2588" t="s">
        <v>37</v>
      </c>
      <c r="O2588" t="s">
        <v>39</v>
      </c>
      <c r="P2588" t="s">
        <v>38</v>
      </c>
      <c r="Q2588" t="s">
        <v>38</v>
      </c>
      <c r="R2588" t="s">
        <v>39</v>
      </c>
      <c r="S2588" t="s">
        <v>41</v>
      </c>
      <c r="T2588" t="s">
        <v>9225</v>
      </c>
      <c r="U2588" t="s">
        <v>9226</v>
      </c>
      <c r="V2588" t="s">
        <v>9093</v>
      </c>
      <c r="W2588" t="s">
        <v>9227</v>
      </c>
      <c r="Y2588" t="s">
        <v>46</v>
      </c>
      <c r="AC2588">
        <f>COUNTIF(C:C,QLKV_gui_ket_qua_ra_soat[[#This Row],[Mã điểm bán]])</f>
        <v>1</v>
      </c>
    </row>
    <row r="2589" spans="1:29" x14ac:dyDescent="0.45">
      <c r="A2589" t="s">
        <v>9088</v>
      </c>
      <c r="B2589">
        <v>574</v>
      </c>
      <c r="C2589" t="s">
        <v>9309</v>
      </c>
      <c r="D2589" t="s">
        <v>9310</v>
      </c>
      <c r="E2589" t="s">
        <v>1812</v>
      </c>
      <c r="F2589" t="s">
        <v>4655</v>
      </c>
      <c r="G2589" t="s">
        <v>34</v>
      </c>
      <c r="H2589" t="s">
        <v>54</v>
      </c>
      <c r="I2589" t="s">
        <v>9311</v>
      </c>
      <c r="J2589" t="s">
        <v>38</v>
      </c>
      <c r="K2589" t="s">
        <v>38</v>
      </c>
      <c r="L2589" t="s">
        <v>40</v>
      </c>
      <c r="M2589" t="s">
        <v>38</v>
      </c>
      <c r="N2589" t="s">
        <v>38</v>
      </c>
      <c r="O2589" t="s">
        <v>40</v>
      </c>
      <c r="P2589" t="s">
        <v>38</v>
      </c>
      <c r="Q2589" t="s">
        <v>38</v>
      </c>
      <c r="R2589" t="s">
        <v>40</v>
      </c>
      <c r="S2589" t="s">
        <v>41</v>
      </c>
      <c r="T2589" t="s">
        <v>9312</v>
      </c>
      <c r="U2589" t="s">
        <v>9313</v>
      </c>
      <c r="V2589" t="s">
        <v>9093</v>
      </c>
      <c r="W2589" t="s">
        <v>9131</v>
      </c>
      <c r="Z2589" t="s">
        <v>46</v>
      </c>
      <c r="AA2589" t="s">
        <v>9160</v>
      </c>
      <c r="AC2589">
        <f>COUNTIF(C:C,QLKV_gui_ket_qua_ra_soat[[#This Row],[Mã điểm bán]])</f>
        <v>1</v>
      </c>
    </row>
    <row r="2590" spans="1:29" x14ac:dyDescent="0.45">
      <c r="A2590" t="s">
        <v>9088</v>
      </c>
      <c r="B2590">
        <v>575</v>
      </c>
      <c r="C2590" t="s">
        <v>9314</v>
      </c>
      <c r="D2590" t="s">
        <v>9315</v>
      </c>
      <c r="E2590" t="s">
        <v>9316</v>
      </c>
      <c r="F2590" t="s">
        <v>325</v>
      </c>
      <c r="G2590" t="s">
        <v>34</v>
      </c>
      <c r="H2590" t="s">
        <v>214</v>
      </c>
      <c r="I2590" t="s">
        <v>9224</v>
      </c>
      <c r="J2590" t="s">
        <v>38</v>
      </c>
      <c r="K2590" t="s">
        <v>38</v>
      </c>
      <c r="L2590" t="s">
        <v>39</v>
      </c>
      <c r="M2590" t="s">
        <v>37</v>
      </c>
      <c r="N2590" t="s">
        <v>37</v>
      </c>
      <c r="O2590" t="s">
        <v>39</v>
      </c>
      <c r="P2590" t="s">
        <v>38</v>
      </c>
      <c r="Q2590" t="s">
        <v>38</v>
      </c>
      <c r="R2590" t="s">
        <v>39</v>
      </c>
      <c r="S2590" t="s">
        <v>41</v>
      </c>
      <c r="T2590" t="s">
        <v>9225</v>
      </c>
      <c r="U2590" t="s">
        <v>9226</v>
      </c>
      <c r="V2590" t="s">
        <v>9093</v>
      </c>
      <c r="W2590" t="s">
        <v>9227</v>
      </c>
      <c r="Z2590" t="s">
        <v>46</v>
      </c>
      <c r="AA2590" t="s">
        <v>9235</v>
      </c>
      <c r="AC2590">
        <f>COUNTIF(C:C,QLKV_gui_ket_qua_ra_soat[[#This Row],[Mã điểm bán]])</f>
        <v>1</v>
      </c>
    </row>
    <row r="2591" spans="1:29" x14ac:dyDescent="0.45">
      <c r="A2591" t="s">
        <v>9088</v>
      </c>
      <c r="B2591">
        <v>576</v>
      </c>
      <c r="C2591" t="s">
        <v>9317</v>
      </c>
      <c r="D2591" t="s">
        <v>9318</v>
      </c>
      <c r="E2591" t="s">
        <v>304</v>
      </c>
      <c r="F2591" t="s">
        <v>53</v>
      </c>
      <c r="G2591" t="s">
        <v>177</v>
      </c>
      <c r="H2591" t="s">
        <v>2643</v>
      </c>
      <c r="I2591" t="s">
        <v>9198</v>
      </c>
      <c r="J2591" t="s">
        <v>38</v>
      </c>
      <c r="K2591" t="s">
        <v>38</v>
      </c>
      <c r="L2591" t="s">
        <v>40</v>
      </c>
      <c r="M2591" t="s">
        <v>56</v>
      </c>
      <c r="N2591" t="s">
        <v>56</v>
      </c>
      <c r="O2591" t="s">
        <v>39</v>
      </c>
      <c r="P2591" t="s">
        <v>38</v>
      </c>
      <c r="Q2591" t="s">
        <v>38</v>
      </c>
      <c r="R2591" t="s">
        <v>40</v>
      </c>
      <c r="S2591" t="s">
        <v>41</v>
      </c>
      <c r="T2591" t="s">
        <v>9199</v>
      </c>
      <c r="U2591" t="s">
        <v>9200</v>
      </c>
      <c r="V2591" t="s">
        <v>9093</v>
      </c>
      <c r="W2591" t="s">
        <v>9180</v>
      </c>
      <c r="Z2591" t="s">
        <v>46</v>
      </c>
      <c r="AA2591" t="s">
        <v>9119</v>
      </c>
      <c r="AC2591">
        <f>COUNTIF(C:C,QLKV_gui_ket_qua_ra_soat[[#This Row],[Mã điểm bán]])</f>
        <v>1</v>
      </c>
    </row>
    <row r="2592" spans="1:29" x14ac:dyDescent="0.45">
      <c r="A2592" t="s">
        <v>9088</v>
      </c>
      <c r="B2592">
        <v>577</v>
      </c>
      <c r="C2592" t="s">
        <v>9319</v>
      </c>
      <c r="D2592" t="s">
        <v>9320</v>
      </c>
      <c r="E2592" t="s">
        <v>9321</v>
      </c>
      <c r="F2592" t="s">
        <v>325</v>
      </c>
      <c r="G2592" t="s">
        <v>34</v>
      </c>
      <c r="H2592" t="s">
        <v>214</v>
      </c>
      <c r="I2592" t="s">
        <v>9224</v>
      </c>
      <c r="J2592" t="s">
        <v>38</v>
      </c>
      <c r="K2592" t="s">
        <v>38</v>
      </c>
      <c r="L2592" t="s">
        <v>39</v>
      </c>
      <c r="M2592" t="s">
        <v>38</v>
      </c>
      <c r="N2592" t="s">
        <v>38</v>
      </c>
      <c r="O2592" t="s">
        <v>39</v>
      </c>
      <c r="P2592" t="s">
        <v>38</v>
      </c>
      <c r="Q2592" t="s">
        <v>38</v>
      </c>
      <c r="R2592" t="s">
        <v>39</v>
      </c>
      <c r="S2592" t="s">
        <v>41</v>
      </c>
      <c r="T2592" t="s">
        <v>9225</v>
      </c>
      <c r="U2592" t="s">
        <v>9226</v>
      </c>
      <c r="V2592" t="s">
        <v>9093</v>
      </c>
      <c r="W2592" t="s">
        <v>9227</v>
      </c>
      <c r="Z2592" t="s">
        <v>46</v>
      </c>
      <c r="AA2592" t="s">
        <v>9235</v>
      </c>
      <c r="AC2592">
        <f>COUNTIF(C:C,QLKV_gui_ket_qua_ra_soat[[#This Row],[Mã điểm bán]])</f>
        <v>1</v>
      </c>
    </row>
    <row r="2593" spans="1:29" x14ac:dyDescent="0.45">
      <c r="A2593" t="s">
        <v>9088</v>
      </c>
      <c r="B2593">
        <v>587</v>
      </c>
      <c r="C2593" t="s">
        <v>9322</v>
      </c>
      <c r="D2593" t="s">
        <v>9323</v>
      </c>
      <c r="E2593" t="s">
        <v>9324</v>
      </c>
      <c r="F2593" t="s">
        <v>325</v>
      </c>
      <c r="G2593" t="s">
        <v>34</v>
      </c>
      <c r="H2593" t="s">
        <v>214</v>
      </c>
      <c r="I2593" t="s">
        <v>9224</v>
      </c>
      <c r="J2593" t="s">
        <v>38</v>
      </c>
      <c r="K2593" t="s">
        <v>38</v>
      </c>
      <c r="L2593" t="s">
        <v>39</v>
      </c>
      <c r="M2593" t="s">
        <v>38</v>
      </c>
      <c r="N2593" t="s">
        <v>38</v>
      </c>
      <c r="O2593" t="s">
        <v>39</v>
      </c>
      <c r="P2593" t="s">
        <v>38</v>
      </c>
      <c r="Q2593" t="s">
        <v>38</v>
      </c>
      <c r="R2593" t="s">
        <v>39</v>
      </c>
      <c r="S2593" t="s">
        <v>41</v>
      </c>
      <c r="T2593" t="s">
        <v>9225</v>
      </c>
      <c r="U2593" t="s">
        <v>9226</v>
      </c>
      <c r="V2593" t="s">
        <v>9093</v>
      </c>
      <c r="W2593" t="s">
        <v>9227</v>
      </c>
      <c r="Z2593" t="s">
        <v>46</v>
      </c>
      <c r="AA2593" t="s">
        <v>9235</v>
      </c>
      <c r="AC2593">
        <f>COUNTIF(C:C,QLKV_gui_ket_qua_ra_soat[[#This Row],[Mã điểm bán]])</f>
        <v>1</v>
      </c>
    </row>
    <row r="2594" spans="1:29" x14ac:dyDescent="0.45">
      <c r="A2594" t="s">
        <v>9088</v>
      </c>
      <c r="B2594">
        <v>594</v>
      </c>
      <c r="C2594" t="s">
        <v>9325</v>
      </c>
      <c r="D2594" t="s">
        <v>9326</v>
      </c>
      <c r="E2594" t="s">
        <v>9327</v>
      </c>
      <c r="F2594" t="s">
        <v>53</v>
      </c>
      <c r="G2594" t="s">
        <v>177</v>
      </c>
      <c r="H2594" t="s">
        <v>54</v>
      </c>
      <c r="I2594" t="s">
        <v>7297</v>
      </c>
      <c r="J2594" t="s">
        <v>37</v>
      </c>
      <c r="K2594" t="s">
        <v>37</v>
      </c>
      <c r="L2594" t="s">
        <v>39</v>
      </c>
      <c r="M2594" t="s">
        <v>37</v>
      </c>
      <c r="N2594" t="s">
        <v>37</v>
      </c>
      <c r="O2594" t="s">
        <v>39</v>
      </c>
      <c r="P2594" t="s">
        <v>38</v>
      </c>
      <c r="Q2594" t="s">
        <v>38</v>
      </c>
      <c r="R2594" t="s">
        <v>39</v>
      </c>
      <c r="S2594" t="s">
        <v>41</v>
      </c>
      <c r="T2594" t="s">
        <v>9240</v>
      </c>
      <c r="U2594" t="s">
        <v>9226</v>
      </c>
      <c r="V2594" t="s">
        <v>9093</v>
      </c>
      <c r="W2594" t="s">
        <v>9227</v>
      </c>
      <c r="X2594" t="s">
        <v>46</v>
      </c>
      <c r="AC2594">
        <f>COUNTIF(C:C,QLKV_gui_ket_qua_ra_soat[[#This Row],[Mã điểm bán]])</f>
        <v>1</v>
      </c>
    </row>
    <row r="2595" spans="1:29" x14ac:dyDescent="0.45">
      <c r="A2595" t="s">
        <v>9088</v>
      </c>
      <c r="B2595">
        <v>596</v>
      </c>
      <c r="C2595" t="s">
        <v>9328</v>
      </c>
      <c r="D2595" t="s">
        <v>9329</v>
      </c>
      <c r="E2595" t="s">
        <v>9330</v>
      </c>
      <c r="F2595" t="s">
        <v>325</v>
      </c>
      <c r="G2595" t="s">
        <v>34</v>
      </c>
      <c r="H2595" t="s">
        <v>214</v>
      </c>
      <c r="I2595" t="s">
        <v>9224</v>
      </c>
      <c r="J2595" t="s">
        <v>38</v>
      </c>
      <c r="K2595" t="s">
        <v>38</v>
      </c>
      <c r="L2595" t="s">
        <v>39</v>
      </c>
      <c r="M2595" t="s">
        <v>37</v>
      </c>
      <c r="N2595" t="s">
        <v>37</v>
      </c>
      <c r="O2595" t="s">
        <v>39</v>
      </c>
      <c r="P2595" t="s">
        <v>38</v>
      </c>
      <c r="Q2595" t="s">
        <v>38</v>
      </c>
      <c r="R2595" t="s">
        <v>39</v>
      </c>
      <c r="S2595" t="s">
        <v>41</v>
      </c>
      <c r="T2595" t="s">
        <v>9225</v>
      </c>
      <c r="U2595" t="s">
        <v>9226</v>
      </c>
      <c r="V2595" t="s">
        <v>9093</v>
      </c>
      <c r="W2595" t="s">
        <v>9227</v>
      </c>
      <c r="Z2595" t="s">
        <v>46</v>
      </c>
      <c r="AA2595" t="s">
        <v>9235</v>
      </c>
      <c r="AC2595">
        <f>COUNTIF(C:C,QLKV_gui_ket_qua_ra_soat[[#This Row],[Mã điểm bán]])</f>
        <v>1</v>
      </c>
    </row>
    <row r="2596" spans="1:29" x14ac:dyDescent="0.45">
      <c r="A2596" t="s">
        <v>9088</v>
      </c>
      <c r="B2596">
        <v>599</v>
      </c>
      <c r="C2596" t="s">
        <v>9331</v>
      </c>
      <c r="D2596" t="s">
        <v>9332</v>
      </c>
      <c r="E2596" t="s">
        <v>2863</v>
      </c>
      <c r="F2596" t="s">
        <v>3258</v>
      </c>
      <c r="G2596" t="s">
        <v>34</v>
      </c>
      <c r="H2596" t="s">
        <v>2643</v>
      </c>
      <c r="I2596" t="s">
        <v>9333</v>
      </c>
      <c r="J2596" t="s">
        <v>38</v>
      </c>
      <c r="K2596" t="s">
        <v>38</v>
      </c>
      <c r="L2596" t="s">
        <v>40</v>
      </c>
      <c r="M2596" t="s">
        <v>38</v>
      </c>
      <c r="N2596" t="s">
        <v>38</v>
      </c>
      <c r="O2596" t="s">
        <v>40</v>
      </c>
      <c r="P2596" t="s">
        <v>38</v>
      </c>
      <c r="Q2596" t="s">
        <v>38</v>
      </c>
      <c r="R2596" t="s">
        <v>40</v>
      </c>
      <c r="S2596" t="s">
        <v>41</v>
      </c>
      <c r="T2596" t="s">
        <v>9129</v>
      </c>
      <c r="U2596" t="s">
        <v>9130</v>
      </c>
      <c r="V2596" t="s">
        <v>9093</v>
      </c>
      <c r="W2596" t="s">
        <v>9131</v>
      </c>
      <c r="X2596" t="s">
        <v>46</v>
      </c>
      <c r="AC2596">
        <f>COUNTIF(C:C,QLKV_gui_ket_qua_ra_soat[[#This Row],[Mã điểm bán]])</f>
        <v>1</v>
      </c>
    </row>
    <row r="2597" spans="1:29" x14ac:dyDescent="0.45">
      <c r="A2597" t="s">
        <v>9088</v>
      </c>
      <c r="B2597">
        <v>600</v>
      </c>
      <c r="C2597" t="s">
        <v>9334</v>
      </c>
      <c r="D2597" t="s">
        <v>9335</v>
      </c>
      <c r="E2597" t="s">
        <v>1043</v>
      </c>
      <c r="F2597" t="s">
        <v>53</v>
      </c>
      <c r="G2597" t="s">
        <v>177</v>
      </c>
      <c r="H2597" t="s">
        <v>2643</v>
      </c>
      <c r="I2597" t="s">
        <v>9198</v>
      </c>
      <c r="J2597" t="s">
        <v>38</v>
      </c>
      <c r="K2597" t="s">
        <v>38</v>
      </c>
      <c r="L2597" t="s">
        <v>40</v>
      </c>
      <c r="M2597" t="s">
        <v>775</v>
      </c>
      <c r="N2597" t="s">
        <v>775</v>
      </c>
      <c r="O2597" t="s">
        <v>121</v>
      </c>
      <c r="P2597" t="s">
        <v>38</v>
      </c>
      <c r="Q2597" t="s">
        <v>38</v>
      </c>
      <c r="R2597" t="s">
        <v>40</v>
      </c>
      <c r="S2597" t="s">
        <v>9336</v>
      </c>
      <c r="T2597" t="s">
        <v>9199</v>
      </c>
      <c r="U2597" t="s">
        <v>9200</v>
      </c>
      <c r="V2597" t="s">
        <v>9093</v>
      </c>
      <c r="W2597" t="s">
        <v>9180</v>
      </c>
      <c r="X2597" t="s">
        <v>46</v>
      </c>
      <c r="AC2597">
        <f>COUNTIF(C:C,QLKV_gui_ket_qua_ra_soat[[#This Row],[Mã điểm bán]])</f>
        <v>1</v>
      </c>
    </row>
    <row r="2598" spans="1:29" x14ac:dyDescent="0.45">
      <c r="A2598" t="s">
        <v>9088</v>
      </c>
      <c r="B2598">
        <v>603</v>
      </c>
      <c r="C2598" t="s">
        <v>9337</v>
      </c>
      <c r="D2598" t="s">
        <v>9338</v>
      </c>
      <c r="E2598" t="s">
        <v>108</v>
      </c>
      <c r="F2598" t="s">
        <v>53</v>
      </c>
      <c r="G2598" t="s">
        <v>177</v>
      </c>
      <c r="H2598" t="s">
        <v>4689</v>
      </c>
      <c r="I2598" t="s">
        <v>9198</v>
      </c>
      <c r="J2598" t="s">
        <v>38</v>
      </c>
      <c r="K2598" t="s">
        <v>38</v>
      </c>
      <c r="L2598" t="s">
        <v>40</v>
      </c>
      <c r="M2598" t="s">
        <v>56</v>
      </c>
      <c r="N2598" t="s">
        <v>56</v>
      </c>
      <c r="O2598" t="s">
        <v>39</v>
      </c>
      <c r="P2598" t="s">
        <v>38</v>
      </c>
      <c r="Q2598" t="s">
        <v>38</v>
      </c>
      <c r="R2598" t="s">
        <v>40</v>
      </c>
      <c r="S2598" t="s">
        <v>41</v>
      </c>
      <c r="T2598" t="s">
        <v>9199</v>
      </c>
      <c r="U2598" t="s">
        <v>9200</v>
      </c>
      <c r="V2598" t="s">
        <v>9093</v>
      </c>
      <c r="W2598" t="s">
        <v>9180</v>
      </c>
      <c r="Z2598" t="s">
        <v>46</v>
      </c>
      <c r="AA2598" t="s">
        <v>9095</v>
      </c>
      <c r="AC2598">
        <f>COUNTIF(C:C,QLKV_gui_ket_qua_ra_soat[[#This Row],[Mã điểm bán]])</f>
        <v>1</v>
      </c>
    </row>
    <row r="2599" spans="1:29" x14ac:dyDescent="0.45">
      <c r="A2599" t="s">
        <v>9088</v>
      </c>
      <c r="B2599">
        <v>606</v>
      </c>
      <c r="C2599" t="s">
        <v>9339</v>
      </c>
      <c r="D2599" t="s">
        <v>9340</v>
      </c>
      <c r="E2599" t="s">
        <v>69</v>
      </c>
      <c r="F2599" t="s">
        <v>53</v>
      </c>
      <c r="G2599" t="s">
        <v>34</v>
      </c>
      <c r="H2599" t="s">
        <v>507</v>
      </c>
      <c r="I2599" t="s">
        <v>9198</v>
      </c>
      <c r="J2599" t="s">
        <v>38</v>
      </c>
      <c r="K2599" t="s">
        <v>38</v>
      </c>
      <c r="L2599" t="s">
        <v>40</v>
      </c>
      <c r="M2599" t="s">
        <v>56</v>
      </c>
      <c r="N2599" t="s">
        <v>56</v>
      </c>
      <c r="O2599" t="s">
        <v>39</v>
      </c>
      <c r="P2599" t="s">
        <v>38</v>
      </c>
      <c r="Q2599" t="s">
        <v>38</v>
      </c>
      <c r="R2599" t="s">
        <v>40</v>
      </c>
      <c r="S2599" t="s">
        <v>41</v>
      </c>
      <c r="T2599" t="s">
        <v>9199</v>
      </c>
      <c r="U2599" t="s">
        <v>9200</v>
      </c>
      <c r="V2599" t="s">
        <v>9093</v>
      </c>
      <c r="W2599" t="s">
        <v>9180</v>
      </c>
      <c r="Z2599" t="s">
        <v>46</v>
      </c>
      <c r="AA2599" t="s">
        <v>9119</v>
      </c>
      <c r="AC2599">
        <f>COUNTIF(C:C,QLKV_gui_ket_qua_ra_soat[[#This Row],[Mã điểm bán]])</f>
        <v>1</v>
      </c>
    </row>
    <row r="2600" spans="1:29" x14ac:dyDescent="0.45">
      <c r="A2600" t="s">
        <v>9088</v>
      </c>
      <c r="B2600">
        <v>607</v>
      </c>
      <c r="C2600" t="s">
        <v>9341</v>
      </c>
      <c r="D2600" t="s">
        <v>9342</v>
      </c>
      <c r="E2600" t="s">
        <v>9308</v>
      </c>
      <c r="F2600" t="s">
        <v>325</v>
      </c>
      <c r="G2600" t="s">
        <v>34</v>
      </c>
      <c r="H2600" t="s">
        <v>214</v>
      </c>
      <c r="I2600" t="s">
        <v>9224</v>
      </c>
      <c r="J2600" t="s">
        <v>38</v>
      </c>
      <c r="K2600" t="s">
        <v>38</v>
      </c>
      <c r="L2600" t="s">
        <v>39</v>
      </c>
      <c r="M2600" t="s">
        <v>37</v>
      </c>
      <c r="N2600" t="s">
        <v>37</v>
      </c>
      <c r="O2600" t="s">
        <v>39</v>
      </c>
      <c r="P2600" t="s">
        <v>38</v>
      </c>
      <c r="Q2600" t="s">
        <v>38</v>
      </c>
      <c r="R2600" t="s">
        <v>39</v>
      </c>
      <c r="S2600" t="s">
        <v>41</v>
      </c>
      <c r="T2600" t="s">
        <v>9225</v>
      </c>
      <c r="U2600" t="s">
        <v>9226</v>
      </c>
      <c r="V2600" t="s">
        <v>9093</v>
      </c>
      <c r="W2600" t="s">
        <v>9227</v>
      </c>
      <c r="Z2600" t="s">
        <v>46</v>
      </c>
      <c r="AA2600" t="s">
        <v>9235</v>
      </c>
      <c r="AC2600">
        <f>COUNTIF(C:C,QLKV_gui_ket_qua_ra_soat[[#This Row],[Mã điểm bán]])</f>
        <v>1</v>
      </c>
    </row>
    <row r="2601" spans="1:29" x14ac:dyDescent="0.45">
      <c r="A2601" t="s">
        <v>9088</v>
      </c>
      <c r="B2601">
        <v>608</v>
      </c>
      <c r="C2601" t="s">
        <v>9343</v>
      </c>
      <c r="D2601" t="s">
        <v>9344</v>
      </c>
      <c r="E2601" t="s">
        <v>9345</v>
      </c>
      <c r="F2601" t="s">
        <v>331</v>
      </c>
      <c r="G2601" t="s">
        <v>177</v>
      </c>
      <c r="H2601" t="s">
        <v>2952</v>
      </c>
      <c r="I2601" t="s">
        <v>9346</v>
      </c>
      <c r="J2601" t="s">
        <v>37</v>
      </c>
      <c r="K2601" t="s">
        <v>37</v>
      </c>
      <c r="L2601" t="s">
        <v>39</v>
      </c>
      <c r="M2601" t="s">
        <v>37</v>
      </c>
      <c r="N2601" t="s">
        <v>37</v>
      </c>
      <c r="O2601" t="s">
        <v>39</v>
      </c>
      <c r="P2601" t="s">
        <v>38</v>
      </c>
      <c r="Q2601" t="s">
        <v>38</v>
      </c>
      <c r="R2601" t="s">
        <v>39</v>
      </c>
      <c r="S2601" t="s">
        <v>41</v>
      </c>
      <c r="T2601" t="s">
        <v>9240</v>
      </c>
      <c r="U2601" t="s">
        <v>9205</v>
      </c>
      <c r="V2601" t="s">
        <v>9093</v>
      </c>
      <c r="W2601" t="s">
        <v>9227</v>
      </c>
      <c r="Z2601" t="s">
        <v>46</v>
      </c>
      <c r="AA2601" t="s">
        <v>9095</v>
      </c>
      <c r="AC2601">
        <f>COUNTIF(C:C,QLKV_gui_ket_qua_ra_soat[[#This Row],[Mã điểm bán]])</f>
        <v>1</v>
      </c>
    </row>
    <row r="2602" spans="1:29" x14ac:dyDescent="0.45">
      <c r="A2602" t="s">
        <v>9088</v>
      </c>
      <c r="B2602">
        <v>609</v>
      </c>
      <c r="C2602" t="s">
        <v>9347</v>
      </c>
      <c r="D2602" t="s">
        <v>9348</v>
      </c>
      <c r="E2602" t="s">
        <v>9349</v>
      </c>
      <c r="F2602" t="s">
        <v>53</v>
      </c>
      <c r="G2602" t="s">
        <v>177</v>
      </c>
      <c r="H2602" t="s">
        <v>912</v>
      </c>
      <c r="I2602" t="s">
        <v>7297</v>
      </c>
      <c r="J2602" t="s">
        <v>37</v>
      </c>
      <c r="K2602" t="s">
        <v>37</v>
      </c>
      <c r="L2602" t="s">
        <v>39</v>
      </c>
      <c r="M2602" t="s">
        <v>37</v>
      </c>
      <c r="N2602" t="s">
        <v>37</v>
      </c>
      <c r="O2602" t="s">
        <v>39</v>
      </c>
      <c r="P2602" t="s">
        <v>38</v>
      </c>
      <c r="Q2602" t="s">
        <v>38</v>
      </c>
      <c r="R2602" t="s">
        <v>39</v>
      </c>
      <c r="S2602" t="s">
        <v>41</v>
      </c>
      <c r="T2602" t="s">
        <v>9240</v>
      </c>
      <c r="U2602" t="s">
        <v>9226</v>
      </c>
      <c r="V2602" t="s">
        <v>9093</v>
      </c>
      <c r="W2602" t="s">
        <v>9227</v>
      </c>
      <c r="Y2602" t="s">
        <v>46</v>
      </c>
      <c r="AC2602">
        <f>COUNTIF(C:C,QLKV_gui_ket_qua_ra_soat[[#This Row],[Mã điểm bán]])</f>
        <v>1</v>
      </c>
    </row>
    <row r="2603" spans="1:29" x14ac:dyDescent="0.45">
      <c r="A2603" t="s">
        <v>9088</v>
      </c>
      <c r="B2603">
        <v>612</v>
      </c>
      <c r="C2603" t="s">
        <v>9350</v>
      </c>
      <c r="D2603" t="s">
        <v>9351</v>
      </c>
      <c r="E2603" t="s">
        <v>9352</v>
      </c>
      <c r="F2603" t="s">
        <v>9353</v>
      </c>
      <c r="G2603" t="s">
        <v>177</v>
      </c>
      <c r="H2603" t="s">
        <v>2044</v>
      </c>
      <c r="I2603" t="s">
        <v>9354</v>
      </c>
      <c r="J2603" t="s">
        <v>37</v>
      </c>
      <c r="K2603" t="s">
        <v>37</v>
      </c>
      <c r="L2603" t="s">
        <v>39</v>
      </c>
      <c r="M2603" t="s">
        <v>37</v>
      </c>
      <c r="N2603" t="s">
        <v>37</v>
      </c>
      <c r="O2603" t="s">
        <v>39</v>
      </c>
      <c r="P2603" t="s">
        <v>38</v>
      </c>
      <c r="Q2603" t="s">
        <v>38</v>
      </c>
      <c r="R2603" t="s">
        <v>39</v>
      </c>
      <c r="S2603" t="s">
        <v>41</v>
      </c>
      <c r="T2603" t="s">
        <v>9240</v>
      </c>
      <c r="U2603" t="s">
        <v>9226</v>
      </c>
      <c r="V2603" t="s">
        <v>9093</v>
      </c>
      <c r="W2603" t="s">
        <v>9227</v>
      </c>
      <c r="Z2603" t="s">
        <v>46</v>
      </c>
      <c r="AA2603" t="s">
        <v>9095</v>
      </c>
      <c r="AC2603">
        <f>COUNTIF(C:C,QLKV_gui_ket_qua_ra_soat[[#This Row],[Mã điểm bán]])</f>
        <v>1</v>
      </c>
    </row>
    <row r="2604" spans="1:29" x14ac:dyDescent="0.45">
      <c r="A2604" t="s">
        <v>9088</v>
      </c>
      <c r="B2604">
        <v>613</v>
      </c>
      <c r="C2604" t="s">
        <v>9355</v>
      </c>
      <c r="D2604" t="s">
        <v>9356</v>
      </c>
      <c r="E2604" t="s">
        <v>1881</v>
      </c>
      <c r="F2604" t="s">
        <v>2911</v>
      </c>
      <c r="G2604" t="s">
        <v>34</v>
      </c>
      <c r="H2604" t="s">
        <v>54</v>
      </c>
      <c r="I2604" t="s">
        <v>9357</v>
      </c>
      <c r="J2604" t="s">
        <v>38</v>
      </c>
      <c r="K2604" t="s">
        <v>38</v>
      </c>
      <c r="L2604" t="s">
        <v>40</v>
      </c>
      <c r="M2604" t="s">
        <v>1034</v>
      </c>
      <c r="N2604" t="s">
        <v>37</v>
      </c>
      <c r="O2604" t="s">
        <v>39</v>
      </c>
      <c r="P2604" t="s">
        <v>38</v>
      </c>
      <c r="Q2604" t="s">
        <v>38</v>
      </c>
      <c r="R2604" t="s">
        <v>39</v>
      </c>
      <c r="S2604" t="s">
        <v>41</v>
      </c>
      <c r="T2604" t="s">
        <v>9091</v>
      </c>
      <c r="U2604" t="s">
        <v>9092</v>
      </c>
      <c r="V2604" t="s">
        <v>9093</v>
      </c>
      <c r="W2604" t="s">
        <v>9094</v>
      </c>
      <c r="Z2604" t="s">
        <v>46</v>
      </c>
      <c r="AA2604" t="s">
        <v>9095</v>
      </c>
      <c r="AC2604">
        <f>COUNTIF(C:C,QLKV_gui_ket_qua_ra_soat[[#This Row],[Mã điểm bán]])</f>
        <v>1</v>
      </c>
    </row>
    <row r="2605" spans="1:29" x14ac:dyDescent="0.45">
      <c r="A2605" t="s">
        <v>9088</v>
      </c>
      <c r="B2605">
        <v>614</v>
      </c>
      <c r="C2605" t="s">
        <v>9358</v>
      </c>
      <c r="D2605" t="s">
        <v>9359</v>
      </c>
      <c r="E2605" t="s">
        <v>9360</v>
      </c>
      <c r="F2605" t="s">
        <v>9361</v>
      </c>
      <c r="G2605" t="s">
        <v>177</v>
      </c>
      <c r="H2605" t="s">
        <v>1648</v>
      </c>
      <c r="I2605" t="s">
        <v>9362</v>
      </c>
      <c r="J2605" t="s">
        <v>37</v>
      </c>
      <c r="K2605" t="s">
        <v>37</v>
      </c>
      <c r="L2605" t="s">
        <v>39</v>
      </c>
      <c r="M2605" t="s">
        <v>37</v>
      </c>
      <c r="N2605" t="s">
        <v>37</v>
      </c>
      <c r="O2605" t="s">
        <v>39</v>
      </c>
      <c r="P2605" t="s">
        <v>38</v>
      </c>
      <c r="Q2605" t="s">
        <v>38</v>
      </c>
      <c r="R2605" t="s">
        <v>39</v>
      </c>
      <c r="S2605" t="s">
        <v>41</v>
      </c>
      <c r="T2605" t="s">
        <v>9240</v>
      </c>
      <c r="U2605" t="s">
        <v>9226</v>
      </c>
      <c r="V2605" t="s">
        <v>9093</v>
      </c>
      <c r="W2605" t="s">
        <v>9227</v>
      </c>
      <c r="X2605" t="s">
        <v>46</v>
      </c>
      <c r="AC2605">
        <f>COUNTIF(C:C,QLKV_gui_ket_qua_ra_soat[[#This Row],[Mã điểm bán]])</f>
        <v>1</v>
      </c>
    </row>
    <row r="2606" spans="1:29" x14ac:dyDescent="0.45">
      <c r="A2606" t="s">
        <v>9088</v>
      </c>
      <c r="B2606">
        <v>615</v>
      </c>
      <c r="C2606" t="s">
        <v>9363</v>
      </c>
      <c r="D2606" t="s">
        <v>9364</v>
      </c>
      <c r="E2606" t="s">
        <v>9365</v>
      </c>
      <c r="F2606" t="s">
        <v>115</v>
      </c>
      <c r="G2606" t="s">
        <v>177</v>
      </c>
      <c r="H2606" t="s">
        <v>332</v>
      </c>
      <c r="I2606" t="s">
        <v>9366</v>
      </c>
      <c r="J2606" t="s">
        <v>37</v>
      </c>
      <c r="K2606" t="s">
        <v>37</v>
      </c>
      <c r="L2606" t="s">
        <v>39</v>
      </c>
      <c r="M2606" t="s">
        <v>37</v>
      </c>
      <c r="N2606" t="s">
        <v>37</v>
      </c>
      <c r="O2606" t="s">
        <v>39</v>
      </c>
      <c r="P2606" t="s">
        <v>38</v>
      </c>
      <c r="Q2606" t="s">
        <v>38</v>
      </c>
      <c r="R2606" t="s">
        <v>39</v>
      </c>
      <c r="S2606" t="s">
        <v>41</v>
      </c>
      <c r="T2606" t="s">
        <v>9240</v>
      </c>
      <c r="U2606" t="s">
        <v>9226</v>
      </c>
      <c r="V2606" t="s">
        <v>9093</v>
      </c>
      <c r="W2606" t="s">
        <v>9227</v>
      </c>
      <c r="Z2606" t="s">
        <v>46</v>
      </c>
      <c r="AA2606" t="s">
        <v>9235</v>
      </c>
      <c r="AC2606">
        <f>COUNTIF(C:C,QLKV_gui_ket_qua_ra_soat[[#This Row],[Mã điểm bán]])</f>
        <v>1</v>
      </c>
    </row>
    <row r="2607" spans="1:29" x14ac:dyDescent="0.45">
      <c r="A2607" t="s">
        <v>9088</v>
      </c>
      <c r="B2607">
        <v>617</v>
      </c>
      <c r="C2607" t="s">
        <v>9367</v>
      </c>
      <c r="D2607" t="s">
        <v>9368</v>
      </c>
      <c r="E2607" t="s">
        <v>1837</v>
      </c>
      <c r="F2607" t="s">
        <v>426</v>
      </c>
      <c r="G2607" t="s">
        <v>34</v>
      </c>
      <c r="H2607" t="s">
        <v>54</v>
      </c>
      <c r="I2607" t="s">
        <v>9369</v>
      </c>
      <c r="J2607" t="s">
        <v>38</v>
      </c>
      <c r="K2607" t="s">
        <v>38</v>
      </c>
      <c r="L2607" t="s">
        <v>40</v>
      </c>
      <c r="M2607" t="s">
        <v>1034</v>
      </c>
      <c r="N2607" t="s">
        <v>37</v>
      </c>
      <c r="O2607" t="s">
        <v>39</v>
      </c>
      <c r="P2607" t="s">
        <v>38</v>
      </c>
      <c r="Q2607" t="s">
        <v>38</v>
      </c>
      <c r="R2607" t="s">
        <v>39</v>
      </c>
      <c r="S2607" t="s">
        <v>41</v>
      </c>
      <c r="T2607" t="s">
        <v>9091</v>
      </c>
      <c r="U2607" t="s">
        <v>9092</v>
      </c>
      <c r="V2607" t="s">
        <v>9093</v>
      </c>
      <c r="W2607" t="s">
        <v>9094</v>
      </c>
      <c r="Z2607" t="s">
        <v>46</v>
      </c>
      <c r="AA2607" t="s">
        <v>9095</v>
      </c>
      <c r="AC2607">
        <f>COUNTIF(C:C,QLKV_gui_ket_qua_ra_soat[[#This Row],[Mã điểm bán]])</f>
        <v>1</v>
      </c>
    </row>
    <row r="2608" spans="1:29" x14ac:dyDescent="0.45">
      <c r="A2608" t="s">
        <v>9088</v>
      </c>
      <c r="B2608">
        <v>618</v>
      </c>
      <c r="C2608" t="s">
        <v>9370</v>
      </c>
      <c r="D2608" t="s">
        <v>9371</v>
      </c>
      <c r="E2608" t="s">
        <v>9330</v>
      </c>
      <c r="F2608" t="s">
        <v>166</v>
      </c>
      <c r="G2608" t="s">
        <v>34</v>
      </c>
      <c r="H2608" t="s">
        <v>54</v>
      </c>
      <c r="I2608" t="s">
        <v>9224</v>
      </c>
      <c r="J2608" t="s">
        <v>38</v>
      </c>
      <c r="K2608" t="s">
        <v>38</v>
      </c>
      <c r="L2608" t="s">
        <v>39</v>
      </c>
      <c r="M2608" t="s">
        <v>37</v>
      </c>
      <c r="N2608" t="s">
        <v>37</v>
      </c>
      <c r="O2608" t="s">
        <v>39</v>
      </c>
      <c r="P2608" t="s">
        <v>38</v>
      </c>
      <c r="Q2608" t="s">
        <v>38</v>
      </c>
      <c r="R2608" t="s">
        <v>39</v>
      </c>
      <c r="S2608" t="s">
        <v>41</v>
      </c>
      <c r="T2608" t="s">
        <v>9225</v>
      </c>
      <c r="U2608" t="s">
        <v>9226</v>
      </c>
      <c r="V2608" t="s">
        <v>9093</v>
      </c>
      <c r="W2608" t="s">
        <v>9227</v>
      </c>
      <c r="X2608" t="s">
        <v>46</v>
      </c>
      <c r="AC2608">
        <f>COUNTIF(C:C,QLKV_gui_ket_qua_ra_soat[[#This Row],[Mã điểm bán]])</f>
        <v>1</v>
      </c>
    </row>
    <row r="2609" spans="1:29" x14ac:dyDescent="0.45">
      <c r="A2609" t="s">
        <v>9088</v>
      </c>
      <c r="B2609">
        <v>620</v>
      </c>
      <c r="C2609" t="s">
        <v>9372</v>
      </c>
      <c r="D2609" t="s">
        <v>9373</v>
      </c>
      <c r="E2609" t="s">
        <v>9374</v>
      </c>
      <c r="F2609" t="s">
        <v>115</v>
      </c>
      <c r="G2609" t="s">
        <v>177</v>
      </c>
      <c r="H2609" t="s">
        <v>917</v>
      </c>
      <c r="I2609" t="s">
        <v>9366</v>
      </c>
      <c r="J2609" t="s">
        <v>37</v>
      </c>
      <c r="K2609" t="s">
        <v>37</v>
      </c>
      <c r="L2609" t="s">
        <v>39</v>
      </c>
      <c r="M2609" t="s">
        <v>37</v>
      </c>
      <c r="N2609" t="s">
        <v>37</v>
      </c>
      <c r="O2609" t="s">
        <v>39</v>
      </c>
      <c r="P2609" t="s">
        <v>38</v>
      </c>
      <c r="Q2609" t="s">
        <v>38</v>
      </c>
      <c r="R2609" t="s">
        <v>39</v>
      </c>
      <c r="S2609" t="s">
        <v>41</v>
      </c>
      <c r="T2609" t="s">
        <v>9240</v>
      </c>
      <c r="U2609" t="s">
        <v>9226</v>
      </c>
      <c r="V2609" t="s">
        <v>9093</v>
      </c>
      <c r="W2609" t="s">
        <v>9227</v>
      </c>
      <c r="Z2609" t="s">
        <v>46</v>
      </c>
      <c r="AA2609" t="s">
        <v>9095</v>
      </c>
      <c r="AC2609">
        <f>COUNTIF(C:C,QLKV_gui_ket_qua_ra_soat[[#This Row],[Mã điểm bán]])</f>
        <v>1</v>
      </c>
    </row>
    <row r="2610" spans="1:29" x14ac:dyDescent="0.45">
      <c r="A2610" t="s">
        <v>9088</v>
      </c>
      <c r="B2610">
        <v>622</v>
      </c>
      <c r="C2610" t="s">
        <v>9375</v>
      </c>
      <c r="D2610" t="s">
        <v>9376</v>
      </c>
      <c r="E2610" t="s">
        <v>9234</v>
      </c>
      <c r="F2610" t="s">
        <v>325</v>
      </c>
      <c r="G2610" t="s">
        <v>34</v>
      </c>
      <c r="H2610" t="s">
        <v>214</v>
      </c>
      <c r="I2610" t="s">
        <v>9224</v>
      </c>
      <c r="J2610" t="s">
        <v>38</v>
      </c>
      <c r="K2610" t="s">
        <v>38</v>
      </c>
      <c r="L2610" t="s">
        <v>39</v>
      </c>
      <c r="M2610" t="s">
        <v>37</v>
      </c>
      <c r="N2610" t="s">
        <v>37</v>
      </c>
      <c r="O2610" t="s">
        <v>39</v>
      </c>
      <c r="P2610" t="s">
        <v>38</v>
      </c>
      <c r="Q2610" t="s">
        <v>38</v>
      </c>
      <c r="R2610" t="s">
        <v>39</v>
      </c>
      <c r="S2610" t="s">
        <v>41</v>
      </c>
      <c r="T2610" t="s">
        <v>9225</v>
      </c>
      <c r="U2610" t="s">
        <v>9226</v>
      </c>
      <c r="V2610" t="s">
        <v>9093</v>
      </c>
      <c r="W2610" t="s">
        <v>9227</v>
      </c>
      <c r="Z2610" t="s">
        <v>46</v>
      </c>
      <c r="AA2610" t="s">
        <v>9235</v>
      </c>
      <c r="AC2610">
        <f>COUNTIF(C:C,QLKV_gui_ket_qua_ra_soat[[#This Row],[Mã điểm bán]])</f>
        <v>1</v>
      </c>
    </row>
    <row r="2611" spans="1:29" x14ac:dyDescent="0.45">
      <c r="A2611" t="s">
        <v>9088</v>
      </c>
      <c r="B2611">
        <v>624</v>
      </c>
      <c r="C2611" t="s">
        <v>9377</v>
      </c>
      <c r="D2611" t="s">
        <v>9378</v>
      </c>
      <c r="E2611" t="s">
        <v>682</v>
      </c>
      <c r="F2611" t="s">
        <v>3693</v>
      </c>
      <c r="G2611" t="s">
        <v>34</v>
      </c>
      <c r="H2611" t="s">
        <v>54</v>
      </c>
      <c r="I2611" t="s">
        <v>9379</v>
      </c>
      <c r="J2611" t="s">
        <v>38</v>
      </c>
      <c r="K2611" t="s">
        <v>38</v>
      </c>
      <c r="L2611" t="s">
        <v>39</v>
      </c>
      <c r="M2611" t="s">
        <v>38</v>
      </c>
      <c r="N2611" t="s">
        <v>775</v>
      </c>
      <c r="O2611" t="s">
        <v>39</v>
      </c>
      <c r="P2611" t="s">
        <v>38</v>
      </c>
      <c r="Q2611" t="s">
        <v>38</v>
      </c>
      <c r="R2611" t="s">
        <v>40</v>
      </c>
      <c r="S2611" t="s">
        <v>41</v>
      </c>
      <c r="T2611" t="s">
        <v>9142</v>
      </c>
      <c r="U2611" t="s">
        <v>9143</v>
      </c>
      <c r="V2611" t="s">
        <v>9093</v>
      </c>
      <c r="W2611" t="s">
        <v>2978</v>
      </c>
      <c r="Z2611" t="s">
        <v>46</v>
      </c>
      <c r="AA2611" t="s">
        <v>9160</v>
      </c>
      <c r="AC2611">
        <f>COUNTIF(C:C,QLKV_gui_ket_qua_ra_soat[[#This Row],[Mã điểm bán]])</f>
        <v>1</v>
      </c>
    </row>
    <row r="2612" spans="1:29" x14ac:dyDescent="0.45">
      <c r="A2612" t="s">
        <v>9088</v>
      </c>
      <c r="B2612">
        <v>627</v>
      </c>
      <c r="C2612" t="s">
        <v>9380</v>
      </c>
      <c r="D2612" t="s">
        <v>9381</v>
      </c>
      <c r="E2612" t="s">
        <v>9382</v>
      </c>
      <c r="F2612" t="s">
        <v>166</v>
      </c>
      <c r="G2612" t="s">
        <v>177</v>
      </c>
      <c r="H2612" t="s">
        <v>2459</v>
      </c>
      <c r="I2612" t="s">
        <v>9383</v>
      </c>
      <c r="J2612" t="s">
        <v>37</v>
      </c>
      <c r="K2612" t="s">
        <v>37</v>
      </c>
      <c r="L2612" t="s">
        <v>39</v>
      </c>
      <c r="M2612" t="s">
        <v>37</v>
      </c>
      <c r="N2612" t="s">
        <v>37</v>
      </c>
      <c r="O2612" t="s">
        <v>39</v>
      </c>
      <c r="P2612" t="s">
        <v>38</v>
      </c>
      <c r="Q2612" t="s">
        <v>38</v>
      </c>
      <c r="R2612" t="s">
        <v>39</v>
      </c>
      <c r="S2612" t="s">
        <v>41</v>
      </c>
      <c r="T2612" t="s">
        <v>9240</v>
      </c>
      <c r="U2612" t="s">
        <v>9205</v>
      </c>
      <c r="V2612" t="s">
        <v>9093</v>
      </c>
      <c r="W2612" t="s">
        <v>9227</v>
      </c>
      <c r="Z2612" t="s">
        <v>46</v>
      </c>
      <c r="AA2612" t="s">
        <v>9235</v>
      </c>
      <c r="AC2612">
        <f>COUNTIF(C:C,QLKV_gui_ket_qua_ra_soat[[#This Row],[Mã điểm bán]])</f>
        <v>1</v>
      </c>
    </row>
    <row r="2613" spans="1:29" x14ac:dyDescent="0.45">
      <c r="A2613" t="s">
        <v>9088</v>
      </c>
      <c r="B2613">
        <v>628</v>
      </c>
      <c r="C2613" t="s">
        <v>9384</v>
      </c>
      <c r="D2613" t="s">
        <v>9385</v>
      </c>
      <c r="E2613" t="s">
        <v>9386</v>
      </c>
      <c r="F2613" t="s">
        <v>325</v>
      </c>
      <c r="G2613" t="s">
        <v>34</v>
      </c>
      <c r="H2613" t="s">
        <v>214</v>
      </c>
      <c r="I2613" t="s">
        <v>9224</v>
      </c>
      <c r="J2613" t="s">
        <v>38</v>
      </c>
      <c r="K2613" t="s">
        <v>38</v>
      </c>
      <c r="L2613" t="s">
        <v>39</v>
      </c>
      <c r="M2613" t="s">
        <v>37</v>
      </c>
      <c r="N2613" t="s">
        <v>37</v>
      </c>
      <c r="O2613" t="s">
        <v>39</v>
      </c>
      <c r="P2613" t="s">
        <v>38</v>
      </c>
      <c r="Q2613" t="s">
        <v>38</v>
      </c>
      <c r="R2613" t="s">
        <v>39</v>
      </c>
      <c r="S2613" t="s">
        <v>41</v>
      </c>
      <c r="T2613" t="s">
        <v>9225</v>
      </c>
      <c r="U2613" t="s">
        <v>9226</v>
      </c>
      <c r="V2613" t="s">
        <v>9093</v>
      </c>
      <c r="W2613" t="s">
        <v>9227</v>
      </c>
      <c r="X2613" t="s">
        <v>46</v>
      </c>
      <c r="AC2613">
        <f>COUNTIF(C:C,QLKV_gui_ket_qua_ra_soat[[#This Row],[Mã điểm bán]])</f>
        <v>1</v>
      </c>
    </row>
    <row r="2614" spans="1:29" x14ac:dyDescent="0.45">
      <c r="A2614" t="s">
        <v>9088</v>
      </c>
      <c r="B2614">
        <v>629</v>
      </c>
      <c r="C2614" t="s">
        <v>9387</v>
      </c>
      <c r="D2614" t="s">
        <v>9388</v>
      </c>
      <c r="E2614" t="s">
        <v>1908</v>
      </c>
      <c r="F2614" t="s">
        <v>2343</v>
      </c>
      <c r="G2614" t="s">
        <v>34</v>
      </c>
      <c r="H2614" t="s">
        <v>565</v>
      </c>
      <c r="I2614" t="s">
        <v>9389</v>
      </c>
      <c r="J2614" t="s">
        <v>38</v>
      </c>
      <c r="K2614" t="s">
        <v>38</v>
      </c>
      <c r="L2614" t="s">
        <v>40</v>
      </c>
      <c r="M2614" t="s">
        <v>1034</v>
      </c>
      <c r="N2614" t="s">
        <v>56</v>
      </c>
      <c r="O2614" t="s">
        <v>39</v>
      </c>
      <c r="P2614" t="s">
        <v>38</v>
      </c>
      <c r="Q2614" t="s">
        <v>38</v>
      </c>
      <c r="R2614" t="s">
        <v>39</v>
      </c>
      <c r="S2614" t="s">
        <v>41</v>
      </c>
      <c r="T2614" t="s">
        <v>9091</v>
      </c>
      <c r="U2614" t="s">
        <v>9205</v>
      </c>
      <c r="V2614" t="s">
        <v>9093</v>
      </c>
      <c r="W2614" t="s">
        <v>9094</v>
      </c>
      <c r="Z2614" t="s">
        <v>46</v>
      </c>
      <c r="AA2614" t="s">
        <v>9095</v>
      </c>
      <c r="AC2614">
        <f>COUNTIF(C:C,QLKV_gui_ket_qua_ra_soat[[#This Row],[Mã điểm bán]])</f>
        <v>1</v>
      </c>
    </row>
    <row r="2615" spans="1:29" x14ac:dyDescent="0.45">
      <c r="A2615" t="s">
        <v>9088</v>
      </c>
      <c r="B2615">
        <v>632</v>
      </c>
      <c r="C2615" t="s">
        <v>9390</v>
      </c>
      <c r="D2615" t="s">
        <v>9391</v>
      </c>
      <c r="E2615" t="s">
        <v>2379</v>
      </c>
      <c r="F2615" t="s">
        <v>934</v>
      </c>
      <c r="G2615" t="s">
        <v>177</v>
      </c>
      <c r="H2615" t="s">
        <v>1025</v>
      </c>
      <c r="I2615" t="s">
        <v>9392</v>
      </c>
      <c r="J2615" t="s">
        <v>37</v>
      </c>
      <c r="K2615" t="s">
        <v>37</v>
      </c>
      <c r="L2615" t="s">
        <v>39</v>
      </c>
      <c r="M2615" t="s">
        <v>37</v>
      </c>
      <c r="N2615" t="s">
        <v>37</v>
      </c>
      <c r="O2615" t="s">
        <v>39</v>
      </c>
      <c r="P2615" t="s">
        <v>38</v>
      </c>
      <c r="Q2615" t="s">
        <v>38</v>
      </c>
      <c r="R2615" t="s">
        <v>40</v>
      </c>
      <c r="S2615" t="s">
        <v>41</v>
      </c>
      <c r="T2615" t="s">
        <v>9147</v>
      </c>
      <c r="U2615" t="s">
        <v>9148</v>
      </c>
      <c r="V2615" t="s">
        <v>9093</v>
      </c>
      <c r="W2615" t="s">
        <v>9094</v>
      </c>
      <c r="X2615" t="s">
        <v>46</v>
      </c>
      <c r="AC2615">
        <f>COUNTIF(C:C,QLKV_gui_ket_qua_ra_soat[[#This Row],[Mã điểm bán]])</f>
        <v>1</v>
      </c>
    </row>
    <row r="2616" spans="1:29" x14ac:dyDescent="0.45">
      <c r="A2616" t="s">
        <v>9088</v>
      </c>
      <c r="B2616">
        <v>633</v>
      </c>
      <c r="C2616" t="s">
        <v>9393</v>
      </c>
      <c r="D2616" t="s">
        <v>9394</v>
      </c>
      <c r="E2616" t="s">
        <v>9395</v>
      </c>
      <c r="F2616" t="s">
        <v>115</v>
      </c>
      <c r="G2616" t="s">
        <v>177</v>
      </c>
      <c r="H2616" t="s">
        <v>4115</v>
      </c>
      <c r="I2616" t="s">
        <v>9396</v>
      </c>
      <c r="J2616" t="s">
        <v>37</v>
      </c>
      <c r="K2616" t="s">
        <v>37</v>
      </c>
      <c r="L2616" t="s">
        <v>39</v>
      </c>
      <c r="M2616" t="s">
        <v>37</v>
      </c>
      <c r="N2616" t="s">
        <v>37</v>
      </c>
      <c r="O2616" t="s">
        <v>39</v>
      </c>
      <c r="P2616" t="s">
        <v>38</v>
      </c>
      <c r="Q2616" t="s">
        <v>38</v>
      </c>
      <c r="R2616" t="s">
        <v>39</v>
      </c>
      <c r="S2616" t="s">
        <v>41</v>
      </c>
      <c r="T2616" t="s">
        <v>9240</v>
      </c>
      <c r="U2616" t="s">
        <v>9226</v>
      </c>
      <c r="V2616" t="s">
        <v>9093</v>
      </c>
      <c r="W2616" t="s">
        <v>9227</v>
      </c>
      <c r="Z2616" t="s">
        <v>46</v>
      </c>
      <c r="AA2616" t="s">
        <v>9235</v>
      </c>
      <c r="AC2616">
        <f>COUNTIF(C:C,QLKV_gui_ket_qua_ra_soat[[#This Row],[Mã điểm bán]])</f>
        <v>1</v>
      </c>
    </row>
    <row r="2617" spans="1:29" x14ac:dyDescent="0.45">
      <c r="A2617" t="s">
        <v>9088</v>
      </c>
      <c r="B2617">
        <v>634</v>
      </c>
      <c r="C2617" t="s">
        <v>9397</v>
      </c>
      <c r="D2617" t="s">
        <v>9398</v>
      </c>
      <c r="E2617" t="s">
        <v>113</v>
      </c>
      <c r="F2617" t="s">
        <v>559</v>
      </c>
      <c r="G2617" t="s">
        <v>34</v>
      </c>
      <c r="H2617" t="s">
        <v>54</v>
      </c>
      <c r="I2617" t="s">
        <v>9399</v>
      </c>
      <c r="J2617" t="s">
        <v>37</v>
      </c>
      <c r="K2617" t="s">
        <v>37</v>
      </c>
      <c r="L2617" t="s">
        <v>39</v>
      </c>
      <c r="M2617" t="s">
        <v>37</v>
      </c>
      <c r="N2617" t="s">
        <v>37</v>
      </c>
      <c r="O2617" t="s">
        <v>39</v>
      </c>
      <c r="P2617" t="s">
        <v>38</v>
      </c>
      <c r="Q2617" t="s">
        <v>38</v>
      </c>
      <c r="R2617" t="s">
        <v>40</v>
      </c>
      <c r="S2617" t="s">
        <v>41</v>
      </c>
      <c r="T2617" t="s">
        <v>9147</v>
      </c>
      <c r="U2617" t="s">
        <v>9148</v>
      </c>
      <c r="V2617" t="s">
        <v>9093</v>
      </c>
      <c r="W2617" t="s">
        <v>9094</v>
      </c>
      <c r="Z2617" t="s">
        <v>46</v>
      </c>
      <c r="AA2617" t="s">
        <v>9235</v>
      </c>
      <c r="AC2617">
        <f>COUNTIF(C:C,QLKV_gui_ket_qua_ra_soat[[#This Row],[Mã điểm bán]])</f>
        <v>1</v>
      </c>
    </row>
    <row r="2618" spans="1:29" x14ac:dyDescent="0.45">
      <c r="A2618" t="s">
        <v>9088</v>
      </c>
      <c r="B2618">
        <v>636</v>
      </c>
      <c r="C2618" t="s">
        <v>9400</v>
      </c>
      <c r="D2618" t="s">
        <v>9401</v>
      </c>
      <c r="E2618" t="s">
        <v>69</v>
      </c>
      <c r="F2618" t="s">
        <v>53</v>
      </c>
      <c r="G2618" t="s">
        <v>177</v>
      </c>
      <c r="H2618" t="s">
        <v>1736</v>
      </c>
      <c r="I2618" t="s">
        <v>9198</v>
      </c>
      <c r="J2618" t="s">
        <v>38</v>
      </c>
      <c r="K2618" t="s">
        <v>38</v>
      </c>
      <c r="L2618" t="s">
        <v>40</v>
      </c>
      <c r="M2618" t="s">
        <v>56</v>
      </c>
      <c r="N2618" t="s">
        <v>56</v>
      </c>
      <c r="O2618" t="s">
        <v>39</v>
      </c>
      <c r="P2618" t="s">
        <v>38</v>
      </c>
      <c r="Q2618" t="s">
        <v>38</v>
      </c>
      <c r="R2618" t="s">
        <v>40</v>
      </c>
      <c r="S2618" t="s">
        <v>41</v>
      </c>
      <c r="T2618" t="s">
        <v>9199</v>
      </c>
      <c r="U2618" t="s">
        <v>9200</v>
      </c>
      <c r="V2618" t="s">
        <v>9093</v>
      </c>
      <c r="W2618" t="s">
        <v>9180</v>
      </c>
      <c r="Z2618" t="s">
        <v>46</v>
      </c>
      <c r="AA2618" t="s">
        <v>9119</v>
      </c>
      <c r="AC2618">
        <f>COUNTIF(C:C,QLKV_gui_ket_qua_ra_soat[[#This Row],[Mã điểm bán]])</f>
        <v>1</v>
      </c>
    </row>
    <row r="2619" spans="1:29" x14ac:dyDescent="0.45">
      <c r="A2619" t="s">
        <v>9088</v>
      </c>
      <c r="B2619">
        <v>637</v>
      </c>
      <c r="C2619" t="s">
        <v>9402</v>
      </c>
      <c r="D2619" t="s">
        <v>9403</v>
      </c>
      <c r="E2619" t="s">
        <v>9404</v>
      </c>
      <c r="F2619" t="s">
        <v>4472</v>
      </c>
      <c r="G2619" t="s">
        <v>177</v>
      </c>
      <c r="H2619" t="s">
        <v>1788</v>
      </c>
      <c r="I2619" t="s">
        <v>9405</v>
      </c>
      <c r="J2619" t="s">
        <v>37</v>
      </c>
      <c r="K2619" t="s">
        <v>37</v>
      </c>
      <c r="L2619" t="s">
        <v>39</v>
      </c>
      <c r="M2619" t="s">
        <v>37</v>
      </c>
      <c r="N2619" t="s">
        <v>37</v>
      </c>
      <c r="O2619" t="s">
        <v>39</v>
      </c>
      <c r="P2619" t="s">
        <v>38</v>
      </c>
      <c r="Q2619" t="s">
        <v>38</v>
      </c>
      <c r="R2619" t="s">
        <v>39</v>
      </c>
      <c r="S2619" t="s">
        <v>41</v>
      </c>
      <c r="T2619" t="s">
        <v>9240</v>
      </c>
      <c r="U2619" t="s">
        <v>9205</v>
      </c>
      <c r="V2619" t="s">
        <v>9093</v>
      </c>
      <c r="W2619" t="s">
        <v>9227</v>
      </c>
      <c r="Z2619" t="s">
        <v>46</v>
      </c>
      <c r="AA2619" t="s">
        <v>9235</v>
      </c>
      <c r="AC2619">
        <f>COUNTIF(C:C,QLKV_gui_ket_qua_ra_soat[[#This Row],[Mã điểm bán]])</f>
        <v>1</v>
      </c>
    </row>
    <row r="2620" spans="1:29" x14ac:dyDescent="0.45">
      <c r="A2620" t="s">
        <v>9088</v>
      </c>
      <c r="B2620">
        <v>640</v>
      </c>
      <c r="C2620" t="s">
        <v>9406</v>
      </c>
      <c r="D2620" t="s">
        <v>9407</v>
      </c>
      <c r="E2620" t="s">
        <v>9408</v>
      </c>
      <c r="F2620" t="s">
        <v>53</v>
      </c>
      <c r="G2620" t="s">
        <v>177</v>
      </c>
      <c r="H2620" t="s">
        <v>402</v>
      </c>
      <c r="I2620" t="s">
        <v>9409</v>
      </c>
      <c r="J2620" t="s">
        <v>37</v>
      </c>
      <c r="K2620" t="s">
        <v>37</v>
      </c>
      <c r="L2620" t="s">
        <v>39</v>
      </c>
      <c r="M2620" t="s">
        <v>37</v>
      </c>
      <c r="N2620" t="s">
        <v>37</v>
      </c>
      <c r="O2620" t="s">
        <v>39</v>
      </c>
      <c r="P2620" t="s">
        <v>38</v>
      </c>
      <c r="Q2620" t="s">
        <v>38</v>
      </c>
      <c r="R2620" t="s">
        <v>39</v>
      </c>
      <c r="S2620" t="s">
        <v>41</v>
      </c>
      <c r="T2620" t="s">
        <v>9240</v>
      </c>
      <c r="U2620" t="s">
        <v>9205</v>
      </c>
      <c r="V2620" t="s">
        <v>9093</v>
      </c>
      <c r="W2620" t="s">
        <v>9227</v>
      </c>
      <c r="Z2620" t="s">
        <v>46</v>
      </c>
      <c r="AA2620" t="s">
        <v>9095</v>
      </c>
      <c r="AC2620">
        <f>COUNTIF(C:C,QLKV_gui_ket_qua_ra_soat[[#This Row],[Mã điểm bán]])</f>
        <v>1</v>
      </c>
    </row>
    <row r="2621" spans="1:29" x14ac:dyDescent="0.45">
      <c r="A2621" t="s">
        <v>9088</v>
      </c>
      <c r="B2621">
        <v>643</v>
      </c>
      <c r="C2621" t="s">
        <v>9410</v>
      </c>
      <c r="D2621" t="s">
        <v>9411</v>
      </c>
      <c r="E2621" t="s">
        <v>9412</v>
      </c>
      <c r="F2621" t="s">
        <v>115</v>
      </c>
      <c r="G2621" t="s">
        <v>177</v>
      </c>
      <c r="H2621" t="s">
        <v>2044</v>
      </c>
      <c r="I2621" t="s">
        <v>9396</v>
      </c>
      <c r="J2621" t="s">
        <v>37</v>
      </c>
      <c r="K2621" t="s">
        <v>37</v>
      </c>
      <c r="L2621" t="s">
        <v>39</v>
      </c>
      <c r="M2621" t="s">
        <v>37</v>
      </c>
      <c r="N2621" t="s">
        <v>37</v>
      </c>
      <c r="O2621" t="s">
        <v>39</v>
      </c>
      <c r="P2621" t="s">
        <v>38</v>
      </c>
      <c r="Q2621" t="s">
        <v>38</v>
      </c>
      <c r="R2621" t="s">
        <v>39</v>
      </c>
      <c r="S2621" t="s">
        <v>41</v>
      </c>
      <c r="T2621" t="s">
        <v>9240</v>
      </c>
      <c r="U2621" t="s">
        <v>9226</v>
      </c>
      <c r="V2621" t="s">
        <v>9093</v>
      </c>
      <c r="W2621" t="s">
        <v>9227</v>
      </c>
      <c r="Z2621" t="s">
        <v>46</v>
      </c>
      <c r="AA2621" t="s">
        <v>9095</v>
      </c>
      <c r="AC2621">
        <f>COUNTIF(C:C,QLKV_gui_ket_qua_ra_soat[[#This Row],[Mã điểm bán]])</f>
        <v>1</v>
      </c>
    </row>
    <row r="2622" spans="1:29" x14ac:dyDescent="0.45">
      <c r="A2622" t="s">
        <v>9088</v>
      </c>
      <c r="B2622">
        <v>644</v>
      </c>
      <c r="C2622" t="s">
        <v>9413</v>
      </c>
      <c r="D2622" t="s">
        <v>9414</v>
      </c>
      <c r="E2622" t="s">
        <v>9415</v>
      </c>
      <c r="F2622" t="s">
        <v>53</v>
      </c>
      <c r="G2622" t="s">
        <v>34</v>
      </c>
      <c r="H2622" t="s">
        <v>54</v>
      </c>
      <c r="I2622" t="s">
        <v>9175</v>
      </c>
      <c r="J2622" t="s">
        <v>38</v>
      </c>
      <c r="K2622" t="s">
        <v>38</v>
      </c>
      <c r="L2622" t="s">
        <v>40</v>
      </c>
      <c r="M2622" t="s">
        <v>38</v>
      </c>
      <c r="N2622" t="s">
        <v>38</v>
      </c>
      <c r="O2622" t="s">
        <v>40</v>
      </c>
      <c r="P2622" t="s">
        <v>38</v>
      </c>
      <c r="Q2622" t="s">
        <v>38</v>
      </c>
      <c r="R2622" t="s">
        <v>40</v>
      </c>
      <c r="S2622" t="s">
        <v>41</v>
      </c>
      <c r="T2622" t="s">
        <v>9099</v>
      </c>
      <c r="U2622" t="s">
        <v>9100</v>
      </c>
      <c r="V2622" t="s">
        <v>9093</v>
      </c>
      <c r="W2622" t="s">
        <v>9101</v>
      </c>
      <c r="X2622" t="s">
        <v>46</v>
      </c>
      <c r="AC2622">
        <f>COUNTIF(C:C,QLKV_gui_ket_qua_ra_soat[[#This Row],[Mã điểm bán]])</f>
        <v>1</v>
      </c>
    </row>
    <row r="2623" spans="1:29" x14ac:dyDescent="0.45">
      <c r="A2623" t="s">
        <v>9088</v>
      </c>
      <c r="B2623">
        <v>655</v>
      </c>
      <c r="C2623" t="s">
        <v>9416</v>
      </c>
      <c r="D2623" t="s">
        <v>9417</v>
      </c>
      <c r="E2623" t="s">
        <v>64</v>
      </c>
      <c r="F2623" t="s">
        <v>53</v>
      </c>
      <c r="G2623" t="s">
        <v>177</v>
      </c>
      <c r="H2623" t="s">
        <v>8400</v>
      </c>
      <c r="I2623" t="s">
        <v>9302</v>
      </c>
      <c r="J2623" t="s">
        <v>38</v>
      </c>
      <c r="K2623" t="s">
        <v>38</v>
      </c>
      <c r="L2623" t="s">
        <v>40</v>
      </c>
      <c r="M2623" t="s">
        <v>56</v>
      </c>
      <c r="N2623" t="s">
        <v>56</v>
      </c>
      <c r="O2623" t="s">
        <v>39</v>
      </c>
      <c r="P2623" t="s">
        <v>38</v>
      </c>
      <c r="Q2623" t="s">
        <v>38</v>
      </c>
      <c r="R2623" t="s">
        <v>40</v>
      </c>
      <c r="S2623" t="s">
        <v>41</v>
      </c>
      <c r="T2623" t="s">
        <v>9199</v>
      </c>
      <c r="U2623" t="s">
        <v>9200</v>
      </c>
      <c r="V2623" t="s">
        <v>9093</v>
      </c>
      <c r="W2623" t="s">
        <v>9180</v>
      </c>
      <c r="Z2623" t="s">
        <v>46</v>
      </c>
      <c r="AA2623" t="s">
        <v>9119</v>
      </c>
      <c r="AC2623">
        <f>COUNTIF(C:C,QLKV_gui_ket_qua_ra_soat[[#This Row],[Mã điểm bán]])</f>
        <v>1</v>
      </c>
    </row>
    <row r="2624" spans="1:29" x14ac:dyDescent="0.45">
      <c r="A2624" t="s">
        <v>9088</v>
      </c>
      <c r="B2624">
        <v>660</v>
      </c>
      <c r="C2624" t="s">
        <v>9418</v>
      </c>
      <c r="D2624" t="s">
        <v>9419</v>
      </c>
      <c r="E2624" t="s">
        <v>69</v>
      </c>
      <c r="F2624" t="s">
        <v>53</v>
      </c>
      <c r="G2624" t="s">
        <v>177</v>
      </c>
      <c r="H2624" t="s">
        <v>525</v>
      </c>
      <c r="I2624" t="s">
        <v>9198</v>
      </c>
      <c r="J2624" t="s">
        <v>38</v>
      </c>
      <c r="K2624" t="s">
        <v>38</v>
      </c>
      <c r="L2624" t="s">
        <v>40</v>
      </c>
      <c r="M2624" t="s">
        <v>56</v>
      </c>
      <c r="N2624" t="s">
        <v>56</v>
      </c>
      <c r="O2624" t="s">
        <v>39</v>
      </c>
      <c r="P2624" t="s">
        <v>38</v>
      </c>
      <c r="Q2624" t="s">
        <v>38</v>
      </c>
      <c r="R2624" t="s">
        <v>40</v>
      </c>
      <c r="S2624" t="s">
        <v>9420</v>
      </c>
      <c r="T2624" t="s">
        <v>9199</v>
      </c>
      <c r="U2624" t="s">
        <v>9200</v>
      </c>
      <c r="V2624" t="s">
        <v>9093</v>
      </c>
      <c r="W2624" t="s">
        <v>9180</v>
      </c>
      <c r="Z2624" t="s">
        <v>46</v>
      </c>
      <c r="AA2624" t="s">
        <v>9119</v>
      </c>
      <c r="AC2624">
        <f>COUNTIF(C:C,QLKV_gui_ket_qua_ra_soat[[#This Row],[Mã điểm bán]])</f>
        <v>1</v>
      </c>
    </row>
    <row r="2625" spans="1:29" x14ac:dyDescent="0.45">
      <c r="A2625" t="s">
        <v>9088</v>
      </c>
      <c r="B2625">
        <v>663</v>
      </c>
      <c r="C2625" t="s">
        <v>9421</v>
      </c>
      <c r="D2625" t="s">
        <v>9422</v>
      </c>
      <c r="E2625" t="s">
        <v>9423</v>
      </c>
      <c r="F2625" t="s">
        <v>53</v>
      </c>
      <c r="G2625" t="s">
        <v>34</v>
      </c>
      <c r="H2625" t="s">
        <v>332</v>
      </c>
      <c r="I2625" t="s">
        <v>9424</v>
      </c>
      <c r="J2625" t="s">
        <v>38</v>
      </c>
      <c r="K2625" t="s">
        <v>38</v>
      </c>
      <c r="L2625" t="s">
        <v>40</v>
      </c>
      <c r="M2625" t="s">
        <v>38</v>
      </c>
      <c r="N2625" t="s">
        <v>38</v>
      </c>
      <c r="O2625" t="s">
        <v>40</v>
      </c>
      <c r="P2625" t="s">
        <v>38</v>
      </c>
      <c r="Q2625" t="s">
        <v>38</v>
      </c>
      <c r="R2625" t="s">
        <v>40</v>
      </c>
      <c r="S2625" t="s">
        <v>41</v>
      </c>
      <c r="T2625" t="s">
        <v>9099</v>
      </c>
      <c r="U2625" t="s">
        <v>9100</v>
      </c>
      <c r="V2625" t="s">
        <v>9093</v>
      </c>
      <c r="W2625" t="s">
        <v>9101</v>
      </c>
      <c r="X2625" t="s">
        <v>46</v>
      </c>
      <c r="AC2625">
        <f>COUNTIF(C:C,QLKV_gui_ket_qua_ra_soat[[#This Row],[Mã điểm bán]])</f>
        <v>1</v>
      </c>
    </row>
    <row r="2626" spans="1:29" x14ac:dyDescent="0.45">
      <c r="A2626" t="s">
        <v>9088</v>
      </c>
      <c r="B2626">
        <v>666</v>
      </c>
      <c r="C2626" t="s">
        <v>9425</v>
      </c>
      <c r="D2626" t="s">
        <v>9426</v>
      </c>
      <c r="E2626" t="s">
        <v>857</v>
      </c>
      <c r="F2626" t="s">
        <v>53</v>
      </c>
      <c r="G2626" t="s">
        <v>34</v>
      </c>
      <c r="H2626" t="s">
        <v>319</v>
      </c>
      <c r="I2626" t="s">
        <v>5213</v>
      </c>
      <c r="J2626" t="s">
        <v>38</v>
      </c>
      <c r="K2626" t="s">
        <v>38</v>
      </c>
      <c r="L2626" t="s">
        <v>40</v>
      </c>
      <c r="M2626" t="s">
        <v>38</v>
      </c>
      <c r="N2626" t="s">
        <v>38</v>
      </c>
      <c r="O2626" t="s">
        <v>40</v>
      </c>
      <c r="P2626" t="s">
        <v>38</v>
      </c>
      <c r="Q2626" t="s">
        <v>38</v>
      </c>
      <c r="R2626" t="s">
        <v>40</v>
      </c>
      <c r="S2626" t="s">
        <v>41</v>
      </c>
      <c r="T2626" t="s">
        <v>9427</v>
      </c>
      <c r="U2626" t="s">
        <v>9148</v>
      </c>
      <c r="V2626" t="s">
        <v>9093</v>
      </c>
      <c r="W2626" t="s">
        <v>9094</v>
      </c>
      <c r="Z2626" t="s">
        <v>46</v>
      </c>
      <c r="AA2626" t="s">
        <v>9235</v>
      </c>
      <c r="AC2626">
        <f>COUNTIF(C:C,QLKV_gui_ket_qua_ra_soat[[#This Row],[Mã điểm bán]])</f>
        <v>1</v>
      </c>
    </row>
    <row r="2627" spans="1:29" x14ac:dyDescent="0.45">
      <c r="A2627" t="s">
        <v>9088</v>
      </c>
      <c r="B2627">
        <v>668</v>
      </c>
      <c r="C2627" t="s">
        <v>9428</v>
      </c>
      <c r="D2627" t="s">
        <v>9429</v>
      </c>
      <c r="E2627" t="s">
        <v>9430</v>
      </c>
      <c r="F2627" t="s">
        <v>53</v>
      </c>
      <c r="G2627" t="s">
        <v>177</v>
      </c>
      <c r="H2627" t="s">
        <v>171</v>
      </c>
      <c r="I2627" t="s">
        <v>9431</v>
      </c>
      <c r="J2627" t="s">
        <v>37</v>
      </c>
      <c r="K2627" t="s">
        <v>37</v>
      </c>
      <c r="L2627" t="s">
        <v>39</v>
      </c>
      <c r="M2627" t="s">
        <v>37</v>
      </c>
      <c r="N2627" t="s">
        <v>37</v>
      </c>
      <c r="O2627" t="s">
        <v>39</v>
      </c>
      <c r="P2627" t="s">
        <v>38</v>
      </c>
      <c r="Q2627" t="s">
        <v>38</v>
      </c>
      <c r="R2627" t="s">
        <v>39</v>
      </c>
      <c r="S2627" t="s">
        <v>41</v>
      </c>
      <c r="T2627" t="s">
        <v>9240</v>
      </c>
      <c r="U2627" t="s">
        <v>9205</v>
      </c>
      <c r="V2627" t="s">
        <v>9093</v>
      </c>
      <c r="W2627" t="s">
        <v>9227</v>
      </c>
      <c r="X2627" t="s">
        <v>46</v>
      </c>
      <c r="AC2627">
        <f>COUNTIF(C:C,QLKV_gui_ket_qua_ra_soat[[#This Row],[Mã điểm bán]])</f>
        <v>1</v>
      </c>
    </row>
    <row r="2628" spans="1:29" x14ac:dyDescent="0.45">
      <c r="A2628" t="s">
        <v>9088</v>
      </c>
      <c r="B2628">
        <v>670</v>
      </c>
      <c r="C2628" t="s">
        <v>9432</v>
      </c>
      <c r="D2628" t="s">
        <v>9433</v>
      </c>
      <c r="E2628" t="s">
        <v>176</v>
      </c>
      <c r="F2628" t="s">
        <v>53</v>
      </c>
      <c r="G2628" t="s">
        <v>34</v>
      </c>
      <c r="H2628" t="s">
        <v>4335</v>
      </c>
      <c r="I2628" t="s">
        <v>9434</v>
      </c>
      <c r="J2628" t="s">
        <v>38</v>
      </c>
      <c r="K2628" t="s">
        <v>38</v>
      </c>
      <c r="L2628" t="s">
        <v>40</v>
      </c>
      <c r="M2628" t="s">
        <v>37</v>
      </c>
      <c r="N2628" t="s">
        <v>37</v>
      </c>
      <c r="O2628" t="s">
        <v>39</v>
      </c>
      <c r="P2628" t="s">
        <v>38</v>
      </c>
      <c r="Q2628" t="s">
        <v>38</v>
      </c>
      <c r="R2628" t="s">
        <v>40</v>
      </c>
      <c r="S2628" t="s">
        <v>41</v>
      </c>
      <c r="T2628" t="s">
        <v>9199</v>
      </c>
      <c r="U2628" t="s">
        <v>9200</v>
      </c>
      <c r="V2628" t="s">
        <v>9093</v>
      </c>
      <c r="W2628" t="s">
        <v>9180</v>
      </c>
      <c r="Z2628" t="s">
        <v>46</v>
      </c>
      <c r="AA2628" t="s">
        <v>9119</v>
      </c>
      <c r="AC2628">
        <f>COUNTIF(C:C,QLKV_gui_ket_qua_ra_soat[[#This Row],[Mã điểm bán]])</f>
        <v>1</v>
      </c>
    </row>
    <row r="2629" spans="1:29" x14ac:dyDescent="0.45">
      <c r="A2629" t="s">
        <v>9088</v>
      </c>
      <c r="B2629">
        <v>674</v>
      </c>
      <c r="C2629" t="s">
        <v>9435</v>
      </c>
      <c r="D2629" t="s">
        <v>9436</v>
      </c>
      <c r="E2629" t="s">
        <v>9437</v>
      </c>
      <c r="F2629" t="s">
        <v>166</v>
      </c>
      <c r="G2629" t="s">
        <v>177</v>
      </c>
      <c r="H2629" t="s">
        <v>171</v>
      </c>
      <c r="I2629" t="s">
        <v>9438</v>
      </c>
      <c r="J2629" t="s">
        <v>37</v>
      </c>
      <c r="K2629" t="s">
        <v>37</v>
      </c>
      <c r="L2629" t="s">
        <v>39</v>
      </c>
      <c r="M2629" t="s">
        <v>37</v>
      </c>
      <c r="N2629" t="s">
        <v>37</v>
      </c>
      <c r="O2629" t="s">
        <v>39</v>
      </c>
      <c r="P2629" t="s">
        <v>38</v>
      </c>
      <c r="Q2629" t="s">
        <v>38</v>
      </c>
      <c r="R2629" t="s">
        <v>39</v>
      </c>
      <c r="S2629" t="s">
        <v>41</v>
      </c>
      <c r="T2629" t="s">
        <v>9240</v>
      </c>
      <c r="U2629" t="s">
        <v>9226</v>
      </c>
      <c r="V2629" t="s">
        <v>9093</v>
      </c>
      <c r="W2629" t="s">
        <v>9227</v>
      </c>
      <c r="X2629" t="s">
        <v>46</v>
      </c>
      <c r="AC2629">
        <f>COUNTIF(C:C,QLKV_gui_ket_qua_ra_soat[[#This Row],[Mã điểm bán]])</f>
        <v>1</v>
      </c>
    </row>
    <row r="2630" spans="1:29" x14ac:dyDescent="0.45">
      <c r="A2630" t="s">
        <v>9088</v>
      </c>
      <c r="B2630">
        <v>675</v>
      </c>
      <c r="C2630" t="s">
        <v>9439</v>
      </c>
      <c r="D2630" t="s">
        <v>9440</v>
      </c>
      <c r="E2630" t="s">
        <v>64</v>
      </c>
      <c r="F2630" t="s">
        <v>53</v>
      </c>
      <c r="G2630" t="s">
        <v>177</v>
      </c>
      <c r="H2630" t="s">
        <v>54</v>
      </c>
      <c r="I2630" t="s">
        <v>1838</v>
      </c>
      <c r="J2630" t="s">
        <v>38</v>
      </c>
      <c r="K2630" t="s">
        <v>38</v>
      </c>
      <c r="L2630" t="s">
        <v>39</v>
      </c>
      <c r="M2630" t="s">
        <v>37</v>
      </c>
      <c r="N2630" t="s">
        <v>37</v>
      </c>
      <c r="O2630" t="s">
        <v>39</v>
      </c>
      <c r="P2630" t="s">
        <v>38</v>
      </c>
      <c r="Q2630" t="s">
        <v>38</v>
      </c>
      <c r="R2630" t="s">
        <v>39</v>
      </c>
      <c r="S2630" t="s">
        <v>41</v>
      </c>
      <c r="T2630" t="s">
        <v>9178</v>
      </c>
      <c r="U2630" t="s">
        <v>9179</v>
      </c>
      <c r="V2630" t="s">
        <v>9093</v>
      </c>
      <c r="W2630" t="s">
        <v>9180</v>
      </c>
      <c r="X2630" t="s">
        <v>46</v>
      </c>
      <c r="AC2630">
        <f>COUNTIF(C:C,QLKV_gui_ket_qua_ra_soat[[#This Row],[Mã điểm bán]])</f>
        <v>1</v>
      </c>
    </row>
    <row r="2631" spans="1:29" x14ac:dyDescent="0.45">
      <c r="A2631" t="s">
        <v>9088</v>
      </c>
      <c r="B2631">
        <v>676</v>
      </c>
      <c r="C2631" t="s">
        <v>9441</v>
      </c>
      <c r="D2631" t="s">
        <v>9442</v>
      </c>
      <c r="E2631" t="s">
        <v>2606</v>
      </c>
      <c r="F2631" t="s">
        <v>9443</v>
      </c>
      <c r="G2631" t="s">
        <v>177</v>
      </c>
      <c r="H2631" t="s">
        <v>2426</v>
      </c>
      <c r="I2631" t="s">
        <v>9444</v>
      </c>
      <c r="J2631" t="s">
        <v>38</v>
      </c>
      <c r="K2631" t="s">
        <v>38</v>
      </c>
      <c r="L2631" t="s">
        <v>39</v>
      </c>
      <c r="M2631" t="s">
        <v>37</v>
      </c>
      <c r="N2631" t="s">
        <v>37</v>
      </c>
      <c r="O2631" t="s">
        <v>39</v>
      </c>
      <c r="P2631" t="s">
        <v>38</v>
      </c>
      <c r="Q2631" t="s">
        <v>38</v>
      </c>
      <c r="R2631" t="s">
        <v>39</v>
      </c>
      <c r="S2631" t="s">
        <v>41</v>
      </c>
      <c r="T2631" t="s">
        <v>9312</v>
      </c>
      <c r="U2631" t="s">
        <v>9313</v>
      </c>
      <c r="V2631" t="s">
        <v>9093</v>
      </c>
      <c r="W2631" t="s">
        <v>9131</v>
      </c>
      <c r="Z2631" t="s">
        <v>46</v>
      </c>
      <c r="AA2631" t="s">
        <v>9160</v>
      </c>
      <c r="AC2631">
        <f>COUNTIF(C:C,QLKV_gui_ket_qua_ra_soat[[#This Row],[Mã điểm bán]])</f>
        <v>1</v>
      </c>
    </row>
    <row r="2632" spans="1:29" x14ac:dyDescent="0.45">
      <c r="A2632" t="s">
        <v>9088</v>
      </c>
      <c r="B2632">
        <v>685</v>
      </c>
      <c r="C2632" t="s">
        <v>9445</v>
      </c>
      <c r="D2632" t="s">
        <v>9446</v>
      </c>
      <c r="E2632" t="s">
        <v>297</v>
      </c>
      <c r="F2632" t="s">
        <v>1754</v>
      </c>
      <c r="G2632" t="s">
        <v>34</v>
      </c>
      <c r="H2632" t="s">
        <v>54</v>
      </c>
      <c r="I2632" t="s">
        <v>9447</v>
      </c>
      <c r="J2632" t="s">
        <v>37</v>
      </c>
      <c r="K2632" t="s">
        <v>37</v>
      </c>
      <c r="L2632" t="s">
        <v>39</v>
      </c>
      <c r="M2632" t="s">
        <v>37</v>
      </c>
      <c r="N2632" t="s">
        <v>37</v>
      </c>
      <c r="O2632" t="s">
        <v>39</v>
      </c>
      <c r="P2632" t="s">
        <v>38</v>
      </c>
      <c r="Q2632" t="s">
        <v>38</v>
      </c>
      <c r="R2632" t="s">
        <v>40</v>
      </c>
      <c r="S2632" t="s">
        <v>41</v>
      </c>
      <c r="T2632" t="s">
        <v>9147</v>
      </c>
      <c r="U2632" t="s">
        <v>9148</v>
      </c>
      <c r="V2632" t="s">
        <v>9093</v>
      </c>
      <c r="W2632" t="s">
        <v>9094</v>
      </c>
      <c r="X2632" t="s">
        <v>46</v>
      </c>
      <c r="AC2632">
        <f>COUNTIF(C:C,QLKV_gui_ket_qua_ra_soat[[#This Row],[Mã điểm bán]])</f>
        <v>1</v>
      </c>
    </row>
    <row r="2633" spans="1:29" x14ac:dyDescent="0.45">
      <c r="A2633" t="s">
        <v>9088</v>
      </c>
      <c r="B2633">
        <v>693</v>
      </c>
      <c r="C2633" t="s">
        <v>9448</v>
      </c>
      <c r="D2633" t="s">
        <v>9449</v>
      </c>
      <c r="E2633" t="s">
        <v>9450</v>
      </c>
      <c r="F2633" t="s">
        <v>53</v>
      </c>
      <c r="G2633" t="s">
        <v>34</v>
      </c>
      <c r="H2633" t="s">
        <v>54</v>
      </c>
      <c r="I2633" t="s">
        <v>9451</v>
      </c>
      <c r="J2633" t="s">
        <v>38</v>
      </c>
      <c r="K2633" t="s">
        <v>38</v>
      </c>
      <c r="L2633" t="s">
        <v>40</v>
      </c>
      <c r="M2633" t="s">
        <v>38</v>
      </c>
      <c r="N2633" t="s">
        <v>38</v>
      </c>
      <c r="O2633" t="s">
        <v>40</v>
      </c>
      <c r="P2633" t="s">
        <v>38</v>
      </c>
      <c r="Q2633" t="s">
        <v>38</v>
      </c>
      <c r="R2633" t="s">
        <v>40</v>
      </c>
      <c r="S2633" t="s">
        <v>41</v>
      </c>
      <c r="T2633" t="s">
        <v>9099</v>
      </c>
      <c r="U2633" t="s">
        <v>9100</v>
      </c>
      <c r="V2633" t="s">
        <v>9093</v>
      </c>
      <c r="W2633" t="s">
        <v>9101</v>
      </c>
      <c r="X2633" t="s">
        <v>46</v>
      </c>
      <c r="AC2633">
        <f>COUNTIF(C:C,QLKV_gui_ket_qua_ra_soat[[#This Row],[Mã điểm bán]])</f>
        <v>1</v>
      </c>
    </row>
    <row r="2634" spans="1:29" x14ac:dyDescent="0.45">
      <c r="A2634" t="s">
        <v>9088</v>
      </c>
      <c r="B2634">
        <v>698</v>
      </c>
      <c r="C2634" t="s">
        <v>9452</v>
      </c>
      <c r="D2634" t="s">
        <v>9453</v>
      </c>
      <c r="E2634" t="s">
        <v>9454</v>
      </c>
      <c r="F2634" t="s">
        <v>166</v>
      </c>
      <c r="G2634" t="s">
        <v>177</v>
      </c>
      <c r="H2634" t="s">
        <v>708</v>
      </c>
      <c r="I2634" t="s">
        <v>9455</v>
      </c>
      <c r="J2634" t="s">
        <v>37</v>
      </c>
      <c r="K2634" t="s">
        <v>37</v>
      </c>
      <c r="L2634" t="s">
        <v>39</v>
      </c>
      <c r="M2634" t="s">
        <v>37</v>
      </c>
      <c r="N2634" t="s">
        <v>37</v>
      </c>
      <c r="O2634" t="s">
        <v>39</v>
      </c>
      <c r="P2634" t="s">
        <v>38</v>
      </c>
      <c r="Q2634" t="s">
        <v>38</v>
      </c>
      <c r="R2634" t="s">
        <v>39</v>
      </c>
      <c r="S2634" t="s">
        <v>41</v>
      </c>
      <c r="T2634" t="s">
        <v>9240</v>
      </c>
      <c r="U2634" t="s">
        <v>9226</v>
      </c>
      <c r="V2634" t="s">
        <v>9093</v>
      </c>
      <c r="W2634" t="s">
        <v>9227</v>
      </c>
      <c r="Z2634" t="s">
        <v>46</v>
      </c>
      <c r="AA2634" t="s">
        <v>9235</v>
      </c>
      <c r="AC2634">
        <f>COUNTIF(C:C,QLKV_gui_ket_qua_ra_soat[[#This Row],[Mã điểm bán]])</f>
        <v>1</v>
      </c>
    </row>
    <row r="2635" spans="1:29" x14ac:dyDescent="0.45">
      <c r="A2635" t="s">
        <v>9088</v>
      </c>
      <c r="B2635">
        <v>700</v>
      </c>
      <c r="C2635" t="s">
        <v>9456</v>
      </c>
      <c r="D2635" t="s">
        <v>9457</v>
      </c>
      <c r="E2635" t="s">
        <v>9458</v>
      </c>
      <c r="F2635" t="s">
        <v>325</v>
      </c>
      <c r="G2635" t="s">
        <v>1458</v>
      </c>
      <c r="H2635" t="s">
        <v>214</v>
      </c>
      <c r="I2635" t="s">
        <v>9459</v>
      </c>
      <c r="J2635" t="s">
        <v>38</v>
      </c>
      <c r="K2635" t="s">
        <v>38</v>
      </c>
      <c r="L2635" t="s">
        <v>39</v>
      </c>
      <c r="M2635" t="s">
        <v>37</v>
      </c>
      <c r="N2635" t="s">
        <v>37</v>
      </c>
      <c r="O2635" t="s">
        <v>39</v>
      </c>
      <c r="P2635" t="s">
        <v>38</v>
      </c>
      <c r="Q2635" t="s">
        <v>38</v>
      </c>
      <c r="R2635" t="s">
        <v>39</v>
      </c>
      <c r="S2635" t="s">
        <v>41</v>
      </c>
      <c r="T2635" t="s">
        <v>9225</v>
      </c>
      <c r="U2635" t="s">
        <v>9226</v>
      </c>
      <c r="V2635" t="s">
        <v>9093</v>
      </c>
      <c r="W2635" t="s">
        <v>9227</v>
      </c>
      <c r="X2635" t="s">
        <v>46</v>
      </c>
      <c r="AC2635">
        <f>COUNTIF(C:C,QLKV_gui_ket_qua_ra_soat[[#This Row],[Mã điểm bán]])</f>
        <v>1</v>
      </c>
    </row>
    <row r="2636" spans="1:29" x14ac:dyDescent="0.45">
      <c r="A2636" t="s">
        <v>9088</v>
      </c>
      <c r="B2636">
        <v>710</v>
      </c>
      <c r="C2636" t="s">
        <v>9460</v>
      </c>
      <c r="D2636" t="s">
        <v>9461</v>
      </c>
      <c r="E2636" t="s">
        <v>9462</v>
      </c>
      <c r="F2636" t="s">
        <v>115</v>
      </c>
      <c r="G2636" t="s">
        <v>177</v>
      </c>
      <c r="H2636" t="s">
        <v>917</v>
      </c>
      <c r="I2636" t="s">
        <v>9366</v>
      </c>
      <c r="J2636" t="s">
        <v>37</v>
      </c>
      <c r="K2636" t="s">
        <v>37</v>
      </c>
      <c r="L2636" t="s">
        <v>39</v>
      </c>
      <c r="M2636" t="s">
        <v>37</v>
      </c>
      <c r="N2636" t="s">
        <v>37</v>
      </c>
      <c r="O2636" t="s">
        <v>39</v>
      </c>
      <c r="P2636" t="s">
        <v>38</v>
      </c>
      <c r="Q2636" t="s">
        <v>38</v>
      </c>
      <c r="R2636" t="s">
        <v>39</v>
      </c>
      <c r="S2636" t="s">
        <v>41</v>
      </c>
      <c r="T2636" t="s">
        <v>9240</v>
      </c>
      <c r="U2636" t="s">
        <v>9226</v>
      </c>
      <c r="V2636" t="s">
        <v>9093</v>
      </c>
      <c r="W2636" t="s">
        <v>9227</v>
      </c>
      <c r="Z2636" t="s">
        <v>46</v>
      </c>
      <c r="AA2636" t="s">
        <v>9095</v>
      </c>
      <c r="AC2636">
        <f>COUNTIF(C:C,QLKV_gui_ket_qua_ra_soat[[#This Row],[Mã điểm bán]])</f>
        <v>1</v>
      </c>
    </row>
    <row r="2637" spans="1:29" x14ac:dyDescent="0.45">
      <c r="A2637" t="s">
        <v>9088</v>
      </c>
      <c r="B2637">
        <v>711</v>
      </c>
      <c r="C2637" t="s">
        <v>9463</v>
      </c>
      <c r="D2637" t="s">
        <v>9464</v>
      </c>
      <c r="E2637" t="s">
        <v>6480</v>
      </c>
      <c r="F2637" t="s">
        <v>53</v>
      </c>
      <c r="G2637" t="s">
        <v>34</v>
      </c>
      <c r="H2637" t="s">
        <v>54</v>
      </c>
      <c r="I2637" t="s">
        <v>9465</v>
      </c>
      <c r="J2637" t="s">
        <v>38</v>
      </c>
      <c r="K2637" t="s">
        <v>38</v>
      </c>
      <c r="L2637" t="s">
        <v>40</v>
      </c>
      <c r="M2637" t="s">
        <v>38</v>
      </c>
      <c r="N2637" t="s">
        <v>38</v>
      </c>
      <c r="O2637" t="s">
        <v>40</v>
      </c>
      <c r="P2637" t="s">
        <v>38</v>
      </c>
      <c r="Q2637" t="s">
        <v>38</v>
      </c>
      <c r="R2637" t="s">
        <v>40</v>
      </c>
      <c r="S2637" t="s">
        <v>41</v>
      </c>
      <c r="T2637" t="s">
        <v>9427</v>
      </c>
      <c r="U2637" t="s">
        <v>9148</v>
      </c>
      <c r="V2637" t="s">
        <v>9093</v>
      </c>
      <c r="W2637" t="s">
        <v>9094</v>
      </c>
      <c r="Z2637" t="s">
        <v>46</v>
      </c>
      <c r="AA2637" t="s">
        <v>9235</v>
      </c>
      <c r="AC2637">
        <f>COUNTIF(C:C,QLKV_gui_ket_qua_ra_soat[[#This Row],[Mã điểm bán]])</f>
        <v>1</v>
      </c>
    </row>
    <row r="2638" spans="1:29" x14ac:dyDescent="0.45">
      <c r="A2638" t="s">
        <v>9088</v>
      </c>
      <c r="B2638">
        <v>714</v>
      </c>
      <c r="C2638" t="s">
        <v>9466</v>
      </c>
      <c r="D2638" t="s">
        <v>9467</v>
      </c>
      <c r="E2638" t="s">
        <v>32</v>
      </c>
      <c r="F2638" t="s">
        <v>53</v>
      </c>
      <c r="G2638" t="s">
        <v>34</v>
      </c>
      <c r="H2638" t="s">
        <v>54</v>
      </c>
      <c r="I2638" t="s">
        <v>9468</v>
      </c>
      <c r="J2638" t="s">
        <v>38</v>
      </c>
      <c r="K2638" t="s">
        <v>38</v>
      </c>
      <c r="L2638" t="s">
        <v>40</v>
      </c>
      <c r="M2638" t="s">
        <v>38</v>
      </c>
      <c r="N2638" t="s">
        <v>38</v>
      </c>
      <c r="O2638" t="s">
        <v>40</v>
      </c>
      <c r="P2638" t="s">
        <v>38</v>
      </c>
      <c r="Q2638" t="s">
        <v>38</v>
      </c>
      <c r="R2638" t="s">
        <v>40</v>
      </c>
      <c r="S2638" t="s">
        <v>41</v>
      </c>
      <c r="T2638" t="s">
        <v>9427</v>
      </c>
      <c r="U2638" t="s">
        <v>9469</v>
      </c>
      <c r="V2638" t="s">
        <v>9093</v>
      </c>
      <c r="W2638" t="s">
        <v>9094</v>
      </c>
      <c r="Z2638" t="s">
        <v>46</v>
      </c>
      <c r="AA2638" t="s">
        <v>9095</v>
      </c>
      <c r="AC2638">
        <f>COUNTIF(C:C,QLKV_gui_ket_qua_ra_soat[[#This Row],[Mã điểm bán]])</f>
        <v>1</v>
      </c>
    </row>
    <row r="2639" spans="1:29" x14ac:dyDescent="0.45">
      <c r="A2639" t="s">
        <v>9088</v>
      </c>
      <c r="B2639">
        <v>725</v>
      </c>
      <c r="C2639" t="s">
        <v>9470</v>
      </c>
      <c r="D2639" t="s">
        <v>9471</v>
      </c>
      <c r="E2639" t="s">
        <v>219</v>
      </c>
      <c r="F2639" t="s">
        <v>53</v>
      </c>
      <c r="G2639" t="s">
        <v>1458</v>
      </c>
      <c r="H2639" t="s">
        <v>54</v>
      </c>
      <c r="I2639" t="s">
        <v>9472</v>
      </c>
      <c r="J2639" t="s">
        <v>38</v>
      </c>
      <c r="K2639" t="s">
        <v>38</v>
      </c>
      <c r="L2639" t="s">
        <v>40</v>
      </c>
      <c r="M2639" t="s">
        <v>38</v>
      </c>
      <c r="N2639" t="s">
        <v>38</v>
      </c>
      <c r="O2639" t="s">
        <v>40</v>
      </c>
      <c r="P2639" t="s">
        <v>38</v>
      </c>
      <c r="Q2639" t="s">
        <v>38</v>
      </c>
      <c r="R2639" t="s">
        <v>40</v>
      </c>
      <c r="S2639" t="s">
        <v>41</v>
      </c>
      <c r="T2639" t="s">
        <v>9427</v>
      </c>
      <c r="U2639" t="s">
        <v>9469</v>
      </c>
      <c r="V2639" t="s">
        <v>9093</v>
      </c>
      <c r="W2639" t="s">
        <v>9094</v>
      </c>
      <c r="Z2639" t="s">
        <v>46</v>
      </c>
      <c r="AA2639" t="s">
        <v>9235</v>
      </c>
      <c r="AC2639">
        <f>COUNTIF(C:C,QLKV_gui_ket_qua_ra_soat[[#This Row],[Mã điểm bán]])</f>
        <v>1</v>
      </c>
    </row>
    <row r="2640" spans="1:29" x14ac:dyDescent="0.45">
      <c r="A2640" t="s">
        <v>9088</v>
      </c>
      <c r="B2640">
        <v>726</v>
      </c>
      <c r="C2640" t="s">
        <v>9473</v>
      </c>
      <c r="D2640" t="s">
        <v>9474</v>
      </c>
      <c r="E2640" t="s">
        <v>9475</v>
      </c>
      <c r="F2640" t="s">
        <v>1914</v>
      </c>
      <c r="G2640" t="s">
        <v>177</v>
      </c>
      <c r="H2640" t="s">
        <v>1184</v>
      </c>
      <c r="I2640" t="s">
        <v>9476</v>
      </c>
      <c r="J2640" t="s">
        <v>37</v>
      </c>
      <c r="K2640" t="s">
        <v>37</v>
      </c>
      <c r="L2640" t="s">
        <v>39</v>
      </c>
      <c r="M2640" t="s">
        <v>37</v>
      </c>
      <c r="N2640" t="s">
        <v>37</v>
      </c>
      <c r="O2640" t="s">
        <v>39</v>
      </c>
      <c r="P2640" t="s">
        <v>38</v>
      </c>
      <c r="Q2640" t="s">
        <v>38</v>
      </c>
      <c r="R2640" t="s">
        <v>39</v>
      </c>
      <c r="S2640" t="s">
        <v>41</v>
      </c>
      <c r="T2640" t="s">
        <v>9240</v>
      </c>
      <c r="U2640" t="s">
        <v>9205</v>
      </c>
      <c r="V2640" t="s">
        <v>9093</v>
      </c>
      <c r="W2640" t="s">
        <v>9227</v>
      </c>
      <c r="Z2640" t="s">
        <v>46</v>
      </c>
      <c r="AA2640" t="s">
        <v>9095</v>
      </c>
      <c r="AC2640">
        <f>COUNTIF(C:C,QLKV_gui_ket_qua_ra_soat[[#This Row],[Mã điểm bán]])</f>
        <v>1</v>
      </c>
    </row>
    <row r="2641" spans="1:29" x14ac:dyDescent="0.45">
      <c r="A2641" t="s">
        <v>9088</v>
      </c>
      <c r="B2641">
        <v>731</v>
      </c>
      <c r="C2641" t="s">
        <v>9477</v>
      </c>
      <c r="D2641" t="s">
        <v>9478</v>
      </c>
      <c r="E2641" t="s">
        <v>9479</v>
      </c>
      <c r="F2641" t="s">
        <v>325</v>
      </c>
      <c r="G2641" t="s">
        <v>34</v>
      </c>
      <c r="H2641" t="s">
        <v>54</v>
      </c>
      <c r="I2641" t="s">
        <v>9224</v>
      </c>
      <c r="J2641" t="s">
        <v>38</v>
      </c>
      <c r="K2641" t="s">
        <v>38</v>
      </c>
      <c r="L2641" t="s">
        <v>39</v>
      </c>
      <c r="M2641" t="s">
        <v>37</v>
      </c>
      <c r="N2641" t="s">
        <v>37</v>
      </c>
      <c r="O2641" t="s">
        <v>39</v>
      </c>
      <c r="P2641" t="s">
        <v>38</v>
      </c>
      <c r="Q2641" t="s">
        <v>38</v>
      </c>
      <c r="R2641" t="s">
        <v>39</v>
      </c>
      <c r="S2641" t="s">
        <v>41</v>
      </c>
      <c r="T2641" t="s">
        <v>9225</v>
      </c>
      <c r="U2641" t="s">
        <v>9226</v>
      </c>
      <c r="V2641" t="s">
        <v>9093</v>
      </c>
      <c r="W2641" t="s">
        <v>9227</v>
      </c>
      <c r="Z2641" t="s">
        <v>46</v>
      </c>
      <c r="AA2641" t="s">
        <v>9235</v>
      </c>
      <c r="AC2641">
        <f>COUNTIF(C:C,QLKV_gui_ket_qua_ra_soat[[#This Row],[Mã điểm bán]])</f>
        <v>1</v>
      </c>
    </row>
    <row r="2642" spans="1:29" x14ac:dyDescent="0.45">
      <c r="A2642" t="s">
        <v>9088</v>
      </c>
      <c r="B2642">
        <v>732</v>
      </c>
      <c r="C2642" t="s">
        <v>9480</v>
      </c>
      <c r="D2642" t="s">
        <v>9481</v>
      </c>
      <c r="E2642" t="s">
        <v>1848</v>
      </c>
      <c r="F2642" t="s">
        <v>426</v>
      </c>
      <c r="G2642" t="s">
        <v>34</v>
      </c>
      <c r="H2642" t="s">
        <v>54</v>
      </c>
      <c r="I2642" t="s">
        <v>4227</v>
      </c>
      <c r="J2642" t="s">
        <v>38</v>
      </c>
      <c r="K2642" t="s">
        <v>38</v>
      </c>
      <c r="L2642" t="s">
        <v>39</v>
      </c>
      <c r="M2642" t="s">
        <v>37</v>
      </c>
      <c r="N2642" t="s">
        <v>37</v>
      </c>
      <c r="O2642" t="s">
        <v>39</v>
      </c>
      <c r="P2642" t="s">
        <v>38</v>
      </c>
      <c r="Q2642" t="s">
        <v>38</v>
      </c>
      <c r="R2642" t="s">
        <v>39</v>
      </c>
      <c r="S2642" t="s">
        <v>41</v>
      </c>
      <c r="T2642" t="s">
        <v>9312</v>
      </c>
      <c r="U2642" t="s">
        <v>9313</v>
      </c>
      <c r="V2642" t="s">
        <v>9093</v>
      </c>
      <c r="W2642" t="s">
        <v>9131</v>
      </c>
      <c r="Z2642" t="s">
        <v>46</v>
      </c>
      <c r="AA2642" t="s">
        <v>9160</v>
      </c>
      <c r="AC2642">
        <f>COUNTIF(C:C,QLKV_gui_ket_qua_ra_soat[[#This Row],[Mã điểm bán]])</f>
        <v>1</v>
      </c>
    </row>
    <row r="2643" spans="1:29" x14ac:dyDescent="0.45">
      <c r="A2643" t="s">
        <v>9088</v>
      </c>
      <c r="B2643">
        <v>743</v>
      </c>
      <c r="C2643" t="s">
        <v>9482</v>
      </c>
      <c r="D2643" t="s">
        <v>9483</v>
      </c>
      <c r="E2643" t="s">
        <v>148</v>
      </c>
      <c r="F2643" t="s">
        <v>535</v>
      </c>
      <c r="G2643" t="s">
        <v>177</v>
      </c>
      <c r="H2643" t="s">
        <v>54</v>
      </c>
      <c r="I2643" t="s">
        <v>9484</v>
      </c>
      <c r="J2643" t="s">
        <v>38</v>
      </c>
      <c r="K2643" t="s">
        <v>38</v>
      </c>
      <c r="L2643" t="s">
        <v>40</v>
      </c>
      <c r="M2643" t="s">
        <v>38</v>
      </c>
      <c r="N2643" t="s">
        <v>38</v>
      </c>
      <c r="O2643" t="s">
        <v>40</v>
      </c>
      <c r="P2643" t="s">
        <v>38</v>
      </c>
      <c r="Q2643" t="s">
        <v>38</v>
      </c>
      <c r="R2643" t="s">
        <v>40</v>
      </c>
      <c r="S2643" t="s">
        <v>41</v>
      </c>
      <c r="T2643" t="s">
        <v>9129</v>
      </c>
      <c r="U2643" t="s">
        <v>9130</v>
      </c>
      <c r="V2643" t="s">
        <v>9093</v>
      </c>
      <c r="W2643" t="s">
        <v>9131</v>
      </c>
      <c r="X2643" t="s">
        <v>46</v>
      </c>
      <c r="AC2643">
        <f>COUNTIF(C:C,QLKV_gui_ket_qua_ra_soat[[#This Row],[Mã điểm bán]])</f>
        <v>1</v>
      </c>
    </row>
    <row r="2644" spans="1:29" x14ac:dyDescent="0.45">
      <c r="A2644" t="s">
        <v>9088</v>
      </c>
      <c r="B2644">
        <v>744</v>
      </c>
      <c r="C2644" t="s">
        <v>9485</v>
      </c>
      <c r="D2644" t="s">
        <v>9486</v>
      </c>
      <c r="E2644" t="s">
        <v>157</v>
      </c>
      <c r="F2644" t="s">
        <v>224</v>
      </c>
      <c r="G2644" t="s">
        <v>34</v>
      </c>
      <c r="H2644" t="s">
        <v>319</v>
      </c>
      <c r="I2644" t="s">
        <v>9487</v>
      </c>
      <c r="J2644" t="s">
        <v>38</v>
      </c>
      <c r="K2644" t="s">
        <v>38</v>
      </c>
      <c r="L2644" t="s">
        <v>40</v>
      </c>
      <c r="M2644" t="s">
        <v>38</v>
      </c>
      <c r="N2644" t="s">
        <v>38</v>
      </c>
      <c r="O2644" t="s">
        <v>40</v>
      </c>
      <c r="P2644" t="s">
        <v>37</v>
      </c>
      <c r="Q2644" t="s">
        <v>38</v>
      </c>
      <c r="R2644" t="s">
        <v>40</v>
      </c>
      <c r="S2644" t="s">
        <v>41</v>
      </c>
      <c r="T2644" t="s">
        <v>9427</v>
      </c>
      <c r="U2644" t="s">
        <v>9148</v>
      </c>
      <c r="V2644" t="s">
        <v>9093</v>
      </c>
      <c r="W2644" t="s">
        <v>9094</v>
      </c>
      <c r="Z2644" t="s">
        <v>46</v>
      </c>
      <c r="AA2644" t="s">
        <v>9095</v>
      </c>
      <c r="AC2644">
        <f>COUNTIF(C:C,QLKV_gui_ket_qua_ra_soat[[#This Row],[Mã điểm bán]])</f>
        <v>1</v>
      </c>
    </row>
    <row r="2645" spans="1:29" x14ac:dyDescent="0.45">
      <c r="A2645" t="s">
        <v>9088</v>
      </c>
      <c r="B2645">
        <v>760</v>
      </c>
      <c r="C2645" t="s">
        <v>9488</v>
      </c>
      <c r="D2645" t="s">
        <v>9489</v>
      </c>
      <c r="E2645" t="s">
        <v>1267</v>
      </c>
      <c r="F2645" t="s">
        <v>2365</v>
      </c>
      <c r="G2645" t="s">
        <v>177</v>
      </c>
      <c r="H2645" t="s">
        <v>4797</v>
      </c>
      <c r="I2645" t="s">
        <v>9490</v>
      </c>
      <c r="J2645" t="s">
        <v>38</v>
      </c>
      <c r="K2645" t="s">
        <v>38</v>
      </c>
      <c r="L2645" t="s">
        <v>39</v>
      </c>
      <c r="M2645" t="s">
        <v>37</v>
      </c>
      <c r="N2645" t="s">
        <v>37</v>
      </c>
      <c r="O2645" t="s">
        <v>39</v>
      </c>
      <c r="P2645" t="s">
        <v>38</v>
      </c>
      <c r="Q2645" t="s">
        <v>38</v>
      </c>
      <c r="R2645" t="s">
        <v>39</v>
      </c>
      <c r="S2645" t="s">
        <v>41</v>
      </c>
      <c r="T2645" t="s">
        <v>9178</v>
      </c>
      <c r="U2645" t="s">
        <v>9179</v>
      </c>
      <c r="V2645" t="s">
        <v>9093</v>
      </c>
      <c r="W2645" t="s">
        <v>9180</v>
      </c>
      <c r="X2645" t="s">
        <v>46</v>
      </c>
      <c r="AC2645">
        <f>COUNTIF(C:C,QLKV_gui_ket_qua_ra_soat[[#This Row],[Mã điểm bán]])</f>
        <v>1</v>
      </c>
    </row>
    <row r="2646" spans="1:29" x14ac:dyDescent="0.45">
      <c r="A2646" t="s">
        <v>9088</v>
      </c>
      <c r="B2646">
        <v>776</v>
      </c>
      <c r="C2646" t="s">
        <v>9491</v>
      </c>
      <c r="D2646" t="s">
        <v>9492</v>
      </c>
      <c r="E2646" t="s">
        <v>9493</v>
      </c>
      <c r="F2646" t="s">
        <v>9494</v>
      </c>
      <c r="G2646" t="s">
        <v>34</v>
      </c>
      <c r="H2646" t="s">
        <v>1188</v>
      </c>
      <c r="I2646" t="s">
        <v>9495</v>
      </c>
      <c r="J2646" t="s">
        <v>38</v>
      </c>
      <c r="K2646" t="s">
        <v>38</v>
      </c>
      <c r="L2646" t="s">
        <v>39</v>
      </c>
      <c r="M2646" t="s">
        <v>38</v>
      </c>
      <c r="N2646" t="s">
        <v>38</v>
      </c>
      <c r="O2646" t="s">
        <v>39</v>
      </c>
      <c r="P2646" t="s">
        <v>38</v>
      </c>
      <c r="Q2646" t="s">
        <v>38</v>
      </c>
      <c r="R2646" t="s">
        <v>40</v>
      </c>
      <c r="S2646" t="s">
        <v>41</v>
      </c>
      <c r="T2646" t="s">
        <v>9142</v>
      </c>
      <c r="U2646" t="s">
        <v>9143</v>
      </c>
      <c r="V2646" t="s">
        <v>9093</v>
      </c>
      <c r="W2646" t="s">
        <v>2978</v>
      </c>
      <c r="Y2646" t="s">
        <v>46</v>
      </c>
      <c r="AC2646">
        <f>COUNTIF(C:C,QLKV_gui_ket_qua_ra_soat[[#This Row],[Mã điểm bán]])</f>
        <v>1</v>
      </c>
    </row>
    <row r="2647" spans="1:29" x14ac:dyDescent="0.45">
      <c r="A2647" t="s">
        <v>9088</v>
      </c>
      <c r="B2647">
        <v>783</v>
      </c>
      <c r="C2647" t="s">
        <v>9496</v>
      </c>
      <c r="D2647" t="s">
        <v>9497</v>
      </c>
      <c r="E2647" t="s">
        <v>674</v>
      </c>
      <c r="F2647" t="s">
        <v>417</v>
      </c>
      <c r="G2647" t="s">
        <v>177</v>
      </c>
      <c r="H2647" t="s">
        <v>54</v>
      </c>
      <c r="I2647" t="s">
        <v>9498</v>
      </c>
      <c r="J2647" t="s">
        <v>38</v>
      </c>
      <c r="K2647" t="s">
        <v>38</v>
      </c>
      <c r="L2647" t="s">
        <v>40</v>
      </c>
      <c r="M2647" t="s">
        <v>38</v>
      </c>
      <c r="N2647" t="s">
        <v>38</v>
      </c>
      <c r="O2647" t="s">
        <v>39</v>
      </c>
      <c r="P2647" t="s">
        <v>38</v>
      </c>
      <c r="Q2647" t="s">
        <v>38</v>
      </c>
      <c r="R2647" t="s">
        <v>40</v>
      </c>
      <c r="S2647" t="s">
        <v>41</v>
      </c>
      <c r="T2647" t="s">
        <v>9129</v>
      </c>
      <c r="U2647" t="s">
        <v>9130</v>
      </c>
      <c r="V2647" t="s">
        <v>9093</v>
      </c>
      <c r="W2647" t="s">
        <v>9131</v>
      </c>
      <c r="X2647" t="s">
        <v>46</v>
      </c>
      <c r="AC2647">
        <f>COUNTIF(C:C,QLKV_gui_ket_qua_ra_soat[[#This Row],[Mã điểm bán]])</f>
        <v>1</v>
      </c>
    </row>
    <row r="2648" spans="1:29" x14ac:dyDescent="0.45">
      <c r="A2648" t="s">
        <v>9088</v>
      </c>
      <c r="B2648">
        <v>791</v>
      </c>
      <c r="C2648" t="s">
        <v>9499</v>
      </c>
      <c r="D2648" t="s">
        <v>3542</v>
      </c>
      <c r="E2648" t="s">
        <v>69</v>
      </c>
      <c r="F2648" t="s">
        <v>53</v>
      </c>
      <c r="G2648" t="s">
        <v>34</v>
      </c>
      <c r="H2648" t="s">
        <v>54</v>
      </c>
      <c r="I2648" t="s">
        <v>9500</v>
      </c>
      <c r="J2648" t="s">
        <v>37</v>
      </c>
      <c r="K2648" t="s">
        <v>37</v>
      </c>
      <c r="L2648" t="s">
        <v>39</v>
      </c>
      <c r="M2648" t="s">
        <v>37</v>
      </c>
      <c r="N2648" t="s">
        <v>37</v>
      </c>
      <c r="O2648" t="s">
        <v>39</v>
      </c>
      <c r="P2648" t="s">
        <v>38</v>
      </c>
      <c r="Q2648" t="s">
        <v>38</v>
      </c>
      <c r="R2648" t="s">
        <v>40</v>
      </c>
      <c r="S2648" t="s">
        <v>41</v>
      </c>
      <c r="T2648" t="s">
        <v>9147</v>
      </c>
      <c r="U2648" t="s">
        <v>9148</v>
      </c>
      <c r="V2648" t="s">
        <v>9093</v>
      </c>
      <c r="W2648" t="s">
        <v>9094</v>
      </c>
      <c r="X2648" t="s">
        <v>46</v>
      </c>
      <c r="AC2648">
        <f>COUNTIF(C:C,QLKV_gui_ket_qua_ra_soat[[#This Row],[Mã điểm bán]])</f>
        <v>1</v>
      </c>
    </row>
    <row r="2649" spans="1:29" x14ac:dyDescent="0.45">
      <c r="A2649" t="s">
        <v>9088</v>
      </c>
      <c r="B2649">
        <v>792</v>
      </c>
      <c r="C2649" t="s">
        <v>9501</v>
      </c>
      <c r="D2649" t="s">
        <v>9502</v>
      </c>
      <c r="E2649" t="s">
        <v>176</v>
      </c>
      <c r="F2649" t="s">
        <v>930</v>
      </c>
      <c r="G2649" t="s">
        <v>177</v>
      </c>
      <c r="H2649" t="s">
        <v>332</v>
      </c>
      <c r="I2649" t="s">
        <v>9503</v>
      </c>
      <c r="J2649" t="s">
        <v>37</v>
      </c>
      <c r="K2649" t="s">
        <v>37</v>
      </c>
      <c r="L2649" t="s">
        <v>39</v>
      </c>
      <c r="M2649" t="s">
        <v>37</v>
      </c>
      <c r="N2649" t="s">
        <v>37</v>
      </c>
      <c r="O2649" t="s">
        <v>39</v>
      </c>
      <c r="P2649" t="s">
        <v>38</v>
      </c>
      <c r="Q2649" t="s">
        <v>38</v>
      </c>
      <c r="R2649" t="s">
        <v>39</v>
      </c>
      <c r="S2649" t="s">
        <v>41</v>
      </c>
      <c r="T2649" t="s">
        <v>9240</v>
      </c>
      <c r="U2649" t="s">
        <v>9226</v>
      </c>
      <c r="V2649" t="s">
        <v>9093</v>
      </c>
      <c r="W2649" t="s">
        <v>9227</v>
      </c>
      <c r="Z2649" t="s">
        <v>46</v>
      </c>
      <c r="AA2649" t="s">
        <v>9235</v>
      </c>
      <c r="AC2649">
        <f>COUNTIF(C:C,QLKV_gui_ket_qua_ra_soat[[#This Row],[Mã điểm bán]])</f>
        <v>1</v>
      </c>
    </row>
    <row r="2650" spans="1:29" x14ac:dyDescent="0.45">
      <c r="A2650" t="s">
        <v>9088</v>
      </c>
      <c r="B2650">
        <v>794</v>
      </c>
      <c r="C2650" t="s">
        <v>9504</v>
      </c>
      <c r="D2650" t="s">
        <v>9505</v>
      </c>
      <c r="E2650" t="s">
        <v>148</v>
      </c>
      <c r="F2650" t="s">
        <v>53</v>
      </c>
      <c r="G2650" t="s">
        <v>177</v>
      </c>
      <c r="H2650" t="s">
        <v>1574</v>
      </c>
      <c r="I2650" t="s">
        <v>9198</v>
      </c>
      <c r="J2650" t="s">
        <v>38</v>
      </c>
      <c r="K2650" t="s">
        <v>38</v>
      </c>
      <c r="L2650" t="s">
        <v>40</v>
      </c>
      <c r="M2650" t="s">
        <v>37</v>
      </c>
      <c r="N2650" t="s">
        <v>37</v>
      </c>
      <c r="O2650" t="s">
        <v>39</v>
      </c>
      <c r="P2650" t="s">
        <v>38</v>
      </c>
      <c r="Q2650" t="s">
        <v>38</v>
      </c>
      <c r="R2650" t="s">
        <v>40</v>
      </c>
      <c r="S2650" t="s">
        <v>41</v>
      </c>
      <c r="T2650" t="s">
        <v>9199</v>
      </c>
      <c r="U2650" t="s">
        <v>9200</v>
      </c>
      <c r="V2650" t="s">
        <v>9093</v>
      </c>
      <c r="W2650" t="s">
        <v>9180</v>
      </c>
      <c r="Z2650" t="s">
        <v>46</v>
      </c>
      <c r="AA2650" t="s">
        <v>9119</v>
      </c>
      <c r="AC2650">
        <f>COUNTIF(C:C,QLKV_gui_ket_qua_ra_soat[[#This Row],[Mã điểm bán]])</f>
        <v>1</v>
      </c>
    </row>
    <row r="2651" spans="1:29" x14ac:dyDescent="0.45">
      <c r="A2651" t="s">
        <v>9088</v>
      </c>
      <c r="B2651">
        <v>795</v>
      </c>
      <c r="C2651" t="s">
        <v>9506</v>
      </c>
      <c r="D2651" t="s">
        <v>9507</v>
      </c>
      <c r="E2651" t="s">
        <v>7000</v>
      </c>
      <c r="F2651" t="s">
        <v>53</v>
      </c>
      <c r="G2651" t="s">
        <v>34</v>
      </c>
      <c r="H2651" t="s">
        <v>54</v>
      </c>
      <c r="I2651" t="s">
        <v>422</v>
      </c>
      <c r="J2651" t="s">
        <v>38</v>
      </c>
      <c r="K2651" t="s">
        <v>38</v>
      </c>
      <c r="L2651" t="s">
        <v>40</v>
      </c>
      <c r="M2651" t="s">
        <v>38</v>
      </c>
      <c r="N2651" t="s">
        <v>38</v>
      </c>
      <c r="O2651" t="s">
        <v>40</v>
      </c>
      <c r="P2651" t="s">
        <v>38</v>
      </c>
      <c r="Q2651" t="s">
        <v>38</v>
      </c>
      <c r="R2651" t="s">
        <v>40</v>
      </c>
      <c r="S2651" t="s">
        <v>41</v>
      </c>
      <c r="T2651" t="s">
        <v>9099</v>
      </c>
      <c r="U2651" t="s">
        <v>9100</v>
      </c>
      <c r="V2651" t="s">
        <v>9093</v>
      </c>
      <c r="W2651" t="s">
        <v>9101</v>
      </c>
      <c r="X2651" t="s">
        <v>46</v>
      </c>
      <c r="AC2651">
        <f>COUNTIF(C:C,QLKV_gui_ket_qua_ra_soat[[#This Row],[Mã điểm bán]])</f>
        <v>1</v>
      </c>
    </row>
    <row r="2652" spans="1:29" x14ac:dyDescent="0.45">
      <c r="A2652" t="s">
        <v>9088</v>
      </c>
      <c r="B2652">
        <v>796</v>
      </c>
      <c r="C2652" t="s">
        <v>9508</v>
      </c>
      <c r="D2652" t="s">
        <v>9509</v>
      </c>
      <c r="E2652" t="s">
        <v>7000</v>
      </c>
      <c r="F2652" t="s">
        <v>53</v>
      </c>
      <c r="G2652" t="s">
        <v>34</v>
      </c>
      <c r="H2652" t="s">
        <v>54</v>
      </c>
      <c r="I2652" t="s">
        <v>9510</v>
      </c>
      <c r="J2652" t="s">
        <v>38</v>
      </c>
      <c r="K2652" t="s">
        <v>38</v>
      </c>
      <c r="L2652" t="s">
        <v>40</v>
      </c>
      <c r="M2652" t="s">
        <v>38</v>
      </c>
      <c r="N2652" t="s">
        <v>38</v>
      </c>
      <c r="O2652" t="s">
        <v>40</v>
      </c>
      <c r="P2652" t="s">
        <v>38</v>
      </c>
      <c r="Q2652" t="s">
        <v>38</v>
      </c>
      <c r="R2652" t="s">
        <v>40</v>
      </c>
      <c r="S2652" t="s">
        <v>41</v>
      </c>
      <c r="T2652" t="s">
        <v>9099</v>
      </c>
      <c r="U2652" t="s">
        <v>9100</v>
      </c>
      <c r="V2652" t="s">
        <v>9093</v>
      </c>
      <c r="W2652" t="s">
        <v>9101</v>
      </c>
      <c r="X2652" t="s">
        <v>46</v>
      </c>
      <c r="AC2652">
        <f>COUNTIF(C:C,QLKV_gui_ket_qua_ra_soat[[#This Row],[Mã điểm bán]])</f>
        <v>1</v>
      </c>
    </row>
    <row r="2653" spans="1:29" x14ac:dyDescent="0.45">
      <c r="A2653" t="s">
        <v>9088</v>
      </c>
      <c r="B2653">
        <v>798</v>
      </c>
      <c r="C2653" t="s">
        <v>9511</v>
      </c>
      <c r="D2653" t="s">
        <v>9512</v>
      </c>
      <c r="E2653" t="s">
        <v>9513</v>
      </c>
      <c r="F2653" t="s">
        <v>5415</v>
      </c>
      <c r="G2653" t="s">
        <v>34</v>
      </c>
      <c r="H2653" t="s">
        <v>54</v>
      </c>
      <c r="I2653" t="s">
        <v>9514</v>
      </c>
      <c r="J2653" t="s">
        <v>38</v>
      </c>
      <c r="K2653" t="s">
        <v>38</v>
      </c>
      <c r="L2653" t="s">
        <v>40</v>
      </c>
      <c r="M2653" t="s">
        <v>38</v>
      </c>
      <c r="N2653" t="s">
        <v>38</v>
      </c>
      <c r="O2653" t="s">
        <v>40</v>
      </c>
      <c r="P2653" t="s">
        <v>38</v>
      </c>
      <c r="Q2653" t="s">
        <v>38</v>
      </c>
      <c r="R2653" t="s">
        <v>40</v>
      </c>
      <c r="S2653" t="s">
        <v>41</v>
      </c>
      <c r="T2653" t="s">
        <v>9129</v>
      </c>
      <c r="U2653" t="s">
        <v>9130</v>
      </c>
      <c r="V2653" t="s">
        <v>9093</v>
      </c>
      <c r="W2653" t="s">
        <v>9131</v>
      </c>
      <c r="X2653" t="s">
        <v>46</v>
      </c>
      <c r="AC2653">
        <f>COUNTIF(C:C,QLKV_gui_ket_qua_ra_soat[[#This Row],[Mã điểm bán]])</f>
        <v>1</v>
      </c>
    </row>
    <row r="2654" spans="1:29" x14ac:dyDescent="0.45">
      <c r="A2654" t="s">
        <v>9088</v>
      </c>
      <c r="B2654">
        <v>799</v>
      </c>
      <c r="C2654" t="s">
        <v>9515</v>
      </c>
      <c r="D2654" t="s">
        <v>9516</v>
      </c>
      <c r="E2654" t="s">
        <v>304</v>
      </c>
      <c r="F2654" t="s">
        <v>53</v>
      </c>
      <c r="G2654" t="s">
        <v>34</v>
      </c>
      <c r="H2654" t="s">
        <v>54</v>
      </c>
      <c r="I2654" t="s">
        <v>9517</v>
      </c>
      <c r="J2654" t="s">
        <v>38</v>
      </c>
      <c r="K2654" t="s">
        <v>38</v>
      </c>
      <c r="L2654" t="s">
        <v>40</v>
      </c>
      <c r="M2654" t="s">
        <v>38</v>
      </c>
      <c r="N2654" t="s">
        <v>38</v>
      </c>
      <c r="O2654" t="s">
        <v>40</v>
      </c>
      <c r="P2654" t="s">
        <v>38</v>
      </c>
      <c r="Q2654" t="s">
        <v>38</v>
      </c>
      <c r="R2654" t="s">
        <v>40</v>
      </c>
      <c r="S2654" t="s">
        <v>41</v>
      </c>
      <c r="T2654" t="s">
        <v>9427</v>
      </c>
      <c r="U2654" t="s">
        <v>9148</v>
      </c>
      <c r="V2654" t="s">
        <v>9093</v>
      </c>
      <c r="W2654" t="s">
        <v>9094</v>
      </c>
      <c r="Z2654" t="s">
        <v>46</v>
      </c>
      <c r="AA2654" t="s">
        <v>9235</v>
      </c>
      <c r="AC2654">
        <f>COUNTIF(C:C,QLKV_gui_ket_qua_ra_soat[[#This Row],[Mã điểm bán]])</f>
        <v>1</v>
      </c>
    </row>
    <row r="2655" spans="1:29" x14ac:dyDescent="0.45">
      <c r="A2655" t="s">
        <v>9088</v>
      </c>
      <c r="B2655">
        <v>801</v>
      </c>
      <c r="C2655" t="s">
        <v>9518</v>
      </c>
      <c r="D2655" t="s">
        <v>9519</v>
      </c>
      <c r="E2655" t="s">
        <v>9520</v>
      </c>
      <c r="F2655" t="s">
        <v>325</v>
      </c>
      <c r="G2655" t="s">
        <v>34</v>
      </c>
      <c r="H2655" t="s">
        <v>214</v>
      </c>
      <c r="I2655" t="s">
        <v>9224</v>
      </c>
      <c r="J2655" t="s">
        <v>38</v>
      </c>
      <c r="K2655" t="s">
        <v>38</v>
      </c>
      <c r="L2655" t="s">
        <v>39</v>
      </c>
      <c r="M2655" t="s">
        <v>37</v>
      </c>
      <c r="N2655" t="s">
        <v>37</v>
      </c>
      <c r="O2655" t="s">
        <v>39</v>
      </c>
      <c r="P2655" t="s">
        <v>38</v>
      </c>
      <c r="Q2655" t="s">
        <v>38</v>
      </c>
      <c r="R2655" t="s">
        <v>39</v>
      </c>
      <c r="S2655" t="s">
        <v>41</v>
      </c>
      <c r="T2655" t="s">
        <v>9225</v>
      </c>
      <c r="U2655" t="s">
        <v>9226</v>
      </c>
      <c r="V2655" t="s">
        <v>9093</v>
      </c>
      <c r="W2655" t="s">
        <v>9227</v>
      </c>
      <c r="Z2655" t="s">
        <v>46</v>
      </c>
      <c r="AA2655" t="s">
        <v>9235</v>
      </c>
      <c r="AC2655">
        <f>COUNTIF(C:C,QLKV_gui_ket_qua_ra_soat[[#This Row],[Mã điểm bán]])</f>
        <v>1</v>
      </c>
    </row>
    <row r="2656" spans="1:29" x14ac:dyDescent="0.45">
      <c r="A2656" t="s">
        <v>9088</v>
      </c>
      <c r="B2656">
        <v>804</v>
      </c>
      <c r="C2656" t="s">
        <v>9521</v>
      </c>
      <c r="D2656" t="s">
        <v>9281</v>
      </c>
      <c r="E2656" t="s">
        <v>9522</v>
      </c>
      <c r="F2656" t="s">
        <v>884</v>
      </c>
      <c r="G2656" t="s">
        <v>177</v>
      </c>
      <c r="H2656" t="s">
        <v>2952</v>
      </c>
      <c r="I2656" t="s">
        <v>9523</v>
      </c>
      <c r="J2656" t="s">
        <v>37</v>
      </c>
      <c r="K2656" t="s">
        <v>37</v>
      </c>
      <c r="L2656" t="s">
        <v>39</v>
      </c>
      <c r="M2656" t="s">
        <v>37</v>
      </c>
      <c r="N2656" t="s">
        <v>37</v>
      </c>
      <c r="O2656" t="s">
        <v>39</v>
      </c>
      <c r="P2656" t="s">
        <v>38</v>
      </c>
      <c r="Q2656" t="s">
        <v>38</v>
      </c>
      <c r="R2656" t="s">
        <v>39</v>
      </c>
      <c r="S2656" t="s">
        <v>41</v>
      </c>
      <c r="T2656" t="s">
        <v>9240</v>
      </c>
      <c r="U2656" t="s">
        <v>9226</v>
      </c>
      <c r="V2656" t="s">
        <v>9093</v>
      </c>
      <c r="W2656" t="s">
        <v>9227</v>
      </c>
      <c r="Z2656" t="s">
        <v>46</v>
      </c>
      <c r="AA2656" t="s">
        <v>9095</v>
      </c>
      <c r="AC2656">
        <f>COUNTIF(C:C,QLKV_gui_ket_qua_ra_soat[[#This Row],[Mã điểm bán]])</f>
        <v>1</v>
      </c>
    </row>
    <row r="2657" spans="1:29" x14ac:dyDescent="0.45">
      <c r="A2657" t="s">
        <v>9088</v>
      </c>
      <c r="B2657">
        <v>805</v>
      </c>
      <c r="C2657" t="s">
        <v>9524</v>
      </c>
      <c r="D2657" t="s">
        <v>9525</v>
      </c>
      <c r="E2657" t="s">
        <v>9526</v>
      </c>
      <c r="F2657" t="s">
        <v>325</v>
      </c>
      <c r="G2657" t="s">
        <v>34</v>
      </c>
      <c r="H2657" t="s">
        <v>214</v>
      </c>
      <c r="I2657" t="s">
        <v>9224</v>
      </c>
      <c r="J2657" t="s">
        <v>38</v>
      </c>
      <c r="K2657" t="s">
        <v>38</v>
      </c>
      <c r="L2657" t="s">
        <v>39</v>
      </c>
      <c r="M2657" t="s">
        <v>37</v>
      </c>
      <c r="N2657" t="s">
        <v>37</v>
      </c>
      <c r="O2657" t="s">
        <v>39</v>
      </c>
      <c r="P2657" t="s">
        <v>38</v>
      </c>
      <c r="Q2657" t="s">
        <v>38</v>
      </c>
      <c r="R2657" t="s">
        <v>39</v>
      </c>
      <c r="S2657" t="s">
        <v>41</v>
      </c>
      <c r="T2657" t="s">
        <v>9225</v>
      </c>
      <c r="U2657" t="s">
        <v>9226</v>
      </c>
      <c r="V2657" t="s">
        <v>9093</v>
      </c>
      <c r="W2657" t="s">
        <v>9227</v>
      </c>
      <c r="Z2657" t="s">
        <v>46</v>
      </c>
      <c r="AA2657" t="s">
        <v>9095</v>
      </c>
      <c r="AC2657">
        <f>COUNTIF(C:C,QLKV_gui_ket_qua_ra_soat[[#This Row],[Mã điểm bán]])</f>
        <v>1</v>
      </c>
    </row>
    <row r="2658" spans="1:29" x14ac:dyDescent="0.45">
      <c r="A2658" t="s">
        <v>9088</v>
      </c>
      <c r="B2658">
        <v>809</v>
      </c>
      <c r="C2658" t="s">
        <v>9527</v>
      </c>
      <c r="D2658" t="s">
        <v>9528</v>
      </c>
      <c r="E2658" t="s">
        <v>9529</v>
      </c>
      <c r="F2658" t="s">
        <v>53</v>
      </c>
      <c r="G2658" t="s">
        <v>34</v>
      </c>
      <c r="H2658" t="s">
        <v>54</v>
      </c>
      <c r="I2658" t="s">
        <v>5213</v>
      </c>
      <c r="J2658" t="s">
        <v>38</v>
      </c>
      <c r="K2658" t="s">
        <v>38</v>
      </c>
      <c r="L2658" t="s">
        <v>40</v>
      </c>
      <c r="M2658" t="s">
        <v>38</v>
      </c>
      <c r="N2658" t="s">
        <v>38</v>
      </c>
      <c r="O2658" t="s">
        <v>40</v>
      </c>
      <c r="P2658" t="s">
        <v>38</v>
      </c>
      <c r="Q2658" t="s">
        <v>38</v>
      </c>
      <c r="R2658" t="s">
        <v>40</v>
      </c>
      <c r="S2658" t="s">
        <v>41</v>
      </c>
      <c r="T2658" t="s">
        <v>9427</v>
      </c>
      <c r="U2658" t="s">
        <v>9148</v>
      </c>
      <c r="V2658" t="s">
        <v>9093</v>
      </c>
      <c r="W2658" t="s">
        <v>9094</v>
      </c>
      <c r="Z2658" t="s">
        <v>46</v>
      </c>
      <c r="AA2658" t="s">
        <v>9235</v>
      </c>
      <c r="AC2658">
        <f>COUNTIF(C:C,QLKV_gui_ket_qua_ra_soat[[#This Row],[Mã điểm bán]])</f>
        <v>1</v>
      </c>
    </row>
    <row r="2659" spans="1:29" x14ac:dyDescent="0.45">
      <c r="A2659" t="s">
        <v>9088</v>
      </c>
      <c r="B2659">
        <v>821</v>
      </c>
      <c r="C2659" t="s">
        <v>9530</v>
      </c>
      <c r="D2659" t="s">
        <v>9531</v>
      </c>
      <c r="E2659" t="s">
        <v>97</v>
      </c>
      <c r="F2659" t="s">
        <v>9361</v>
      </c>
      <c r="G2659" t="s">
        <v>34</v>
      </c>
      <c r="H2659" t="s">
        <v>54</v>
      </c>
      <c r="I2659" t="s">
        <v>9532</v>
      </c>
      <c r="J2659" t="s">
        <v>38</v>
      </c>
      <c r="K2659" t="s">
        <v>38</v>
      </c>
      <c r="L2659" t="s">
        <v>40</v>
      </c>
      <c r="M2659" t="s">
        <v>38</v>
      </c>
      <c r="N2659" t="s">
        <v>38</v>
      </c>
      <c r="O2659" t="s">
        <v>40</v>
      </c>
      <c r="P2659" t="s">
        <v>38</v>
      </c>
      <c r="Q2659" t="s">
        <v>38</v>
      </c>
      <c r="R2659" t="s">
        <v>40</v>
      </c>
      <c r="S2659" t="s">
        <v>41</v>
      </c>
      <c r="T2659" t="s">
        <v>9427</v>
      </c>
      <c r="U2659" t="s">
        <v>9469</v>
      </c>
      <c r="V2659" t="s">
        <v>9093</v>
      </c>
      <c r="W2659" t="s">
        <v>9094</v>
      </c>
      <c r="Z2659" t="s">
        <v>46</v>
      </c>
      <c r="AA2659" t="s">
        <v>9095</v>
      </c>
      <c r="AC2659">
        <f>COUNTIF(C:C,QLKV_gui_ket_qua_ra_soat[[#This Row],[Mã điểm bán]])</f>
        <v>1</v>
      </c>
    </row>
    <row r="2660" spans="1:29" x14ac:dyDescent="0.45">
      <c r="A2660" t="s">
        <v>9088</v>
      </c>
      <c r="B2660">
        <v>823</v>
      </c>
      <c r="C2660" t="s">
        <v>9533</v>
      </c>
      <c r="D2660" t="s">
        <v>9534</v>
      </c>
      <c r="E2660" t="s">
        <v>255</v>
      </c>
      <c r="F2660" t="s">
        <v>884</v>
      </c>
      <c r="G2660" t="s">
        <v>34</v>
      </c>
      <c r="H2660" t="s">
        <v>319</v>
      </c>
      <c r="I2660" t="s">
        <v>9535</v>
      </c>
      <c r="J2660" t="s">
        <v>38</v>
      </c>
      <c r="K2660" t="s">
        <v>38</v>
      </c>
      <c r="L2660" t="s">
        <v>40</v>
      </c>
      <c r="M2660" t="s">
        <v>38</v>
      </c>
      <c r="N2660" t="s">
        <v>38</v>
      </c>
      <c r="O2660" t="s">
        <v>40</v>
      </c>
      <c r="P2660" t="s">
        <v>38</v>
      </c>
      <c r="Q2660" t="s">
        <v>38</v>
      </c>
      <c r="R2660" t="s">
        <v>40</v>
      </c>
      <c r="S2660" t="s">
        <v>41</v>
      </c>
      <c r="T2660" t="s">
        <v>9427</v>
      </c>
      <c r="U2660" t="s">
        <v>9148</v>
      </c>
      <c r="V2660" t="s">
        <v>9093</v>
      </c>
      <c r="W2660" t="s">
        <v>9094</v>
      </c>
      <c r="Z2660" t="s">
        <v>46</v>
      </c>
      <c r="AA2660" t="s">
        <v>9235</v>
      </c>
      <c r="AC2660">
        <f>COUNTIF(C:C,QLKV_gui_ket_qua_ra_soat[[#This Row],[Mã điểm bán]])</f>
        <v>1</v>
      </c>
    </row>
    <row r="2661" spans="1:29" x14ac:dyDescent="0.45">
      <c r="A2661" t="s">
        <v>9088</v>
      </c>
      <c r="B2661">
        <v>825</v>
      </c>
      <c r="C2661" t="s">
        <v>9536</v>
      </c>
      <c r="D2661" t="s">
        <v>9537</v>
      </c>
      <c r="E2661" t="s">
        <v>9538</v>
      </c>
      <c r="F2661" t="s">
        <v>53</v>
      </c>
      <c r="G2661" t="s">
        <v>34</v>
      </c>
      <c r="H2661" t="s">
        <v>54</v>
      </c>
      <c r="I2661" t="s">
        <v>9539</v>
      </c>
      <c r="J2661" t="s">
        <v>38</v>
      </c>
      <c r="K2661" t="s">
        <v>38</v>
      </c>
      <c r="L2661" t="s">
        <v>40</v>
      </c>
      <c r="M2661" t="s">
        <v>38</v>
      </c>
      <c r="N2661" t="s">
        <v>38</v>
      </c>
      <c r="O2661" t="s">
        <v>40</v>
      </c>
      <c r="P2661" t="s">
        <v>38</v>
      </c>
      <c r="Q2661" t="s">
        <v>38</v>
      </c>
      <c r="R2661" t="s">
        <v>40</v>
      </c>
      <c r="S2661" t="s">
        <v>41</v>
      </c>
      <c r="T2661" t="s">
        <v>9099</v>
      </c>
      <c r="U2661" t="s">
        <v>9100</v>
      </c>
      <c r="V2661" t="s">
        <v>9093</v>
      </c>
      <c r="W2661" t="s">
        <v>9101</v>
      </c>
      <c r="Z2661" t="s">
        <v>46</v>
      </c>
      <c r="AA2661" t="s">
        <v>9119</v>
      </c>
      <c r="AC2661">
        <f>COUNTIF(C:C,QLKV_gui_ket_qua_ra_soat[[#This Row],[Mã điểm bán]])</f>
        <v>1</v>
      </c>
    </row>
    <row r="2662" spans="1:29" x14ac:dyDescent="0.45">
      <c r="A2662" t="s">
        <v>9088</v>
      </c>
      <c r="B2662">
        <v>828</v>
      </c>
      <c r="C2662" t="s">
        <v>9540</v>
      </c>
      <c r="D2662" t="s">
        <v>9541</v>
      </c>
      <c r="E2662" t="s">
        <v>304</v>
      </c>
      <c r="F2662" t="s">
        <v>53</v>
      </c>
      <c r="G2662" t="s">
        <v>34</v>
      </c>
      <c r="H2662" t="s">
        <v>54</v>
      </c>
      <c r="I2662" t="s">
        <v>9542</v>
      </c>
      <c r="J2662" t="s">
        <v>38</v>
      </c>
      <c r="K2662" t="s">
        <v>38</v>
      </c>
      <c r="L2662" t="s">
        <v>40</v>
      </c>
      <c r="M2662" t="s">
        <v>38</v>
      </c>
      <c r="N2662" t="s">
        <v>38</v>
      </c>
      <c r="O2662" t="s">
        <v>40</v>
      </c>
      <c r="P2662" t="s">
        <v>38</v>
      </c>
      <c r="Q2662" t="s">
        <v>38</v>
      </c>
      <c r="R2662" t="s">
        <v>40</v>
      </c>
      <c r="S2662" t="s">
        <v>41</v>
      </c>
      <c r="T2662" t="s">
        <v>9427</v>
      </c>
      <c r="U2662" t="s">
        <v>9148</v>
      </c>
      <c r="V2662" t="s">
        <v>9093</v>
      </c>
      <c r="W2662" t="s">
        <v>9094</v>
      </c>
      <c r="Z2662" t="s">
        <v>46</v>
      </c>
      <c r="AA2662" t="s">
        <v>9235</v>
      </c>
      <c r="AC2662">
        <f>COUNTIF(C:C,QLKV_gui_ket_qua_ra_soat[[#This Row],[Mã điểm bán]])</f>
        <v>1</v>
      </c>
    </row>
    <row r="2663" spans="1:29" x14ac:dyDescent="0.45">
      <c r="A2663" t="s">
        <v>9088</v>
      </c>
      <c r="B2663">
        <v>833</v>
      </c>
      <c r="C2663" t="s">
        <v>9543</v>
      </c>
      <c r="D2663" t="s">
        <v>9544</v>
      </c>
      <c r="E2663" t="s">
        <v>9545</v>
      </c>
      <c r="F2663" t="s">
        <v>53</v>
      </c>
      <c r="G2663" t="s">
        <v>34</v>
      </c>
      <c r="H2663" t="s">
        <v>54</v>
      </c>
      <c r="I2663" t="s">
        <v>2049</v>
      </c>
      <c r="J2663" t="s">
        <v>38</v>
      </c>
      <c r="K2663" t="s">
        <v>38</v>
      </c>
      <c r="L2663" t="s">
        <v>40</v>
      </c>
      <c r="M2663" t="s">
        <v>38</v>
      </c>
      <c r="N2663" t="s">
        <v>38</v>
      </c>
      <c r="O2663" t="s">
        <v>40</v>
      </c>
      <c r="P2663" t="s">
        <v>38</v>
      </c>
      <c r="Q2663" t="s">
        <v>38</v>
      </c>
      <c r="R2663" t="s">
        <v>40</v>
      </c>
      <c r="S2663" t="s">
        <v>41</v>
      </c>
      <c r="T2663" t="s">
        <v>9099</v>
      </c>
      <c r="U2663" t="s">
        <v>9100</v>
      </c>
      <c r="V2663" t="s">
        <v>9093</v>
      </c>
      <c r="W2663" t="s">
        <v>9101</v>
      </c>
      <c r="X2663" t="s">
        <v>46</v>
      </c>
      <c r="AC2663">
        <f>COUNTIF(C:C,QLKV_gui_ket_qua_ra_soat[[#This Row],[Mã điểm bán]])</f>
        <v>1</v>
      </c>
    </row>
    <row r="2664" spans="1:29" x14ac:dyDescent="0.45">
      <c r="A2664" t="s">
        <v>9088</v>
      </c>
      <c r="B2664">
        <v>836</v>
      </c>
      <c r="C2664" t="s">
        <v>9546</v>
      </c>
      <c r="D2664" t="s">
        <v>9547</v>
      </c>
      <c r="E2664" t="s">
        <v>9548</v>
      </c>
      <c r="F2664" t="s">
        <v>417</v>
      </c>
      <c r="G2664" t="s">
        <v>34</v>
      </c>
      <c r="H2664" t="s">
        <v>1746</v>
      </c>
      <c r="I2664" t="s">
        <v>9500</v>
      </c>
      <c r="J2664" t="s">
        <v>38</v>
      </c>
      <c r="K2664" t="s">
        <v>38</v>
      </c>
      <c r="L2664" t="s">
        <v>40</v>
      </c>
      <c r="M2664" t="s">
        <v>38</v>
      </c>
      <c r="N2664" t="s">
        <v>38</v>
      </c>
      <c r="O2664" t="s">
        <v>40</v>
      </c>
      <c r="P2664" t="s">
        <v>38</v>
      </c>
      <c r="Q2664" t="s">
        <v>38</v>
      </c>
      <c r="R2664" t="s">
        <v>40</v>
      </c>
      <c r="S2664" t="s">
        <v>41</v>
      </c>
      <c r="T2664" t="s">
        <v>9099</v>
      </c>
      <c r="U2664" t="s">
        <v>9100</v>
      </c>
      <c r="V2664" t="s">
        <v>9093</v>
      </c>
      <c r="W2664" t="s">
        <v>9101</v>
      </c>
      <c r="Y2664" t="s">
        <v>46</v>
      </c>
      <c r="AC2664">
        <f>COUNTIF(C:C,QLKV_gui_ket_qua_ra_soat[[#This Row],[Mã điểm bán]])</f>
        <v>1</v>
      </c>
    </row>
    <row r="2665" spans="1:29" x14ac:dyDescent="0.45">
      <c r="A2665" t="s">
        <v>9088</v>
      </c>
      <c r="B2665">
        <v>837</v>
      </c>
      <c r="C2665" t="s">
        <v>9549</v>
      </c>
      <c r="D2665" t="s">
        <v>9550</v>
      </c>
      <c r="E2665" t="s">
        <v>9551</v>
      </c>
      <c r="F2665" t="s">
        <v>401</v>
      </c>
      <c r="G2665" t="s">
        <v>34</v>
      </c>
      <c r="H2665" t="s">
        <v>54</v>
      </c>
      <c r="I2665" t="s">
        <v>9552</v>
      </c>
      <c r="J2665" t="s">
        <v>38</v>
      </c>
      <c r="K2665" t="s">
        <v>38</v>
      </c>
      <c r="L2665" t="s">
        <v>40</v>
      </c>
      <c r="M2665" t="s">
        <v>38</v>
      </c>
      <c r="N2665" t="s">
        <v>38</v>
      </c>
      <c r="O2665" t="s">
        <v>40</v>
      </c>
      <c r="P2665" t="s">
        <v>38</v>
      </c>
      <c r="Q2665" t="s">
        <v>38</v>
      </c>
      <c r="R2665" t="s">
        <v>40</v>
      </c>
      <c r="S2665" t="s">
        <v>41</v>
      </c>
      <c r="T2665" t="s">
        <v>9099</v>
      </c>
      <c r="U2665" t="s">
        <v>9100</v>
      </c>
      <c r="V2665" t="s">
        <v>9093</v>
      </c>
      <c r="W2665" t="s">
        <v>9101</v>
      </c>
      <c r="X2665" t="s">
        <v>46</v>
      </c>
      <c r="AC2665">
        <f>COUNTIF(C:C,QLKV_gui_ket_qua_ra_soat[[#This Row],[Mã điểm bán]])</f>
        <v>1</v>
      </c>
    </row>
    <row r="2666" spans="1:29" x14ac:dyDescent="0.45">
      <c r="A2666" t="s">
        <v>9088</v>
      </c>
      <c r="B2666">
        <v>839</v>
      </c>
      <c r="C2666" t="s">
        <v>9553</v>
      </c>
      <c r="D2666" t="s">
        <v>9554</v>
      </c>
      <c r="E2666" t="s">
        <v>9555</v>
      </c>
      <c r="F2666" t="s">
        <v>53</v>
      </c>
      <c r="G2666" t="s">
        <v>34</v>
      </c>
      <c r="H2666" t="s">
        <v>507</v>
      </c>
      <c r="I2666" t="s">
        <v>9556</v>
      </c>
      <c r="J2666" t="s">
        <v>38</v>
      </c>
      <c r="K2666" t="s">
        <v>38</v>
      </c>
      <c r="L2666" t="s">
        <v>40</v>
      </c>
      <c r="M2666" t="s">
        <v>38</v>
      </c>
      <c r="N2666" t="s">
        <v>38</v>
      </c>
      <c r="O2666" t="s">
        <v>40</v>
      </c>
      <c r="P2666" t="s">
        <v>38</v>
      </c>
      <c r="Q2666" t="s">
        <v>38</v>
      </c>
      <c r="R2666" t="s">
        <v>40</v>
      </c>
      <c r="S2666" t="s">
        <v>41</v>
      </c>
      <c r="T2666" t="s">
        <v>9099</v>
      </c>
      <c r="U2666" t="s">
        <v>9100</v>
      </c>
      <c r="V2666" t="s">
        <v>9093</v>
      </c>
      <c r="W2666" t="s">
        <v>9101</v>
      </c>
      <c r="Z2666" t="s">
        <v>46</v>
      </c>
      <c r="AA2666" t="s">
        <v>9119</v>
      </c>
      <c r="AC2666">
        <f>COUNTIF(C:C,QLKV_gui_ket_qua_ra_soat[[#This Row],[Mã điểm bán]])</f>
        <v>1</v>
      </c>
    </row>
    <row r="2667" spans="1:29" x14ac:dyDescent="0.45">
      <c r="A2667" t="s">
        <v>9088</v>
      </c>
      <c r="B2667">
        <v>840</v>
      </c>
      <c r="C2667" t="s">
        <v>9557</v>
      </c>
      <c r="D2667" t="s">
        <v>9558</v>
      </c>
      <c r="E2667" t="s">
        <v>75</v>
      </c>
      <c r="F2667" t="s">
        <v>53</v>
      </c>
      <c r="G2667" t="s">
        <v>34</v>
      </c>
      <c r="H2667" t="s">
        <v>54</v>
      </c>
      <c r="I2667" t="s">
        <v>9559</v>
      </c>
      <c r="J2667" t="s">
        <v>38</v>
      </c>
      <c r="K2667" t="s">
        <v>38</v>
      </c>
      <c r="L2667" t="s">
        <v>40</v>
      </c>
      <c r="M2667" t="s">
        <v>38</v>
      </c>
      <c r="N2667" t="s">
        <v>38</v>
      </c>
      <c r="O2667" t="s">
        <v>40</v>
      </c>
      <c r="P2667" t="s">
        <v>38</v>
      </c>
      <c r="Q2667" t="s">
        <v>38</v>
      </c>
      <c r="R2667" t="s">
        <v>40</v>
      </c>
      <c r="S2667" t="s">
        <v>41</v>
      </c>
      <c r="T2667" t="s">
        <v>9427</v>
      </c>
      <c r="U2667" t="s">
        <v>9469</v>
      </c>
      <c r="V2667" t="s">
        <v>9093</v>
      </c>
      <c r="W2667" t="s">
        <v>9094</v>
      </c>
      <c r="Z2667" t="s">
        <v>46</v>
      </c>
      <c r="AA2667" t="s">
        <v>9095</v>
      </c>
      <c r="AC2667">
        <f>COUNTIF(C:C,QLKV_gui_ket_qua_ra_soat[[#This Row],[Mã điểm bán]])</f>
        <v>1</v>
      </c>
    </row>
    <row r="2668" spans="1:29" x14ac:dyDescent="0.45">
      <c r="A2668" t="s">
        <v>9088</v>
      </c>
      <c r="B2668">
        <v>842</v>
      </c>
      <c r="C2668" t="s">
        <v>9560</v>
      </c>
      <c r="D2668" t="s">
        <v>9561</v>
      </c>
      <c r="E2668" t="s">
        <v>7000</v>
      </c>
      <c r="F2668" t="s">
        <v>53</v>
      </c>
      <c r="G2668" t="s">
        <v>34</v>
      </c>
      <c r="H2668" t="s">
        <v>507</v>
      </c>
      <c r="I2668" t="s">
        <v>9562</v>
      </c>
      <c r="J2668" t="s">
        <v>38</v>
      </c>
      <c r="K2668" t="s">
        <v>38</v>
      </c>
      <c r="L2668" t="s">
        <v>40</v>
      </c>
      <c r="M2668" t="s">
        <v>38</v>
      </c>
      <c r="N2668" t="s">
        <v>38</v>
      </c>
      <c r="O2668" t="s">
        <v>40</v>
      </c>
      <c r="P2668" t="s">
        <v>38</v>
      </c>
      <c r="Q2668" t="s">
        <v>38</v>
      </c>
      <c r="R2668" t="s">
        <v>40</v>
      </c>
      <c r="S2668" t="s">
        <v>41</v>
      </c>
      <c r="T2668" t="s">
        <v>9099</v>
      </c>
      <c r="U2668" t="s">
        <v>9100</v>
      </c>
      <c r="V2668" t="s">
        <v>9093</v>
      </c>
      <c r="W2668" t="s">
        <v>9101</v>
      </c>
      <c r="X2668" t="s">
        <v>46</v>
      </c>
      <c r="AC2668">
        <f>COUNTIF(C:C,QLKV_gui_ket_qua_ra_soat[[#This Row],[Mã điểm bán]])</f>
        <v>1</v>
      </c>
    </row>
    <row r="2669" spans="1:29" x14ac:dyDescent="0.45">
      <c r="A2669" t="s">
        <v>9088</v>
      </c>
      <c r="B2669">
        <v>843</v>
      </c>
      <c r="C2669" t="s">
        <v>9563</v>
      </c>
      <c r="D2669" t="s">
        <v>9564</v>
      </c>
      <c r="E2669" t="s">
        <v>68</v>
      </c>
      <c r="F2669" t="s">
        <v>884</v>
      </c>
      <c r="G2669" t="s">
        <v>34</v>
      </c>
      <c r="H2669" t="s">
        <v>319</v>
      </c>
      <c r="I2669" t="s">
        <v>9565</v>
      </c>
      <c r="J2669" t="s">
        <v>38</v>
      </c>
      <c r="K2669" t="s">
        <v>38</v>
      </c>
      <c r="L2669" t="s">
        <v>40</v>
      </c>
      <c r="M2669" t="s">
        <v>38</v>
      </c>
      <c r="N2669" t="s">
        <v>38</v>
      </c>
      <c r="O2669" t="s">
        <v>40</v>
      </c>
      <c r="P2669" t="s">
        <v>38</v>
      </c>
      <c r="Q2669" t="s">
        <v>38</v>
      </c>
      <c r="R2669" t="s">
        <v>40</v>
      </c>
      <c r="S2669" t="s">
        <v>41</v>
      </c>
      <c r="T2669" t="s">
        <v>9427</v>
      </c>
      <c r="U2669" t="s">
        <v>9148</v>
      </c>
      <c r="V2669" t="s">
        <v>9093</v>
      </c>
      <c r="W2669" t="s">
        <v>9094</v>
      </c>
      <c r="Z2669" t="s">
        <v>46</v>
      </c>
      <c r="AA2669" t="s">
        <v>9235</v>
      </c>
      <c r="AC2669">
        <f>COUNTIF(C:C,QLKV_gui_ket_qua_ra_soat[[#This Row],[Mã điểm bán]])</f>
        <v>1</v>
      </c>
    </row>
    <row r="2670" spans="1:29" x14ac:dyDescent="0.45">
      <c r="A2670" t="s">
        <v>9088</v>
      </c>
      <c r="B2670">
        <v>844</v>
      </c>
      <c r="C2670" t="s">
        <v>9566</v>
      </c>
      <c r="D2670" t="s">
        <v>9567</v>
      </c>
      <c r="E2670" t="s">
        <v>87</v>
      </c>
      <c r="F2670" t="s">
        <v>53</v>
      </c>
      <c r="G2670" t="s">
        <v>34</v>
      </c>
      <c r="H2670" t="s">
        <v>54</v>
      </c>
      <c r="I2670" t="s">
        <v>9568</v>
      </c>
      <c r="J2670" t="s">
        <v>38</v>
      </c>
      <c r="K2670" t="s">
        <v>38</v>
      </c>
      <c r="L2670" t="s">
        <v>40</v>
      </c>
      <c r="M2670" t="s">
        <v>38</v>
      </c>
      <c r="N2670" t="s">
        <v>38</v>
      </c>
      <c r="O2670" t="s">
        <v>40</v>
      </c>
      <c r="P2670" t="s">
        <v>38</v>
      </c>
      <c r="Q2670" t="s">
        <v>38</v>
      </c>
      <c r="R2670" t="s">
        <v>40</v>
      </c>
      <c r="S2670" t="s">
        <v>41</v>
      </c>
      <c r="T2670" t="s">
        <v>9427</v>
      </c>
      <c r="U2670" t="s">
        <v>9148</v>
      </c>
      <c r="V2670" t="s">
        <v>9093</v>
      </c>
      <c r="W2670" t="s">
        <v>9094</v>
      </c>
      <c r="X2670" t="s">
        <v>46</v>
      </c>
      <c r="AC2670">
        <f>COUNTIF(C:C,QLKV_gui_ket_qua_ra_soat[[#This Row],[Mã điểm bán]])</f>
        <v>1</v>
      </c>
    </row>
    <row r="2671" spans="1:29" x14ac:dyDescent="0.45">
      <c r="A2671" t="s">
        <v>9088</v>
      </c>
      <c r="B2671">
        <v>845</v>
      </c>
      <c r="C2671" t="s">
        <v>9569</v>
      </c>
      <c r="D2671" t="s">
        <v>9570</v>
      </c>
      <c r="E2671" t="s">
        <v>9571</v>
      </c>
      <c r="F2671" t="s">
        <v>53</v>
      </c>
      <c r="G2671" t="s">
        <v>34</v>
      </c>
      <c r="H2671" t="s">
        <v>54</v>
      </c>
      <c r="I2671" t="s">
        <v>9572</v>
      </c>
      <c r="J2671" t="s">
        <v>38</v>
      </c>
      <c r="K2671" t="s">
        <v>38</v>
      </c>
      <c r="L2671" t="s">
        <v>40</v>
      </c>
      <c r="M2671" t="s">
        <v>38</v>
      </c>
      <c r="N2671" t="s">
        <v>38</v>
      </c>
      <c r="O2671" t="s">
        <v>40</v>
      </c>
      <c r="P2671" t="s">
        <v>38</v>
      </c>
      <c r="Q2671" t="s">
        <v>38</v>
      </c>
      <c r="R2671" t="s">
        <v>40</v>
      </c>
      <c r="S2671" t="s">
        <v>41</v>
      </c>
      <c r="T2671" t="s">
        <v>9427</v>
      </c>
      <c r="U2671" t="s">
        <v>9148</v>
      </c>
      <c r="V2671" t="s">
        <v>9093</v>
      </c>
      <c r="W2671" t="s">
        <v>9094</v>
      </c>
      <c r="Z2671" t="s">
        <v>46</v>
      </c>
      <c r="AA2671" t="s">
        <v>9235</v>
      </c>
      <c r="AC2671">
        <f>COUNTIF(C:C,QLKV_gui_ket_qua_ra_soat[[#This Row],[Mã điểm bán]])</f>
        <v>1</v>
      </c>
    </row>
    <row r="2672" spans="1:29" x14ac:dyDescent="0.45">
      <c r="A2672" t="s">
        <v>9088</v>
      </c>
      <c r="B2672">
        <v>847</v>
      </c>
      <c r="C2672" t="s">
        <v>9573</v>
      </c>
      <c r="D2672" t="s">
        <v>9574</v>
      </c>
      <c r="E2672" t="s">
        <v>9575</v>
      </c>
      <c r="F2672" t="s">
        <v>53</v>
      </c>
      <c r="G2672" t="s">
        <v>34</v>
      </c>
      <c r="H2672" t="s">
        <v>54</v>
      </c>
      <c r="I2672" t="s">
        <v>9576</v>
      </c>
      <c r="J2672" t="s">
        <v>38</v>
      </c>
      <c r="K2672" t="s">
        <v>38</v>
      </c>
      <c r="L2672" t="s">
        <v>40</v>
      </c>
      <c r="M2672" t="s">
        <v>38</v>
      </c>
      <c r="N2672" t="s">
        <v>38</v>
      </c>
      <c r="O2672" t="s">
        <v>40</v>
      </c>
      <c r="P2672" t="s">
        <v>38</v>
      </c>
      <c r="Q2672" t="s">
        <v>38</v>
      </c>
      <c r="R2672" t="s">
        <v>40</v>
      </c>
      <c r="S2672" t="s">
        <v>41</v>
      </c>
      <c r="T2672" t="s">
        <v>9427</v>
      </c>
      <c r="U2672" t="s">
        <v>9148</v>
      </c>
      <c r="V2672" t="s">
        <v>9093</v>
      </c>
      <c r="W2672" t="s">
        <v>9094</v>
      </c>
      <c r="X2672" t="s">
        <v>46</v>
      </c>
      <c r="AC2672">
        <f>COUNTIF(C:C,QLKV_gui_ket_qua_ra_soat[[#This Row],[Mã điểm bán]])</f>
        <v>1</v>
      </c>
    </row>
    <row r="2673" spans="1:29" x14ac:dyDescent="0.45">
      <c r="A2673" t="s">
        <v>9088</v>
      </c>
      <c r="B2673">
        <v>850</v>
      </c>
      <c r="C2673" t="s">
        <v>9577</v>
      </c>
      <c r="D2673" t="s">
        <v>9578</v>
      </c>
      <c r="E2673" t="s">
        <v>9579</v>
      </c>
      <c r="F2673" t="s">
        <v>115</v>
      </c>
      <c r="G2673" t="s">
        <v>34</v>
      </c>
      <c r="H2673" t="s">
        <v>54</v>
      </c>
      <c r="I2673" t="s">
        <v>9580</v>
      </c>
      <c r="J2673" t="s">
        <v>38</v>
      </c>
      <c r="K2673" t="s">
        <v>38</v>
      </c>
      <c r="L2673" t="s">
        <v>40</v>
      </c>
      <c r="M2673" t="s">
        <v>38</v>
      </c>
      <c r="N2673" t="s">
        <v>38</v>
      </c>
      <c r="O2673" t="s">
        <v>40</v>
      </c>
      <c r="P2673" t="s">
        <v>38</v>
      </c>
      <c r="Q2673" t="s">
        <v>38</v>
      </c>
      <c r="R2673" t="s">
        <v>40</v>
      </c>
      <c r="S2673" t="s">
        <v>41</v>
      </c>
      <c r="T2673" t="s">
        <v>9427</v>
      </c>
      <c r="U2673" t="s">
        <v>9148</v>
      </c>
      <c r="V2673" t="s">
        <v>9093</v>
      </c>
      <c r="W2673" t="s">
        <v>9094</v>
      </c>
      <c r="X2673" t="s">
        <v>46</v>
      </c>
      <c r="AC2673">
        <f>COUNTIF(C:C,QLKV_gui_ket_qua_ra_soat[[#This Row],[Mã điểm bán]])</f>
        <v>1</v>
      </c>
    </row>
    <row r="2674" spans="1:29" x14ac:dyDescent="0.45">
      <c r="A2674" t="s">
        <v>9088</v>
      </c>
      <c r="B2674">
        <v>853</v>
      </c>
      <c r="C2674" t="s">
        <v>9581</v>
      </c>
      <c r="D2674" t="s">
        <v>9582</v>
      </c>
      <c r="E2674" t="s">
        <v>9583</v>
      </c>
      <c r="F2674" t="s">
        <v>930</v>
      </c>
      <c r="G2674" t="s">
        <v>34</v>
      </c>
      <c r="H2674" t="s">
        <v>54</v>
      </c>
      <c r="I2674" t="s">
        <v>9584</v>
      </c>
      <c r="J2674" t="s">
        <v>38</v>
      </c>
      <c r="K2674" t="s">
        <v>38</v>
      </c>
      <c r="L2674" t="s">
        <v>40</v>
      </c>
      <c r="M2674" t="s">
        <v>38</v>
      </c>
      <c r="N2674" t="s">
        <v>38</v>
      </c>
      <c r="O2674" t="s">
        <v>40</v>
      </c>
      <c r="P2674" t="s">
        <v>38</v>
      </c>
      <c r="Q2674" t="s">
        <v>38</v>
      </c>
      <c r="R2674" t="s">
        <v>40</v>
      </c>
      <c r="S2674" t="s">
        <v>41</v>
      </c>
      <c r="T2674" t="s">
        <v>9427</v>
      </c>
      <c r="U2674" t="s">
        <v>9148</v>
      </c>
      <c r="V2674" t="s">
        <v>9093</v>
      </c>
      <c r="W2674" t="s">
        <v>9094</v>
      </c>
      <c r="Z2674" t="s">
        <v>46</v>
      </c>
      <c r="AA2674" t="s">
        <v>9235</v>
      </c>
      <c r="AC2674">
        <f>COUNTIF(C:C,QLKV_gui_ket_qua_ra_soat[[#This Row],[Mã điểm bán]])</f>
        <v>1</v>
      </c>
    </row>
    <row r="2675" spans="1:29" x14ac:dyDescent="0.45">
      <c r="A2675" t="s">
        <v>9088</v>
      </c>
      <c r="B2675">
        <v>865</v>
      </c>
      <c r="C2675" t="s">
        <v>9585</v>
      </c>
      <c r="D2675" t="s">
        <v>9586</v>
      </c>
      <c r="E2675" t="s">
        <v>304</v>
      </c>
      <c r="F2675" t="s">
        <v>53</v>
      </c>
      <c r="G2675" t="s">
        <v>34</v>
      </c>
      <c r="H2675" t="s">
        <v>54</v>
      </c>
      <c r="I2675" t="s">
        <v>9587</v>
      </c>
      <c r="J2675" t="s">
        <v>38</v>
      </c>
      <c r="K2675" t="s">
        <v>38</v>
      </c>
      <c r="L2675" t="s">
        <v>40</v>
      </c>
      <c r="M2675" t="s">
        <v>38</v>
      </c>
      <c r="N2675" t="s">
        <v>38</v>
      </c>
      <c r="O2675" t="s">
        <v>40</v>
      </c>
      <c r="P2675" t="s">
        <v>38</v>
      </c>
      <c r="Q2675" t="s">
        <v>38</v>
      </c>
      <c r="R2675" t="s">
        <v>40</v>
      </c>
      <c r="S2675" t="s">
        <v>41</v>
      </c>
      <c r="T2675" t="s">
        <v>9427</v>
      </c>
      <c r="U2675" t="s">
        <v>9148</v>
      </c>
      <c r="V2675" t="s">
        <v>9093</v>
      </c>
      <c r="W2675" t="s">
        <v>9094</v>
      </c>
      <c r="Z2675" t="s">
        <v>46</v>
      </c>
      <c r="AA2675" t="s">
        <v>9235</v>
      </c>
      <c r="AC2675">
        <f>COUNTIF(C:C,QLKV_gui_ket_qua_ra_soat[[#This Row],[Mã điểm bán]])</f>
        <v>1</v>
      </c>
    </row>
    <row r="2676" spans="1:29" x14ac:dyDescent="0.45">
      <c r="A2676" t="s">
        <v>9088</v>
      </c>
      <c r="B2676">
        <v>866</v>
      </c>
      <c r="C2676" t="s">
        <v>9588</v>
      </c>
      <c r="D2676" t="s">
        <v>9589</v>
      </c>
      <c r="E2676" t="s">
        <v>1043</v>
      </c>
      <c r="F2676" t="s">
        <v>339</v>
      </c>
      <c r="G2676" t="s">
        <v>34</v>
      </c>
      <c r="H2676" t="s">
        <v>1199</v>
      </c>
      <c r="I2676" t="s">
        <v>9590</v>
      </c>
      <c r="J2676" t="s">
        <v>38</v>
      </c>
      <c r="K2676" t="s">
        <v>38</v>
      </c>
      <c r="L2676" t="s">
        <v>40</v>
      </c>
      <c r="M2676" t="s">
        <v>38</v>
      </c>
      <c r="N2676" t="s">
        <v>38</v>
      </c>
      <c r="O2676" t="s">
        <v>40</v>
      </c>
      <c r="P2676" t="s">
        <v>38</v>
      </c>
      <c r="Q2676" t="s">
        <v>38</v>
      </c>
      <c r="R2676" t="s">
        <v>40</v>
      </c>
      <c r="S2676" t="s">
        <v>41</v>
      </c>
      <c r="T2676" t="s">
        <v>9427</v>
      </c>
      <c r="U2676" t="s">
        <v>9148</v>
      </c>
      <c r="V2676" t="s">
        <v>9093</v>
      </c>
      <c r="W2676" t="s">
        <v>9094</v>
      </c>
      <c r="Z2676" t="s">
        <v>46</v>
      </c>
      <c r="AA2676" t="s">
        <v>9235</v>
      </c>
      <c r="AC2676">
        <f>COUNTIF(C:C,QLKV_gui_ket_qua_ra_soat[[#This Row],[Mã điểm bán]])</f>
        <v>1</v>
      </c>
    </row>
    <row r="2677" spans="1:29" x14ac:dyDescent="0.45">
      <c r="A2677" t="s">
        <v>9088</v>
      </c>
      <c r="B2677">
        <v>867</v>
      </c>
      <c r="C2677" t="s">
        <v>9591</v>
      </c>
      <c r="D2677" t="s">
        <v>9592</v>
      </c>
      <c r="E2677" t="s">
        <v>9593</v>
      </c>
      <c r="F2677" t="s">
        <v>53</v>
      </c>
      <c r="G2677" t="s">
        <v>34</v>
      </c>
      <c r="H2677" t="s">
        <v>54</v>
      </c>
      <c r="I2677" t="s">
        <v>9594</v>
      </c>
      <c r="J2677" t="s">
        <v>38</v>
      </c>
      <c r="K2677" t="s">
        <v>38</v>
      </c>
      <c r="L2677" t="s">
        <v>40</v>
      </c>
      <c r="M2677" t="s">
        <v>38</v>
      </c>
      <c r="N2677" t="s">
        <v>38</v>
      </c>
      <c r="O2677" t="s">
        <v>40</v>
      </c>
      <c r="P2677" t="s">
        <v>38</v>
      </c>
      <c r="Q2677" t="s">
        <v>38</v>
      </c>
      <c r="R2677" t="s">
        <v>40</v>
      </c>
      <c r="S2677" t="s">
        <v>41</v>
      </c>
      <c r="T2677" t="s">
        <v>9427</v>
      </c>
      <c r="U2677" t="s">
        <v>9148</v>
      </c>
      <c r="V2677" t="s">
        <v>9093</v>
      </c>
      <c r="W2677" t="s">
        <v>9094</v>
      </c>
      <c r="Z2677" t="s">
        <v>46</v>
      </c>
      <c r="AA2677" t="s">
        <v>9235</v>
      </c>
      <c r="AC2677">
        <f>COUNTIF(C:C,QLKV_gui_ket_qua_ra_soat[[#This Row],[Mã điểm bán]])</f>
        <v>1</v>
      </c>
    </row>
    <row r="2678" spans="1:29" x14ac:dyDescent="0.45">
      <c r="A2678" t="s">
        <v>9088</v>
      </c>
      <c r="B2678">
        <v>875</v>
      </c>
      <c r="C2678" t="s">
        <v>9595</v>
      </c>
      <c r="D2678" t="s">
        <v>9596</v>
      </c>
      <c r="E2678" t="s">
        <v>7000</v>
      </c>
      <c r="F2678" t="s">
        <v>53</v>
      </c>
      <c r="G2678" t="s">
        <v>34</v>
      </c>
      <c r="H2678" t="s">
        <v>54</v>
      </c>
      <c r="I2678" t="s">
        <v>9510</v>
      </c>
      <c r="J2678" t="s">
        <v>38</v>
      </c>
      <c r="K2678" t="s">
        <v>38</v>
      </c>
      <c r="L2678" t="s">
        <v>40</v>
      </c>
      <c r="M2678" t="s">
        <v>38</v>
      </c>
      <c r="N2678" t="s">
        <v>38</v>
      </c>
      <c r="O2678" t="s">
        <v>40</v>
      </c>
      <c r="P2678" t="s">
        <v>38</v>
      </c>
      <c r="Q2678" t="s">
        <v>38</v>
      </c>
      <c r="R2678" t="s">
        <v>40</v>
      </c>
      <c r="S2678" t="s">
        <v>41</v>
      </c>
      <c r="T2678" t="s">
        <v>9099</v>
      </c>
      <c r="U2678" t="s">
        <v>9100</v>
      </c>
      <c r="V2678" t="s">
        <v>9093</v>
      </c>
      <c r="W2678" t="s">
        <v>9101</v>
      </c>
      <c r="X2678" t="s">
        <v>46</v>
      </c>
      <c r="AC2678">
        <f>COUNTIF(C:C,QLKV_gui_ket_qua_ra_soat[[#This Row],[Mã điểm bán]])</f>
        <v>1</v>
      </c>
    </row>
    <row r="2679" spans="1:29" x14ac:dyDescent="0.45">
      <c r="A2679" t="s">
        <v>9088</v>
      </c>
      <c r="B2679">
        <v>882</v>
      </c>
      <c r="C2679" t="s">
        <v>9597</v>
      </c>
      <c r="D2679" t="s">
        <v>9598</v>
      </c>
      <c r="E2679" t="s">
        <v>7000</v>
      </c>
      <c r="F2679" t="s">
        <v>53</v>
      </c>
      <c r="G2679" t="s">
        <v>34</v>
      </c>
      <c r="H2679" t="s">
        <v>54</v>
      </c>
      <c r="I2679" t="s">
        <v>9112</v>
      </c>
      <c r="J2679" t="s">
        <v>38</v>
      </c>
      <c r="K2679" t="s">
        <v>38</v>
      </c>
      <c r="L2679" t="s">
        <v>40</v>
      </c>
      <c r="M2679" t="s">
        <v>38</v>
      </c>
      <c r="N2679" t="s">
        <v>38</v>
      </c>
      <c r="O2679" t="s">
        <v>40</v>
      </c>
      <c r="P2679" t="s">
        <v>38</v>
      </c>
      <c r="Q2679" t="s">
        <v>38</v>
      </c>
      <c r="R2679" t="s">
        <v>40</v>
      </c>
      <c r="S2679" t="s">
        <v>41</v>
      </c>
      <c r="T2679" t="s">
        <v>9099</v>
      </c>
      <c r="U2679" t="s">
        <v>9100</v>
      </c>
      <c r="V2679" t="s">
        <v>9093</v>
      </c>
      <c r="W2679" t="s">
        <v>9101</v>
      </c>
      <c r="X2679" t="s">
        <v>46</v>
      </c>
      <c r="AC2679">
        <f>COUNTIF(C:C,QLKV_gui_ket_qua_ra_soat[[#This Row],[Mã điểm bán]])</f>
        <v>1</v>
      </c>
    </row>
    <row r="2680" spans="1:29" x14ac:dyDescent="0.45">
      <c r="A2680" t="s">
        <v>9088</v>
      </c>
      <c r="B2680">
        <v>906</v>
      </c>
      <c r="C2680" t="s">
        <v>9599</v>
      </c>
      <c r="D2680" t="s">
        <v>9600</v>
      </c>
      <c r="E2680" t="s">
        <v>9601</v>
      </c>
      <c r="F2680" t="s">
        <v>426</v>
      </c>
      <c r="G2680" t="s">
        <v>34</v>
      </c>
      <c r="H2680" t="s">
        <v>54</v>
      </c>
      <c r="I2680" t="s">
        <v>6675</v>
      </c>
      <c r="J2680" t="s">
        <v>38</v>
      </c>
      <c r="K2680" t="s">
        <v>38</v>
      </c>
      <c r="L2680" t="s">
        <v>40</v>
      </c>
      <c r="M2680" t="s">
        <v>38</v>
      </c>
      <c r="N2680" t="s">
        <v>38</v>
      </c>
      <c r="O2680" t="s">
        <v>40</v>
      </c>
      <c r="P2680" t="s">
        <v>38</v>
      </c>
      <c r="Q2680" t="s">
        <v>38</v>
      </c>
      <c r="R2680" t="s">
        <v>40</v>
      </c>
      <c r="S2680" t="s">
        <v>4197</v>
      </c>
      <c r="T2680" t="s">
        <v>9427</v>
      </c>
      <c r="U2680" t="s">
        <v>9148</v>
      </c>
      <c r="V2680" t="s">
        <v>9093</v>
      </c>
      <c r="W2680" t="s">
        <v>9094</v>
      </c>
      <c r="Z2680" t="s">
        <v>46</v>
      </c>
      <c r="AA2680" t="s">
        <v>9235</v>
      </c>
      <c r="AC2680">
        <f>COUNTIF(C:C,QLKV_gui_ket_qua_ra_soat[[#This Row],[Mã điểm bán]])</f>
        <v>1</v>
      </c>
    </row>
    <row r="2681" spans="1:29" x14ac:dyDescent="0.45">
      <c r="A2681" t="s">
        <v>9088</v>
      </c>
      <c r="B2681">
        <v>912</v>
      </c>
      <c r="C2681" t="s">
        <v>9602</v>
      </c>
      <c r="D2681" t="s">
        <v>9603</v>
      </c>
      <c r="E2681" t="s">
        <v>9604</v>
      </c>
      <c r="F2681" t="s">
        <v>53</v>
      </c>
      <c r="G2681" t="s">
        <v>34</v>
      </c>
      <c r="H2681" t="s">
        <v>917</v>
      </c>
      <c r="I2681" t="s">
        <v>2049</v>
      </c>
      <c r="J2681" t="s">
        <v>38</v>
      </c>
      <c r="K2681" t="s">
        <v>38</v>
      </c>
      <c r="L2681" t="s">
        <v>40</v>
      </c>
      <c r="M2681" t="s">
        <v>38</v>
      </c>
      <c r="N2681" t="s">
        <v>38</v>
      </c>
      <c r="O2681" t="s">
        <v>40</v>
      </c>
      <c r="P2681" t="s">
        <v>38</v>
      </c>
      <c r="Q2681" t="s">
        <v>38</v>
      </c>
      <c r="R2681" t="s">
        <v>40</v>
      </c>
      <c r="S2681" t="s">
        <v>41</v>
      </c>
      <c r="T2681" t="s">
        <v>9099</v>
      </c>
      <c r="U2681" t="s">
        <v>9100</v>
      </c>
      <c r="V2681" t="s">
        <v>9093</v>
      </c>
      <c r="W2681" t="s">
        <v>9101</v>
      </c>
      <c r="X2681" t="s">
        <v>46</v>
      </c>
      <c r="AC2681">
        <f>COUNTIF(C:C,QLKV_gui_ket_qua_ra_soat[[#This Row],[Mã điểm bán]])</f>
        <v>1</v>
      </c>
    </row>
    <row r="2682" spans="1:29" x14ac:dyDescent="0.45">
      <c r="A2682" t="s">
        <v>9088</v>
      </c>
      <c r="B2682">
        <v>916</v>
      </c>
      <c r="C2682" t="s">
        <v>9605</v>
      </c>
      <c r="D2682" t="s">
        <v>9606</v>
      </c>
      <c r="E2682" t="s">
        <v>9607</v>
      </c>
      <c r="F2682" t="s">
        <v>325</v>
      </c>
      <c r="G2682" t="s">
        <v>34</v>
      </c>
      <c r="H2682" t="s">
        <v>214</v>
      </c>
      <c r="I2682" t="s">
        <v>9224</v>
      </c>
      <c r="J2682" t="s">
        <v>38</v>
      </c>
      <c r="K2682" t="s">
        <v>38</v>
      </c>
      <c r="L2682" t="s">
        <v>39</v>
      </c>
      <c r="M2682" t="s">
        <v>37</v>
      </c>
      <c r="N2682" t="s">
        <v>37</v>
      </c>
      <c r="O2682" t="s">
        <v>39</v>
      </c>
      <c r="P2682" t="s">
        <v>38</v>
      </c>
      <c r="Q2682" t="s">
        <v>38</v>
      </c>
      <c r="R2682" t="s">
        <v>39</v>
      </c>
      <c r="S2682" t="s">
        <v>41</v>
      </c>
      <c r="T2682" t="s">
        <v>9225</v>
      </c>
      <c r="U2682" t="s">
        <v>9226</v>
      </c>
      <c r="V2682" t="s">
        <v>9093</v>
      </c>
      <c r="W2682" t="s">
        <v>9227</v>
      </c>
      <c r="Z2682" t="s">
        <v>46</v>
      </c>
      <c r="AA2682" t="s">
        <v>9235</v>
      </c>
      <c r="AC2682">
        <f>COUNTIF(C:C,QLKV_gui_ket_qua_ra_soat[[#This Row],[Mã điểm bán]])</f>
        <v>1</v>
      </c>
    </row>
    <row r="2683" spans="1:29" x14ac:dyDescent="0.45">
      <c r="A2683" t="s">
        <v>9088</v>
      </c>
      <c r="B2683">
        <v>927</v>
      </c>
      <c r="C2683" t="s">
        <v>9608</v>
      </c>
      <c r="D2683" t="s">
        <v>9609</v>
      </c>
      <c r="E2683" t="s">
        <v>9610</v>
      </c>
      <c r="F2683" t="s">
        <v>53</v>
      </c>
      <c r="G2683" t="s">
        <v>34</v>
      </c>
      <c r="H2683" t="s">
        <v>54</v>
      </c>
      <c r="I2683" t="s">
        <v>9611</v>
      </c>
      <c r="J2683" t="s">
        <v>38</v>
      </c>
      <c r="K2683" t="s">
        <v>38</v>
      </c>
      <c r="L2683" t="s">
        <v>40</v>
      </c>
      <c r="M2683" t="s">
        <v>38</v>
      </c>
      <c r="N2683" t="s">
        <v>38</v>
      </c>
      <c r="O2683" t="s">
        <v>40</v>
      </c>
      <c r="P2683" t="s">
        <v>38</v>
      </c>
      <c r="Q2683" t="s">
        <v>38</v>
      </c>
      <c r="R2683" t="s">
        <v>40</v>
      </c>
      <c r="S2683" t="s">
        <v>4197</v>
      </c>
      <c r="T2683" t="s">
        <v>9427</v>
      </c>
      <c r="U2683" t="s">
        <v>9469</v>
      </c>
      <c r="V2683" t="s">
        <v>9093</v>
      </c>
      <c r="W2683" t="s">
        <v>9094</v>
      </c>
      <c r="Z2683" t="s">
        <v>46</v>
      </c>
      <c r="AA2683" t="s">
        <v>9235</v>
      </c>
      <c r="AC2683">
        <f>COUNTIF(C:C,QLKV_gui_ket_qua_ra_soat[[#This Row],[Mã điểm bán]])</f>
        <v>1</v>
      </c>
    </row>
    <row r="2684" spans="1:29" x14ac:dyDescent="0.45">
      <c r="A2684" t="s">
        <v>9088</v>
      </c>
      <c r="B2684">
        <v>928</v>
      </c>
      <c r="C2684" t="s">
        <v>9612</v>
      </c>
      <c r="D2684" t="s">
        <v>9613</v>
      </c>
      <c r="E2684" t="s">
        <v>9614</v>
      </c>
      <c r="F2684" t="s">
        <v>325</v>
      </c>
      <c r="G2684" t="s">
        <v>34</v>
      </c>
      <c r="H2684" t="s">
        <v>214</v>
      </c>
      <c r="I2684" t="s">
        <v>9224</v>
      </c>
      <c r="J2684" t="s">
        <v>38</v>
      </c>
      <c r="K2684" t="s">
        <v>38</v>
      </c>
      <c r="L2684" t="s">
        <v>39</v>
      </c>
      <c r="M2684" t="s">
        <v>37</v>
      </c>
      <c r="N2684" t="s">
        <v>37</v>
      </c>
      <c r="O2684" t="s">
        <v>39</v>
      </c>
      <c r="P2684" t="s">
        <v>38</v>
      </c>
      <c r="Q2684" t="s">
        <v>38</v>
      </c>
      <c r="R2684" t="s">
        <v>39</v>
      </c>
      <c r="S2684" t="s">
        <v>41</v>
      </c>
      <c r="T2684" t="s">
        <v>9225</v>
      </c>
      <c r="U2684" t="s">
        <v>9226</v>
      </c>
      <c r="V2684" t="s">
        <v>9093</v>
      </c>
      <c r="W2684" t="s">
        <v>9227</v>
      </c>
      <c r="Z2684" t="s">
        <v>46</v>
      </c>
      <c r="AA2684" t="s">
        <v>9095</v>
      </c>
      <c r="AC2684">
        <f>COUNTIF(C:C,QLKV_gui_ket_qua_ra_soat[[#This Row],[Mã điểm bán]])</f>
        <v>1</v>
      </c>
    </row>
    <row r="2685" spans="1:29" x14ac:dyDescent="0.45">
      <c r="A2685" t="s">
        <v>9088</v>
      </c>
      <c r="B2685">
        <v>932</v>
      </c>
      <c r="C2685" t="s">
        <v>9615</v>
      </c>
      <c r="D2685" t="s">
        <v>9616</v>
      </c>
      <c r="E2685" t="s">
        <v>9571</v>
      </c>
      <c r="F2685" t="s">
        <v>53</v>
      </c>
      <c r="G2685" t="s">
        <v>34</v>
      </c>
      <c r="H2685" t="s">
        <v>54</v>
      </c>
      <c r="I2685" t="s">
        <v>9618</v>
      </c>
      <c r="J2685" t="s">
        <v>38</v>
      </c>
      <c r="K2685" t="s">
        <v>38</v>
      </c>
      <c r="L2685" t="s">
        <v>40</v>
      </c>
      <c r="M2685" t="s">
        <v>38</v>
      </c>
      <c r="N2685" t="s">
        <v>38</v>
      </c>
      <c r="O2685" t="s">
        <v>40</v>
      </c>
      <c r="P2685" t="s">
        <v>38</v>
      </c>
      <c r="Q2685" t="s">
        <v>38</v>
      </c>
      <c r="R2685" t="s">
        <v>40</v>
      </c>
      <c r="S2685" t="s">
        <v>9619</v>
      </c>
      <c r="T2685" t="s">
        <v>9427</v>
      </c>
      <c r="U2685" t="s">
        <v>9148</v>
      </c>
      <c r="V2685" t="s">
        <v>9093</v>
      </c>
      <c r="W2685" t="s">
        <v>9094</v>
      </c>
      <c r="Z2685" t="s">
        <v>46</v>
      </c>
      <c r="AA2685" t="s">
        <v>9235</v>
      </c>
      <c r="AC2685">
        <f>COUNTIF(C:C,QLKV_gui_ket_qua_ra_soat[[#This Row],[Mã điểm bán]])</f>
        <v>1</v>
      </c>
    </row>
    <row r="2686" spans="1:29" x14ac:dyDescent="0.45">
      <c r="A2686" t="s">
        <v>9088</v>
      </c>
      <c r="B2686">
        <v>934</v>
      </c>
      <c r="C2686" t="s">
        <v>9620</v>
      </c>
      <c r="D2686" t="s">
        <v>9621</v>
      </c>
      <c r="E2686" t="s">
        <v>9622</v>
      </c>
      <c r="F2686" t="s">
        <v>115</v>
      </c>
      <c r="G2686" t="s">
        <v>34</v>
      </c>
      <c r="H2686" t="s">
        <v>54</v>
      </c>
      <c r="I2686" t="s">
        <v>9623</v>
      </c>
      <c r="J2686" t="s">
        <v>38</v>
      </c>
      <c r="K2686" t="s">
        <v>38</v>
      </c>
      <c r="L2686" t="s">
        <v>40</v>
      </c>
      <c r="M2686" t="s">
        <v>38</v>
      </c>
      <c r="N2686" t="s">
        <v>38</v>
      </c>
      <c r="O2686" t="s">
        <v>40</v>
      </c>
      <c r="P2686" t="s">
        <v>38</v>
      </c>
      <c r="Q2686" t="s">
        <v>38</v>
      </c>
      <c r="R2686" t="s">
        <v>40</v>
      </c>
      <c r="S2686" t="s">
        <v>4197</v>
      </c>
      <c r="T2686" t="s">
        <v>9427</v>
      </c>
      <c r="U2686" t="s">
        <v>9148</v>
      </c>
      <c r="V2686" t="s">
        <v>9093</v>
      </c>
      <c r="W2686" t="s">
        <v>9094</v>
      </c>
      <c r="Z2686" t="s">
        <v>46</v>
      </c>
      <c r="AA2686" t="s">
        <v>9235</v>
      </c>
      <c r="AC2686">
        <f>COUNTIF(C:C,QLKV_gui_ket_qua_ra_soat[[#This Row],[Mã điểm bán]])</f>
        <v>1</v>
      </c>
    </row>
    <row r="2687" spans="1:29" x14ac:dyDescent="0.45">
      <c r="A2687" t="s">
        <v>9088</v>
      </c>
      <c r="B2687">
        <v>938</v>
      </c>
      <c r="C2687" t="s">
        <v>9624</v>
      </c>
      <c r="D2687" t="s">
        <v>9625</v>
      </c>
      <c r="E2687" t="s">
        <v>9626</v>
      </c>
      <c r="F2687" t="s">
        <v>115</v>
      </c>
      <c r="G2687" t="s">
        <v>34</v>
      </c>
      <c r="H2687" t="s">
        <v>171</v>
      </c>
      <c r="I2687" t="s">
        <v>2049</v>
      </c>
      <c r="J2687" t="s">
        <v>38</v>
      </c>
      <c r="K2687" t="s">
        <v>38</v>
      </c>
      <c r="L2687" t="s">
        <v>40</v>
      </c>
      <c r="M2687" t="s">
        <v>38</v>
      </c>
      <c r="N2687" t="s">
        <v>38</v>
      </c>
      <c r="O2687" t="s">
        <v>40</v>
      </c>
      <c r="P2687" t="s">
        <v>38</v>
      </c>
      <c r="Q2687" t="s">
        <v>38</v>
      </c>
      <c r="R2687" t="s">
        <v>40</v>
      </c>
      <c r="S2687" t="s">
        <v>41</v>
      </c>
      <c r="T2687" t="s">
        <v>9099</v>
      </c>
      <c r="U2687" t="s">
        <v>9100</v>
      </c>
      <c r="V2687" t="s">
        <v>9093</v>
      </c>
      <c r="W2687" t="s">
        <v>9101</v>
      </c>
      <c r="Z2687" t="s">
        <v>46</v>
      </c>
      <c r="AA2687" t="s">
        <v>9119</v>
      </c>
      <c r="AC2687">
        <f>COUNTIF(C:C,QLKV_gui_ket_qua_ra_soat[[#This Row],[Mã điểm bán]])</f>
        <v>1</v>
      </c>
    </row>
    <row r="2688" spans="1:29" x14ac:dyDescent="0.45">
      <c r="A2688" t="s">
        <v>9088</v>
      </c>
      <c r="B2688">
        <v>943</v>
      </c>
      <c r="C2688" t="s">
        <v>9627</v>
      </c>
      <c r="D2688" t="s">
        <v>9628</v>
      </c>
      <c r="E2688" t="s">
        <v>9256</v>
      </c>
      <c r="F2688" t="s">
        <v>53</v>
      </c>
      <c r="G2688" t="s">
        <v>34</v>
      </c>
      <c r="H2688" t="s">
        <v>54</v>
      </c>
      <c r="I2688" t="s">
        <v>9629</v>
      </c>
      <c r="J2688" t="s">
        <v>38</v>
      </c>
      <c r="K2688" t="s">
        <v>38</v>
      </c>
      <c r="L2688" t="s">
        <v>40</v>
      </c>
      <c r="M2688" t="s">
        <v>38</v>
      </c>
      <c r="N2688" t="s">
        <v>38</v>
      </c>
      <c r="O2688" t="s">
        <v>40</v>
      </c>
      <c r="P2688" t="s">
        <v>38</v>
      </c>
      <c r="Q2688" t="s">
        <v>38</v>
      </c>
      <c r="R2688" t="s">
        <v>40</v>
      </c>
      <c r="S2688" t="s">
        <v>4197</v>
      </c>
      <c r="T2688" t="s">
        <v>9427</v>
      </c>
      <c r="U2688" t="s">
        <v>9148</v>
      </c>
      <c r="V2688" t="s">
        <v>9093</v>
      </c>
      <c r="W2688" t="s">
        <v>9094</v>
      </c>
      <c r="Z2688" t="s">
        <v>46</v>
      </c>
      <c r="AA2688" t="s">
        <v>9235</v>
      </c>
      <c r="AC2688">
        <f>COUNTIF(C:C,QLKV_gui_ket_qua_ra_soat[[#This Row],[Mã điểm bán]])</f>
        <v>1</v>
      </c>
    </row>
    <row r="2689" spans="1:29" x14ac:dyDescent="0.45">
      <c r="A2689" t="s">
        <v>9088</v>
      </c>
      <c r="B2689">
        <v>958</v>
      </c>
      <c r="C2689" t="s">
        <v>9630</v>
      </c>
      <c r="D2689" t="s">
        <v>9631</v>
      </c>
      <c r="E2689" t="s">
        <v>9632</v>
      </c>
      <c r="F2689" t="s">
        <v>9361</v>
      </c>
      <c r="G2689" t="s">
        <v>34</v>
      </c>
      <c r="H2689" t="s">
        <v>54</v>
      </c>
      <c r="I2689" t="s">
        <v>9633</v>
      </c>
      <c r="J2689" t="s">
        <v>38</v>
      </c>
      <c r="K2689" t="s">
        <v>38</v>
      </c>
      <c r="L2689" t="s">
        <v>40</v>
      </c>
      <c r="M2689" t="s">
        <v>38</v>
      </c>
      <c r="N2689" t="s">
        <v>38</v>
      </c>
      <c r="O2689" t="s">
        <v>40</v>
      </c>
      <c r="P2689" t="s">
        <v>38</v>
      </c>
      <c r="Q2689" t="s">
        <v>38</v>
      </c>
      <c r="R2689" t="s">
        <v>40</v>
      </c>
      <c r="S2689" t="s">
        <v>4197</v>
      </c>
      <c r="T2689" t="s">
        <v>9427</v>
      </c>
      <c r="U2689" t="s">
        <v>9469</v>
      </c>
      <c r="V2689" t="s">
        <v>9093</v>
      </c>
      <c r="W2689" t="s">
        <v>9094</v>
      </c>
      <c r="Z2689" t="s">
        <v>46</v>
      </c>
      <c r="AA2689" t="s">
        <v>9235</v>
      </c>
      <c r="AC2689">
        <f>COUNTIF(C:C,QLKV_gui_ket_qua_ra_soat[[#This Row],[Mã điểm bán]])</f>
        <v>1</v>
      </c>
    </row>
    <row r="2690" spans="1:29" x14ac:dyDescent="0.45">
      <c r="A2690" t="s">
        <v>9088</v>
      </c>
      <c r="B2690">
        <v>982</v>
      </c>
      <c r="C2690" t="s">
        <v>9634</v>
      </c>
      <c r="D2690" t="s">
        <v>9635</v>
      </c>
      <c r="E2690" t="s">
        <v>9636</v>
      </c>
      <c r="F2690" t="s">
        <v>9637</v>
      </c>
      <c r="G2690" t="s">
        <v>34</v>
      </c>
      <c r="H2690" t="s">
        <v>863</v>
      </c>
      <c r="I2690" t="s">
        <v>9638</v>
      </c>
      <c r="J2690" t="s">
        <v>38</v>
      </c>
      <c r="K2690" t="s">
        <v>38</v>
      </c>
      <c r="L2690" t="s">
        <v>39</v>
      </c>
      <c r="M2690" t="s">
        <v>37</v>
      </c>
      <c r="N2690" t="s">
        <v>37</v>
      </c>
      <c r="O2690" t="s">
        <v>39</v>
      </c>
      <c r="P2690" t="s">
        <v>38</v>
      </c>
      <c r="Q2690" t="s">
        <v>37</v>
      </c>
      <c r="R2690" t="s">
        <v>39</v>
      </c>
      <c r="S2690" t="s">
        <v>41</v>
      </c>
      <c r="T2690" t="s">
        <v>9312</v>
      </c>
      <c r="U2690" t="s">
        <v>9313</v>
      </c>
      <c r="V2690" t="s">
        <v>9093</v>
      </c>
      <c r="W2690" t="s">
        <v>9131</v>
      </c>
      <c r="Z2690" t="s">
        <v>46</v>
      </c>
      <c r="AA2690" t="s">
        <v>9160</v>
      </c>
      <c r="AC2690">
        <f>COUNTIF(C:C,QLKV_gui_ket_qua_ra_soat[[#This Row],[Mã điểm bán]])</f>
        <v>1</v>
      </c>
    </row>
    <row r="2691" spans="1:29" x14ac:dyDescent="0.45">
      <c r="A2691" t="s">
        <v>9088</v>
      </c>
      <c r="B2691">
        <v>985</v>
      </c>
      <c r="C2691" t="s">
        <v>9639</v>
      </c>
      <c r="D2691" t="s">
        <v>9640</v>
      </c>
      <c r="E2691" t="s">
        <v>2379</v>
      </c>
      <c r="F2691" t="s">
        <v>53</v>
      </c>
      <c r="G2691" t="s">
        <v>34</v>
      </c>
      <c r="H2691" t="s">
        <v>1188</v>
      </c>
      <c r="I2691" t="s">
        <v>9641</v>
      </c>
      <c r="J2691" t="s">
        <v>37</v>
      </c>
      <c r="K2691" t="s">
        <v>37</v>
      </c>
      <c r="L2691" t="s">
        <v>39</v>
      </c>
      <c r="M2691" t="s">
        <v>37</v>
      </c>
      <c r="N2691" t="s">
        <v>37</v>
      </c>
      <c r="O2691" t="s">
        <v>39</v>
      </c>
      <c r="P2691" t="s">
        <v>38</v>
      </c>
      <c r="Q2691" t="s">
        <v>38</v>
      </c>
      <c r="R2691" t="s">
        <v>40</v>
      </c>
      <c r="S2691" t="s">
        <v>41</v>
      </c>
      <c r="T2691" t="s">
        <v>9147</v>
      </c>
      <c r="U2691" t="s">
        <v>9148</v>
      </c>
      <c r="V2691" t="s">
        <v>9093</v>
      </c>
      <c r="W2691" t="s">
        <v>9094</v>
      </c>
      <c r="X2691" t="s">
        <v>46</v>
      </c>
      <c r="AC2691">
        <f>COUNTIF(C:C,QLKV_gui_ket_qua_ra_soat[[#This Row],[Mã điểm bán]])</f>
        <v>1</v>
      </c>
    </row>
    <row r="2692" spans="1:29" x14ac:dyDescent="0.45">
      <c r="A2692" t="s">
        <v>9088</v>
      </c>
      <c r="B2692">
        <v>998</v>
      </c>
      <c r="C2692" t="s">
        <v>9642</v>
      </c>
      <c r="D2692" t="s">
        <v>9643</v>
      </c>
      <c r="E2692" t="s">
        <v>157</v>
      </c>
      <c r="F2692" t="s">
        <v>53</v>
      </c>
      <c r="G2692" t="s">
        <v>177</v>
      </c>
      <c r="H2692" t="s">
        <v>8400</v>
      </c>
      <c r="I2692" t="s">
        <v>9434</v>
      </c>
      <c r="J2692" t="s">
        <v>38</v>
      </c>
      <c r="K2692" t="s">
        <v>38</v>
      </c>
      <c r="L2692" t="s">
        <v>40</v>
      </c>
      <c r="M2692" t="s">
        <v>37</v>
      </c>
      <c r="N2692" t="s">
        <v>37</v>
      </c>
      <c r="O2692" t="s">
        <v>39</v>
      </c>
      <c r="P2692" t="s">
        <v>38</v>
      </c>
      <c r="Q2692" t="s">
        <v>38</v>
      </c>
      <c r="R2692" t="s">
        <v>40</v>
      </c>
      <c r="S2692" t="s">
        <v>41</v>
      </c>
      <c r="T2692" t="s">
        <v>9199</v>
      </c>
      <c r="U2692" t="s">
        <v>9200</v>
      </c>
      <c r="V2692" t="s">
        <v>9093</v>
      </c>
      <c r="W2692" t="s">
        <v>9180</v>
      </c>
      <c r="Z2692" t="s">
        <v>46</v>
      </c>
      <c r="AA2692" t="s">
        <v>9119</v>
      </c>
      <c r="AC2692">
        <f>COUNTIF(C:C,QLKV_gui_ket_qua_ra_soat[[#This Row],[Mã điểm bán]])</f>
        <v>1</v>
      </c>
    </row>
    <row r="2693" spans="1:29" x14ac:dyDescent="0.45">
      <c r="A2693" t="s">
        <v>9088</v>
      </c>
      <c r="B2693">
        <v>1032</v>
      </c>
      <c r="C2693" t="s">
        <v>9644</v>
      </c>
      <c r="D2693" t="s">
        <v>9645</v>
      </c>
      <c r="E2693" t="s">
        <v>9646</v>
      </c>
      <c r="F2693" t="s">
        <v>53</v>
      </c>
      <c r="G2693" t="s">
        <v>177</v>
      </c>
      <c r="H2693" t="s">
        <v>192</v>
      </c>
      <c r="I2693" t="s">
        <v>1838</v>
      </c>
      <c r="J2693" t="s">
        <v>38</v>
      </c>
      <c r="K2693" t="s">
        <v>38</v>
      </c>
      <c r="L2693" t="s">
        <v>40</v>
      </c>
      <c r="M2693" t="s">
        <v>38</v>
      </c>
      <c r="N2693" t="s">
        <v>38</v>
      </c>
      <c r="O2693" t="s">
        <v>39</v>
      </c>
      <c r="P2693" t="s">
        <v>38</v>
      </c>
      <c r="Q2693" t="s">
        <v>38</v>
      </c>
      <c r="R2693" t="s">
        <v>39</v>
      </c>
      <c r="S2693" t="s">
        <v>9647</v>
      </c>
      <c r="T2693" t="s">
        <v>9648</v>
      </c>
      <c r="U2693" t="s">
        <v>9649</v>
      </c>
      <c r="V2693" t="s">
        <v>9093</v>
      </c>
      <c r="W2693" t="s">
        <v>9101</v>
      </c>
      <c r="Z2693" t="s">
        <v>46</v>
      </c>
      <c r="AA2693" t="s">
        <v>9119</v>
      </c>
      <c r="AC2693">
        <f>COUNTIF(C:C,QLKV_gui_ket_qua_ra_soat[[#This Row],[Mã điểm bán]])</f>
        <v>1</v>
      </c>
    </row>
    <row r="2694" spans="1:29" x14ac:dyDescent="0.45">
      <c r="A2694" t="s">
        <v>9088</v>
      </c>
      <c r="B2694">
        <v>1033</v>
      </c>
      <c r="C2694" t="s">
        <v>9650</v>
      </c>
      <c r="D2694" t="s">
        <v>9651</v>
      </c>
      <c r="E2694" t="s">
        <v>431</v>
      </c>
      <c r="F2694" t="s">
        <v>53</v>
      </c>
      <c r="G2694" t="s">
        <v>177</v>
      </c>
      <c r="H2694" t="s">
        <v>54</v>
      </c>
      <c r="I2694" t="s">
        <v>9652</v>
      </c>
      <c r="J2694" t="s">
        <v>38</v>
      </c>
      <c r="K2694" t="s">
        <v>38</v>
      </c>
      <c r="L2694" t="s">
        <v>40</v>
      </c>
      <c r="M2694" t="s">
        <v>38</v>
      </c>
      <c r="N2694" t="s">
        <v>38</v>
      </c>
      <c r="O2694" t="s">
        <v>40</v>
      </c>
      <c r="P2694" t="s">
        <v>38</v>
      </c>
      <c r="Q2694" t="s">
        <v>38</v>
      </c>
      <c r="R2694" t="s">
        <v>39</v>
      </c>
      <c r="S2694" t="s">
        <v>9653</v>
      </c>
      <c r="T2694" t="s">
        <v>9648</v>
      </c>
      <c r="U2694" t="s">
        <v>9649</v>
      </c>
      <c r="V2694" t="s">
        <v>9093</v>
      </c>
      <c r="W2694" t="s">
        <v>9101</v>
      </c>
      <c r="Z2694" t="s">
        <v>46</v>
      </c>
      <c r="AA2694" t="s">
        <v>9119</v>
      </c>
      <c r="AC2694">
        <f>COUNTIF(C:C,QLKV_gui_ket_qua_ra_soat[[#This Row],[Mã điểm bán]])</f>
        <v>1</v>
      </c>
    </row>
    <row r="2695" spans="1:29" x14ac:dyDescent="0.45">
      <c r="A2695" t="s">
        <v>9088</v>
      </c>
      <c r="B2695">
        <v>1060</v>
      </c>
      <c r="C2695" t="s">
        <v>9654</v>
      </c>
      <c r="D2695" t="s">
        <v>9655</v>
      </c>
      <c r="E2695" t="s">
        <v>68</v>
      </c>
      <c r="F2695" t="s">
        <v>401</v>
      </c>
      <c r="G2695" t="s">
        <v>34</v>
      </c>
      <c r="H2695" t="s">
        <v>1280</v>
      </c>
      <c r="I2695" t="s">
        <v>6672</v>
      </c>
      <c r="J2695" t="s">
        <v>41</v>
      </c>
      <c r="K2695" t="s">
        <v>41</v>
      </c>
      <c r="L2695" t="s">
        <v>41</v>
      </c>
      <c r="M2695" t="s">
        <v>41</v>
      </c>
      <c r="N2695" t="s">
        <v>41</v>
      </c>
      <c r="O2695" t="s">
        <v>41</v>
      </c>
      <c r="P2695" t="s">
        <v>41</v>
      </c>
      <c r="Q2695" t="s">
        <v>41</v>
      </c>
      <c r="R2695" t="s">
        <v>41</v>
      </c>
      <c r="S2695" t="s">
        <v>41</v>
      </c>
      <c r="T2695" t="s">
        <v>9147</v>
      </c>
      <c r="U2695" t="s">
        <v>9148</v>
      </c>
      <c r="V2695" t="s">
        <v>9093</v>
      </c>
      <c r="W2695" t="s">
        <v>9094</v>
      </c>
      <c r="X2695" t="s">
        <v>46</v>
      </c>
      <c r="AC2695">
        <f>COUNTIF(C:C,QLKV_gui_ket_qua_ra_soat[[#This Row],[Mã điểm bán]])</f>
        <v>1</v>
      </c>
    </row>
    <row r="2696" spans="1:29" x14ac:dyDescent="0.45">
      <c r="A2696" t="s">
        <v>9088</v>
      </c>
      <c r="B2696">
        <v>1083</v>
      </c>
      <c r="C2696" t="s">
        <v>9656</v>
      </c>
      <c r="D2696" t="s">
        <v>9657</v>
      </c>
      <c r="E2696" t="s">
        <v>4274</v>
      </c>
      <c r="F2696" t="s">
        <v>4406</v>
      </c>
      <c r="G2696" t="s">
        <v>34</v>
      </c>
      <c r="H2696" t="s">
        <v>1483</v>
      </c>
      <c r="I2696" t="s">
        <v>9658</v>
      </c>
      <c r="J2696" t="s">
        <v>38</v>
      </c>
      <c r="K2696" t="s">
        <v>38</v>
      </c>
      <c r="L2696" t="s">
        <v>39</v>
      </c>
      <c r="M2696" t="s">
        <v>37</v>
      </c>
      <c r="N2696" t="s">
        <v>37</v>
      </c>
      <c r="O2696" t="s">
        <v>39</v>
      </c>
      <c r="P2696" t="s">
        <v>38</v>
      </c>
      <c r="Q2696" t="s">
        <v>37</v>
      </c>
      <c r="R2696" t="s">
        <v>39</v>
      </c>
      <c r="S2696" t="s">
        <v>41</v>
      </c>
      <c r="T2696" t="s">
        <v>9312</v>
      </c>
      <c r="U2696" t="s">
        <v>9313</v>
      </c>
      <c r="V2696" t="s">
        <v>9093</v>
      </c>
      <c r="W2696" t="s">
        <v>9131</v>
      </c>
      <c r="X2696" t="s">
        <v>46</v>
      </c>
      <c r="AC2696">
        <f>COUNTIF(C:C,QLKV_gui_ket_qua_ra_soat[[#This Row],[Mã điểm bán]])</f>
        <v>1</v>
      </c>
    </row>
    <row r="2697" spans="1:29" x14ac:dyDescent="0.45">
      <c r="A2697" t="s">
        <v>9088</v>
      </c>
      <c r="B2697">
        <v>1098</v>
      </c>
      <c r="C2697" t="s">
        <v>9659</v>
      </c>
      <c r="D2697" t="s">
        <v>7780</v>
      </c>
      <c r="E2697" t="s">
        <v>297</v>
      </c>
      <c r="F2697" t="s">
        <v>417</v>
      </c>
      <c r="G2697" t="s">
        <v>177</v>
      </c>
      <c r="H2697" t="s">
        <v>54</v>
      </c>
      <c r="I2697" t="s">
        <v>9660</v>
      </c>
      <c r="J2697" t="s">
        <v>38</v>
      </c>
      <c r="K2697" t="s">
        <v>38</v>
      </c>
      <c r="L2697" t="s">
        <v>40</v>
      </c>
      <c r="M2697" t="s">
        <v>38</v>
      </c>
      <c r="N2697" t="s">
        <v>38</v>
      </c>
      <c r="O2697" t="s">
        <v>40</v>
      </c>
      <c r="P2697" t="s">
        <v>38</v>
      </c>
      <c r="Q2697" t="s">
        <v>38</v>
      </c>
      <c r="R2697" t="s">
        <v>40</v>
      </c>
      <c r="S2697" t="s">
        <v>41</v>
      </c>
      <c r="T2697" t="s">
        <v>9129</v>
      </c>
      <c r="U2697" t="s">
        <v>9130</v>
      </c>
      <c r="V2697" t="s">
        <v>9093</v>
      </c>
      <c r="W2697" t="s">
        <v>9131</v>
      </c>
      <c r="X2697" t="s">
        <v>46</v>
      </c>
      <c r="AB2697" t="s">
        <v>117</v>
      </c>
      <c r="AC2697">
        <f>COUNTIF(C:C,QLKV_gui_ket_qua_ra_soat[[#This Row],[Mã điểm bán]])</f>
        <v>1</v>
      </c>
    </row>
    <row r="2698" spans="1:29" x14ac:dyDescent="0.45">
      <c r="A2698" t="s">
        <v>9088</v>
      </c>
      <c r="B2698">
        <v>1100</v>
      </c>
      <c r="C2698" t="s">
        <v>9661</v>
      </c>
      <c r="D2698" t="s">
        <v>9662</v>
      </c>
      <c r="E2698" t="s">
        <v>9663</v>
      </c>
      <c r="F2698" t="s">
        <v>53</v>
      </c>
      <c r="G2698" t="s">
        <v>34</v>
      </c>
      <c r="H2698" t="s">
        <v>54</v>
      </c>
      <c r="I2698" t="s">
        <v>9112</v>
      </c>
      <c r="J2698" t="s">
        <v>38</v>
      </c>
      <c r="K2698" t="s">
        <v>38</v>
      </c>
      <c r="L2698" t="s">
        <v>40</v>
      </c>
      <c r="M2698" t="s">
        <v>38</v>
      </c>
      <c r="N2698" t="s">
        <v>38</v>
      </c>
      <c r="O2698" t="s">
        <v>40</v>
      </c>
      <c r="P2698" t="s">
        <v>38</v>
      </c>
      <c r="Q2698" t="s">
        <v>38</v>
      </c>
      <c r="R2698" t="s">
        <v>40</v>
      </c>
      <c r="S2698" t="s">
        <v>41</v>
      </c>
      <c r="T2698" t="s">
        <v>9099</v>
      </c>
      <c r="U2698" t="s">
        <v>9100</v>
      </c>
      <c r="V2698" t="s">
        <v>9093</v>
      </c>
      <c r="W2698" t="s">
        <v>9101</v>
      </c>
      <c r="X2698" t="s">
        <v>46</v>
      </c>
      <c r="AC2698">
        <f>COUNTIF(C:C,QLKV_gui_ket_qua_ra_soat[[#This Row],[Mã điểm bán]])</f>
        <v>1</v>
      </c>
    </row>
    <row r="2699" spans="1:29" x14ac:dyDescent="0.45">
      <c r="A2699" t="s">
        <v>9088</v>
      </c>
      <c r="B2699">
        <v>1104</v>
      </c>
      <c r="C2699" t="s">
        <v>9664</v>
      </c>
      <c r="D2699" t="s">
        <v>9665</v>
      </c>
      <c r="E2699" t="s">
        <v>3357</v>
      </c>
      <c r="F2699" t="s">
        <v>9666</v>
      </c>
      <c r="G2699" t="s">
        <v>34</v>
      </c>
      <c r="H2699" t="s">
        <v>54</v>
      </c>
      <c r="I2699" t="s">
        <v>9667</v>
      </c>
      <c r="J2699" t="s">
        <v>37</v>
      </c>
      <c r="K2699" t="s">
        <v>37</v>
      </c>
      <c r="L2699" t="s">
        <v>39</v>
      </c>
      <c r="M2699" t="s">
        <v>37</v>
      </c>
      <c r="N2699" t="s">
        <v>37</v>
      </c>
      <c r="O2699" t="s">
        <v>39</v>
      </c>
      <c r="P2699" t="s">
        <v>38</v>
      </c>
      <c r="Q2699" t="s">
        <v>38</v>
      </c>
      <c r="R2699" t="s">
        <v>40</v>
      </c>
      <c r="S2699" t="s">
        <v>41</v>
      </c>
      <c r="T2699" t="s">
        <v>9147</v>
      </c>
      <c r="U2699" t="s">
        <v>9148</v>
      </c>
      <c r="V2699" t="s">
        <v>9093</v>
      </c>
      <c r="W2699" t="s">
        <v>9094</v>
      </c>
      <c r="X2699" t="s">
        <v>46</v>
      </c>
      <c r="AC2699">
        <f>COUNTIF(C:C,QLKV_gui_ket_qua_ra_soat[[#This Row],[Mã điểm bán]])</f>
        <v>1</v>
      </c>
    </row>
    <row r="2700" spans="1:29" x14ac:dyDescent="0.45">
      <c r="A2700" t="s">
        <v>9088</v>
      </c>
      <c r="B2700">
        <v>1132</v>
      </c>
      <c r="C2700" t="s">
        <v>9668</v>
      </c>
      <c r="D2700" t="s">
        <v>9669</v>
      </c>
      <c r="E2700" t="s">
        <v>9670</v>
      </c>
      <c r="F2700" t="s">
        <v>53</v>
      </c>
      <c r="G2700" t="s">
        <v>34</v>
      </c>
      <c r="H2700" t="s">
        <v>834</v>
      </c>
      <c r="I2700" t="s">
        <v>9671</v>
      </c>
      <c r="J2700" t="s">
        <v>38</v>
      </c>
      <c r="K2700" t="s">
        <v>38</v>
      </c>
      <c r="L2700" t="s">
        <v>40</v>
      </c>
      <c r="M2700" t="s">
        <v>38</v>
      </c>
      <c r="N2700" t="s">
        <v>38</v>
      </c>
      <c r="O2700" t="s">
        <v>40</v>
      </c>
      <c r="P2700" t="s">
        <v>38</v>
      </c>
      <c r="Q2700" t="s">
        <v>38</v>
      </c>
      <c r="R2700" t="s">
        <v>40</v>
      </c>
      <c r="S2700" t="s">
        <v>41</v>
      </c>
      <c r="T2700" t="s">
        <v>9099</v>
      </c>
      <c r="U2700" t="s">
        <v>9100</v>
      </c>
      <c r="V2700" t="s">
        <v>9093</v>
      </c>
      <c r="W2700" t="s">
        <v>9101</v>
      </c>
      <c r="Z2700" t="s">
        <v>46</v>
      </c>
      <c r="AA2700" t="s">
        <v>9119</v>
      </c>
      <c r="AC2700">
        <f>COUNTIF(C:C,QLKV_gui_ket_qua_ra_soat[[#This Row],[Mã điểm bán]])</f>
        <v>1</v>
      </c>
    </row>
    <row r="2701" spans="1:29" x14ac:dyDescent="0.45">
      <c r="A2701" t="s">
        <v>9088</v>
      </c>
      <c r="B2701">
        <v>1174</v>
      </c>
      <c r="C2701" t="s">
        <v>9672</v>
      </c>
      <c r="D2701" t="s">
        <v>8227</v>
      </c>
      <c r="E2701" t="s">
        <v>515</v>
      </c>
      <c r="F2701" t="s">
        <v>53</v>
      </c>
      <c r="G2701" t="s">
        <v>177</v>
      </c>
      <c r="H2701" t="s">
        <v>54</v>
      </c>
      <c r="I2701" t="s">
        <v>4639</v>
      </c>
      <c r="J2701" t="s">
        <v>38</v>
      </c>
      <c r="K2701" t="s">
        <v>38</v>
      </c>
      <c r="L2701" t="s">
        <v>39</v>
      </c>
      <c r="M2701" t="s">
        <v>38</v>
      </c>
      <c r="N2701" t="s">
        <v>38</v>
      </c>
      <c r="O2701" t="s">
        <v>39</v>
      </c>
      <c r="P2701" t="s">
        <v>38</v>
      </c>
      <c r="Q2701" t="s">
        <v>38</v>
      </c>
      <c r="R2701" t="s">
        <v>39</v>
      </c>
      <c r="S2701" t="s">
        <v>9673</v>
      </c>
      <c r="T2701" t="s">
        <v>9158</v>
      </c>
      <c r="U2701" t="s">
        <v>9159</v>
      </c>
      <c r="V2701" t="s">
        <v>9093</v>
      </c>
      <c r="W2701" t="s">
        <v>2978</v>
      </c>
      <c r="X2701" t="s">
        <v>46</v>
      </c>
      <c r="AC2701">
        <f>COUNTIF(C:C,QLKV_gui_ket_qua_ra_soat[[#This Row],[Mã điểm bán]])</f>
        <v>1</v>
      </c>
    </row>
    <row r="2702" spans="1:29" x14ac:dyDescent="0.45">
      <c r="A2702" t="s">
        <v>9088</v>
      </c>
      <c r="B2702">
        <v>1175</v>
      </c>
      <c r="C2702" t="s">
        <v>9674</v>
      </c>
      <c r="D2702" t="s">
        <v>4678</v>
      </c>
      <c r="E2702" t="s">
        <v>9675</v>
      </c>
      <c r="F2702" t="s">
        <v>401</v>
      </c>
      <c r="G2702" t="s">
        <v>34</v>
      </c>
      <c r="H2702" t="s">
        <v>54</v>
      </c>
      <c r="I2702" t="s">
        <v>9510</v>
      </c>
      <c r="J2702" t="s">
        <v>38</v>
      </c>
      <c r="K2702" t="s">
        <v>38</v>
      </c>
      <c r="L2702" t="s">
        <v>40</v>
      </c>
      <c r="M2702" t="s">
        <v>38</v>
      </c>
      <c r="N2702" t="s">
        <v>38</v>
      </c>
      <c r="O2702" t="s">
        <v>40</v>
      </c>
      <c r="P2702" t="s">
        <v>38</v>
      </c>
      <c r="Q2702" t="s">
        <v>38</v>
      </c>
      <c r="R2702" t="s">
        <v>40</v>
      </c>
      <c r="S2702" t="s">
        <v>41</v>
      </c>
      <c r="T2702" t="s">
        <v>9099</v>
      </c>
      <c r="U2702" t="s">
        <v>9100</v>
      </c>
      <c r="V2702" t="s">
        <v>9093</v>
      </c>
      <c r="W2702" t="s">
        <v>9101</v>
      </c>
      <c r="X2702" t="s">
        <v>46</v>
      </c>
      <c r="AC2702">
        <f>COUNTIF(C:C,QLKV_gui_ket_qua_ra_soat[[#This Row],[Mã điểm bán]])</f>
        <v>1</v>
      </c>
    </row>
    <row r="2703" spans="1:29" x14ac:dyDescent="0.45">
      <c r="A2703" t="s">
        <v>9088</v>
      </c>
      <c r="B2703">
        <v>1195</v>
      </c>
      <c r="C2703" t="s">
        <v>9676</v>
      </c>
      <c r="D2703" t="s">
        <v>9677</v>
      </c>
      <c r="E2703" t="s">
        <v>9663</v>
      </c>
      <c r="F2703" t="s">
        <v>53</v>
      </c>
      <c r="G2703" t="s">
        <v>177</v>
      </c>
      <c r="H2703" t="s">
        <v>1731</v>
      </c>
      <c r="I2703" t="s">
        <v>9198</v>
      </c>
      <c r="J2703" t="s">
        <v>38</v>
      </c>
      <c r="K2703" t="s">
        <v>38</v>
      </c>
      <c r="L2703" t="s">
        <v>40</v>
      </c>
      <c r="M2703" t="s">
        <v>56</v>
      </c>
      <c r="N2703" t="s">
        <v>56</v>
      </c>
      <c r="O2703" t="s">
        <v>39</v>
      </c>
      <c r="P2703" t="s">
        <v>38</v>
      </c>
      <c r="Q2703" t="s">
        <v>38</v>
      </c>
      <c r="R2703" t="s">
        <v>40</v>
      </c>
      <c r="S2703" t="s">
        <v>41</v>
      </c>
      <c r="T2703" t="s">
        <v>9199</v>
      </c>
      <c r="U2703" t="s">
        <v>9200</v>
      </c>
      <c r="V2703" t="s">
        <v>9093</v>
      </c>
      <c r="W2703" t="s">
        <v>9180</v>
      </c>
      <c r="X2703" t="s">
        <v>46</v>
      </c>
      <c r="AC2703">
        <f>COUNTIF(C:C,QLKV_gui_ket_qua_ra_soat[[#This Row],[Mã điểm bán]])</f>
        <v>1</v>
      </c>
    </row>
    <row r="2704" spans="1:29" x14ac:dyDescent="0.45">
      <c r="A2704" t="s">
        <v>9088</v>
      </c>
      <c r="B2704">
        <v>1218</v>
      </c>
      <c r="C2704" t="s">
        <v>9678</v>
      </c>
      <c r="D2704" t="s">
        <v>9679</v>
      </c>
      <c r="E2704" t="s">
        <v>504</v>
      </c>
      <c r="F2704" t="s">
        <v>377</v>
      </c>
      <c r="G2704" t="s">
        <v>34</v>
      </c>
      <c r="H2704" t="s">
        <v>54</v>
      </c>
      <c r="I2704" t="s">
        <v>9680</v>
      </c>
      <c r="J2704" t="s">
        <v>37</v>
      </c>
      <c r="K2704" t="s">
        <v>38</v>
      </c>
      <c r="L2704" t="s">
        <v>39</v>
      </c>
      <c r="M2704" t="s">
        <v>38</v>
      </c>
      <c r="N2704" t="s">
        <v>37</v>
      </c>
      <c r="O2704" t="s">
        <v>39</v>
      </c>
      <c r="P2704" t="s">
        <v>38</v>
      </c>
      <c r="Q2704" t="s">
        <v>38</v>
      </c>
      <c r="R2704" t="s">
        <v>39</v>
      </c>
      <c r="S2704" t="s">
        <v>41</v>
      </c>
      <c r="T2704" t="s">
        <v>9312</v>
      </c>
      <c r="U2704" t="s">
        <v>9313</v>
      </c>
      <c r="V2704" t="s">
        <v>9093</v>
      </c>
      <c r="W2704" t="s">
        <v>9131</v>
      </c>
      <c r="X2704" t="s">
        <v>46</v>
      </c>
      <c r="AC2704">
        <f>COUNTIF(C:C,QLKV_gui_ket_qua_ra_soat[[#This Row],[Mã điểm bán]])</f>
        <v>1</v>
      </c>
    </row>
    <row r="2705" spans="1:29" x14ac:dyDescent="0.45">
      <c r="A2705" t="s">
        <v>9088</v>
      </c>
      <c r="B2705">
        <v>1246</v>
      </c>
      <c r="C2705" t="s">
        <v>9681</v>
      </c>
      <c r="D2705" t="s">
        <v>9682</v>
      </c>
      <c r="E2705" t="s">
        <v>176</v>
      </c>
      <c r="F2705" t="s">
        <v>478</v>
      </c>
      <c r="G2705" t="s">
        <v>177</v>
      </c>
      <c r="H2705" t="s">
        <v>54</v>
      </c>
      <c r="I2705" t="s">
        <v>9683</v>
      </c>
      <c r="J2705" t="s">
        <v>38</v>
      </c>
      <c r="K2705" t="s">
        <v>38</v>
      </c>
      <c r="L2705" t="s">
        <v>40</v>
      </c>
      <c r="M2705" t="s">
        <v>38</v>
      </c>
      <c r="N2705" t="s">
        <v>38</v>
      </c>
      <c r="O2705" t="s">
        <v>40</v>
      </c>
      <c r="P2705" t="s">
        <v>38</v>
      </c>
      <c r="Q2705" t="s">
        <v>38</v>
      </c>
      <c r="R2705" t="s">
        <v>40</v>
      </c>
      <c r="S2705" t="s">
        <v>41</v>
      </c>
      <c r="T2705" t="s">
        <v>9129</v>
      </c>
      <c r="U2705" t="s">
        <v>9130</v>
      </c>
      <c r="V2705" t="s">
        <v>9093</v>
      </c>
      <c r="W2705" t="s">
        <v>9131</v>
      </c>
      <c r="X2705" t="s">
        <v>46</v>
      </c>
      <c r="AC2705">
        <f>COUNTIF(C:C,QLKV_gui_ket_qua_ra_soat[[#This Row],[Mã điểm bán]])</f>
        <v>1</v>
      </c>
    </row>
    <row r="2706" spans="1:29" x14ac:dyDescent="0.45">
      <c r="A2706" t="s">
        <v>9088</v>
      </c>
      <c r="B2706">
        <v>1247</v>
      </c>
      <c r="C2706" t="s">
        <v>9684</v>
      </c>
      <c r="D2706" t="s">
        <v>9685</v>
      </c>
      <c r="E2706" t="s">
        <v>296</v>
      </c>
      <c r="F2706" t="s">
        <v>3069</v>
      </c>
      <c r="G2706" t="s">
        <v>177</v>
      </c>
      <c r="H2706" t="s">
        <v>54</v>
      </c>
      <c r="I2706" t="s">
        <v>9686</v>
      </c>
      <c r="J2706" t="s">
        <v>38</v>
      </c>
      <c r="K2706" t="s">
        <v>38</v>
      </c>
      <c r="L2706" t="s">
        <v>40</v>
      </c>
      <c r="M2706" t="s">
        <v>38</v>
      </c>
      <c r="N2706" t="s">
        <v>38</v>
      </c>
      <c r="O2706" t="s">
        <v>40</v>
      </c>
      <c r="P2706" t="s">
        <v>38</v>
      </c>
      <c r="Q2706" t="s">
        <v>38</v>
      </c>
      <c r="R2706" t="s">
        <v>40</v>
      </c>
      <c r="S2706" t="s">
        <v>41</v>
      </c>
      <c r="T2706" t="s">
        <v>9129</v>
      </c>
      <c r="U2706" t="s">
        <v>9130</v>
      </c>
      <c r="V2706" t="s">
        <v>9093</v>
      </c>
      <c r="W2706" t="s">
        <v>9131</v>
      </c>
      <c r="X2706" t="s">
        <v>46</v>
      </c>
      <c r="AC2706">
        <f>COUNTIF(C:C,QLKV_gui_ket_qua_ra_soat[[#This Row],[Mã điểm bán]])</f>
        <v>1</v>
      </c>
    </row>
    <row r="2707" spans="1:29" x14ac:dyDescent="0.45">
      <c r="A2707" t="s">
        <v>9088</v>
      </c>
      <c r="B2707">
        <v>1253</v>
      </c>
      <c r="C2707" t="s">
        <v>9687</v>
      </c>
      <c r="D2707" t="s">
        <v>9688</v>
      </c>
      <c r="E2707" t="s">
        <v>113</v>
      </c>
      <c r="F2707" t="s">
        <v>53</v>
      </c>
      <c r="G2707" t="s">
        <v>177</v>
      </c>
      <c r="H2707" t="s">
        <v>402</v>
      </c>
      <c r="I2707" t="s">
        <v>9198</v>
      </c>
      <c r="J2707" t="s">
        <v>38</v>
      </c>
      <c r="K2707" t="s">
        <v>38</v>
      </c>
      <c r="L2707" t="s">
        <v>40</v>
      </c>
      <c r="M2707" t="s">
        <v>37</v>
      </c>
      <c r="N2707" t="s">
        <v>37</v>
      </c>
      <c r="O2707" t="s">
        <v>39</v>
      </c>
      <c r="P2707" t="s">
        <v>38</v>
      </c>
      <c r="Q2707" t="s">
        <v>38</v>
      </c>
      <c r="R2707" t="s">
        <v>40</v>
      </c>
      <c r="S2707" t="s">
        <v>41</v>
      </c>
      <c r="T2707" t="s">
        <v>9199</v>
      </c>
      <c r="U2707" t="s">
        <v>9200</v>
      </c>
      <c r="V2707" t="s">
        <v>9093</v>
      </c>
      <c r="W2707" t="s">
        <v>9180</v>
      </c>
      <c r="X2707" t="s">
        <v>46</v>
      </c>
      <c r="AC2707">
        <f>COUNTIF(C:C,QLKV_gui_ket_qua_ra_soat[[#This Row],[Mã điểm bán]])</f>
        <v>1</v>
      </c>
    </row>
    <row r="2708" spans="1:29" x14ac:dyDescent="0.45">
      <c r="A2708" t="s">
        <v>9088</v>
      </c>
      <c r="B2708">
        <v>1261</v>
      </c>
      <c r="C2708" t="s">
        <v>9689</v>
      </c>
      <c r="D2708" t="s">
        <v>196</v>
      </c>
      <c r="E2708" t="s">
        <v>682</v>
      </c>
      <c r="F2708" t="s">
        <v>417</v>
      </c>
      <c r="G2708" t="s">
        <v>34</v>
      </c>
      <c r="H2708" t="s">
        <v>54</v>
      </c>
      <c r="I2708" t="s">
        <v>9690</v>
      </c>
      <c r="J2708" t="s">
        <v>38</v>
      </c>
      <c r="K2708" t="s">
        <v>38</v>
      </c>
      <c r="L2708" t="s">
        <v>40</v>
      </c>
      <c r="M2708" t="s">
        <v>38</v>
      </c>
      <c r="N2708" t="s">
        <v>38</v>
      </c>
      <c r="O2708" t="s">
        <v>40</v>
      </c>
      <c r="P2708" t="s">
        <v>38</v>
      </c>
      <c r="Q2708" t="s">
        <v>38</v>
      </c>
      <c r="R2708" t="s">
        <v>40</v>
      </c>
      <c r="S2708" t="s">
        <v>41</v>
      </c>
      <c r="T2708" t="s">
        <v>9129</v>
      </c>
      <c r="U2708" t="s">
        <v>9130</v>
      </c>
      <c r="V2708" t="s">
        <v>9093</v>
      </c>
      <c r="W2708" t="s">
        <v>9131</v>
      </c>
      <c r="X2708" t="s">
        <v>46</v>
      </c>
      <c r="AC2708">
        <f>COUNTIF(C:C,QLKV_gui_ket_qua_ra_soat[[#This Row],[Mã điểm bán]])</f>
        <v>1</v>
      </c>
    </row>
    <row r="2709" spans="1:29" x14ac:dyDescent="0.45">
      <c r="A2709" t="s">
        <v>9088</v>
      </c>
      <c r="B2709">
        <v>1316</v>
      </c>
      <c r="C2709" t="s">
        <v>9691</v>
      </c>
      <c r="D2709" t="s">
        <v>9692</v>
      </c>
      <c r="E2709" t="s">
        <v>2139</v>
      </c>
      <c r="F2709" t="s">
        <v>115</v>
      </c>
      <c r="G2709" t="s">
        <v>34</v>
      </c>
      <c r="H2709" t="s">
        <v>658</v>
      </c>
      <c r="I2709" t="s">
        <v>9693</v>
      </c>
      <c r="J2709" t="s">
        <v>38</v>
      </c>
      <c r="K2709" t="s">
        <v>38</v>
      </c>
      <c r="L2709" t="s">
        <v>40</v>
      </c>
      <c r="M2709" t="s">
        <v>38</v>
      </c>
      <c r="N2709" t="s">
        <v>38</v>
      </c>
      <c r="O2709" t="s">
        <v>40</v>
      </c>
      <c r="P2709" t="s">
        <v>38</v>
      </c>
      <c r="Q2709" t="s">
        <v>38</v>
      </c>
      <c r="R2709" t="s">
        <v>40</v>
      </c>
      <c r="S2709" t="s">
        <v>41</v>
      </c>
      <c r="T2709" t="s">
        <v>9099</v>
      </c>
      <c r="U2709" t="s">
        <v>9100</v>
      </c>
      <c r="V2709" t="s">
        <v>9093</v>
      </c>
      <c r="W2709" t="s">
        <v>9101</v>
      </c>
      <c r="X2709" t="s">
        <v>46</v>
      </c>
      <c r="AC2709">
        <f>COUNTIF(C:C,QLKV_gui_ket_qua_ra_soat[[#This Row],[Mã điểm bán]])</f>
        <v>1</v>
      </c>
    </row>
    <row r="2710" spans="1:29" x14ac:dyDescent="0.45">
      <c r="A2710" t="s">
        <v>9088</v>
      </c>
      <c r="B2710">
        <v>1320</v>
      </c>
      <c r="C2710" t="s">
        <v>9694</v>
      </c>
      <c r="D2710" t="s">
        <v>3334</v>
      </c>
      <c r="E2710" t="s">
        <v>9695</v>
      </c>
      <c r="F2710" t="s">
        <v>401</v>
      </c>
      <c r="G2710" t="s">
        <v>34</v>
      </c>
      <c r="H2710" t="s">
        <v>350</v>
      </c>
      <c r="I2710" t="s">
        <v>9112</v>
      </c>
      <c r="J2710" t="s">
        <v>38</v>
      </c>
      <c r="K2710" t="s">
        <v>38</v>
      </c>
      <c r="L2710" t="s">
        <v>40</v>
      </c>
      <c r="M2710" t="s">
        <v>38</v>
      </c>
      <c r="N2710" t="s">
        <v>38</v>
      </c>
      <c r="O2710" t="s">
        <v>40</v>
      </c>
      <c r="P2710" t="s">
        <v>38</v>
      </c>
      <c r="Q2710" t="s">
        <v>38</v>
      </c>
      <c r="R2710" t="s">
        <v>40</v>
      </c>
      <c r="S2710" t="s">
        <v>41</v>
      </c>
      <c r="T2710" t="s">
        <v>9099</v>
      </c>
      <c r="U2710" t="s">
        <v>9100</v>
      </c>
      <c r="V2710" t="s">
        <v>9093</v>
      </c>
      <c r="W2710" t="s">
        <v>9101</v>
      </c>
      <c r="X2710" t="s">
        <v>46</v>
      </c>
      <c r="AC2710">
        <f>COUNTIF(C:C,QLKV_gui_ket_qua_ra_soat[[#This Row],[Mã điểm bán]])</f>
        <v>1</v>
      </c>
    </row>
    <row r="2711" spans="1:29" x14ac:dyDescent="0.45">
      <c r="A2711" t="s">
        <v>9088</v>
      </c>
      <c r="B2711">
        <v>1330</v>
      </c>
      <c r="C2711" t="s">
        <v>9696</v>
      </c>
      <c r="D2711" t="s">
        <v>9697</v>
      </c>
      <c r="E2711" t="s">
        <v>9663</v>
      </c>
      <c r="F2711" t="s">
        <v>53</v>
      </c>
      <c r="G2711" t="s">
        <v>34</v>
      </c>
      <c r="H2711" t="s">
        <v>834</v>
      </c>
      <c r="I2711" t="s">
        <v>489</v>
      </c>
      <c r="J2711" t="s">
        <v>38</v>
      </c>
      <c r="K2711" t="s">
        <v>38</v>
      </c>
      <c r="L2711" t="s">
        <v>40</v>
      </c>
      <c r="M2711" t="s">
        <v>38</v>
      </c>
      <c r="N2711" t="s">
        <v>38</v>
      </c>
      <c r="O2711" t="s">
        <v>40</v>
      </c>
      <c r="P2711" t="s">
        <v>38</v>
      </c>
      <c r="Q2711" t="s">
        <v>38</v>
      </c>
      <c r="R2711" t="s">
        <v>40</v>
      </c>
      <c r="S2711" t="s">
        <v>41</v>
      </c>
      <c r="T2711" t="s">
        <v>9099</v>
      </c>
      <c r="U2711" t="s">
        <v>9100</v>
      </c>
      <c r="V2711" t="s">
        <v>9093</v>
      </c>
      <c r="W2711" t="s">
        <v>9101</v>
      </c>
      <c r="X2711" t="s">
        <v>46</v>
      </c>
      <c r="AC2711">
        <f>COUNTIF(C:C,QLKV_gui_ket_qua_ra_soat[[#This Row],[Mã điểm bán]])</f>
        <v>1</v>
      </c>
    </row>
    <row r="2712" spans="1:29" x14ac:dyDescent="0.45">
      <c r="A2712" t="s">
        <v>9088</v>
      </c>
      <c r="B2712">
        <v>1334</v>
      </c>
      <c r="C2712" t="s">
        <v>9698</v>
      </c>
      <c r="D2712" t="s">
        <v>3542</v>
      </c>
      <c r="E2712" t="s">
        <v>9548</v>
      </c>
      <c r="F2712" t="s">
        <v>53</v>
      </c>
      <c r="G2712" t="s">
        <v>34</v>
      </c>
      <c r="H2712" t="s">
        <v>555</v>
      </c>
      <c r="I2712" t="s">
        <v>9112</v>
      </c>
      <c r="J2712" t="s">
        <v>38</v>
      </c>
      <c r="K2712" t="s">
        <v>38</v>
      </c>
      <c r="L2712" t="s">
        <v>40</v>
      </c>
      <c r="M2712" t="s">
        <v>38</v>
      </c>
      <c r="N2712" t="s">
        <v>38</v>
      </c>
      <c r="O2712" t="s">
        <v>40</v>
      </c>
      <c r="P2712" t="s">
        <v>38</v>
      </c>
      <c r="Q2712" t="s">
        <v>38</v>
      </c>
      <c r="R2712" t="s">
        <v>40</v>
      </c>
      <c r="S2712" t="s">
        <v>41</v>
      </c>
      <c r="T2712" t="s">
        <v>9099</v>
      </c>
      <c r="U2712" t="s">
        <v>9100</v>
      </c>
      <c r="V2712" t="s">
        <v>9093</v>
      </c>
      <c r="W2712" t="s">
        <v>9101</v>
      </c>
      <c r="X2712" t="s">
        <v>46</v>
      </c>
      <c r="AC2712">
        <f>COUNTIF(C:C,QLKV_gui_ket_qua_ra_soat[[#This Row],[Mã điểm bán]])</f>
        <v>1</v>
      </c>
    </row>
    <row r="2713" spans="1:29" x14ac:dyDescent="0.45">
      <c r="A2713" t="s">
        <v>9088</v>
      </c>
      <c r="B2713">
        <v>1335</v>
      </c>
      <c r="C2713" t="s">
        <v>9699</v>
      </c>
      <c r="D2713" t="s">
        <v>9700</v>
      </c>
      <c r="E2713" t="s">
        <v>416</v>
      </c>
      <c r="F2713" t="s">
        <v>115</v>
      </c>
      <c r="G2713" t="s">
        <v>34</v>
      </c>
      <c r="H2713" t="s">
        <v>54</v>
      </c>
      <c r="I2713" t="s">
        <v>9701</v>
      </c>
      <c r="J2713" t="s">
        <v>38</v>
      </c>
      <c r="K2713" t="s">
        <v>38</v>
      </c>
      <c r="L2713" t="s">
        <v>40</v>
      </c>
      <c r="M2713" t="s">
        <v>37</v>
      </c>
      <c r="N2713" t="s">
        <v>37</v>
      </c>
      <c r="O2713" t="s">
        <v>40</v>
      </c>
      <c r="P2713" t="s">
        <v>38</v>
      </c>
      <c r="Q2713" t="s">
        <v>38</v>
      </c>
      <c r="R2713" t="s">
        <v>40</v>
      </c>
      <c r="S2713" t="s">
        <v>41</v>
      </c>
      <c r="T2713" t="s">
        <v>9147</v>
      </c>
      <c r="U2713" t="s">
        <v>9148</v>
      </c>
      <c r="V2713" t="s">
        <v>9093</v>
      </c>
      <c r="W2713" t="s">
        <v>9094</v>
      </c>
      <c r="X2713" t="s">
        <v>46</v>
      </c>
      <c r="AC2713">
        <f>COUNTIF(C:C,QLKV_gui_ket_qua_ra_soat[[#This Row],[Mã điểm bán]])</f>
        <v>1</v>
      </c>
    </row>
    <row r="2714" spans="1:29" x14ac:dyDescent="0.45">
      <c r="A2714" t="s">
        <v>9088</v>
      </c>
      <c r="B2714">
        <v>1338</v>
      </c>
      <c r="C2714" t="s">
        <v>9702</v>
      </c>
      <c r="D2714" t="s">
        <v>4478</v>
      </c>
      <c r="E2714" t="s">
        <v>9703</v>
      </c>
      <c r="F2714" t="s">
        <v>1804</v>
      </c>
      <c r="G2714" t="s">
        <v>34</v>
      </c>
      <c r="H2714" t="s">
        <v>54</v>
      </c>
      <c r="I2714" t="s">
        <v>9704</v>
      </c>
      <c r="J2714" t="s">
        <v>38</v>
      </c>
      <c r="K2714" t="s">
        <v>38</v>
      </c>
      <c r="L2714" t="s">
        <v>40</v>
      </c>
      <c r="M2714" t="s">
        <v>56</v>
      </c>
      <c r="N2714" t="s">
        <v>56</v>
      </c>
      <c r="O2714" t="s">
        <v>40</v>
      </c>
      <c r="P2714" t="s">
        <v>38</v>
      </c>
      <c r="Q2714" t="s">
        <v>38</v>
      </c>
      <c r="R2714" t="s">
        <v>40</v>
      </c>
      <c r="S2714" t="s">
        <v>41</v>
      </c>
      <c r="T2714" t="s">
        <v>9142</v>
      </c>
      <c r="U2714" t="s">
        <v>9143</v>
      </c>
      <c r="V2714" t="s">
        <v>9093</v>
      </c>
      <c r="W2714" t="s">
        <v>2978</v>
      </c>
      <c r="Z2714" t="s">
        <v>46</v>
      </c>
      <c r="AA2714" t="s">
        <v>9160</v>
      </c>
      <c r="AB2714" t="s">
        <v>117</v>
      </c>
      <c r="AC2714">
        <f>COUNTIF(C:C,QLKV_gui_ket_qua_ra_soat[[#This Row],[Mã điểm bán]])</f>
        <v>1</v>
      </c>
    </row>
    <row r="2715" spans="1:29" x14ac:dyDescent="0.45">
      <c r="A2715" t="s">
        <v>9088</v>
      </c>
      <c r="B2715">
        <v>1364</v>
      </c>
      <c r="C2715" t="s">
        <v>9705</v>
      </c>
      <c r="D2715" t="s">
        <v>9706</v>
      </c>
      <c r="E2715" t="s">
        <v>9256</v>
      </c>
      <c r="F2715" t="s">
        <v>53</v>
      </c>
      <c r="G2715" t="s">
        <v>177</v>
      </c>
      <c r="H2715" t="s">
        <v>565</v>
      </c>
      <c r="I2715" t="s">
        <v>9198</v>
      </c>
      <c r="J2715" t="s">
        <v>38</v>
      </c>
      <c r="K2715" t="s">
        <v>38</v>
      </c>
      <c r="L2715" t="s">
        <v>40</v>
      </c>
      <c r="M2715" t="s">
        <v>56</v>
      </c>
      <c r="N2715" t="s">
        <v>56</v>
      </c>
      <c r="O2715" t="s">
        <v>39</v>
      </c>
      <c r="P2715" t="s">
        <v>38</v>
      </c>
      <c r="Q2715" t="s">
        <v>38</v>
      </c>
      <c r="R2715" t="s">
        <v>40</v>
      </c>
      <c r="S2715" t="s">
        <v>41</v>
      </c>
      <c r="T2715" t="s">
        <v>9199</v>
      </c>
      <c r="U2715" t="s">
        <v>9200</v>
      </c>
      <c r="V2715" t="s">
        <v>9093</v>
      </c>
      <c r="W2715" t="s">
        <v>9180</v>
      </c>
      <c r="Z2715" t="s">
        <v>46</v>
      </c>
      <c r="AA2715" t="s">
        <v>9119</v>
      </c>
      <c r="AC2715">
        <f>COUNTIF(C:C,QLKV_gui_ket_qua_ra_soat[[#This Row],[Mã điểm bán]])</f>
        <v>1</v>
      </c>
    </row>
    <row r="2716" spans="1:29" x14ac:dyDescent="0.45">
      <c r="A2716" t="s">
        <v>9088</v>
      </c>
      <c r="B2716">
        <v>1367</v>
      </c>
      <c r="C2716" t="s">
        <v>9707</v>
      </c>
      <c r="D2716" t="s">
        <v>9708</v>
      </c>
      <c r="E2716" t="s">
        <v>9709</v>
      </c>
      <c r="F2716" t="s">
        <v>325</v>
      </c>
      <c r="G2716" t="s">
        <v>34</v>
      </c>
      <c r="H2716" t="s">
        <v>214</v>
      </c>
      <c r="I2716" t="s">
        <v>9224</v>
      </c>
      <c r="J2716" t="s">
        <v>38</v>
      </c>
      <c r="K2716" t="s">
        <v>38</v>
      </c>
      <c r="L2716" t="s">
        <v>39</v>
      </c>
      <c r="M2716" t="s">
        <v>37</v>
      </c>
      <c r="N2716" t="s">
        <v>37</v>
      </c>
      <c r="O2716" t="s">
        <v>39</v>
      </c>
      <c r="P2716" t="s">
        <v>38</v>
      </c>
      <c r="Q2716" t="s">
        <v>38</v>
      </c>
      <c r="R2716" t="s">
        <v>39</v>
      </c>
      <c r="S2716" t="s">
        <v>41</v>
      </c>
      <c r="T2716" t="s">
        <v>9225</v>
      </c>
      <c r="U2716" t="s">
        <v>9226</v>
      </c>
      <c r="V2716" t="s">
        <v>9093</v>
      </c>
      <c r="W2716" t="s">
        <v>9227</v>
      </c>
      <c r="Z2716" t="s">
        <v>46</v>
      </c>
      <c r="AA2716" t="s">
        <v>9095</v>
      </c>
      <c r="AC2716">
        <f>COUNTIF(C:C,QLKV_gui_ket_qua_ra_soat[[#This Row],[Mã điểm bán]])</f>
        <v>1</v>
      </c>
    </row>
    <row r="2717" spans="1:29" x14ac:dyDescent="0.45">
      <c r="A2717" t="s">
        <v>9088</v>
      </c>
      <c r="B2717">
        <v>1398</v>
      </c>
      <c r="C2717" t="s">
        <v>9710</v>
      </c>
      <c r="D2717" t="s">
        <v>9711</v>
      </c>
      <c r="E2717" t="s">
        <v>157</v>
      </c>
      <c r="F2717" t="s">
        <v>53</v>
      </c>
      <c r="G2717" t="s">
        <v>34</v>
      </c>
      <c r="H2717" t="s">
        <v>54</v>
      </c>
      <c r="I2717" t="s">
        <v>9712</v>
      </c>
      <c r="J2717" t="s">
        <v>38</v>
      </c>
      <c r="K2717" t="s">
        <v>38</v>
      </c>
      <c r="L2717" t="s">
        <v>40</v>
      </c>
      <c r="M2717" t="s">
        <v>38</v>
      </c>
      <c r="N2717" t="s">
        <v>38</v>
      </c>
      <c r="O2717" t="s">
        <v>40</v>
      </c>
      <c r="P2717" t="s">
        <v>38</v>
      </c>
      <c r="Q2717" t="s">
        <v>38</v>
      </c>
      <c r="R2717" t="s">
        <v>40</v>
      </c>
      <c r="S2717" t="s">
        <v>41</v>
      </c>
      <c r="T2717" t="s">
        <v>9129</v>
      </c>
      <c r="U2717" t="s">
        <v>9130</v>
      </c>
      <c r="V2717" t="s">
        <v>9093</v>
      </c>
      <c r="W2717" t="s">
        <v>9131</v>
      </c>
      <c r="X2717" t="s">
        <v>46</v>
      </c>
      <c r="AC2717">
        <f>COUNTIF(C:C,QLKV_gui_ket_qua_ra_soat[[#This Row],[Mã điểm bán]])</f>
        <v>1</v>
      </c>
    </row>
    <row r="2718" spans="1:29" x14ac:dyDescent="0.45">
      <c r="A2718" t="s">
        <v>9088</v>
      </c>
      <c r="B2718">
        <v>1400</v>
      </c>
      <c r="C2718" t="s">
        <v>9713</v>
      </c>
      <c r="D2718" t="s">
        <v>9714</v>
      </c>
      <c r="E2718" t="s">
        <v>9548</v>
      </c>
      <c r="F2718" t="s">
        <v>401</v>
      </c>
      <c r="G2718" t="s">
        <v>34</v>
      </c>
      <c r="H2718" t="s">
        <v>5130</v>
      </c>
      <c r="I2718" t="s">
        <v>9715</v>
      </c>
      <c r="J2718" t="s">
        <v>38</v>
      </c>
      <c r="K2718" t="s">
        <v>38</v>
      </c>
      <c r="L2718" t="s">
        <v>40</v>
      </c>
      <c r="M2718" t="s">
        <v>38</v>
      </c>
      <c r="N2718" t="s">
        <v>38</v>
      </c>
      <c r="O2718" t="s">
        <v>40</v>
      </c>
      <c r="P2718" t="s">
        <v>38</v>
      </c>
      <c r="Q2718" t="s">
        <v>38</v>
      </c>
      <c r="R2718" t="s">
        <v>40</v>
      </c>
      <c r="S2718" t="s">
        <v>41</v>
      </c>
      <c r="T2718" t="s">
        <v>9099</v>
      </c>
      <c r="U2718" t="s">
        <v>9100</v>
      </c>
      <c r="V2718" t="s">
        <v>9093</v>
      </c>
      <c r="W2718" t="s">
        <v>9101</v>
      </c>
      <c r="X2718" t="s">
        <v>46</v>
      </c>
      <c r="AC2718">
        <f>COUNTIF(C:C,QLKV_gui_ket_qua_ra_soat[[#This Row],[Mã điểm bán]])</f>
        <v>1</v>
      </c>
    </row>
    <row r="2719" spans="1:29" x14ac:dyDescent="0.45">
      <c r="A2719" t="s">
        <v>9088</v>
      </c>
      <c r="B2719">
        <v>1403</v>
      </c>
      <c r="C2719" t="s">
        <v>9716</v>
      </c>
      <c r="D2719" t="s">
        <v>9717</v>
      </c>
      <c r="E2719" t="s">
        <v>9718</v>
      </c>
      <c r="F2719" t="s">
        <v>401</v>
      </c>
      <c r="G2719" t="s">
        <v>34</v>
      </c>
      <c r="H2719" t="s">
        <v>685</v>
      </c>
      <c r="I2719" t="s">
        <v>489</v>
      </c>
      <c r="J2719" t="s">
        <v>38</v>
      </c>
      <c r="K2719" t="s">
        <v>38</v>
      </c>
      <c r="L2719" t="s">
        <v>40</v>
      </c>
      <c r="M2719" t="s">
        <v>38</v>
      </c>
      <c r="N2719" t="s">
        <v>38</v>
      </c>
      <c r="O2719" t="s">
        <v>40</v>
      </c>
      <c r="P2719" t="s">
        <v>38</v>
      </c>
      <c r="Q2719" t="s">
        <v>38</v>
      </c>
      <c r="R2719" t="s">
        <v>40</v>
      </c>
      <c r="S2719" t="s">
        <v>41</v>
      </c>
      <c r="T2719" t="s">
        <v>9099</v>
      </c>
      <c r="U2719" t="s">
        <v>9100</v>
      </c>
      <c r="V2719" t="s">
        <v>9093</v>
      </c>
      <c r="W2719" t="s">
        <v>9101</v>
      </c>
      <c r="X2719" t="s">
        <v>46</v>
      </c>
      <c r="AC2719">
        <f>COUNTIF(C:C,QLKV_gui_ket_qua_ra_soat[[#This Row],[Mã điểm bán]])</f>
        <v>1</v>
      </c>
    </row>
    <row r="2720" spans="1:29" x14ac:dyDescent="0.45">
      <c r="A2720" t="s">
        <v>9088</v>
      </c>
      <c r="B2720">
        <v>1404</v>
      </c>
      <c r="C2720" t="s">
        <v>9719</v>
      </c>
      <c r="D2720" t="s">
        <v>9720</v>
      </c>
      <c r="E2720" t="s">
        <v>1203</v>
      </c>
      <c r="F2720" t="s">
        <v>401</v>
      </c>
      <c r="G2720" t="s">
        <v>1458</v>
      </c>
      <c r="H2720" t="s">
        <v>530</v>
      </c>
      <c r="I2720" t="s">
        <v>2049</v>
      </c>
      <c r="J2720" t="s">
        <v>38</v>
      </c>
      <c r="K2720" t="s">
        <v>38</v>
      </c>
      <c r="L2720" t="s">
        <v>40</v>
      </c>
      <c r="M2720" t="s">
        <v>38</v>
      </c>
      <c r="N2720" t="s">
        <v>38</v>
      </c>
      <c r="O2720" t="s">
        <v>40</v>
      </c>
      <c r="P2720" t="s">
        <v>38</v>
      </c>
      <c r="Q2720" t="s">
        <v>38</v>
      </c>
      <c r="R2720" t="s">
        <v>40</v>
      </c>
      <c r="S2720" t="s">
        <v>41</v>
      </c>
      <c r="T2720" t="s">
        <v>9099</v>
      </c>
      <c r="U2720" t="s">
        <v>9100</v>
      </c>
      <c r="V2720" t="s">
        <v>9093</v>
      </c>
      <c r="W2720" t="s">
        <v>9101</v>
      </c>
      <c r="Z2720" t="s">
        <v>46</v>
      </c>
      <c r="AA2720" t="s">
        <v>9119</v>
      </c>
      <c r="AC2720">
        <f>COUNTIF(C:C,QLKV_gui_ket_qua_ra_soat[[#This Row],[Mã điểm bán]])</f>
        <v>1</v>
      </c>
    </row>
    <row r="2721" spans="1:29" x14ac:dyDescent="0.45">
      <c r="A2721" t="s">
        <v>9088</v>
      </c>
      <c r="B2721">
        <v>1407</v>
      </c>
      <c r="C2721" t="s">
        <v>9721</v>
      </c>
      <c r="D2721" t="s">
        <v>9722</v>
      </c>
      <c r="E2721" t="s">
        <v>3425</v>
      </c>
      <c r="F2721" t="s">
        <v>115</v>
      </c>
      <c r="G2721" t="s">
        <v>34</v>
      </c>
      <c r="H2721" t="s">
        <v>2952</v>
      </c>
      <c r="I2721" t="s">
        <v>9723</v>
      </c>
      <c r="J2721" t="s">
        <v>38</v>
      </c>
      <c r="K2721" t="s">
        <v>38</v>
      </c>
      <c r="L2721" t="s">
        <v>40</v>
      </c>
      <c r="M2721" t="s">
        <v>38</v>
      </c>
      <c r="N2721" t="s">
        <v>38</v>
      </c>
      <c r="O2721" t="s">
        <v>40</v>
      </c>
      <c r="P2721" t="s">
        <v>38</v>
      </c>
      <c r="Q2721" t="s">
        <v>38</v>
      </c>
      <c r="R2721" t="s">
        <v>40</v>
      </c>
      <c r="S2721" t="s">
        <v>41</v>
      </c>
      <c r="T2721" t="s">
        <v>9099</v>
      </c>
      <c r="U2721" t="s">
        <v>9100</v>
      </c>
      <c r="V2721" t="s">
        <v>9093</v>
      </c>
      <c r="W2721" t="s">
        <v>9101</v>
      </c>
      <c r="Z2721" t="s">
        <v>46</v>
      </c>
      <c r="AA2721" t="s">
        <v>9119</v>
      </c>
      <c r="AC2721">
        <f>COUNTIF(C:C,QLKV_gui_ket_qua_ra_soat[[#This Row],[Mã điểm bán]])</f>
        <v>1</v>
      </c>
    </row>
    <row r="2722" spans="1:29" x14ac:dyDescent="0.45">
      <c r="A2722" t="s">
        <v>9088</v>
      </c>
      <c r="B2722">
        <v>1412</v>
      </c>
      <c r="C2722" t="s">
        <v>9724</v>
      </c>
      <c r="D2722" t="s">
        <v>9725</v>
      </c>
      <c r="E2722" t="s">
        <v>9726</v>
      </c>
      <c r="F2722" t="s">
        <v>9727</v>
      </c>
      <c r="G2722" t="s">
        <v>34</v>
      </c>
      <c r="H2722" t="s">
        <v>931</v>
      </c>
      <c r="I2722" t="s">
        <v>9728</v>
      </c>
      <c r="J2722" t="s">
        <v>37</v>
      </c>
      <c r="K2722" t="s">
        <v>37</v>
      </c>
      <c r="L2722" t="s">
        <v>39</v>
      </c>
      <c r="M2722" t="s">
        <v>37</v>
      </c>
      <c r="N2722" t="s">
        <v>37</v>
      </c>
      <c r="O2722" t="s">
        <v>39</v>
      </c>
      <c r="P2722" t="s">
        <v>38</v>
      </c>
      <c r="Q2722" t="s">
        <v>37</v>
      </c>
      <c r="R2722" t="s">
        <v>39</v>
      </c>
      <c r="S2722" t="s">
        <v>41</v>
      </c>
      <c r="T2722" t="s">
        <v>9312</v>
      </c>
      <c r="U2722" t="s">
        <v>9313</v>
      </c>
      <c r="V2722" t="s">
        <v>9093</v>
      </c>
      <c r="W2722" t="s">
        <v>9131</v>
      </c>
      <c r="X2722" t="s">
        <v>46</v>
      </c>
      <c r="AC2722">
        <f>COUNTIF(C:C,QLKV_gui_ket_qua_ra_soat[[#This Row],[Mã điểm bán]])</f>
        <v>1</v>
      </c>
    </row>
    <row r="2723" spans="1:29" x14ac:dyDescent="0.45">
      <c r="A2723" t="s">
        <v>9088</v>
      </c>
      <c r="B2723">
        <v>1413</v>
      </c>
      <c r="C2723" t="s">
        <v>9729</v>
      </c>
      <c r="D2723" t="s">
        <v>9730</v>
      </c>
      <c r="E2723" t="s">
        <v>9731</v>
      </c>
      <c r="F2723" t="s">
        <v>401</v>
      </c>
      <c r="G2723" t="s">
        <v>34</v>
      </c>
      <c r="H2723" t="s">
        <v>1184</v>
      </c>
      <c r="I2723" t="s">
        <v>9112</v>
      </c>
      <c r="J2723" t="s">
        <v>38</v>
      </c>
      <c r="K2723" t="s">
        <v>38</v>
      </c>
      <c r="L2723" t="s">
        <v>40</v>
      </c>
      <c r="M2723" t="s">
        <v>38</v>
      </c>
      <c r="N2723" t="s">
        <v>38</v>
      </c>
      <c r="O2723" t="s">
        <v>40</v>
      </c>
      <c r="P2723" t="s">
        <v>38</v>
      </c>
      <c r="Q2723" t="s">
        <v>38</v>
      </c>
      <c r="R2723" t="s">
        <v>40</v>
      </c>
      <c r="S2723" t="s">
        <v>41</v>
      </c>
      <c r="T2723" t="s">
        <v>9099</v>
      </c>
      <c r="U2723" t="s">
        <v>9100</v>
      </c>
      <c r="V2723" t="s">
        <v>9093</v>
      </c>
      <c r="W2723" t="s">
        <v>9101</v>
      </c>
      <c r="X2723" t="s">
        <v>46</v>
      </c>
      <c r="AC2723">
        <f>COUNTIF(C:C,QLKV_gui_ket_qua_ra_soat[[#This Row],[Mã điểm bán]])</f>
        <v>1</v>
      </c>
    </row>
    <row r="2724" spans="1:29" x14ac:dyDescent="0.45">
      <c r="A2724" t="s">
        <v>9088</v>
      </c>
      <c r="B2724">
        <v>1417</v>
      </c>
      <c r="C2724" t="s">
        <v>9732</v>
      </c>
      <c r="D2724" t="s">
        <v>9733</v>
      </c>
      <c r="E2724" t="s">
        <v>69</v>
      </c>
      <c r="F2724" t="s">
        <v>53</v>
      </c>
      <c r="G2724" t="s">
        <v>34</v>
      </c>
      <c r="H2724" t="s">
        <v>54</v>
      </c>
      <c r="I2724" t="s">
        <v>9175</v>
      </c>
      <c r="J2724" t="s">
        <v>37</v>
      </c>
      <c r="K2724" t="s">
        <v>37</v>
      </c>
      <c r="L2724" t="s">
        <v>39</v>
      </c>
      <c r="M2724" t="s">
        <v>37</v>
      </c>
      <c r="N2724" t="s">
        <v>37</v>
      </c>
      <c r="O2724" t="s">
        <v>40</v>
      </c>
      <c r="P2724" t="s">
        <v>38</v>
      </c>
      <c r="Q2724" t="s">
        <v>38</v>
      </c>
      <c r="R2724" t="s">
        <v>40</v>
      </c>
      <c r="S2724" t="s">
        <v>41</v>
      </c>
      <c r="T2724" t="s">
        <v>9147</v>
      </c>
      <c r="U2724" t="s">
        <v>9148</v>
      </c>
      <c r="V2724" t="s">
        <v>9093</v>
      </c>
      <c r="W2724" t="s">
        <v>9094</v>
      </c>
      <c r="X2724" t="s">
        <v>46</v>
      </c>
      <c r="AC2724">
        <f>COUNTIF(C:C,QLKV_gui_ket_qua_ra_soat[[#This Row],[Mã điểm bán]])</f>
        <v>1</v>
      </c>
    </row>
    <row r="2725" spans="1:29" x14ac:dyDescent="0.45">
      <c r="A2725" t="s">
        <v>9088</v>
      </c>
      <c r="B2725">
        <v>1424</v>
      </c>
      <c r="C2725" t="s">
        <v>9734</v>
      </c>
      <c r="D2725" t="s">
        <v>4460</v>
      </c>
      <c r="E2725" t="s">
        <v>9735</v>
      </c>
      <c r="F2725" t="s">
        <v>53</v>
      </c>
      <c r="G2725" t="s">
        <v>34</v>
      </c>
      <c r="H2725" t="s">
        <v>2952</v>
      </c>
      <c r="I2725" t="s">
        <v>9175</v>
      </c>
      <c r="J2725" t="s">
        <v>38</v>
      </c>
      <c r="K2725" t="s">
        <v>38</v>
      </c>
      <c r="L2725" t="s">
        <v>40</v>
      </c>
      <c r="M2725" t="s">
        <v>38</v>
      </c>
      <c r="N2725" t="s">
        <v>38</v>
      </c>
      <c r="O2725" t="s">
        <v>40</v>
      </c>
      <c r="P2725" t="s">
        <v>38</v>
      </c>
      <c r="Q2725" t="s">
        <v>38</v>
      </c>
      <c r="R2725" t="s">
        <v>40</v>
      </c>
      <c r="S2725" t="s">
        <v>41</v>
      </c>
      <c r="T2725" t="s">
        <v>9099</v>
      </c>
      <c r="U2725" t="s">
        <v>9100</v>
      </c>
      <c r="V2725" t="s">
        <v>9093</v>
      </c>
      <c r="W2725" t="s">
        <v>9101</v>
      </c>
      <c r="X2725" t="s">
        <v>46</v>
      </c>
      <c r="AC2725">
        <f>COUNTIF(C:C,QLKV_gui_ket_qua_ra_soat[[#This Row],[Mã điểm bán]])</f>
        <v>1</v>
      </c>
    </row>
    <row r="2726" spans="1:29" x14ac:dyDescent="0.45">
      <c r="A2726" t="s">
        <v>9088</v>
      </c>
      <c r="B2726">
        <v>1427</v>
      </c>
      <c r="C2726" t="s">
        <v>9736</v>
      </c>
      <c r="D2726" t="s">
        <v>9737</v>
      </c>
      <c r="E2726" t="s">
        <v>823</v>
      </c>
      <c r="F2726" t="s">
        <v>53</v>
      </c>
      <c r="G2726" t="s">
        <v>177</v>
      </c>
      <c r="H2726" t="s">
        <v>133</v>
      </c>
      <c r="I2726" t="s">
        <v>9652</v>
      </c>
      <c r="J2726" t="s">
        <v>38</v>
      </c>
      <c r="K2726" t="s">
        <v>38</v>
      </c>
      <c r="L2726" t="s">
        <v>40</v>
      </c>
      <c r="M2726" t="s">
        <v>38</v>
      </c>
      <c r="N2726" t="s">
        <v>38</v>
      </c>
      <c r="O2726" t="s">
        <v>39</v>
      </c>
      <c r="P2726" t="s">
        <v>38</v>
      </c>
      <c r="Q2726" t="s">
        <v>38</v>
      </c>
      <c r="R2726" t="s">
        <v>40</v>
      </c>
      <c r="S2726" t="s">
        <v>9738</v>
      </c>
      <c r="T2726" t="s">
        <v>9648</v>
      </c>
      <c r="U2726" t="s">
        <v>9649</v>
      </c>
      <c r="V2726" t="s">
        <v>9093</v>
      </c>
      <c r="W2726" t="s">
        <v>9101</v>
      </c>
      <c r="X2726" t="s">
        <v>46</v>
      </c>
      <c r="AC2726">
        <f>COUNTIF(C:C,QLKV_gui_ket_qua_ra_soat[[#This Row],[Mã điểm bán]])</f>
        <v>1</v>
      </c>
    </row>
    <row r="2727" spans="1:29" x14ac:dyDescent="0.45">
      <c r="A2727" t="s">
        <v>9088</v>
      </c>
      <c r="B2727">
        <v>1434</v>
      </c>
      <c r="C2727" t="s">
        <v>9739</v>
      </c>
      <c r="D2727" t="s">
        <v>9740</v>
      </c>
      <c r="E2727" t="s">
        <v>9741</v>
      </c>
      <c r="F2727" t="s">
        <v>401</v>
      </c>
      <c r="G2727" t="s">
        <v>34</v>
      </c>
      <c r="H2727" t="s">
        <v>5951</v>
      </c>
      <c r="I2727" t="s">
        <v>9742</v>
      </c>
      <c r="J2727" t="s">
        <v>38</v>
      </c>
      <c r="K2727" t="s">
        <v>38</v>
      </c>
      <c r="L2727" t="s">
        <v>40</v>
      </c>
      <c r="M2727" t="s">
        <v>38</v>
      </c>
      <c r="N2727" t="s">
        <v>38</v>
      </c>
      <c r="O2727" t="s">
        <v>40</v>
      </c>
      <c r="P2727" t="s">
        <v>38</v>
      </c>
      <c r="Q2727" t="s">
        <v>38</v>
      </c>
      <c r="R2727" t="s">
        <v>40</v>
      </c>
      <c r="S2727" t="s">
        <v>41</v>
      </c>
      <c r="T2727" t="s">
        <v>9099</v>
      </c>
      <c r="U2727" t="s">
        <v>9100</v>
      </c>
      <c r="V2727" t="s">
        <v>9093</v>
      </c>
      <c r="W2727" t="s">
        <v>9101</v>
      </c>
      <c r="X2727" t="s">
        <v>46</v>
      </c>
      <c r="AC2727">
        <f>COUNTIF(C:C,QLKV_gui_ket_qua_ra_soat[[#This Row],[Mã điểm bán]])</f>
        <v>1</v>
      </c>
    </row>
    <row r="2728" spans="1:29" x14ac:dyDescent="0.45">
      <c r="A2728" t="s">
        <v>9088</v>
      </c>
      <c r="B2728">
        <v>1441</v>
      </c>
      <c r="C2728" t="s">
        <v>9743</v>
      </c>
      <c r="D2728" t="s">
        <v>9744</v>
      </c>
      <c r="E2728" t="s">
        <v>9256</v>
      </c>
      <c r="F2728" t="s">
        <v>53</v>
      </c>
      <c r="G2728" t="s">
        <v>177</v>
      </c>
      <c r="H2728" t="s">
        <v>565</v>
      </c>
      <c r="I2728" t="s">
        <v>9745</v>
      </c>
      <c r="J2728" t="s">
        <v>38</v>
      </c>
      <c r="K2728" t="s">
        <v>38</v>
      </c>
      <c r="L2728" t="s">
        <v>39</v>
      </c>
      <c r="M2728" t="s">
        <v>56</v>
      </c>
      <c r="N2728" t="s">
        <v>56</v>
      </c>
      <c r="O2728" t="s">
        <v>39</v>
      </c>
      <c r="P2728" t="s">
        <v>38</v>
      </c>
      <c r="Q2728" t="s">
        <v>38</v>
      </c>
      <c r="R2728" t="s">
        <v>39</v>
      </c>
      <c r="S2728" t="s">
        <v>41</v>
      </c>
      <c r="T2728" t="s">
        <v>9199</v>
      </c>
      <c r="U2728" t="s">
        <v>9200</v>
      </c>
      <c r="V2728" t="s">
        <v>9093</v>
      </c>
      <c r="W2728" t="s">
        <v>9180</v>
      </c>
      <c r="Z2728" t="s">
        <v>46</v>
      </c>
      <c r="AA2728" t="s">
        <v>9119</v>
      </c>
      <c r="AC2728">
        <f>COUNTIF(C:C,QLKV_gui_ket_qua_ra_soat[[#This Row],[Mã điểm bán]])</f>
        <v>1</v>
      </c>
    </row>
    <row r="2729" spans="1:29" x14ac:dyDescent="0.45">
      <c r="A2729" t="s">
        <v>9088</v>
      </c>
      <c r="B2729">
        <v>1446</v>
      </c>
      <c r="C2729" t="s">
        <v>9746</v>
      </c>
      <c r="D2729" t="s">
        <v>4265</v>
      </c>
      <c r="E2729" t="s">
        <v>109</v>
      </c>
      <c r="F2729" t="s">
        <v>53</v>
      </c>
      <c r="G2729" t="s">
        <v>34</v>
      </c>
      <c r="H2729" t="s">
        <v>54</v>
      </c>
      <c r="I2729" t="s">
        <v>9175</v>
      </c>
      <c r="J2729" t="s">
        <v>37</v>
      </c>
      <c r="K2729" t="s">
        <v>37</v>
      </c>
      <c r="L2729" t="s">
        <v>40</v>
      </c>
      <c r="M2729" t="s">
        <v>37</v>
      </c>
      <c r="N2729" t="s">
        <v>37</v>
      </c>
      <c r="O2729" t="s">
        <v>39</v>
      </c>
      <c r="P2729" t="s">
        <v>38</v>
      </c>
      <c r="Q2729" t="s">
        <v>38</v>
      </c>
      <c r="R2729" t="s">
        <v>40</v>
      </c>
      <c r="S2729" t="s">
        <v>41</v>
      </c>
      <c r="T2729" t="s">
        <v>9147</v>
      </c>
      <c r="U2729" t="s">
        <v>9148</v>
      </c>
      <c r="V2729" t="s">
        <v>9093</v>
      </c>
      <c r="W2729" t="s">
        <v>9094</v>
      </c>
      <c r="X2729" t="s">
        <v>46</v>
      </c>
      <c r="AC2729">
        <f>COUNTIF(C:C,QLKV_gui_ket_qua_ra_soat[[#This Row],[Mã điểm bán]])</f>
        <v>1</v>
      </c>
    </row>
    <row r="2730" spans="1:29" x14ac:dyDescent="0.45">
      <c r="A2730" t="s">
        <v>9088</v>
      </c>
      <c r="B2730">
        <v>1449</v>
      </c>
      <c r="C2730" t="s">
        <v>9747</v>
      </c>
      <c r="D2730" t="s">
        <v>9748</v>
      </c>
      <c r="E2730" t="s">
        <v>157</v>
      </c>
      <c r="F2730" t="s">
        <v>53</v>
      </c>
      <c r="G2730" t="s">
        <v>177</v>
      </c>
      <c r="H2730" t="s">
        <v>1177</v>
      </c>
      <c r="I2730" t="s">
        <v>9198</v>
      </c>
      <c r="J2730" t="s">
        <v>38</v>
      </c>
      <c r="K2730" t="s">
        <v>38</v>
      </c>
      <c r="L2730" t="s">
        <v>40</v>
      </c>
      <c r="M2730" t="s">
        <v>37</v>
      </c>
      <c r="N2730" t="s">
        <v>37</v>
      </c>
      <c r="O2730" t="s">
        <v>39</v>
      </c>
      <c r="P2730" t="s">
        <v>38</v>
      </c>
      <c r="Q2730" t="s">
        <v>38</v>
      </c>
      <c r="R2730" t="s">
        <v>40</v>
      </c>
      <c r="S2730" t="s">
        <v>41</v>
      </c>
      <c r="T2730" t="s">
        <v>9199</v>
      </c>
      <c r="U2730" t="s">
        <v>9200</v>
      </c>
      <c r="V2730" t="s">
        <v>9093</v>
      </c>
      <c r="W2730" t="s">
        <v>9180</v>
      </c>
      <c r="Z2730" t="s">
        <v>46</v>
      </c>
      <c r="AA2730" t="s">
        <v>9119</v>
      </c>
      <c r="AC2730">
        <f>COUNTIF(C:C,QLKV_gui_ket_qua_ra_soat[[#This Row],[Mã điểm bán]])</f>
        <v>1</v>
      </c>
    </row>
    <row r="2731" spans="1:29" x14ac:dyDescent="0.45">
      <c r="A2731" t="s">
        <v>9088</v>
      </c>
      <c r="B2731">
        <v>1450</v>
      </c>
      <c r="C2731" t="s">
        <v>9749</v>
      </c>
      <c r="D2731" t="s">
        <v>9750</v>
      </c>
      <c r="E2731" t="s">
        <v>9751</v>
      </c>
      <c r="F2731" t="s">
        <v>53</v>
      </c>
      <c r="G2731" t="s">
        <v>177</v>
      </c>
      <c r="H2731" t="s">
        <v>133</v>
      </c>
      <c r="I2731" t="s">
        <v>9752</v>
      </c>
      <c r="J2731" t="s">
        <v>37</v>
      </c>
      <c r="K2731" t="s">
        <v>37</v>
      </c>
      <c r="L2731" t="s">
        <v>39</v>
      </c>
      <c r="M2731" t="s">
        <v>37</v>
      </c>
      <c r="N2731" t="s">
        <v>37</v>
      </c>
      <c r="O2731" t="s">
        <v>39</v>
      </c>
      <c r="P2731" t="s">
        <v>38</v>
      </c>
      <c r="Q2731" t="s">
        <v>38</v>
      </c>
      <c r="R2731" t="s">
        <v>39</v>
      </c>
      <c r="S2731" t="s">
        <v>41</v>
      </c>
      <c r="T2731" t="s">
        <v>9240</v>
      </c>
      <c r="U2731" t="s">
        <v>9205</v>
      </c>
      <c r="V2731" t="s">
        <v>9093</v>
      </c>
      <c r="W2731" t="s">
        <v>9227</v>
      </c>
      <c r="Z2731" t="s">
        <v>46</v>
      </c>
      <c r="AA2731" t="s">
        <v>9235</v>
      </c>
      <c r="AC2731">
        <f>COUNTIF(C:C,QLKV_gui_ket_qua_ra_soat[[#This Row],[Mã điểm bán]])</f>
        <v>1</v>
      </c>
    </row>
    <row r="2732" spans="1:29" x14ac:dyDescent="0.45">
      <c r="A2732" t="s">
        <v>9088</v>
      </c>
      <c r="B2732">
        <v>1454</v>
      </c>
      <c r="C2732" t="s">
        <v>9753</v>
      </c>
      <c r="D2732" t="s">
        <v>9754</v>
      </c>
      <c r="E2732" t="s">
        <v>69</v>
      </c>
      <c r="F2732" t="s">
        <v>53</v>
      </c>
      <c r="G2732" t="s">
        <v>34</v>
      </c>
      <c r="H2732" t="s">
        <v>54</v>
      </c>
      <c r="I2732" t="s">
        <v>9712</v>
      </c>
      <c r="J2732" t="s">
        <v>37</v>
      </c>
      <c r="K2732" t="s">
        <v>37</v>
      </c>
      <c r="L2732" t="s">
        <v>39</v>
      </c>
      <c r="M2732" t="s">
        <v>37</v>
      </c>
      <c r="N2732" t="s">
        <v>37</v>
      </c>
      <c r="O2732" t="s">
        <v>39</v>
      </c>
      <c r="P2732" t="s">
        <v>38</v>
      </c>
      <c r="Q2732" t="s">
        <v>38</v>
      </c>
      <c r="R2732" t="s">
        <v>40</v>
      </c>
      <c r="S2732" t="s">
        <v>41</v>
      </c>
      <c r="T2732" t="s">
        <v>9147</v>
      </c>
      <c r="U2732" t="s">
        <v>9148</v>
      </c>
      <c r="V2732" t="s">
        <v>9093</v>
      </c>
      <c r="W2732" t="s">
        <v>9094</v>
      </c>
      <c r="X2732" t="s">
        <v>46</v>
      </c>
      <c r="AC2732">
        <f>COUNTIF(C:C,QLKV_gui_ket_qua_ra_soat[[#This Row],[Mã điểm bán]])</f>
        <v>1</v>
      </c>
    </row>
    <row r="2733" spans="1:29" x14ac:dyDescent="0.45">
      <c r="A2733" t="s">
        <v>9088</v>
      </c>
      <c r="B2733">
        <v>1481</v>
      </c>
      <c r="C2733" t="s">
        <v>9755</v>
      </c>
      <c r="D2733" t="s">
        <v>9756</v>
      </c>
      <c r="E2733" t="s">
        <v>143</v>
      </c>
      <c r="F2733" t="s">
        <v>401</v>
      </c>
      <c r="G2733" t="s">
        <v>34</v>
      </c>
      <c r="H2733" t="s">
        <v>54</v>
      </c>
      <c r="I2733" t="s">
        <v>9757</v>
      </c>
      <c r="J2733" t="s">
        <v>38</v>
      </c>
      <c r="K2733" t="s">
        <v>38</v>
      </c>
      <c r="L2733" t="s">
        <v>40</v>
      </c>
      <c r="M2733" t="s">
        <v>38</v>
      </c>
      <c r="N2733" t="s">
        <v>38</v>
      </c>
      <c r="O2733" t="s">
        <v>40</v>
      </c>
      <c r="P2733" t="s">
        <v>38</v>
      </c>
      <c r="Q2733" t="s">
        <v>38</v>
      </c>
      <c r="R2733" t="s">
        <v>40</v>
      </c>
      <c r="S2733" t="s">
        <v>41</v>
      </c>
      <c r="T2733" t="s">
        <v>9129</v>
      </c>
      <c r="U2733" t="s">
        <v>9130</v>
      </c>
      <c r="V2733" t="s">
        <v>9093</v>
      </c>
      <c r="W2733" t="s">
        <v>9131</v>
      </c>
      <c r="X2733" t="s">
        <v>46</v>
      </c>
      <c r="AC2733">
        <f>COUNTIF(C:C,QLKV_gui_ket_qua_ra_soat[[#This Row],[Mã điểm bán]])</f>
        <v>1</v>
      </c>
    </row>
    <row r="2734" spans="1:29" x14ac:dyDescent="0.45">
      <c r="A2734" t="s">
        <v>9088</v>
      </c>
      <c r="B2734">
        <v>1486</v>
      </c>
      <c r="C2734" t="s">
        <v>9758</v>
      </c>
      <c r="D2734" t="s">
        <v>4460</v>
      </c>
      <c r="E2734" t="s">
        <v>9663</v>
      </c>
      <c r="F2734" t="s">
        <v>53</v>
      </c>
      <c r="G2734" t="s">
        <v>34</v>
      </c>
      <c r="H2734" t="s">
        <v>54</v>
      </c>
      <c r="I2734" t="s">
        <v>9112</v>
      </c>
      <c r="J2734" t="s">
        <v>38</v>
      </c>
      <c r="K2734" t="s">
        <v>38</v>
      </c>
      <c r="L2734" t="s">
        <v>40</v>
      </c>
      <c r="M2734" t="s">
        <v>38</v>
      </c>
      <c r="N2734" t="s">
        <v>38</v>
      </c>
      <c r="O2734" t="s">
        <v>40</v>
      </c>
      <c r="P2734" t="s">
        <v>38</v>
      </c>
      <c r="Q2734" t="s">
        <v>38</v>
      </c>
      <c r="R2734" t="s">
        <v>40</v>
      </c>
      <c r="S2734" t="s">
        <v>41</v>
      </c>
      <c r="T2734" t="s">
        <v>9099</v>
      </c>
      <c r="U2734" t="s">
        <v>9100</v>
      </c>
      <c r="V2734" t="s">
        <v>9093</v>
      </c>
      <c r="W2734" t="s">
        <v>9101</v>
      </c>
      <c r="X2734" t="s">
        <v>46</v>
      </c>
      <c r="AC2734">
        <f>COUNTIF(C:C,QLKV_gui_ket_qua_ra_soat[[#This Row],[Mã điểm bán]])</f>
        <v>1</v>
      </c>
    </row>
    <row r="2735" spans="1:29" x14ac:dyDescent="0.45">
      <c r="A2735" t="s">
        <v>9088</v>
      </c>
      <c r="B2735">
        <v>1513</v>
      </c>
      <c r="C2735" t="s">
        <v>9759</v>
      </c>
      <c r="D2735" t="s">
        <v>9760</v>
      </c>
      <c r="E2735" t="s">
        <v>304</v>
      </c>
      <c r="F2735" t="s">
        <v>53</v>
      </c>
      <c r="G2735" t="s">
        <v>34</v>
      </c>
      <c r="H2735" t="s">
        <v>54</v>
      </c>
      <c r="I2735" t="s">
        <v>4639</v>
      </c>
      <c r="J2735" t="s">
        <v>38</v>
      </c>
      <c r="K2735" t="s">
        <v>38</v>
      </c>
      <c r="L2735" t="s">
        <v>39</v>
      </c>
      <c r="M2735" t="s">
        <v>38</v>
      </c>
      <c r="N2735" t="s">
        <v>38</v>
      </c>
      <c r="O2735" t="s">
        <v>39</v>
      </c>
      <c r="P2735" t="s">
        <v>38</v>
      </c>
      <c r="Q2735" t="s">
        <v>38</v>
      </c>
      <c r="R2735" t="s">
        <v>39</v>
      </c>
      <c r="S2735" t="s">
        <v>9761</v>
      </c>
      <c r="T2735" t="s">
        <v>9158</v>
      </c>
      <c r="U2735" t="s">
        <v>9159</v>
      </c>
      <c r="V2735" t="s">
        <v>9093</v>
      </c>
      <c r="W2735" t="s">
        <v>2978</v>
      </c>
      <c r="X2735" t="s">
        <v>46</v>
      </c>
      <c r="AC2735">
        <f>COUNTIF(C:C,QLKV_gui_ket_qua_ra_soat[[#This Row],[Mã điểm bán]])</f>
        <v>1</v>
      </c>
    </row>
    <row r="2736" spans="1:29" x14ac:dyDescent="0.45">
      <c r="A2736" t="s">
        <v>9088</v>
      </c>
      <c r="B2736">
        <v>1527</v>
      </c>
      <c r="C2736" t="s">
        <v>9762</v>
      </c>
      <c r="D2736" t="s">
        <v>9763</v>
      </c>
      <c r="E2736" t="s">
        <v>9764</v>
      </c>
      <c r="F2736" t="s">
        <v>401</v>
      </c>
      <c r="G2736" t="s">
        <v>34</v>
      </c>
      <c r="H2736" t="s">
        <v>2952</v>
      </c>
      <c r="I2736" t="s">
        <v>9137</v>
      </c>
      <c r="J2736" t="s">
        <v>38</v>
      </c>
      <c r="K2736" t="s">
        <v>38</v>
      </c>
      <c r="L2736" t="s">
        <v>40</v>
      </c>
      <c r="M2736" t="s">
        <v>38</v>
      </c>
      <c r="N2736" t="s">
        <v>38</v>
      </c>
      <c r="O2736" t="s">
        <v>40</v>
      </c>
      <c r="P2736" t="s">
        <v>38</v>
      </c>
      <c r="Q2736" t="s">
        <v>38</v>
      </c>
      <c r="R2736" t="s">
        <v>40</v>
      </c>
      <c r="S2736" t="s">
        <v>41</v>
      </c>
      <c r="T2736" t="s">
        <v>9099</v>
      </c>
      <c r="U2736" t="s">
        <v>9100</v>
      </c>
      <c r="V2736" t="s">
        <v>9093</v>
      </c>
      <c r="W2736" t="s">
        <v>9101</v>
      </c>
      <c r="X2736" t="s">
        <v>46</v>
      </c>
      <c r="AC2736">
        <f>COUNTIF(C:C,QLKV_gui_ket_qua_ra_soat[[#This Row],[Mã điểm bán]])</f>
        <v>1</v>
      </c>
    </row>
    <row r="2737" spans="1:29" x14ac:dyDescent="0.45">
      <c r="A2737" t="s">
        <v>9088</v>
      </c>
      <c r="B2737">
        <v>1536</v>
      </c>
      <c r="C2737" t="s">
        <v>9765</v>
      </c>
      <c r="D2737" t="s">
        <v>9766</v>
      </c>
      <c r="E2737" t="s">
        <v>9767</v>
      </c>
      <c r="F2737" t="s">
        <v>53</v>
      </c>
      <c r="G2737" t="s">
        <v>34</v>
      </c>
      <c r="H2737" t="s">
        <v>525</v>
      </c>
      <c r="I2737" t="s">
        <v>9768</v>
      </c>
      <c r="J2737" t="s">
        <v>38</v>
      </c>
      <c r="K2737" t="s">
        <v>38</v>
      </c>
      <c r="L2737" t="s">
        <v>40</v>
      </c>
      <c r="M2737" t="s">
        <v>38</v>
      </c>
      <c r="N2737" t="s">
        <v>38</v>
      </c>
      <c r="O2737" t="s">
        <v>40</v>
      </c>
      <c r="P2737" t="s">
        <v>38</v>
      </c>
      <c r="Q2737" t="s">
        <v>38</v>
      </c>
      <c r="R2737" t="s">
        <v>40</v>
      </c>
      <c r="S2737" t="s">
        <v>41</v>
      </c>
      <c r="T2737" t="s">
        <v>9099</v>
      </c>
      <c r="U2737" t="s">
        <v>9100</v>
      </c>
      <c r="V2737" t="s">
        <v>9093</v>
      </c>
      <c r="W2737" t="s">
        <v>9101</v>
      </c>
      <c r="Z2737" t="s">
        <v>46</v>
      </c>
      <c r="AA2737" t="s">
        <v>9119</v>
      </c>
      <c r="AC2737">
        <f>COUNTIF(C:C,QLKV_gui_ket_qua_ra_soat[[#This Row],[Mã điểm bán]])</f>
        <v>1</v>
      </c>
    </row>
    <row r="2738" spans="1:29" x14ac:dyDescent="0.45">
      <c r="A2738" t="s">
        <v>9088</v>
      </c>
      <c r="B2738">
        <v>1540</v>
      </c>
      <c r="C2738" t="s">
        <v>9769</v>
      </c>
      <c r="D2738" t="s">
        <v>9770</v>
      </c>
      <c r="E2738" t="s">
        <v>108</v>
      </c>
      <c r="F2738" t="s">
        <v>426</v>
      </c>
      <c r="G2738" t="s">
        <v>177</v>
      </c>
      <c r="H2738" t="s">
        <v>1877</v>
      </c>
      <c r="I2738" t="s">
        <v>9198</v>
      </c>
      <c r="J2738" t="s">
        <v>38</v>
      </c>
      <c r="K2738" t="s">
        <v>38</v>
      </c>
      <c r="L2738" t="s">
        <v>40</v>
      </c>
      <c r="M2738" t="s">
        <v>56</v>
      </c>
      <c r="N2738" t="s">
        <v>56</v>
      </c>
      <c r="O2738" t="s">
        <v>39</v>
      </c>
      <c r="P2738" t="s">
        <v>38</v>
      </c>
      <c r="Q2738" t="s">
        <v>38</v>
      </c>
      <c r="R2738" t="s">
        <v>40</v>
      </c>
      <c r="S2738" t="s">
        <v>9771</v>
      </c>
      <c r="T2738" t="s">
        <v>9199</v>
      </c>
      <c r="U2738" t="s">
        <v>9200</v>
      </c>
      <c r="V2738" t="s">
        <v>9093</v>
      </c>
      <c r="W2738" t="s">
        <v>9180</v>
      </c>
      <c r="Z2738" t="s">
        <v>46</v>
      </c>
      <c r="AA2738" t="s">
        <v>9119</v>
      </c>
      <c r="AC2738">
        <f>COUNTIF(C:C,QLKV_gui_ket_qua_ra_soat[[#This Row],[Mã điểm bán]])</f>
        <v>1</v>
      </c>
    </row>
    <row r="2739" spans="1:29" x14ac:dyDescent="0.45">
      <c r="A2739" t="s">
        <v>9088</v>
      </c>
      <c r="B2739">
        <v>1573</v>
      </c>
      <c r="C2739" t="s">
        <v>9772</v>
      </c>
      <c r="D2739" t="s">
        <v>9773</v>
      </c>
      <c r="E2739" t="s">
        <v>9774</v>
      </c>
      <c r="F2739" t="s">
        <v>53</v>
      </c>
      <c r="G2739" t="s">
        <v>34</v>
      </c>
      <c r="H2739" t="s">
        <v>54</v>
      </c>
      <c r="I2739" t="s">
        <v>9775</v>
      </c>
      <c r="J2739" t="s">
        <v>37</v>
      </c>
      <c r="K2739" t="s">
        <v>37</v>
      </c>
      <c r="L2739" t="s">
        <v>39</v>
      </c>
      <c r="M2739" t="s">
        <v>37</v>
      </c>
      <c r="N2739" t="s">
        <v>37</v>
      </c>
      <c r="O2739" t="s">
        <v>39</v>
      </c>
      <c r="P2739" t="s">
        <v>38</v>
      </c>
      <c r="Q2739" t="s">
        <v>38</v>
      </c>
      <c r="R2739" t="s">
        <v>40</v>
      </c>
      <c r="S2739" t="s">
        <v>41</v>
      </c>
      <c r="T2739" t="s">
        <v>9147</v>
      </c>
      <c r="U2739" t="s">
        <v>9148</v>
      </c>
      <c r="V2739" t="s">
        <v>9093</v>
      </c>
      <c r="W2739" t="s">
        <v>9094</v>
      </c>
      <c r="X2739" t="s">
        <v>46</v>
      </c>
      <c r="AC2739">
        <f>COUNTIF(C:C,QLKV_gui_ket_qua_ra_soat[[#This Row],[Mã điểm bán]])</f>
        <v>1</v>
      </c>
    </row>
    <row r="2740" spans="1:29" x14ac:dyDescent="0.45">
      <c r="A2740" t="s">
        <v>9088</v>
      </c>
      <c r="B2740">
        <v>1578</v>
      </c>
      <c r="C2740" t="s">
        <v>9776</v>
      </c>
      <c r="D2740" t="s">
        <v>9777</v>
      </c>
      <c r="E2740" t="s">
        <v>788</v>
      </c>
      <c r="F2740" t="s">
        <v>3698</v>
      </c>
      <c r="G2740" t="s">
        <v>177</v>
      </c>
      <c r="H2740" t="s">
        <v>54</v>
      </c>
      <c r="I2740" t="s">
        <v>9778</v>
      </c>
      <c r="J2740" t="s">
        <v>38</v>
      </c>
      <c r="K2740" t="s">
        <v>38</v>
      </c>
      <c r="L2740" t="s">
        <v>40</v>
      </c>
      <c r="M2740" t="s">
        <v>38</v>
      </c>
      <c r="N2740" t="s">
        <v>38</v>
      </c>
      <c r="O2740" t="s">
        <v>40</v>
      </c>
      <c r="P2740" t="s">
        <v>38</v>
      </c>
      <c r="Q2740" t="s">
        <v>38</v>
      </c>
      <c r="R2740" t="s">
        <v>40</v>
      </c>
      <c r="S2740" t="s">
        <v>41</v>
      </c>
      <c r="T2740" t="s">
        <v>9129</v>
      </c>
      <c r="U2740" t="s">
        <v>9130</v>
      </c>
      <c r="V2740" t="s">
        <v>9093</v>
      </c>
      <c r="W2740" t="s">
        <v>9131</v>
      </c>
      <c r="X2740" t="s">
        <v>46</v>
      </c>
      <c r="AC2740">
        <f>COUNTIF(C:C,QLKV_gui_ket_qua_ra_soat[[#This Row],[Mã điểm bán]])</f>
        <v>1</v>
      </c>
    </row>
    <row r="2741" spans="1:29" x14ac:dyDescent="0.45">
      <c r="A2741" t="s">
        <v>9088</v>
      </c>
      <c r="B2741">
        <v>1606</v>
      </c>
      <c r="C2741" t="s">
        <v>9779</v>
      </c>
      <c r="D2741" t="s">
        <v>9780</v>
      </c>
      <c r="E2741" t="s">
        <v>1043</v>
      </c>
      <c r="F2741" t="s">
        <v>53</v>
      </c>
      <c r="G2741" t="s">
        <v>34</v>
      </c>
      <c r="H2741" t="s">
        <v>54</v>
      </c>
      <c r="I2741" t="s">
        <v>9712</v>
      </c>
      <c r="J2741" t="s">
        <v>37</v>
      </c>
      <c r="K2741" t="s">
        <v>37</v>
      </c>
      <c r="L2741" t="s">
        <v>39</v>
      </c>
      <c r="M2741" t="s">
        <v>37</v>
      </c>
      <c r="N2741" t="s">
        <v>37</v>
      </c>
      <c r="O2741" t="s">
        <v>39</v>
      </c>
      <c r="P2741" t="s">
        <v>38</v>
      </c>
      <c r="Q2741" t="s">
        <v>38</v>
      </c>
      <c r="R2741" t="s">
        <v>40</v>
      </c>
      <c r="S2741" t="s">
        <v>41</v>
      </c>
      <c r="T2741" t="s">
        <v>9147</v>
      </c>
      <c r="U2741" t="s">
        <v>9148</v>
      </c>
      <c r="V2741" t="s">
        <v>9093</v>
      </c>
      <c r="W2741" t="s">
        <v>9094</v>
      </c>
      <c r="X2741" t="s">
        <v>46</v>
      </c>
      <c r="AC2741">
        <f>COUNTIF(C:C,QLKV_gui_ket_qua_ra_soat[[#This Row],[Mã điểm bán]])</f>
        <v>1</v>
      </c>
    </row>
    <row r="2742" spans="1:29" x14ac:dyDescent="0.45">
      <c r="A2742" t="s">
        <v>9088</v>
      </c>
      <c r="B2742">
        <v>1621</v>
      </c>
      <c r="C2742" t="s">
        <v>9781</v>
      </c>
      <c r="D2742" t="s">
        <v>2034</v>
      </c>
      <c r="E2742" t="s">
        <v>223</v>
      </c>
      <c r="F2742" t="s">
        <v>1340</v>
      </c>
      <c r="G2742" t="s">
        <v>177</v>
      </c>
      <c r="H2742" t="s">
        <v>1188</v>
      </c>
      <c r="I2742" t="s">
        <v>9782</v>
      </c>
      <c r="J2742" t="s">
        <v>38</v>
      </c>
      <c r="K2742" t="s">
        <v>38</v>
      </c>
      <c r="L2742" t="s">
        <v>40</v>
      </c>
      <c r="M2742" t="s">
        <v>38</v>
      </c>
      <c r="N2742" t="s">
        <v>38</v>
      </c>
      <c r="O2742" t="s">
        <v>40</v>
      </c>
      <c r="P2742" t="s">
        <v>38</v>
      </c>
      <c r="Q2742" t="s">
        <v>38</v>
      </c>
      <c r="R2742" t="s">
        <v>40</v>
      </c>
      <c r="S2742" t="s">
        <v>41</v>
      </c>
      <c r="T2742" t="s">
        <v>9129</v>
      </c>
      <c r="U2742" t="s">
        <v>9130</v>
      </c>
      <c r="V2742" t="s">
        <v>9093</v>
      </c>
      <c r="W2742" t="s">
        <v>9131</v>
      </c>
      <c r="X2742" t="s">
        <v>46</v>
      </c>
      <c r="AC2742">
        <f>COUNTIF(C:C,QLKV_gui_ket_qua_ra_soat[[#This Row],[Mã điểm bán]])</f>
        <v>1</v>
      </c>
    </row>
    <row r="2743" spans="1:29" x14ac:dyDescent="0.45">
      <c r="A2743" t="s">
        <v>9088</v>
      </c>
      <c r="B2743">
        <v>1632</v>
      </c>
      <c r="C2743" t="s">
        <v>9783</v>
      </c>
      <c r="D2743" t="s">
        <v>9784</v>
      </c>
      <c r="E2743" t="s">
        <v>9785</v>
      </c>
      <c r="F2743" t="s">
        <v>53</v>
      </c>
      <c r="G2743" t="s">
        <v>177</v>
      </c>
      <c r="H2743" t="s">
        <v>54</v>
      </c>
      <c r="I2743" t="s">
        <v>9786</v>
      </c>
      <c r="J2743" t="s">
        <v>37</v>
      </c>
      <c r="K2743" t="s">
        <v>37</v>
      </c>
      <c r="L2743" t="s">
        <v>39</v>
      </c>
      <c r="M2743" t="s">
        <v>37</v>
      </c>
      <c r="N2743" t="s">
        <v>37</v>
      </c>
      <c r="O2743" t="s">
        <v>39</v>
      </c>
      <c r="P2743" t="s">
        <v>38</v>
      </c>
      <c r="Q2743" t="s">
        <v>38</v>
      </c>
      <c r="R2743" t="s">
        <v>39</v>
      </c>
      <c r="S2743" t="s">
        <v>41</v>
      </c>
      <c r="T2743" t="s">
        <v>9240</v>
      </c>
      <c r="U2743" t="s">
        <v>9226</v>
      </c>
      <c r="V2743" t="s">
        <v>9093</v>
      </c>
      <c r="W2743" t="s">
        <v>9227</v>
      </c>
      <c r="Z2743" t="s">
        <v>46</v>
      </c>
      <c r="AA2743" t="s">
        <v>9235</v>
      </c>
      <c r="AC2743">
        <f>COUNTIF(C:C,QLKV_gui_ket_qua_ra_soat[[#This Row],[Mã điểm bán]])</f>
        <v>1</v>
      </c>
    </row>
    <row r="2744" spans="1:29" x14ac:dyDescent="0.45">
      <c r="A2744" t="s">
        <v>9088</v>
      </c>
      <c r="B2744">
        <v>1644</v>
      </c>
      <c r="C2744" t="s">
        <v>9787</v>
      </c>
      <c r="D2744" t="s">
        <v>9788</v>
      </c>
      <c r="E2744" t="s">
        <v>9789</v>
      </c>
      <c r="F2744" t="s">
        <v>401</v>
      </c>
      <c r="G2744" t="s">
        <v>34</v>
      </c>
      <c r="H2744" t="s">
        <v>192</v>
      </c>
      <c r="I2744" t="s">
        <v>2543</v>
      </c>
      <c r="J2744" t="s">
        <v>38</v>
      </c>
      <c r="K2744" t="s">
        <v>38</v>
      </c>
      <c r="L2744" t="s">
        <v>40</v>
      </c>
      <c r="M2744" t="s">
        <v>38</v>
      </c>
      <c r="N2744" t="s">
        <v>38</v>
      </c>
      <c r="O2744" t="s">
        <v>40</v>
      </c>
      <c r="P2744" t="s">
        <v>38</v>
      </c>
      <c r="Q2744" t="s">
        <v>38</v>
      </c>
      <c r="R2744" t="s">
        <v>40</v>
      </c>
      <c r="S2744" t="s">
        <v>41</v>
      </c>
      <c r="T2744" t="s">
        <v>9099</v>
      </c>
      <c r="U2744" t="s">
        <v>9100</v>
      </c>
      <c r="V2744" t="s">
        <v>9093</v>
      </c>
      <c r="W2744" t="s">
        <v>9101</v>
      </c>
      <c r="X2744" t="s">
        <v>46</v>
      </c>
      <c r="AC2744">
        <f>COUNTIF(C:C,QLKV_gui_ket_qua_ra_soat[[#This Row],[Mã điểm bán]])</f>
        <v>1</v>
      </c>
    </row>
    <row r="2745" spans="1:29" x14ac:dyDescent="0.45">
      <c r="A2745" t="s">
        <v>9088</v>
      </c>
      <c r="B2745">
        <v>1661</v>
      </c>
      <c r="C2745" t="s">
        <v>9790</v>
      </c>
      <c r="D2745" t="s">
        <v>9791</v>
      </c>
      <c r="E2745" t="s">
        <v>68</v>
      </c>
      <c r="F2745" t="s">
        <v>53</v>
      </c>
      <c r="G2745" t="s">
        <v>34</v>
      </c>
      <c r="H2745" t="s">
        <v>54</v>
      </c>
      <c r="I2745" t="s">
        <v>1365</v>
      </c>
      <c r="J2745" t="s">
        <v>37</v>
      </c>
      <c r="K2745" t="s">
        <v>37</v>
      </c>
      <c r="L2745" t="s">
        <v>39</v>
      </c>
      <c r="M2745" t="s">
        <v>37</v>
      </c>
      <c r="N2745" t="s">
        <v>37</v>
      </c>
      <c r="O2745" t="s">
        <v>39</v>
      </c>
      <c r="P2745" t="s">
        <v>38</v>
      </c>
      <c r="Q2745" t="s">
        <v>38</v>
      </c>
      <c r="R2745" t="s">
        <v>40</v>
      </c>
      <c r="S2745" t="s">
        <v>41</v>
      </c>
      <c r="T2745" t="s">
        <v>9147</v>
      </c>
      <c r="U2745" t="s">
        <v>9148</v>
      </c>
      <c r="V2745" t="s">
        <v>9093</v>
      </c>
      <c r="W2745" t="s">
        <v>9094</v>
      </c>
      <c r="X2745" t="s">
        <v>46</v>
      </c>
      <c r="AC2745">
        <f>COUNTIF(C:C,QLKV_gui_ket_qua_ra_soat[[#This Row],[Mã điểm bán]])</f>
        <v>1</v>
      </c>
    </row>
    <row r="2746" spans="1:29" x14ac:dyDescent="0.45">
      <c r="A2746" t="s">
        <v>9088</v>
      </c>
      <c r="B2746">
        <v>1666</v>
      </c>
      <c r="C2746" t="s">
        <v>9792</v>
      </c>
      <c r="D2746" t="s">
        <v>4189</v>
      </c>
      <c r="E2746" t="s">
        <v>148</v>
      </c>
      <c r="F2746" t="s">
        <v>456</v>
      </c>
      <c r="G2746" t="s">
        <v>177</v>
      </c>
      <c r="H2746" t="s">
        <v>54</v>
      </c>
      <c r="I2746" t="s">
        <v>9793</v>
      </c>
      <c r="J2746" t="s">
        <v>38</v>
      </c>
      <c r="K2746" t="s">
        <v>38</v>
      </c>
      <c r="L2746" t="s">
        <v>40</v>
      </c>
      <c r="M2746" t="s">
        <v>38</v>
      </c>
      <c r="N2746" t="s">
        <v>38</v>
      </c>
      <c r="O2746" t="s">
        <v>40</v>
      </c>
      <c r="P2746" t="s">
        <v>38</v>
      </c>
      <c r="Q2746" t="s">
        <v>38</v>
      </c>
      <c r="R2746" t="s">
        <v>40</v>
      </c>
      <c r="S2746" t="s">
        <v>41</v>
      </c>
      <c r="T2746" t="s">
        <v>9129</v>
      </c>
      <c r="U2746" t="s">
        <v>9130</v>
      </c>
      <c r="V2746" t="s">
        <v>9093</v>
      </c>
      <c r="W2746" t="s">
        <v>9131</v>
      </c>
      <c r="X2746" t="s">
        <v>46</v>
      </c>
      <c r="AC2746">
        <f>COUNTIF(C:C,QLKV_gui_ket_qua_ra_soat[[#This Row],[Mã điểm bán]])</f>
        <v>1</v>
      </c>
    </row>
    <row r="2747" spans="1:29" x14ac:dyDescent="0.45">
      <c r="A2747" t="s">
        <v>9088</v>
      </c>
      <c r="B2747">
        <v>1667</v>
      </c>
      <c r="C2747" t="s">
        <v>9794</v>
      </c>
      <c r="D2747" t="s">
        <v>9795</v>
      </c>
      <c r="E2747" t="s">
        <v>9796</v>
      </c>
      <c r="F2747" t="s">
        <v>53</v>
      </c>
      <c r="G2747" t="s">
        <v>34</v>
      </c>
      <c r="H2747" t="s">
        <v>555</v>
      </c>
      <c r="I2747" t="s">
        <v>2543</v>
      </c>
      <c r="J2747" t="s">
        <v>38</v>
      </c>
      <c r="K2747" t="s">
        <v>38</v>
      </c>
      <c r="L2747" t="s">
        <v>40</v>
      </c>
      <c r="M2747" t="s">
        <v>38</v>
      </c>
      <c r="N2747" t="s">
        <v>38</v>
      </c>
      <c r="O2747" t="s">
        <v>40</v>
      </c>
      <c r="P2747" t="s">
        <v>38</v>
      </c>
      <c r="Q2747" t="s">
        <v>38</v>
      </c>
      <c r="R2747" t="s">
        <v>40</v>
      </c>
      <c r="S2747" t="s">
        <v>41</v>
      </c>
      <c r="T2747" t="s">
        <v>9099</v>
      </c>
      <c r="U2747" t="s">
        <v>9100</v>
      </c>
      <c r="V2747" t="s">
        <v>9093</v>
      </c>
      <c r="W2747" t="s">
        <v>9101</v>
      </c>
      <c r="X2747" t="s">
        <v>46</v>
      </c>
      <c r="AC2747">
        <f>COUNTIF(C:C,QLKV_gui_ket_qua_ra_soat[[#This Row],[Mã điểm bán]])</f>
        <v>1</v>
      </c>
    </row>
    <row r="2748" spans="1:29" x14ac:dyDescent="0.45">
      <c r="A2748" t="s">
        <v>9088</v>
      </c>
      <c r="B2748">
        <v>1669</v>
      </c>
      <c r="C2748" t="s">
        <v>9797</v>
      </c>
      <c r="D2748" t="s">
        <v>9798</v>
      </c>
      <c r="E2748" t="s">
        <v>9799</v>
      </c>
      <c r="F2748" t="s">
        <v>401</v>
      </c>
      <c r="G2748" t="s">
        <v>34</v>
      </c>
      <c r="H2748" t="s">
        <v>917</v>
      </c>
      <c r="I2748" t="s">
        <v>9800</v>
      </c>
      <c r="J2748" t="s">
        <v>38</v>
      </c>
      <c r="K2748" t="s">
        <v>38</v>
      </c>
      <c r="L2748" t="s">
        <v>40</v>
      </c>
      <c r="M2748" t="s">
        <v>38</v>
      </c>
      <c r="N2748" t="s">
        <v>38</v>
      </c>
      <c r="O2748" t="s">
        <v>40</v>
      </c>
      <c r="P2748" t="s">
        <v>38</v>
      </c>
      <c r="Q2748" t="s">
        <v>38</v>
      </c>
      <c r="R2748" t="s">
        <v>40</v>
      </c>
      <c r="S2748" t="s">
        <v>41</v>
      </c>
      <c r="T2748" t="s">
        <v>9099</v>
      </c>
      <c r="U2748" t="s">
        <v>9100</v>
      </c>
      <c r="V2748" t="s">
        <v>9093</v>
      </c>
      <c r="W2748" t="s">
        <v>9101</v>
      </c>
      <c r="Z2748" t="s">
        <v>46</v>
      </c>
      <c r="AA2748" t="s">
        <v>9119</v>
      </c>
      <c r="AC2748">
        <f>COUNTIF(C:C,QLKV_gui_ket_qua_ra_soat[[#This Row],[Mã điểm bán]])</f>
        <v>1</v>
      </c>
    </row>
    <row r="2749" spans="1:29" x14ac:dyDescent="0.45">
      <c r="A2749" t="s">
        <v>9088</v>
      </c>
      <c r="B2749">
        <v>1672</v>
      </c>
      <c r="C2749" t="s">
        <v>9801</v>
      </c>
      <c r="D2749" t="s">
        <v>5664</v>
      </c>
      <c r="E2749" t="s">
        <v>91</v>
      </c>
      <c r="F2749" t="s">
        <v>115</v>
      </c>
      <c r="G2749" t="s">
        <v>177</v>
      </c>
      <c r="H2749" t="s">
        <v>4182</v>
      </c>
      <c r="I2749" t="s">
        <v>9198</v>
      </c>
      <c r="J2749" t="s">
        <v>38</v>
      </c>
      <c r="K2749" t="s">
        <v>38</v>
      </c>
      <c r="L2749" t="s">
        <v>40</v>
      </c>
      <c r="M2749" t="s">
        <v>56</v>
      </c>
      <c r="N2749" t="s">
        <v>56</v>
      </c>
      <c r="O2749" t="s">
        <v>39</v>
      </c>
      <c r="P2749" t="s">
        <v>38</v>
      </c>
      <c r="Q2749" t="s">
        <v>38</v>
      </c>
      <c r="R2749" t="s">
        <v>40</v>
      </c>
      <c r="S2749" t="s">
        <v>41</v>
      </c>
      <c r="T2749" t="s">
        <v>9199</v>
      </c>
      <c r="U2749" t="s">
        <v>9200</v>
      </c>
      <c r="V2749" t="s">
        <v>9093</v>
      </c>
      <c r="W2749" t="s">
        <v>9180</v>
      </c>
      <c r="Z2749" t="s">
        <v>46</v>
      </c>
      <c r="AA2749" t="s">
        <v>9119</v>
      </c>
      <c r="AB2749" t="s">
        <v>117</v>
      </c>
      <c r="AC2749">
        <f>COUNTIF(C:C,QLKV_gui_ket_qua_ra_soat[[#This Row],[Mã điểm bán]])</f>
        <v>1</v>
      </c>
    </row>
    <row r="2750" spans="1:29" x14ac:dyDescent="0.45">
      <c r="A2750" t="s">
        <v>9088</v>
      </c>
      <c r="B2750">
        <v>1674</v>
      </c>
      <c r="C2750" t="s">
        <v>9802</v>
      </c>
      <c r="D2750" t="s">
        <v>6869</v>
      </c>
      <c r="E2750" t="s">
        <v>9663</v>
      </c>
      <c r="F2750" t="s">
        <v>53</v>
      </c>
      <c r="G2750" t="s">
        <v>34</v>
      </c>
      <c r="H2750" t="s">
        <v>917</v>
      </c>
      <c r="I2750" t="s">
        <v>9803</v>
      </c>
      <c r="J2750" t="s">
        <v>38</v>
      </c>
      <c r="K2750" t="s">
        <v>38</v>
      </c>
      <c r="L2750" t="s">
        <v>40</v>
      </c>
      <c r="M2750" t="s">
        <v>38</v>
      </c>
      <c r="N2750" t="s">
        <v>38</v>
      </c>
      <c r="O2750" t="s">
        <v>40</v>
      </c>
      <c r="P2750" t="s">
        <v>38</v>
      </c>
      <c r="Q2750" t="s">
        <v>38</v>
      </c>
      <c r="R2750" t="s">
        <v>40</v>
      </c>
      <c r="S2750" t="s">
        <v>41</v>
      </c>
      <c r="T2750" t="s">
        <v>9099</v>
      </c>
      <c r="U2750" t="s">
        <v>9100</v>
      </c>
      <c r="V2750" t="s">
        <v>9093</v>
      </c>
      <c r="W2750" t="s">
        <v>9101</v>
      </c>
      <c r="X2750" t="s">
        <v>46</v>
      </c>
      <c r="AC2750">
        <f>COUNTIF(C:C,QLKV_gui_ket_qua_ra_soat[[#This Row],[Mã điểm bán]])</f>
        <v>1</v>
      </c>
    </row>
    <row r="2751" spans="1:29" x14ac:dyDescent="0.45">
      <c r="A2751" t="s">
        <v>9088</v>
      </c>
      <c r="B2751">
        <v>1689</v>
      </c>
      <c r="C2751" t="s">
        <v>9804</v>
      </c>
      <c r="D2751" t="s">
        <v>9805</v>
      </c>
      <c r="E2751" t="s">
        <v>138</v>
      </c>
      <c r="F2751" t="s">
        <v>1541</v>
      </c>
      <c r="G2751" t="s">
        <v>177</v>
      </c>
      <c r="H2751" t="s">
        <v>1052</v>
      </c>
      <c r="I2751" t="s">
        <v>9806</v>
      </c>
      <c r="J2751" t="s">
        <v>37</v>
      </c>
      <c r="K2751" t="s">
        <v>37</v>
      </c>
      <c r="L2751" t="s">
        <v>39</v>
      </c>
      <c r="M2751" t="s">
        <v>37</v>
      </c>
      <c r="N2751" t="s">
        <v>37</v>
      </c>
      <c r="O2751" t="s">
        <v>39</v>
      </c>
      <c r="P2751" t="s">
        <v>38</v>
      </c>
      <c r="Q2751" t="s">
        <v>38</v>
      </c>
      <c r="R2751" t="s">
        <v>40</v>
      </c>
      <c r="S2751" t="s">
        <v>41</v>
      </c>
      <c r="T2751" t="s">
        <v>9147</v>
      </c>
      <c r="U2751" t="s">
        <v>9148</v>
      </c>
      <c r="V2751" t="s">
        <v>9093</v>
      </c>
      <c r="W2751" t="s">
        <v>9094</v>
      </c>
      <c r="X2751" t="s">
        <v>46</v>
      </c>
      <c r="AC2751">
        <f>COUNTIF(C:C,QLKV_gui_ket_qua_ra_soat[[#This Row],[Mã điểm bán]])</f>
        <v>1</v>
      </c>
    </row>
    <row r="2752" spans="1:29" x14ac:dyDescent="0.45">
      <c r="A2752" t="s">
        <v>9088</v>
      </c>
      <c r="B2752">
        <v>1692</v>
      </c>
      <c r="C2752" t="s">
        <v>9807</v>
      </c>
      <c r="D2752" t="s">
        <v>9808</v>
      </c>
      <c r="E2752" t="s">
        <v>9809</v>
      </c>
      <c r="F2752" t="s">
        <v>53</v>
      </c>
      <c r="G2752" t="s">
        <v>34</v>
      </c>
      <c r="H2752" t="s">
        <v>685</v>
      </c>
      <c r="I2752" t="s">
        <v>8348</v>
      </c>
      <c r="J2752" t="s">
        <v>38</v>
      </c>
      <c r="K2752" t="s">
        <v>38</v>
      </c>
      <c r="L2752" t="s">
        <v>40</v>
      </c>
      <c r="M2752" t="s">
        <v>38</v>
      </c>
      <c r="N2752" t="s">
        <v>38</v>
      </c>
      <c r="O2752" t="s">
        <v>40</v>
      </c>
      <c r="P2752" t="s">
        <v>38</v>
      </c>
      <c r="Q2752" t="s">
        <v>38</v>
      </c>
      <c r="R2752" t="s">
        <v>40</v>
      </c>
      <c r="S2752" t="s">
        <v>41</v>
      </c>
      <c r="T2752" t="s">
        <v>9099</v>
      </c>
      <c r="U2752" t="s">
        <v>9100</v>
      </c>
      <c r="V2752" t="s">
        <v>9093</v>
      </c>
      <c r="W2752" t="s">
        <v>9101</v>
      </c>
      <c r="Z2752" t="s">
        <v>46</v>
      </c>
      <c r="AA2752" t="s">
        <v>9119</v>
      </c>
      <c r="AB2752" t="s">
        <v>117</v>
      </c>
      <c r="AC2752">
        <f>COUNTIF(C:C,QLKV_gui_ket_qua_ra_soat[[#This Row],[Mã điểm bán]])</f>
        <v>1</v>
      </c>
    </row>
    <row r="2753" spans="1:29" x14ac:dyDescent="0.45">
      <c r="A2753" t="s">
        <v>9088</v>
      </c>
      <c r="B2753">
        <v>1737</v>
      </c>
      <c r="C2753" t="s">
        <v>9810</v>
      </c>
      <c r="D2753" t="s">
        <v>9811</v>
      </c>
      <c r="E2753" t="s">
        <v>148</v>
      </c>
      <c r="F2753" t="s">
        <v>53</v>
      </c>
      <c r="G2753" t="s">
        <v>34</v>
      </c>
      <c r="H2753" t="s">
        <v>54</v>
      </c>
      <c r="I2753" t="s">
        <v>9812</v>
      </c>
      <c r="J2753" t="s">
        <v>38</v>
      </c>
      <c r="K2753" t="s">
        <v>38</v>
      </c>
      <c r="L2753" t="s">
        <v>40</v>
      </c>
      <c r="M2753" t="s">
        <v>38</v>
      </c>
      <c r="N2753" t="s">
        <v>38</v>
      </c>
      <c r="O2753" t="s">
        <v>40</v>
      </c>
      <c r="P2753" t="s">
        <v>38</v>
      </c>
      <c r="Q2753" t="s">
        <v>38</v>
      </c>
      <c r="R2753" t="s">
        <v>40</v>
      </c>
      <c r="S2753" t="s">
        <v>41</v>
      </c>
      <c r="T2753" t="s">
        <v>9427</v>
      </c>
      <c r="U2753" t="s">
        <v>9469</v>
      </c>
      <c r="V2753" t="s">
        <v>9093</v>
      </c>
      <c r="W2753" t="s">
        <v>9094</v>
      </c>
      <c r="Z2753" t="s">
        <v>46</v>
      </c>
      <c r="AA2753" t="s">
        <v>9235</v>
      </c>
      <c r="AC2753">
        <f>COUNTIF(C:C,QLKV_gui_ket_qua_ra_soat[[#This Row],[Mã điểm bán]])</f>
        <v>1</v>
      </c>
    </row>
    <row r="2754" spans="1:29" x14ac:dyDescent="0.45">
      <c r="A2754" t="s">
        <v>9088</v>
      </c>
      <c r="B2754">
        <v>1768</v>
      </c>
      <c r="C2754" t="s">
        <v>9813</v>
      </c>
      <c r="D2754" t="s">
        <v>9814</v>
      </c>
      <c r="E2754" t="s">
        <v>9815</v>
      </c>
      <c r="F2754" t="s">
        <v>53</v>
      </c>
      <c r="G2754" t="s">
        <v>177</v>
      </c>
      <c r="H2754" t="s">
        <v>917</v>
      </c>
      <c r="I2754" t="s">
        <v>9652</v>
      </c>
      <c r="J2754" t="s">
        <v>38</v>
      </c>
      <c r="K2754" t="s">
        <v>38</v>
      </c>
      <c r="L2754" t="s">
        <v>39</v>
      </c>
      <c r="M2754" t="s">
        <v>38</v>
      </c>
      <c r="N2754" t="s">
        <v>38</v>
      </c>
      <c r="O2754" t="s">
        <v>40</v>
      </c>
      <c r="P2754" t="s">
        <v>38</v>
      </c>
      <c r="Q2754" t="s">
        <v>38</v>
      </c>
      <c r="R2754" t="s">
        <v>40</v>
      </c>
      <c r="S2754" t="s">
        <v>9647</v>
      </c>
      <c r="T2754" t="s">
        <v>9648</v>
      </c>
      <c r="U2754" t="s">
        <v>9649</v>
      </c>
      <c r="V2754" t="s">
        <v>9093</v>
      </c>
      <c r="W2754" t="s">
        <v>9101</v>
      </c>
      <c r="X2754" t="s">
        <v>46</v>
      </c>
      <c r="AC2754">
        <f>COUNTIF(C:C,QLKV_gui_ket_qua_ra_soat[[#This Row],[Mã điểm bán]])</f>
        <v>1</v>
      </c>
    </row>
    <row r="2755" spans="1:29" x14ac:dyDescent="0.45">
      <c r="A2755" t="s">
        <v>9088</v>
      </c>
      <c r="B2755">
        <v>1789</v>
      </c>
      <c r="C2755" t="s">
        <v>9816</v>
      </c>
      <c r="D2755" t="s">
        <v>9817</v>
      </c>
      <c r="E2755" t="s">
        <v>9818</v>
      </c>
      <c r="F2755" t="s">
        <v>9819</v>
      </c>
      <c r="G2755" t="s">
        <v>177</v>
      </c>
      <c r="H2755" t="s">
        <v>834</v>
      </c>
      <c r="I2755" t="s">
        <v>9820</v>
      </c>
      <c r="J2755" t="s">
        <v>37</v>
      </c>
      <c r="K2755" t="s">
        <v>37</v>
      </c>
      <c r="L2755" t="s">
        <v>39</v>
      </c>
      <c r="M2755" t="s">
        <v>37</v>
      </c>
      <c r="N2755" t="s">
        <v>37</v>
      </c>
      <c r="O2755" t="s">
        <v>39</v>
      </c>
      <c r="P2755" t="s">
        <v>38</v>
      </c>
      <c r="Q2755" t="s">
        <v>38</v>
      </c>
      <c r="R2755" t="s">
        <v>39</v>
      </c>
      <c r="S2755" t="s">
        <v>41</v>
      </c>
      <c r="T2755" t="s">
        <v>9240</v>
      </c>
      <c r="U2755" t="s">
        <v>9226</v>
      </c>
      <c r="V2755" t="s">
        <v>9093</v>
      </c>
      <c r="W2755" t="s">
        <v>9227</v>
      </c>
      <c r="Z2755" t="s">
        <v>46</v>
      </c>
      <c r="AA2755" t="s">
        <v>9235</v>
      </c>
      <c r="AC2755">
        <f>COUNTIF(C:C,QLKV_gui_ket_qua_ra_soat[[#This Row],[Mã điểm bán]])</f>
        <v>1</v>
      </c>
    </row>
    <row r="2756" spans="1:29" x14ac:dyDescent="0.45">
      <c r="A2756" t="s">
        <v>9088</v>
      </c>
      <c r="B2756">
        <v>1795</v>
      </c>
      <c r="C2756" t="s">
        <v>9821</v>
      </c>
      <c r="D2756" t="s">
        <v>9822</v>
      </c>
      <c r="E2756" t="s">
        <v>365</v>
      </c>
      <c r="F2756" t="s">
        <v>53</v>
      </c>
      <c r="G2756" t="s">
        <v>177</v>
      </c>
      <c r="H2756" t="s">
        <v>35</v>
      </c>
      <c r="I2756" t="s">
        <v>5734</v>
      </c>
      <c r="J2756" t="s">
        <v>37</v>
      </c>
      <c r="K2756" t="s">
        <v>37</v>
      </c>
      <c r="L2756" t="s">
        <v>39</v>
      </c>
      <c r="M2756" t="s">
        <v>37</v>
      </c>
      <c r="N2756" t="s">
        <v>37</v>
      </c>
      <c r="O2756" t="s">
        <v>39</v>
      </c>
      <c r="P2756" t="s">
        <v>38</v>
      </c>
      <c r="Q2756" t="s">
        <v>38</v>
      </c>
      <c r="R2756" t="s">
        <v>40</v>
      </c>
      <c r="S2756" t="s">
        <v>41</v>
      </c>
      <c r="T2756" t="s">
        <v>9147</v>
      </c>
      <c r="U2756" t="s">
        <v>9148</v>
      </c>
      <c r="V2756" t="s">
        <v>9093</v>
      </c>
      <c r="W2756" t="s">
        <v>9094</v>
      </c>
      <c r="X2756" t="s">
        <v>46</v>
      </c>
      <c r="AC2756">
        <f>COUNTIF(C:C,QLKV_gui_ket_qua_ra_soat[[#This Row],[Mã điểm bán]])</f>
        <v>1</v>
      </c>
    </row>
    <row r="2757" spans="1:29" x14ac:dyDescent="0.45">
      <c r="A2757" t="s">
        <v>9088</v>
      </c>
      <c r="B2757">
        <v>1805</v>
      </c>
      <c r="C2757" t="s">
        <v>9823</v>
      </c>
      <c r="D2757" t="s">
        <v>9824</v>
      </c>
      <c r="E2757" t="s">
        <v>9825</v>
      </c>
      <c r="F2757" t="s">
        <v>166</v>
      </c>
      <c r="G2757" t="s">
        <v>177</v>
      </c>
      <c r="H2757" t="s">
        <v>1750</v>
      </c>
      <c r="I2757" t="s">
        <v>6268</v>
      </c>
      <c r="J2757" t="s">
        <v>37</v>
      </c>
      <c r="K2757" t="s">
        <v>37</v>
      </c>
      <c r="L2757" t="s">
        <v>39</v>
      </c>
      <c r="M2757" t="s">
        <v>37</v>
      </c>
      <c r="N2757" t="s">
        <v>37</v>
      </c>
      <c r="O2757" t="s">
        <v>39</v>
      </c>
      <c r="P2757" t="s">
        <v>38</v>
      </c>
      <c r="Q2757" t="s">
        <v>38</v>
      </c>
      <c r="R2757" t="s">
        <v>39</v>
      </c>
      <c r="S2757" t="s">
        <v>41</v>
      </c>
      <c r="T2757" t="s">
        <v>9240</v>
      </c>
      <c r="U2757" t="s">
        <v>9226</v>
      </c>
      <c r="V2757" t="s">
        <v>9093</v>
      </c>
      <c r="W2757" t="s">
        <v>9227</v>
      </c>
      <c r="Z2757" t="s">
        <v>46</v>
      </c>
      <c r="AA2757" t="s">
        <v>9095</v>
      </c>
      <c r="AC2757">
        <f>COUNTIF(C:C,QLKV_gui_ket_qua_ra_soat[[#This Row],[Mã điểm bán]])</f>
        <v>1</v>
      </c>
    </row>
    <row r="2758" spans="1:29" x14ac:dyDescent="0.45">
      <c r="A2758" t="s">
        <v>9088</v>
      </c>
      <c r="B2758">
        <v>1809</v>
      </c>
      <c r="C2758" t="s">
        <v>9826</v>
      </c>
      <c r="D2758" t="s">
        <v>3941</v>
      </c>
      <c r="E2758" t="s">
        <v>9827</v>
      </c>
      <c r="F2758" t="s">
        <v>401</v>
      </c>
      <c r="G2758" t="s">
        <v>34</v>
      </c>
      <c r="H2758" t="s">
        <v>2256</v>
      </c>
      <c r="I2758" t="s">
        <v>9828</v>
      </c>
      <c r="J2758" t="s">
        <v>38</v>
      </c>
      <c r="K2758" t="s">
        <v>38</v>
      </c>
      <c r="L2758" t="s">
        <v>40</v>
      </c>
      <c r="M2758" t="s">
        <v>38</v>
      </c>
      <c r="N2758" t="s">
        <v>38</v>
      </c>
      <c r="O2758" t="s">
        <v>40</v>
      </c>
      <c r="P2758" t="s">
        <v>38</v>
      </c>
      <c r="Q2758" t="s">
        <v>38</v>
      </c>
      <c r="R2758" t="s">
        <v>40</v>
      </c>
      <c r="S2758" t="s">
        <v>41</v>
      </c>
      <c r="T2758" t="s">
        <v>9099</v>
      </c>
      <c r="U2758" t="s">
        <v>9100</v>
      </c>
      <c r="V2758" t="s">
        <v>9093</v>
      </c>
      <c r="W2758" t="s">
        <v>9101</v>
      </c>
      <c r="X2758" t="s">
        <v>46</v>
      </c>
      <c r="AB2758" t="s">
        <v>117</v>
      </c>
      <c r="AC2758">
        <f>COUNTIF(C:C,QLKV_gui_ket_qua_ra_soat[[#This Row],[Mã điểm bán]])</f>
        <v>1</v>
      </c>
    </row>
    <row r="2759" spans="1:29" x14ac:dyDescent="0.45">
      <c r="A2759" t="s">
        <v>9088</v>
      </c>
      <c r="B2759">
        <v>1826</v>
      </c>
      <c r="C2759" t="s">
        <v>9829</v>
      </c>
      <c r="D2759" t="s">
        <v>9830</v>
      </c>
      <c r="E2759" t="s">
        <v>211</v>
      </c>
      <c r="F2759" t="s">
        <v>2365</v>
      </c>
      <c r="G2759" t="s">
        <v>177</v>
      </c>
      <c r="H2759" t="s">
        <v>5951</v>
      </c>
      <c r="I2759" t="s">
        <v>1732</v>
      </c>
      <c r="J2759" t="s">
        <v>38</v>
      </c>
      <c r="K2759" t="s">
        <v>38</v>
      </c>
      <c r="L2759" t="s">
        <v>39</v>
      </c>
      <c r="M2759" t="s">
        <v>37</v>
      </c>
      <c r="N2759" t="s">
        <v>37</v>
      </c>
      <c r="O2759" t="s">
        <v>39</v>
      </c>
      <c r="P2759" t="s">
        <v>38</v>
      </c>
      <c r="Q2759" t="s">
        <v>38</v>
      </c>
      <c r="R2759" t="s">
        <v>39</v>
      </c>
      <c r="S2759" t="s">
        <v>41</v>
      </c>
      <c r="T2759" t="s">
        <v>9178</v>
      </c>
      <c r="U2759" t="s">
        <v>9179</v>
      </c>
      <c r="V2759" t="s">
        <v>9093</v>
      </c>
      <c r="W2759" t="s">
        <v>9180</v>
      </c>
      <c r="X2759" t="s">
        <v>46</v>
      </c>
      <c r="AC2759">
        <f>COUNTIF(C:C,QLKV_gui_ket_qua_ra_soat[[#This Row],[Mã điểm bán]])</f>
        <v>1</v>
      </c>
    </row>
    <row r="2760" spans="1:29" x14ac:dyDescent="0.45">
      <c r="A2760" t="s">
        <v>9088</v>
      </c>
      <c r="B2760">
        <v>1827</v>
      </c>
      <c r="C2760" t="s">
        <v>9831</v>
      </c>
      <c r="D2760" t="s">
        <v>9832</v>
      </c>
      <c r="E2760" t="s">
        <v>113</v>
      </c>
      <c r="F2760" t="s">
        <v>53</v>
      </c>
      <c r="G2760" t="s">
        <v>177</v>
      </c>
      <c r="H2760" t="s">
        <v>1904</v>
      </c>
      <c r="I2760" t="s">
        <v>9833</v>
      </c>
      <c r="J2760" t="s">
        <v>38</v>
      </c>
      <c r="K2760" t="s">
        <v>38</v>
      </c>
      <c r="L2760" t="s">
        <v>40</v>
      </c>
      <c r="M2760" t="s">
        <v>37</v>
      </c>
      <c r="N2760" t="s">
        <v>37</v>
      </c>
      <c r="O2760" t="s">
        <v>39</v>
      </c>
      <c r="P2760" t="s">
        <v>38</v>
      </c>
      <c r="Q2760" t="s">
        <v>38</v>
      </c>
      <c r="R2760" t="s">
        <v>40</v>
      </c>
      <c r="S2760" t="s">
        <v>41</v>
      </c>
      <c r="T2760" t="s">
        <v>9199</v>
      </c>
      <c r="U2760" t="s">
        <v>9200</v>
      </c>
      <c r="V2760" t="s">
        <v>9093</v>
      </c>
      <c r="W2760" t="s">
        <v>9180</v>
      </c>
      <c r="Z2760" t="s">
        <v>46</v>
      </c>
      <c r="AA2760" t="s">
        <v>9095</v>
      </c>
      <c r="AC2760">
        <f>COUNTIF(C:C,QLKV_gui_ket_qua_ra_soat[[#This Row],[Mã điểm bán]])</f>
        <v>1</v>
      </c>
    </row>
    <row r="2761" spans="1:29" x14ac:dyDescent="0.45">
      <c r="A2761" t="s">
        <v>9088</v>
      </c>
      <c r="B2761">
        <v>1828</v>
      </c>
      <c r="C2761" t="s">
        <v>9834</v>
      </c>
      <c r="D2761" t="s">
        <v>9835</v>
      </c>
      <c r="E2761" t="s">
        <v>9836</v>
      </c>
      <c r="F2761" t="s">
        <v>884</v>
      </c>
      <c r="G2761" t="s">
        <v>34</v>
      </c>
      <c r="H2761" t="s">
        <v>54</v>
      </c>
      <c r="I2761" t="s">
        <v>9399</v>
      </c>
      <c r="J2761" t="s">
        <v>37</v>
      </c>
      <c r="K2761" t="s">
        <v>37</v>
      </c>
      <c r="L2761" t="s">
        <v>39</v>
      </c>
      <c r="M2761" t="s">
        <v>38</v>
      </c>
      <c r="N2761" t="s">
        <v>37</v>
      </c>
      <c r="O2761" t="s">
        <v>39</v>
      </c>
      <c r="P2761" t="s">
        <v>38</v>
      </c>
      <c r="Q2761" t="s">
        <v>38</v>
      </c>
      <c r="R2761" t="s">
        <v>40</v>
      </c>
      <c r="S2761" t="s">
        <v>41</v>
      </c>
      <c r="T2761" t="s">
        <v>9147</v>
      </c>
      <c r="U2761" t="s">
        <v>9148</v>
      </c>
      <c r="V2761" t="s">
        <v>9093</v>
      </c>
      <c r="W2761" t="s">
        <v>9094</v>
      </c>
      <c r="X2761" t="s">
        <v>46</v>
      </c>
      <c r="AC2761">
        <f>COUNTIF(C:C,QLKV_gui_ket_qua_ra_soat[[#This Row],[Mã điểm bán]])</f>
        <v>1</v>
      </c>
    </row>
    <row r="2762" spans="1:29" x14ac:dyDescent="0.45">
      <c r="A2762" t="s">
        <v>9088</v>
      </c>
      <c r="B2762">
        <v>1843</v>
      </c>
      <c r="C2762" t="s">
        <v>9837</v>
      </c>
      <c r="D2762" t="s">
        <v>9838</v>
      </c>
      <c r="E2762" t="s">
        <v>108</v>
      </c>
      <c r="F2762" t="s">
        <v>53</v>
      </c>
      <c r="G2762" t="s">
        <v>177</v>
      </c>
      <c r="H2762" t="s">
        <v>54</v>
      </c>
      <c r="I2762" t="s">
        <v>9839</v>
      </c>
      <c r="J2762" t="s">
        <v>38</v>
      </c>
      <c r="K2762" t="s">
        <v>38</v>
      </c>
      <c r="L2762" t="s">
        <v>39</v>
      </c>
      <c r="M2762" t="s">
        <v>38</v>
      </c>
      <c r="N2762" t="s">
        <v>38</v>
      </c>
      <c r="O2762" t="s">
        <v>39</v>
      </c>
      <c r="P2762" t="s">
        <v>38</v>
      </c>
      <c r="Q2762" t="s">
        <v>38</v>
      </c>
      <c r="R2762" t="s">
        <v>39</v>
      </c>
      <c r="S2762" t="s">
        <v>9840</v>
      </c>
      <c r="T2762" t="s">
        <v>9158</v>
      </c>
      <c r="U2762" t="s">
        <v>9159</v>
      </c>
      <c r="V2762" t="s">
        <v>9093</v>
      </c>
      <c r="W2762" t="s">
        <v>2978</v>
      </c>
      <c r="X2762" t="s">
        <v>46</v>
      </c>
      <c r="AC2762">
        <f>COUNTIF(C:C,QLKV_gui_ket_qua_ra_soat[[#This Row],[Mã điểm bán]])</f>
        <v>1</v>
      </c>
    </row>
    <row r="2763" spans="1:29" x14ac:dyDescent="0.45">
      <c r="A2763" t="s">
        <v>9088</v>
      </c>
      <c r="B2763">
        <v>1847</v>
      </c>
      <c r="C2763" t="s">
        <v>9841</v>
      </c>
      <c r="D2763" t="s">
        <v>3542</v>
      </c>
      <c r="E2763" t="s">
        <v>9842</v>
      </c>
      <c r="F2763" t="s">
        <v>53</v>
      </c>
      <c r="G2763" t="s">
        <v>34</v>
      </c>
      <c r="H2763" t="s">
        <v>5212</v>
      </c>
      <c r="I2763" t="s">
        <v>9843</v>
      </c>
      <c r="J2763" t="s">
        <v>38</v>
      </c>
      <c r="K2763" t="s">
        <v>38</v>
      </c>
      <c r="L2763" t="s">
        <v>39</v>
      </c>
      <c r="M2763" t="s">
        <v>37</v>
      </c>
      <c r="N2763" t="s">
        <v>37</v>
      </c>
      <c r="O2763" t="s">
        <v>39</v>
      </c>
      <c r="P2763" t="s">
        <v>38</v>
      </c>
      <c r="Q2763" t="s">
        <v>38</v>
      </c>
      <c r="R2763" t="s">
        <v>39</v>
      </c>
      <c r="S2763" t="s">
        <v>41</v>
      </c>
      <c r="T2763" t="s">
        <v>9178</v>
      </c>
      <c r="U2763" t="s">
        <v>9179</v>
      </c>
      <c r="V2763" t="s">
        <v>9093</v>
      </c>
      <c r="W2763" t="s">
        <v>9180</v>
      </c>
      <c r="X2763" t="s">
        <v>46</v>
      </c>
      <c r="AC2763">
        <f>COUNTIF(C:C,QLKV_gui_ket_qua_ra_soat[[#This Row],[Mã điểm bán]])</f>
        <v>1</v>
      </c>
    </row>
    <row r="2764" spans="1:29" x14ac:dyDescent="0.45">
      <c r="A2764" t="s">
        <v>9088</v>
      </c>
      <c r="B2764">
        <v>1853</v>
      </c>
      <c r="C2764" t="s">
        <v>9844</v>
      </c>
      <c r="D2764" t="s">
        <v>9845</v>
      </c>
      <c r="E2764" t="s">
        <v>32</v>
      </c>
      <c r="F2764" t="s">
        <v>53</v>
      </c>
      <c r="G2764" t="s">
        <v>177</v>
      </c>
      <c r="H2764" t="s">
        <v>685</v>
      </c>
      <c r="I2764" t="s">
        <v>9846</v>
      </c>
      <c r="J2764" t="s">
        <v>38</v>
      </c>
      <c r="K2764" t="s">
        <v>38</v>
      </c>
      <c r="L2764" t="s">
        <v>40</v>
      </c>
      <c r="M2764" t="s">
        <v>38</v>
      </c>
      <c r="N2764" t="s">
        <v>38</v>
      </c>
      <c r="O2764" t="s">
        <v>40</v>
      </c>
      <c r="P2764" t="s">
        <v>38</v>
      </c>
      <c r="Q2764" t="s">
        <v>38</v>
      </c>
      <c r="R2764" t="s">
        <v>40</v>
      </c>
      <c r="S2764" t="s">
        <v>41</v>
      </c>
      <c r="T2764" t="s">
        <v>9199</v>
      </c>
      <c r="U2764" t="s">
        <v>9200</v>
      </c>
      <c r="V2764" t="s">
        <v>9093</v>
      </c>
      <c r="W2764" t="s">
        <v>9180</v>
      </c>
      <c r="Z2764" t="s">
        <v>46</v>
      </c>
      <c r="AA2764" t="s">
        <v>9263</v>
      </c>
      <c r="AC2764">
        <f>COUNTIF(C:C,QLKV_gui_ket_qua_ra_soat[[#This Row],[Mã điểm bán]])</f>
        <v>1</v>
      </c>
    </row>
    <row r="2765" spans="1:29" x14ac:dyDescent="0.45">
      <c r="A2765" t="s">
        <v>9088</v>
      </c>
      <c r="B2765">
        <v>1858</v>
      </c>
      <c r="C2765" t="s">
        <v>9847</v>
      </c>
      <c r="D2765" t="s">
        <v>9848</v>
      </c>
      <c r="E2765" t="s">
        <v>9849</v>
      </c>
      <c r="F2765" t="s">
        <v>401</v>
      </c>
      <c r="G2765" t="s">
        <v>34</v>
      </c>
      <c r="H2765" t="s">
        <v>54</v>
      </c>
      <c r="I2765" t="s">
        <v>9742</v>
      </c>
      <c r="J2765" t="s">
        <v>38</v>
      </c>
      <c r="K2765" t="s">
        <v>38</v>
      </c>
      <c r="L2765" t="s">
        <v>40</v>
      </c>
      <c r="M2765" t="s">
        <v>38</v>
      </c>
      <c r="N2765" t="s">
        <v>38</v>
      </c>
      <c r="O2765" t="s">
        <v>40</v>
      </c>
      <c r="P2765" t="s">
        <v>38</v>
      </c>
      <c r="Q2765" t="s">
        <v>38</v>
      </c>
      <c r="R2765" t="s">
        <v>40</v>
      </c>
      <c r="S2765" t="s">
        <v>41</v>
      </c>
      <c r="T2765" t="s">
        <v>9099</v>
      </c>
      <c r="U2765" t="s">
        <v>9100</v>
      </c>
      <c r="V2765" t="s">
        <v>9093</v>
      </c>
      <c r="W2765" t="s">
        <v>9101</v>
      </c>
      <c r="X2765" t="s">
        <v>46</v>
      </c>
      <c r="AC2765">
        <f>COUNTIF(C:C,QLKV_gui_ket_qua_ra_soat[[#This Row],[Mã điểm bán]])</f>
        <v>1</v>
      </c>
    </row>
    <row r="2766" spans="1:29" x14ac:dyDescent="0.45">
      <c r="A2766" t="s">
        <v>9088</v>
      </c>
      <c r="B2766">
        <v>1862</v>
      </c>
      <c r="C2766" t="s">
        <v>9850</v>
      </c>
      <c r="D2766" t="s">
        <v>9851</v>
      </c>
      <c r="E2766" t="s">
        <v>9852</v>
      </c>
      <c r="F2766" t="s">
        <v>325</v>
      </c>
      <c r="G2766" t="s">
        <v>34</v>
      </c>
      <c r="H2766" t="s">
        <v>214</v>
      </c>
      <c r="I2766" t="s">
        <v>9224</v>
      </c>
      <c r="J2766" t="s">
        <v>37</v>
      </c>
      <c r="K2766" t="s">
        <v>37</v>
      </c>
      <c r="L2766" t="s">
        <v>39</v>
      </c>
      <c r="M2766" t="s">
        <v>37</v>
      </c>
      <c r="N2766" t="s">
        <v>37</v>
      </c>
      <c r="O2766" t="s">
        <v>39</v>
      </c>
      <c r="P2766" t="s">
        <v>38</v>
      </c>
      <c r="Q2766" t="s">
        <v>38</v>
      </c>
      <c r="R2766" t="s">
        <v>39</v>
      </c>
      <c r="S2766" t="s">
        <v>41</v>
      </c>
      <c r="T2766" t="s">
        <v>9225</v>
      </c>
      <c r="U2766" t="s">
        <v>9226</v>
      </c>
      <c r="V2766" t="s">
        <v>9093</v>
      </c>
      <c r="W2766" t="s">
        <v>9227</v>
      </c>
      <c r="X2766" t="s">
        <v>46</v>
      </c>
      <c r="AC2766">
        <f>COUNTIF(C:C,QLKV_gui_ket_qua_ra_soat[[#This Row],[Mã điểm bán]])</f>
        <v>1</v>
      </c>
    </row>
    <row r="2767" spans="1:29" x14ac:dyDescent="0.45">
      <c r="A2767" t="s">
        <v>9088</v>
      </c>
      <c r="B2767">
        <v>1873</v>
      </c>
      <c r="C2767" t="s">
        <v>9853</v>
      </c>
      <c r="D2767" t="s">
        <v>9854</v>
      </c>
      <c r="E2767" t="s">
        <v>149</v>
      </c>
      <c r="F2767" t="s">
        <v>53</v>
      </c>
      <c r="G2767" t="s">
        <v>34</v>
      </c>
      <c r="H2767" t="s">
        <v>54</v>
      </c>
      <c r="I2767" t="s">
        <v>9855</v>
      </c>
      <c r="J2767" t="s">
        <v>38</v>
      </c>
      <c r="K2767" t="s">
        <v>38</v>
      </c>
      <c r="L2767" t="s">
        <v>40</v>
      </c>
      <c r="M2767" t="s">
        <v>38</v>
      </c>
      <c r="N2767" t="s">
        <v>38</v>
      </c>
      <c r="O2767" t="s">
        <v>40</v>
      </c>
      <c r="P2767" t="s">
        <v>38</v>
      </c>
      <c r="Q2767" t="s">
        <v>38</v>
      </c>
      <c r="R2767" t="s">
        <v>40</v>
      </c>
      <c r="S2767" t="s">
        <v>9856</v>
      </c>
      <c r="T2767" t="s">
        <v>9298</v>
      </c>
      <c r="U2767" t="s">
        <v>9299</v>
      </c>
      <c r="V2767" t="s">
        <v>9093</v>
      </c>
      <c r="W2767" t="s">
        <v>2978</v>
      </c>
      <c r="X2767" t="s">
        <v>46</v>
      </c>
      <c r="AC2767">
        <f>COUNTIF(C:C,QLKV_gui_ket_qua_ra_soat[[#This Row],[Mã điểm bán]])</f>
        <v>1</v>
      </c>
    </row>
    <row r="2768" spans="1:29" x14ac:dyDescent="0.45">
      <c r="A2768" t="s">
        <v>9088</v>
      </c>
      <c r="B2768">
        <v>1904</v>
      </c>
      <c r="C2768" t="s">
        <v>9857</v>
      </c>
      <c r="D2768" t="s">
        <v>9858</v>
      </c>
      <c r="E2768" t="s">
        <v>8392</v>
      </c>
      <c r="F2768" t="s">
        <v>401</v>
      </c>
      <c r="G2768" t="s">
        <v>34</v>
      </c>
      <c r="H2768" t="s">
        <v>192</v>
      </c>
      <c r="I2768" t="s">
        <v>2049</v>
      </c>
      <c r="J2768" t="s">
        <v>38</v>
      </c>
      <c r="K2768" t="s">
        <v>38</v>
      </c>
      <c r="L2768" t="s">
        <v>40</v>
      </c>
      <c r="M2768" t="s">
        <v>38</v>
      </c>
      <c r="N2768" t="s">
        <v>38</v>
      </c>
      <c r="O2768" t="s">
        <v>40</v>
      </c>
      <c r="P2768" t="s">
        <v>38</v>
      </c>
      <c r="Q2768" t="s">
        <v>38</v>
      </c>
      <c r="R2768" t="s">
        <v>40</v>
      </c>
      <c r="S2768" t="s">
        <v>41</v>
      </c>
      <c r="T2768" t="s">
        <v>9099</v>
      </c>
      <c r="U2768" t="s">
        <v>9100</v>
      </c>
      <c r="V2768" t="s">
        <v>9093</v>
      </c>
      <c r="W2768" t="s">
        <v>9101</v>
      </c>
      <c r="X2768" t="s">
        <v>46</v>
      </c>
      <c r="AC2768">
        <f>COUNTIF(C:C,QLKV_gui_ket_qua_ra_soat[[#This Row],[Mã điểm bán]])</f>
        <v>1</v>
      </c>
    </row>
    <row r="2769" spans="1:29" x14ac:dyDescent="0.45">
      <c r="A2769" t="s">
        <v>9088</v>
      </c>
      <c r="B2769">
        <v>1911</v>
      </c>
      <c r="C2769" t="s">
        <v>9859</v>
      </c>
      <c r="D2769" t="s">
        <v>9860</v>
      </c>
      <c r="E2769" t="s">
        <v>4186</v>
      </c>
      <c r="F2769" t="s">
        <v>166</v>
      </c>
      <c r="G2769" t="s">
        <v>34</v>
      </c>
      <c r="H2769" t="s">
        <v>345</v>
      </c>
      <c r="I2769" t="s">
        <v>2049</v>
      </c>
      <c r="J2769" t="s">
        <v>38</v>
      </c>
      <c r="K2769" t="s">
        <v>38</v>
      </c>
      <c r="L2769" t="s">
        <v>40</v>
      </c>
      <c r="M2769" t="s">
        <v>38</v>
      </c>
      <c r="N2769" t="s">
        <v>38</v>
      </c>
      <c r="O2769" t="s">
        <v>40</v>
      </c>
      <c r="P2769" t="s">
        <v>38</v>
      </c>
      <c r="Q2769" t="s">
        <v>38</v>
      </c>
      <c r="R2769" t="s">
        <v>40</v>
      </c>
      <c r="S2769" t="s">
        <v>41</v>
      </c>
      <c r="T2769" t="s">
        <v>9099</v>
      </c>
      <c r="U2769" t="s">
        <v>9100</v>
      </c>
      <c r="V2769" t="s">
        <v>9093</v>
      </c>
      <c r="W2769" t="s">
        <v>9101</v>
      </c>
      <c r="Z2769" t="s">
        <v>46</v>
      </c>
      <c r="AA2769" t="s">
        <v>9119</v>
      </c>
      <c r="AC2769">
        <f>COUNTIF(C:C,QLKV_gui_ket_qua_ra_soat[[#This Row],[Mã điểm bán]])</f>
        <v>1</v>
      </c>
    </row>
    <row r="2770" spans="1:29" x14ac:dyDescent="0.45">
      <c r="A2770" t="s">
        <v>9088</v>
      </c>
      <c r="B2770">
        <v>1915</v>
      </c>
      <c r="C2770" t="s">
        <v>9861</v>
      </c>
      <c r="D2770" t="s">
        <v>9862</v>
      </c>
      <c r="E2770" t="s">
        <v>9863</v>
      </c>
      <c r="F2770" t="s">
        <v>53</v>
      </c>
      <c r="G2770" t="s">
        <v>34</v>
      </c>
      <c r="H2770" t="s">
        <v>1942</v>
      </c>
      <c r="I2770" t="s">
        <v>2543</v>
      </c>
      <c r="J2770" t="s">
        <v>38</v>
      </c>
      <c r="K2770" t="s">
        <v>38</v>
      </c>
      <c r="L2770" t="s">
        <v>40</v>
      </c>
      <c r="M2770" t="s">
        <v>38</v>
      </c>
      <c r="N2770" t="s">
        <v>38</v>
      </c>
      <c r="O2770" t="s">
        <v>40</v>
      </c>
      <c r="P2770" t="s">
        <v>38</v>
      </c>
      <c r="Q2770" t="s">
        <v>38</v>
      </c>
      <c r="R2770" t="s">
        <v>40</v>
      </c>
      <c r="S2770" t="s">
        <v>41</v>
      </c>
      <c r="T2770" t="s">
        <v>9099</v>
      </c>
      <c r="U2770" t="s">
        <v>9100</v>
      </c>
      <c r="V2770" t="s">
        <v>9093</v>
      </c>
      <c r="W2770" t="s">
        <v>9101</v>
      </c>
      <c r="X2770" t="s">
        <v>46</v>
      </c>
      <c r="AC2770">
        <f>COUNTIF(C:C,QLKV_gui_ket_qua_ra_soat[[#This Row],[Mã điểm bán]])</f>
        <v>1</v>
      </c>
    </row>
    <row r="2771" spans="1:29" x14ac:dyDescent="0.45">
      <c r="A2771" t="s">
        <v>9088</v>
      </c>
      <c r="B2771">
        <v>1919</v>
      </c>
      <c r="C2771" t="s">
        <v>9864</v>
      </c>
      <c r="D2771" t="s">
        <v>9865</v>
      </c>
      <c r="E2771" t="s">
        <v>157</v>
      </c>
      <c r="F2771" t="s">
        <v>53</v>
      </c>
      <c r="G2771" t="s">
        <v>177</v>
      </c>
      <c r="H2771" t="s">
        <v>54</v>
      </c>
      <c r="I2771" t="s">
        <v>172</v>
      </c>
      <c r="J2771" t="s">
        <v>38</v>
      </c>
      <c r="K2771" t="s">
        <v>38</v>
      </c>
      <c r="L2771" t="s">
        <v>40</v>
      </c>
      <c r="M2771" t="s">
        <v>38</v>
      </c>
      <c r="N2771" t="s">
        <v>38</v>
      </c>
      <c r="O2771" t="s">
        <v>40</v>
      </c>
      <c r="P2771" t="s">
        <v>38</v>
      </c>
      <c r="Q2771" t="s">
        <v>38</v>
      </c>
      <c r="R2771" t="s">
        <v>40</v>
      </c>
      <c r="S2771" t="s">
        <v>41</v>
      </c>
      <c r="T2771" t="s">
        <v>9129</v>
      </c>
      <c r="U2771" t="s">
        <v>9130</v>
      </c>
      <c r="V2771" t="s">
        <v>9093</v>
      </c>
      <c r="W2771" t="s">
        <v>9131</v>
      </c>
      <c r="X2771" t="s">
        <v>46</v>
      </c>
      <c r="AC2771">
        <f>COUNTIF(C:C,QLKV_gui_ket_qua_ra_soat[[#This Row],[Mã điểm bán]])</f>
        <v>1</v>
      </c>
    </row>
    <row r="2772" spans="1:29" x14ac:dyDescent="0.45">
      <c r="A2772" t="s">
        <v>9088</v>
      </c>
      <c r="B2772">
        <v>1921</v>
      </c>
      <c r="C2772" t="s">
        <v>9866</v>
      </c>
      <c r="D2772" t="s">
        <v>9867</v>
      </c>
      <c r="E2772" t="s">
        <v>5967</v>
      </c>
      <c r="F2772" t="s">
        <v>5453</v>
      </c>
      <c r="G2772" t="s">
        <v>177</v>
      </c>
      <c r="H2772" t="s">
        <v>402</v>
      </c>
      <c r="I2772" t="s">
        <v>9868</v>
      </c>
      <c r="J2772" t="s">
        <v>38</v>
      </c>
      <c r="K2772" t="s">
        <v>38</v>
      </c>
      <c r="L2772" t="s">
        <v>40</v>
      </c>
      <c r="M2772" t="s">
        <v>38</v>
      </c>
      <c r="N2772" t="s">
        <v>38</v>
      </c>
      <c r="O2772" t="s">
        <v>40</v>
      </c>
      <c r="P2772" t="s">
        <v>38</v>
      </c>
      <c r="Q2772" t="s">
        <v>38</v>
      </c>
      <c r="R2772" t="s">
        <v>40</v>
      </c>
      <c r="S2772" t="s">
        <v>41</v>
      </c>
      <c r="T2772" t="s">
        <v>9129</v>
      </c>
      <c r="U2772" t="s">
        <v>9130</v>
      </c>
      <c r="V2772" t="s">
        <v>9093</v>
      </c>
      <c r="W2772" t="s">
        <v>9131</v>
      </c>
      <c r="X2772" t="s">
        <v>46</v>
      </c>
      <c r="AC2772">
        <f>COUNTIF(C:C,QLKV_gui_ket_qua_ra_soat[[#This Row],[Mã điểm bán]])</f>
        <v>1</v>
      </c>
    </row>
    <row r="2773" spans="1:29" x14ac:dyDescent="0.45">
      <c r="A2773" t="s">
        <v>9088</v>
      </c>
      <c r="B2773">
        <v>1925</v>
      </c>
      <c r="C2773" t="s">
        <v>9869</v>
      </c>
      <c r="D2773" t="s">
        <v>9870</v>
      </c>
      <c r="E2773" t="s">
        <v>338</v>
      </c>
      <c r="F2773" t="s">
        <v>3216</v>
      </c>
      <c r="G2773" t="s">
        <v>34</v>
      </c>
      <c r="H2773" t="s">
        <v>54</v>
      </c>
      <c r="I2773" t="s">
        <v>9871</v>
      </c>
      <c r="J2773" t="s">
        <v>38</v>
      </c>
      <c r="K2773" t="s">
        <v>38</v>
      </c>
      <c r="L2773" t="s">
        <v>40</v>
      </c>
      <c r="M2773" t="s">
        <v>38</v>
      </c>
      <c r="N2773" t="s">
        <v>38</v>
      </c>
      <c r="O2773" t="s">
        <v>40</v>
      </c>
      <c r="P2773" t="s">
        <v>38</v>
      </c>
      <c r="Q2773" t="s">
        <v>38</v>
      </c>
      <c r="R2773" t="s">
        <v>40</v>
      </c>
      <c r="S2773" t="s">
        <v>41</v>
      </c>
      <c r="T2773" t="s">
        <v>9129</v>
      </c>
      <c r="U2773" t="s">
        <v>9130</v>
      </c>
      <c r="V2773" t="s">
        <v>9093</v>
      </c>
      <c r="W2773" t="s">
        <v>9131</v>
      </c>
      <c r="X2773" t="s">
        <v>46</v>
      </c>
      <c r="AC2773">
        <f>COUNTIF(C:C,QLKV_gui_ket_qua_ra_soat[[#This Row],[Mã điểm bán]])</f>
        <v>1</v>
      </c>
    </row>
    <row r="2774" spans="1:29" x14ac:dyDescent="0.45">
      <c r="A2774" t="s">
        <v>9088</v>
      </c>
      <c r="B2774">
        <v>1927</v>
      </c>
      <c r="C2774" t="s">
        <v>9872</v>
      </c>
      <c r="D2774" t="s">
        <v>3798</v>
      </c>
      <c r="E2774" t="s">
        <v>9873</v>
      </c>
      <c r="F2774" t="s">
        <v>53</v>
      </c>
      <c r="G2774" t="s">
        <v>177</v>
      </c>
      <c r="H2774" t="s">
        <v>2426</v>
      </c>
      <c r="I2774" t="s">
        <v>9874</v>
      </c>
      <c r="J2774" t="s">
        <v>38</v>
      </c>
      <c r="K2774" t="s">
        <v>38</v>
      </c>
      <c r="L2774" t="s">
        <v>40</v>
      </c>
      <c r="M2774" t="s">
        <v>38</v>
      </c>
      <c r="N2774" t="s">
        <v>38</v>
      </c>
      <c r="O2774" t="s">
        <v>40</v>
      </c>
      <c r="P2774" t="s">
        <v>38</v>
      </c>
      <c r="Q2774" t="s">
        <v>38</v>
      </c>
      <c r="R2774" t="s">
        <v>40</v>
      </c>
      <c r="S2774" t="s">
        <v>9738</v>
      </c>
      <c r="T2774" t="s">
        <v>9648</v>
      </c>
      <c r="U2774" t="s">
        <v>9649</v>
      </c>
      <c r="V2774" t="s">
        <v>9093</v>
      </c>
      <c r="W2774" t="s">
        <v>9101</v>
      </c>
      <c r="Z2774" t="s">
        <v>46</v>
      </c>
      <c r="AA2774" t="s">
        <v>9095</v>
      </c>
      <c r="AC2774">
        <f>COUNTIF(C:C,QLKV_gui_ket_qua_ra_soat[[#This Row],[Mã điểm bán]])</f>
        <v>1</v>
      </c>
    </row>
    <row r="2775" spans="1:29" x14ac:dyDescent="0.45">
      <c r="A2775" t="s">
        <v>9088</v>
      </c>
      <c r="B2775">
        <v>1928</v>
      </c>
      <c r="C2775" t="s">
        <v>9875</v>
      </c>
      <c r="D2775" t="s">
        <v>9876</v>
      </c>
      <c r="E2775" t="s">
        <v>1941</v>
      </c>
      <c r="F2775" t="s">
        <v>9211</v>
      </c>
      <c r="G2775" t="s">
        <v>34</v>
      </c>
      <c r="H2775" t="s">
        <v>54</v>
      </c>
      <c r="I2775" t="s">
        <v>9877</v>
      </c>
      <c r="J2775" t="s">
        <v>38</v>
      </c>
      <c r="K2775" t="s">
        <v>38</v>
      </c>
      <c r="L2775" t="s">
        <v>40</v>
      </c>
      <c r="M2775" t="s">
        <v>775</v>
      </c>
      <c r="N2775" t="s">
        <v>775</v>
      </c>
      <c r="O2775" t="s">
        <v>39</v>
      </c>
      <c r="P2775" t="s">
        <v>38</v>
      </c>
      <c r="Q2775" t="s">
        <v>38</v>
      </c>
      <c r="R2775" t="s">
        <v>40</v>
      </c>
      <c r="S2775" t="s">
        <v>9878</v>
      </c>
      <c r="T2775" t="s">
        <v>9142</v>
      </c>
      <c r="U2775" t="s">
        <v>9143</v>
      </c>
      <c r="V2775" t="s">
        <v>9093</v>
      </c>
      <c r="W2775" t="s">
        <v>2978</v>
      </c>
      <c r="Z2775" t="s">
        <v>46</v>
      </c>
      <c r="AA2775" t="s">
        <v>9095</v>
      </c>
      <c r="AC2775">
        <f>COUNTIF(C:C,QLKV_gui_ket_qua_ra_soat[[#This Row],[Mã điểm bán]])</f>
        <v>1</v>
      </c>
    </row>
    <row r="2776" spans="1:29" x14ac:dyDescent="0.45">
      <c r="A2776" t="s">
        <v>9088</v>
      </c>
      <c r="B2776">
        <v>1932</v>
      </c>
      <c r="C2776" t="s">
        <v>9879</v>
      </c>
      <c r="D2776" t="s">
        <v>9880</v>
      </c>
      <c r="E2776" t="s">
        <v>9881</v>
      </c>
      <c r="F2776" t="s">
        <v>401</v>
      </c>
      <c r="G2776" t="s">
        <v>150</v>
      </c>
      <c r="H2776" t="s">
        <v>525</v>
      </c>
      <c r="I2776" t="s">
        <v>4578</v>
      </c>
      <c r="J2776" t="s">
        <v>38</v>
      </c>
      <c r="K2776" t="s">
        <v>38</v>
      </c>
      <c r="L2776" t="s">
        <v>40</v>
      </c>
      <c r="M2776" t="s">
        <v>38</v>
      </c>
      <c r="N2776" t="s">
        <v>38</v>
      </c>
      <c r="O2776" t="s">
        <v>40</v>
      </c>
      <c r="P2776" t="s">
        <v>38</v>
      </c>
      <c r="Q2776" t="s">
        <v>38</v>
      </c>
      <c r="R2776" t="s">
        <v>40</v>
      </c>
      <c r="S2776" t="s">
        <v>41</v>
      </c>
      <c r="T2776" t="s">
        <v>9099</v>
      </c>
      <c r="U2776" t="s">
        <v>9100</v>
      </c>
      <c r="V2776" t="s">
        <v>9093</v>
      </c>
      <c r="W2776" t="s">
        <v>9101</v>
      </c>
      <c r="Z2776" t="s">
        <v>46</v>
      </c>
      <c r="AA2776" t="s">
        <v>9119</v>
      </c>
      <c r="AC2776">
        <f>COUNTIF(C:C,QLKV_gui_ket_qua_ra_soat[[#This Row],[Mã điểm bán]])</f>
        <v>1</v>
      </c>
    </row>
    <row r="2777" spans="1:29" x14ac:dyDescent="0.45">
      <c r="A2777" t="s">
        <v>9088</v>
      </c>
      <c r="B2777">
        <v>1935</v>
      </c>
      <c r="C2777" t="s">
        <v>9882</v>
      </c>
      <c r="D2777" t="s">
        <v>9883</v>
      </c>
      <c r="E2777" t="s">
        <v>69</v>
      </c>
      <c r="F2777" t="s">
        <v>53</v>
      </c>
      <c r="G2777" t="s">
        <v>34</v>
      </c>
      <c r="H2777" t="s">
        <v>54</v>
      </c>
      <c r="I2777" t="s">
        <v>172</v>
      </c>
      <c r="J2777" t="s">
        <v>38</v>
      </c>
      <c r="K2777" t="s">
        <v>38</v>
      </c>
      <c r="L2777" t="s">
        <v>40</v>
      </c>
      <c r="M2777" t="s">
        <v>38</v>
      </c>
      <c r="N2777" t="s">
        <v>38</v>
      </c>
      <c r="O2777" t="s">
        <v>40</v>
      </c>
      <c r="P2777" t="s">
        <v>38</v>
      </c>
      <c r="Q2777" t="s">
        <v>38</v>
      </c>
      <c r="R2777" t="s">
        <v>40</v>
      </c>
      <c r="S2777" t="s">
        <v>41</v>
      </c>
      <c r="T2777" t="s">
        <v>9129</v>
      </c>
      <c r="U2777" t="s">
        <v>9130</v>
      </c>
      <c r="V2777" t="s">
        <v>9093</v>
      </c>
      <c r="W2777" t="s">
        <v>9131</v>
      </c>
      <c r="X2777" t="s">
        <v>46</v>
      </c>
      <c r="AC2777">
        <f>COUNTIF(C:C,QLKV_gui_ket_qua_ra_soat[[#This Row],[Mã điểm bán]])</f>
        <v>1</v>
      </c>
    </row>
    <row r="2778" spans="1:29" x14ac:dyDescent="0.45">
      <c r="A2778" t="s">
        <v>9088</v>
      </c>
      <c r="B2778">
        <v>1946</v>
      </c>
      <c r="C2778" t="s">
        <v>9884</v>
      </c>
      <c r="D2778" t="s">
        <v>9885</v>
      </c>
      <c r="E2778" t="s">
        <v>7000</v>
      </c>
      <c r="F2778" t="s">
        <v>53</v>
      </c>
      <c r="G2778" t="s">
        <v>34</v>
      </c>
      <c r="H2778" t="s">
        <v>4689</v>
      </c>
      <c r="I2778" t="s">
        <v>2049</v>
      </c>
      <c r="J2778" t="s">
        <v>38</v>
      </c>
      <c r="K2778" t="s">
        <v>38</v>
      </c>
      <c r="L2778" t="s">
        <v>40</v>
      </c>
      <c r="M2778" t="s">
        <v>38</v>
      </c>
      <c r="N2778" t="s">
        <v>38</v>
      </c>
      <c r="O2778" t="s">
        <v>40</v>
      </c>
      <c r="P2778" t="s">
        <v>38</v>
      </c>
      <c r="Q2778" t="s">
        <v>38</v>
      </c>
      <c r="R2778" t="s">
        <v>40</v>
      </c>
      <c r="S2778" t="s">
        <v>41</v>
      </c>
      <c r="T2778" t="s">
        <v>9099</v>
      </c>
      <c r="U2778" t="s">
        <v>9100</v>
      </c>
      <c r="V2778" t="s">
        <v>9093</v>
      </c>
      <c r="W2778" t="s">
        <v>9101</v>
      </c>
      <c r="X2778" t="s">
        <v>46</v>
      </c>
      <c r="AC2778">
        <f>COUNTIF(C:C,QLKV_gui_ket_qua_ra_soat[[#This Row],[Mã điểm bán]])</f>
        <v>1</v>
      </c>
    </row>
    <row r="2779" spans="1:29" x14ac:dyDescent="0.45">
      <c r="A2779" t="s">
        <v>9088</v>
      </c>
      <c r="B2779">
        <v>1970</v>
      </c>
      <c r="C2779" t="s">
        <v>9886</v>
      </c>
      <c r="D2779" t="s">
        <v>9887</v>
      </c>
      <c r="E2779" t="s">
        <v>69</v>
      </c>
      <c r="F2779" t="s">
        <v>53</v>
      </c>
      <c r="G2779" t="s">
        <v>177</v>
      </c>
      <c r="H2779" t="s">
        <v>1658</v>
      </c>
      <c r="I2779" t="s">
        <v>9434</v>
      </c>
      <c r="J2779" t="s">
        <v>38</v>
      </c>
      <c r="K2779" t="s">
        <v>38</v>
      </c>
      <c r="L2779" t="s">
        <v>40</v>
      </c>
      <c r="M2779" t="s">
        <v>56</v>
      </c>
      <c r="N2779" t="s">
        <v>56</v>
      </c>
      <c r="O2779" t="s">
        <v>39</v>
      </c>
      <c r="P2779" t="s">
        <v>38</v>
      </c>
      <c r="Q2779" t="s">
        <v>38</v>
      </c>
      <c r="R2779" t="s">
        <v>40</v>
      </c>
      <c r="S2779" t="s">
        <v>9888</v>
      </c>
      <c r="T2779" t="s">
        <v>9199</v>
      </c>
      <c r="U2779" t="s">
        <v>9200</v>
      </c>
      <c r="V2779" t="s">
        <v>9093</v>
      </c>
      <c r="W2779" t="s">
        <v>9180</v>
      </c>
      <c r="Z2779" t="s">
        <v>46</v>
      </c>
      <c r="AA2779" t="s">
        <v>9119</v>
      </c>
      <c r="AC2779">
        <f>COUNTIF(C:C,QLKV_gui_ket_qua_ra_soat[[#This Row],[Mã điểm bán]])</f>
        <v>1</v>
      </c>
    </row>
    <row r="2780" spans="1:29" x14ac:dyDescent="0.45">
      <c r="A2780" t="s">
        <v>9088</v>
      </c>
      <c r="B2780">
        <v>1977</v>
      </c>
      <c r="C2780" t="s">
        <v>9889</v>
      </c>
      <c r="D2780" t="s">
        <v>9890</v>
      </c>
      <c r="E2780" t="s">
        <v>108</v>
      </c>
      <c r="F2780" t="s">
        <v>1647</v>
      </c>
      <c r="G2780" t="s">
        <v>34</v>
      </c>
      <c r="H2780" t="s">
        <v>54</v>
      </c>
      <c r="I2780" t="s">
        <v>9891</v>
      </c>
      <c r="J2780" t="s">
        <v>37</v>
      </c>
      <c r="K2780" t="s">
        <v>37</v>
      </c>
      <c r="L2780" t="s">
        <v>39</v>
      </c>
      <c r="M2780" t="s">
        <v>37</v>
      </c>
      <c r="N2780" t="s">
        <v>37</v>
      </c>
      <c r="O2780" t="s">
        <v>39</v>
      </c>
      <c r="P2780" t="s">
        <v>38</v>
      </c>
      <c r="Q2780" t="s">
        <v>38</v>
      </c>
      <c r="R2780" t="s">
        <v>39</v>
      </c>
      <c r="S2780" t="s">
        <v>41</v>
      </c>
      <c r="T2780" t="s">
        <v>9147</v>
      </c>
      <c r="U2780" t="s">
        <v>9148</v>
      </c>
      <c r="V2780" t="s">
        <v>9093</v>
      </c>
      <c r="W2780" t="s">
        <v>9094</v>
      </c>
      <c r="X2780" t="s">
        <v>46</v>
      </c>
      <c r="AC2780">
        <f>COUNTIF(C:C,QLKV_gui_ket_qua_ra_soat[[#This Row],[Mã điểm bán]])</f>
        <v>1</v>
      </c>
    </row>
    <row r="2781" spans="1:29" x14ac:dyDescent="0.45">
      <c r="A2781" t="s">
        <v>9088</v>
      </c>
      <c r="B2781">
        <v>1989</v>
      </c>
      <c r="C2781" t="s">
        <v>9892</v>
      </c>
      <c r="D2781" t="s">
        <v>9893</v>
      </c>
      <c r="E2781" t="s">
        <v>9108</v>
      </c>
      <c r="F2781" t="s">
        <v>53</v>
      </c>
      <c r="G2781" t="s">
        <v>34</v>
      </c>
      <c r="H2781" t="s">
        <v>54</v>
      </c>
      <c r="I2781" t="s">
        <v>2274</v>
      </c>
      <c r="J2781" t="s">
        <v>38</v>
      </c>
      <c r="K2781" t="s">
        <v>38</v>
      </c>
      <c r="L2781" t="s">
        <v>39</v>
      </c>
      <c r="M2781" t="s">
        <v>38</v>
      </c>
      <c r="N2781" t="s">
        <v>38</v>
      </c>
      <c r="O2781" t="s">
        <v>39</v>
      </c>
      <c r="P2781" t="s">
        <v>38</v>
      </c>
      <c r="Q2781" t="s">
        <v>38</v>
      </c>
      <c r="R2781" t="s">
        <v>39</v>
      </c>
      <c r="S2781" t="s">
        <v>41</v>
      </c>
      <c r="T2781" t="s">
        <v>9158</v>
      </c>
      <c r="U2781" t="s">
        <v>9159</v>
      </c>
      <c r="V2781" t="s">
        <v>9093</v>
      </c>
      <c r="W2781" t="s">
        <v>2978</v>
      </c>
      <c r="X2781" t="s">
        <v>46</v>
      </c>
      <c r="AC2781">
        <f>COUNTIF(C:C,QLKV_gui_ket_qua_ra_soat[[#This Row],[Mã điểm bán]])</f>
        <v>1</v>
      </c>
    </row>
    <row r="2782" spans="1:29" x14ac:dyDescent="0.45">
      <c r="A2782" t="s">
        <v>9088</v>
      </c>
      <c r="B2782">
        <v>1998</v>
      </c>
      <c r="C2782" t="s">
        <v>9894</v>
      </c>
      <c r="D2782" t="s">
        <v>9895</v>
      </c>
      <c r="E2782" t="s">
        <v>344</v>
      </c>
      <c r="F2782" t="s">
        <v>53</v>
      </c>
      <c r="G2782" t="s">
        <v>34</v>
      </c>
      <c r="H2782" t="s">
        <v>54</v>
      </c>
      <c r="I2782" t="s">
        <v>9896</v>
      </c>
      <c r="J2782" t="s">
        <v>41</v>
      </c>
      <c r="K2782" t="s">
        <v>41</v>
      </c>
      <c r="L2782" t="s">
        <v>41</v>
      </c>
      <c r="M2782" t="s">
        <v>41</v>
      </c>
      <c r="N2782" t="s">
        <v>41</v>
      </c>
      <c r="O2782" t="s">
        <v>41</v>
      </c>
      <c r="P2782" t="s">
        <v>41</v>
      </c>
      <c r="Q2782" t="s">
        <v>41</v>
      </c>
      <c r="R2782" t="s">
        <v>41</v>
      </c>
      <c r="S2782" t="s">
        <v>41</v>
      </c>
      <c r="T2782" t="s">
        <v>9178</v>
      </c>
      <c r="U2782" t="s">
        <v>9179</v>
      </c>
      <c r="V2782" t="s">
        <v>9093</v>
      </c>
      <c r="W2782" t="s">
        <v>9180</v>
      </c>
      <c r="X2782" t="s">
        <v>46</v>
      </c>
      <c r="AC2782">
        <f>COUNTIF(C:C,QLKV_gui_ket_qua_ra_soat[[#This Row],[Mã điểm bán]])</f>
        <v>1</v>
      </c>
    </row>
    <row r="2783" spans="1:29" x14ac:dyDescent="0.45">
      <c r="A2783" t="s">
        <v>9088</v>
      </c>
      <c r="B2783">
        <v>2009</v>
      </c>
      <c r="C2783" t="s">
        <v>9897</v>
      </c>
      <c r="D2783" t="s">
        <v>9898</v>
      </c>
      <c r="E2783" t="s">
        <v>108</v>
      </c>
      <c r="F2783" t="s">
        <v>53</v>
      </c>
      <c r="G2783" t="s">
        <v>34</v>
      </c>
      <c r="H2783" t="s">
        <v>54</v>
      </c>
      <c r="I2783" t="s">
        <v>9899</v>
      </c>
      <c r="J2783" t="s">
        <v>38</v>
      </c>
      <c r="K2783" t="s">
        <v>38</v>
      </c>
      <c r="L2783" t="s">
        <v>39</v>
      </c>
      <c r="M2783" t="s">
        <v>38</v>
      </c>
      <c r="N2783" t="s">
        <v>38</v>
      </c>
      <c r="O2783" t="s">
        <v>39</v>
      </c>
      <c r="P2783" t="s">
        <v>38</v>
      </c>
      <c r="Q2783" t="s">
        <v>38</v>
      </c>
      <c r="R2783" t="s">
        <v>39</v>
      </c>
      <c r="S2783" t="s">
        <v>41</v>
      </c>
      <c r="T2783" t="s">
        <v>9158</v>
      </c>
      <c r="U2783" t="s">
        <v>9159</v>
      </c>
      <c r="V2783" t="s">
        <v>9093</v>
      </c>
      <c r="W2783" t="s">
        <v>2978</v>
      </c>
      <c r="X2783" t="s">
        <v>46</v>
      </c>
      <c r="AC2783">
        <f>COUNTIF(C:C,QLKV_gui_ket_qua_ra_soat[[#This Row],[Mã điểm bán]])</f>
        <v>1</v>
      </c>
    </row>
    <row r="2784" spans="1:29" x14ac:dyDescent="0.45">
      <c r="A2784" t="s">
        <v>9088</v>
      </c>
      <c r="B2784">
        <v>2021</v>
      </c>
      <c r="C2784" t="s">
        <v>9900</v>
      </c>
      <c r="D2784" t="s">
        <v>4069</v>
      </c>
      <c r="E2784" t="s">
        <v>304</v>
      </c>
      <c r="F2784" t="s">
        <v>53</v>
      </c>
      <c r="G2784" t="s">
        <v>34</v>
      </c>
      <c r="H2784" t="s">
        <v>54</v>
      </c>
      <c r="I2784" t="s">
        <v>9901</v>
      </c>
      <c r="J2784" t="s">
        <v>38</v>
      </c>
      <c r="K2784" t="s">
        <v>38</v>
      </c>
      <c r="L2784" t="s">
        <v>40</v>
      </c>
      <c r="M2784" t="s">
        <v>37</v>
      </c>
      <c r="N2784" t="s">
        <v>37</v>
      </c>
      <c r="O2784" t="s">
        <v>39</v>
      </c>
      <c r="P2784" t="s">
        <v>38</v>
      </c>
      <c r="Q2784" t="s">
        <v>38</v>
      </c>
      <c r="R2784" t="s">
        <v>40</v>
      </c>
      <c r="S2784" t="s">
        <v>41</v>
      </c>
      <c r="T2784" t="s">
        <v>9147</v>
      </c>
      <c r="U2784" t="s">
        <v>9148</v>
      </c>
      <c r="V2784" t="s">
        <v>9093</v>
      </c>
      <c r="W2784" t="s">
        <v>9094</v>
      </c>
      <c r="X2784" t="s">
        <v>46</v>
      </c>
      <c r="AC2784">
        <f>COUNTIF(C:C,QLKV_gui_ket_qua_ra_soat[[#This Row],[Mã điểm bán]])</f>
        <v>1</v>
      </c>
    </row>
    <row r="2785" spans="1:29" x14ac:dyDescent="0.45">
      <c r="A2785" t="s">
        <v>9088</v>
      </c>
      <c r="B2785">
        <v>2029</v>
      </c>
      <c r="C2785" t="s">
        <v>9902</v>
      </c>
      <c r="D2785" t="s">
        <v>9903</v>
      </c>
      <c r="E2785" t="s">
        <v>9593</v>
      </c>
      <c r="F2785" t="s">
        <v>53</v>
      </c>
      <c r="G2785" t="s">
        <v>34</v>
      </c>
      <c r="H2785" t="s">
        <v>54</v>
      </c>
      <c r="I2785" t="s">
        <v>9904</v>
      </c>
      <c r="J2785" t="s">
        <v>38</v>
      </c>
      <c r="K2785" t="s">
        <v>38</v>
      </c>
      <c r="L2785" t="s">
        <v>40</v>
      </c>
      <c r="M2785" t="s">
        <v>38</v>
      </c>
      <c r="N2785" t="s">
        <v>38</v>
      </c>
      <c r="O2785" t="s">
        <v>40</v>
      </c>
      <c r="P2785" t="s">
        <v>38</v>
      </c>
      <c r="Q2785" t="s">
        <v>38</v>
      </c>
      <c r="R2785" t="s">
        <v>40</v>
      </c>
      <c r="S2785" t="s">
        <v>41</v>
      </c>
      <c r="T2785" t="s">
        <v>9427</v>
      </c>
      <c r="U2785" t="s">
        <v>9148</v>
      </c>
      <c r="V2785" t="s">
        <v>9093</v>
      </c>
      <c r="W2785" t="s">
        <v>9094</v>
      </c>
      <c r="Z2785" t="s">
        <v>46</v>
      </c>
      <c r="AA2785" t="s">
        <v>9235</v>
      </c>
      <c r="AC2785">
        <f>COUNTIF(C:C,QLKV_gui_ket_qua_ra_soat[[#This Row],[Mã điểm bán]])</f>
        <v>1</v>
      </c>
    </row>
    <row r="2786" spans="1:29" x14ac:dyDescent="0.45">
      <c r="A2786" t="s">
        <v>9088</v>
      </c>
      <c r="B2786">
        <v>2031</v>
      </c>
      <c r="C2786" t="s">
        <v>9905</v>
      </c>
      <c r="D2786" t="s">
        <v>7519</v>
      </c>
      <c r="E2786" t="s">
        <v>3931</v>
      </c>
      <c r="F2786" t="s">
        <v>53</v>
      </c>
      <c r="G2786" t="s">
        <v>34</v>
      </c>
      <c r="H2786" t="s">
        <v>54</v>
      </c>
      <c r="I2786" t="s">
        <v>9839</v>
      </c>
      <c r="J2786" t="s">
        <v>38</v>
      </c>
      <c r="K2786" t="s">
        <v>38</v>
      </c>
      <c r="L2786" t="s">
        <v>39</v>
      </c>
      <c r="M2786" t="s">
        <v>38</v>
      </c>
      <c r="N2786" t="s">
        <v>38</v>
      </c>
      <c r="O2786" t="s">
        <v>39</v>
      </c>
      <c r="P2786" t="s">
        <v>38</v>
      </c>
      <c r="Q2786" t="s">
        <v>38</v>
      </c>
      <c r="R2786" t="s">
        <v>39</v>
      </c>
      <c r="S2786" t="s">
        <v>41</v>
      </c>
      <c r="T2786" t="s">
        <v>9158</v>
      </c>
      <c r="U2786" t="s">
        <v>9159</v>
      </c>
      <c r="V2786" t="s">
        <v>9093</v>
      </c>
      <c r="W2786" t="s">
        <v>2978</v>
      </c>
      <c r="X2786" t="s">
        <v>46</v>
      </c>
      <c r="AB2786" t="s">
        <v>117</v>
      </c>
      <c r="AC2786">
        <f>COUNTIF(C:C,QLKV_gui_ket_qua_ra_soat[[#This Row],[Mã điểm bán]])</f>
        <v>1</v>
      </c>
    </row>
    <row r="2787" spans="1:29" x14ac:dyDescent="0.45">
      <c r="A2787" t="s">
        <v>9088</v>
      </c>
      <c r="B2787">
        <v>2032</v>
      </c>
      <c r="C2787" t="s">
        <v>9906</v>
      </c>
      <c r="D2787" t="s">
        <v>9907</v>
      </c>
      <c r="E2787" t="s">
        <v>9908</v>
      </c>
      <c r="F2787" t="s">
        <v>666</v>
      </c>
      <c r="G2787" t="s">
        <v>34</v>
      </c>
      <c r="H2787" t="s">
        <v>54</v>
      </c>
      <c r="I2787" t="s">
        <v>9909</v>
      </c>
      <c r="J2787" t="s">
        <v>38</v>
      </c>
      <c r="K2787" t="s">
        <v>38</v>
      </c>
      <c r="L2787" t="s">
        <v>40</v>
      </c>
      <c r="M2787" t="s">
        <v>38</v>
      </c>
      <c r="N2787" t="s">
        <v>38</v>
      </c>
      <c r="O2787" t="s">
        <v>40</v>
      </c>
      <c r="P2787" t="s">
        <v>1034</v>
      </c>
      <c r="Q2787" t="s">
        <v>38</v>
      </c>
      <c r="R2787" t="s">
        <v>40</v>
      </c>
      <c r="S2787" t="s">
        <v>41</v>
      </c>
      <c r="T2787" t="s">
        <v>9427</v>
      </c>
      <c r="U2787" t="s">
        <v>9148</v>
      </c>
      <c r="V2787" t="s">
        <v>9093</v>
      </c>
      <c r="W2787" t="s">
        <v>9094</v>
      </c>
      <c r="Z2787" t="s">
        <v>46</v>
      </c>
      <c r="AA2787" t="s">
        <v>9235</v>
      </c>
      <c r="AC2787">
        <f>COUNTIF(C:C,QLKV_gui_ket_qua_ra_soat[[#This Row],[Mã điểm bán]])</f>
        <v>1</v>
      </c>
    </row>
    <row r="2788" spans="1:29" x14ac:dyDescent="0.45">
      <c r="A2788" t="s">
        <v>9088</v>
      </c>
      <c r="B2788">
        <v>2048</v>
      </c>
      <c r="C2788" t="s">
        <v>9910</v>
      </c>
      <c r="D2788" t="s">
        <v>9911</v>
      </c>
      <c r="E2788" t="s">
        <v>2148</v>
      </c>
      <c r="F2788" t="s">
        <v>2365</v>
      </c>
      <c r="G2788" t="s">
        <v>177</v>
      </c>
      <c r="H2788" t="s">
        <v>1177</v>
      </c>
      <c r="I2788" t="s">
        <v>9912</v>
      </c>
      <c r="J2788" t="s">
        <v>38</v>
      </c>
      <c r="K2788" t="s">
        <v>38</v>
      </c>
      <c r="L2788" t="s">
        <v>39</v>
      </c>
      <c r="M2788" t="s">
        <v>37</v>
      </c>
      <c r="N2788" t="s">
        <v>37</v>
      </c>
      <c r="O2788" t="s">
        <v>39</v>
      </c>
      <c r="P2788" t="s">
        <v>38</v>
      </c>
      <c r="Q2788" t="s">
        <v>38</v>
      </c>
      <c r="R2788" t="s">
        <v>39</v>
      </c>
      <c r="S2788" t="s">
        <v>41</v>
      </c>
      <c r="T2788" t="s">
        <v>9178</v>
      </c>
      <c r="U2788" t="s">
        <v>9179</v>
      </c>
      <c r="V2788" t="s">
        <v>9093</v>
      </c>
      <c r="W2788" t="s">
        <v>9180</v>
      </c>
      <c r="Z2788" t="s">
        <v>46</v>
      </c>
      <c r="AA2788" t="s">
        <v>9263</v>
      </c>
      <c r="AC2788">
        <f>COUNTIF(C:C,QLKV_gui_ket_qua_ra_soat[[#This Row],[Mã điểm bán]])</f>
        <v>1</v>
      </c>
    </row>
    <row r="2789" spans="1:29" x14ac:dyDescent="0.45">
      <c r="A2789" t="s">
        <v>9088</v>
      </c>
      <c r="B2789">
        <v>2072</v>
      </c>
      <c r="C2789" t="s">
        <v>9913</v>
      </c>
      <c r="D2789" t="s">
        <v>9914</v>
      </c>
      <c r="E2789" t="s">
        <v>2282</v>
      </c>
      <c r="F2789" t="s">
        <v>166</v>
      </c>
      <c r="G2789" t="s">
        <v>34</v>
      </c>
      <c r="H2789" t="s">
        <v>525</v>
      </c>
      <c r="I2789" t="s">
        <v>9915</v>
      </c>
      <c r="J2789" t="s">
        <v>37</v>
      </c>
      <c r="K2789" t="s">
        <v>37</v>
      </c>
      <c r="L2789" t="s">
        <v>39</v>
      </c>
      <c r="M2789" t="s">
        <v>37</v>
      </c>
      <c r="N2789" t="s">
        <v>56</v>
      </c>
      <c r="O2789" t="s">
        <v>39</v>
      </c>
      <c r="P2789" t="s">
        <v>38</v>
      </c>
      <c r="Q2789" t="s">
        <v>38</v>
      </c>
      <c r="R2789" t="s">
        <v>40</v>
      </c>
      <c r="S2789" t="s">
        <v>41</v>
      </c>
      <c r="T2789" t="s">
        <v>9312</v>
      </c>
      <c r="U2789" t="s">
        <v>9313</v>
      </c>
      <c r="V2789" t="s">
        <v>9093</v>
      </c>
      <c r="W2789" t="s">
        <v>9131</v>
      </c>
      <c r="X2789" t="s">
        <v>46</v>
      </c>
      <c r="AC2789">
        <f>COUNTIF(C:C,QLKV_gui_ket_qua_ra_soat[[#This Row],[Mã điểm bán]])</f>
        <v>1</v>
      </c>
    </row>
    <row r="2790" spans="1:29" x14ac:dyDescent="0.45">
      <c r="A2790" t="s">
        <v>9088</v>
      </c>
      <c r="B2790">
        <v>2087</v>
      </c>
      <c r="C2790" t="s">
        <v>9916</v>
      </c>
      <c r="D2790" t="s">
        <v>9917</v>
      </c>
      <c r="E2790" t="s">
        <v>9918</v>
      </c>
      <c r="F2790" t="s">
        <v>115</v>
      </c>
      <c r="G2790" t="s">
        <v>34</v>
      </c>
      <c r="H2790" t="s">
        <v>192</v>
      </c>
      <c r="I2790" t="s">
        <v>2543</v>
      </c>
      <c r="J2790" t="s">
        <v>38</v>
      </c>
      <c r="K2790" t="s">
        <v>38</v>
      </c>
      <c r="L2790" t="s">
        <v>40</v>
      </c>
      <c r="M2790" t="s">
        <v>38</v>
      </c>
      <c r="N2790" t="s">
        <v>38</v>
      </c>
      <c r="O2790" t="s">
        <v>40</v>
      </c>
      <c r="P2790" t="s">
        <v>38</v>
      </c>
      <c r="Q2790" t="s">
        <v>38</v>
      </c>
      <c r="R2790" t="s">
        <v>40</v>
      </c>
      <c r="S2790" t="s">
        <v>41</v>
      </c>
      <c r="T2790" t="s">
        <v>9099</v>
      </c>
      <c r="U2790" t="s">
        <v>9100</v>
      </c>
      <c r="V2790" t="s">
        <v>9093</v>
      </c>
      <c r="W2790" t="s">
        <v>9101</v>
      </c>
      <c r="Z2790" t="s">
        <v>46</v>
      </c>
      <c r="AA2790" t="s">
        <v>9119</v>
      </c>
      <c r="AC2790">
        <f>COUNTIF(C:C,QLKV_gui_ket_qua_ra_soat[[#This Row],[Mã điểm bán]])</f>
        <v>1</v>
      </c>
    </row>
    <row r="2791" spans="1:29" x14ac:dyDescent="0.45">
      <c r="A2791" t="s">
        <v>9088</v>
      </c>
      <c r="B2791">
        <v>2092</v>
      </c>
      <c r="C2791" t="s">
        <v>9919</v>
      </c>
      <c r="D2791" t="s">
        <v>9920</v>
      </c>
      <c r="E2791" t="s">
        <v>9921</v>
      </c>
      <c r="F2791" t="s">
        <v>115</v>
      </c>
      <c r="G2791" t="s">
        <v>1624</v>
      </c>
      <c r="H2791" t="s">
        <v>2625</v>
      </c>
      <c r="I2791" t="s">
        <v>9922</v>
      </c>
      <c r="J2791" t="s">
        <v>38</v>
      </c>
      <c r="K2791" t="s">
        <v>38</v>
      </c>
      <c r="L2791" t="s">
        <v>40</v>
      </c>
      <c r="M2791" t="s">
        <v>38</v>
      </c>
      <c r="N2791" t="s">
        <v>38</v>
      </c>
      <c r="O2791" t="s">
        <v>40</v>
      </c>
      <c r="P2791" t="s">
        <v>38</v>
      </c>
      <c r="Q2791" t="s">
        <v>38</v>
      </c>
      <c r="R2791" t="s">
        <v>40</v>
      </c>
      <c r="S2791" t="s">
        <v>41</v>
      </c>
      <c r="T2791" t="s">
        <v>9099</v>
      </c>
      <c r="U2791" t="s">
        <v>9100</v>
      </c>
      <c r="V2791" t="s">
        <v>9093</v>
      </c>
      <c r="W2791" t="s">
        <v>9101</v>
      </c>
      <c r="Z2791" t="s">
        <v>46</v>
      </c>
      <c r="AA2791" t="s">
        <v>9119</v>
      </c>
      <c r="AC2791">
        <f>COUNTIF(C:C,QLKV_gui_ket_qua_ra_soat[[#This Row],[Mã điểm bán]])</f>
        <v>1</v>
      </c>
    </row>
    <row r="2792" spans="1:29" x14ac:dyDescent="0.45">
      <c r="A2792" t="s">
        <v>9088</v>
      </c>
      <c r="B2792">
        <v>2104</v>
      </c>
      <c r="C2792" t="s">
        <v>9923</v>
      </c>
      <c r="D2792" t="s">
        <v>9924</v>
      </c>
      <c r="E2792" t="s">
        <v>407</v>
      </c>
      <c r="F2792" t="s">
        <v>53</v>
      </c>
      <c r="G2792" t="s">
        <v>177</v>
      </c>
      <c r="H2792" t="s">
        <v>54</v>
      </c>
      <c r="I2792" t="s">
        <v>4639</v>
      </c>
      <c r="J2792" t="s">
        <v>38</v>
      </c>
      <c r="K2792" t="s">
        <v>38</v>
      </c>
      <c r="L2792" t="s">
        <v>39</v>
      </c>
      <c r="M2792" t="s">
        <v>38</v>
      </c>
      <c r="N2792" t="s">
        <v>38</v>
      </c>
      <c r="O2792" t="s">
        <v>39</v>
      </c>
      <c r="P2792" t="s">
        <v>38</v>
      </c>
      <c r="Q2792" t="s">
        <v>38</v>
      </c>
      <c r="R2792" t="s">
        <v>39</v>
      </c>
      <c r="S2792" t="s">
        <v>5662</v>
      </c>
      <c r="T2792" t="s">
        <v>9158</v>
      </c>
      <c r="U2792" t="s">
        <v>9159</v>
      </c>
      <c r="V2792" t="s">
        <v>9093</v>
      </c>
      <c r="W2792" t="s">
        <v>2978</v>
      </c>
      <c r="X2792" t="s">
        <v>46</v>
      </c>
      <c r="AC2792">
        <f>COUNTIF(C:C,QLKV_gui_ket_qua_ra_soat[[#This Row],[Mã điểm bán]])</f>
        <v>1</v>
      </c>
    </row>
    <row r="2793" spans="1:29" x14ac:dyDescent="0.45">
      <c r="A2793" t="s">
        <v>9088</v>
      </c>
      <c r="B2793">
        <v>2106</v>
      </c>
      <c r="C2793" t="s">
        <v>9925</v>
      </c>
      <c r="D2793" t="s">
        <v>9926</v>
      </c>
      <c r="E2793" t="s">
        <v>32</v>
      </c>
      <c r="F2793" t="s">
        <v>53</v>
      </c>
      <c r="G2793" t="s">
        <v>177</v>
      </c>
      <c r="H2793" t="s">
        <v>54</v>
      </c>
      <c r="I2793" t="s">
        <v>9927</v>
      </c>
      <c r="J2793" t="s">
        <v>38</v>
      </c>
      <c r="K2793" t="s">
        <v>38</v>
      </c>
      <c r="L2793" t="s">
        <v>40</v>
      </c>
      <c r="M2793" t="s">
        <v>38</v>
      </c>
      <c r="N2793" t="s">
        <v>37</v>
      </c>
      <c r="O2793" t="s">
        <v>39</v>
      </c>
      <c r="P2793" t="s">
        <v>38</v>
      </c>
      <c r="Q2793" t="s">
        <v>38</v>
      </c>
      <c r="R2793" t="s">
        <v>40</v>
      </c>
      <c r="S2793" t="s">
        <v>5169</v>
      </c>
      <c r="T2793" t="s">
        <v>9648</v>
      </c>
      <c r="U2793" t="s">
        <v>9649</v>
      </c>
      <c r="V2793" t="s">
        <v>9093</v>
      </c>
      <c r="W2793" t="s">
        <v>9101</v>
      </c>
      <c r="Z2793" t="s">
        <v>46</v>
      </c>
      <c r="AA2793" t="s">
        <v>9119</v>
      </c>
      <c r="AC2793">
        <f>COUNTIF(C:C,QLKV_gui_ket_qua_ra_soat[[#This Row],[Mã điểm bán]])</f>
        <v>1</v>
      </c>
    </row>
    <row r="2794" spans="1:29" x14ac:dyDescent="0.45">
      <c r="A2794" t="s">
        <v>9088</v>
      </c>
      <c r="B2794">
        <v>2111</v>
      </c>
      <c r="C2794" t="s">
        <v>9928</v>
      </c>
      <c r="D2794" t="s">
        <v>9929</v>
      </c>
      <c r="E2794" t="s">
        <v>31</v>
      </c>
      <c r="F2794" t="s">
        <v>53</v>
      </c>
      <c r="G2794" t="s">
        <v>177</v>
      </c>
      <c r="H2794" t="s">
        <v>100</v>
      </c>
      <c r="I2794" t="s">
        <v>9652</v>
      </c>
      <c r="J2794" t="s">
        <v>38</v>
      </c>
      <c r="K2794" t="s">
        <v>38</v>
      </c>
      <c r="L2794" t="s">
        <v>40</v>
      </c>
      <c r="M2794" t="s">
        <v>38</v>
      </c>
      <c r="N2794" t="s">
        <v>38</v>
      </c>
      <c r="O2794" t="s">
        <v>40</v>
      </c>
      <c r="P2794" t="s">
        <v>38</v>
      </c>
      <c r="Q2794" t="s">
        <v>38</v>
      </c>
      <c r="R2794" t="s">
        <v>40</v>
      </c>
      <c r="S2794" t="s">
        <v>9930</v>
      </c>
      <c r="T2794" t="s">
        <v>9648</v>
      </c>
      <c r="U2794" t="s">
        <v>9649</v>
      </c>
      <c r="V2794" t="s">
        <v>9093</v>
      </c>
      <c r="W2794" t="s">
        <v>9101</v>
      </c>
      <c r="X2794" t="s">
        <v>46</v>
      </c>
      <c r="AC2794">
        <f>COUNTIF(C:C,QLKV_gui_ket_qua_ra_soat[[#This Row],[Mã điểm bán]])</f>
        <v>1</v>
      </c>
    </row>
    <row r="2795" spans="1:29" x14ac:dyDescent="0.45">
      <c r="A2795" t="s">
        <v>9088</v>
      </c>
      <c r="B2795">
        <v>2114</v>
      </c>
      <c r="C2795" t="s">
        <v>9931</v>
      </c>
      <c r="D2795" t="s">
        <v>9932</v>
      </c>
      <c r="E2795" t="s">
        <v>788</v>
      </c>
      <c r="F2795" t="s">
        <v>53</v>
      </c>
      <c r="G2795" t="s">
        <v>177</v>
      </c>
      <c r="H2795" t="s">
        <v>54</v>
      </c>
      <c r="I2795" t="s">
        <v>7164</v>
      </c>
      <c r="J2795" t="s">
        <v>38</v>
      </c>
      <c r="K2795" t="s">
        <v>37</v>
      </c>
      <c r="L2795" t="s">
        <v>40</v>
      </c>
      <c r="M2795" t="s">
        <v>38</v>
      </c>
      <c r="N2795" t="s">
        <v>38</v>
      </c>
      <c r="O2795" t="s">
        <v>39</v>
      </c>
      <c r="P2795" t="s">
        <v>38</v>
      </c>
      <c r="Q2795" t="s">
        <v>38</v>
      </c>
      <c r="R2795" t="s">
        <v>40</v>
      </c>
      <c r="S2795" t="s">
        <v>5169</v>
      </c>
      <c r="T2795" t="s">
        <v>9648</v>
      </c>
      <c r="U2795" t="s">
        <v>9649</v>
      </c>
      <c r="V2795" t="s">
        <v>9093</v>
      </c>
      <c r="W2795" t="s">
        <v>9101</v>
      </c>
      <c r="X2795" t="s">
        <v>46</v>
      </c>
      <c r="AC2795">
        <f>COUNTIF(C:C,QLKV_gui_ket_qua_ra_soat[[#This Row],[Mã điểm bán]])</f>
        <v>1</v>
      </c>
    </row>
    <row r="2796" spans="1:29" x14ac:dyDescent="0.45">
      <c r="A2796" t="s">
        <v>9088</v>
      </c>
      <c r="B2796">
        <v>2119</v>
      </c>
      <c r="C2796" t="s">
        <v>9933</v>
      </c>
      <c r="D2796" t="s">
        <v>9934</v>
      </c>
      <c r="E2796" t="s">
        <v>206</v>
      </c>
      <c r="F2796" t="s">
        <v>417</v>
      </c>
      <c r="G2796" t="s">
        <v>177</v>
      </c>
      <c r="H2796" t="s">
        <v>35</v>
      </c>
      <c r="I2796" t="s">
        <v>9935</v>
      </c>
      <c r="J2796" t="s">
        <v>37</v>
      </c>
      <c r="K2796" t="s">
        <v>37</v>
      </c>
      <c r="L2796" t="s">
        <v>39</v>
      </c>
      <c r="M2796" t="s">
        <v>37</v>
      </c>
      <c r="N2796" t="s">
        <v>37</v>
      </c>
      <c r="O2796" t="s">
        <v>39</v>
      </c>
      <c r="P2796" t="s">
        <v>38</v>
      </c>
      <c r="Q2796" t="s">
        <v>38</v>
      </c>
      <c r="R2796" t="s">
        <v>40</v>
      </c>
      <c r="S2796" t="s">
        <v>41</v>
      </c>
      <c r="T2796" t="s">
        <v>9147</v>
      </c>
      <c r="U2796" t="s">
        <v>9148</v>
      </c>
      <c r="V2796" t="s">
        <v>9093</v>
      </c>
      <c r="W2796" t="s">
        <v>9094</v>
      </c>
      <c r="X2796" t="s">
        <v>46</v>
      </c>
      <c r="AC2796">
        <f>COUNTIF(C:C,QLKV_gui_ket_qua_ra_soat[[#This Row],[Mã điểm bán]])</f>
        <v>1</v>
      </c>
    </row>
    <row r="2797" spans="1:29" x14ac:dyDescent="0.45">
      <c r="A2797" t="s">
        <v>9088</v>
      </c>
      <c r="B2797">
        <v>2123</v>
      </c>
      <c r="C2797" t="s">
        <v>9936</v>
      </c>
      <c r="D2797" t="s">
        <v>9937</v>
      </c>
      <c r="E2797" t="s">
        <v>416</v>
      </c>
      <c r="F2797" t="s">
        <v>417</v>
      </c>
      <c r="G2797" t="s">
        <v>177</v>
      </c>
      <c r="H2797" t="s">
        <v>1280</v>
      </c>
      <c r="I2797" t="s">
        <v>9137</v>
      </c>
      <c r="J2797" t="s">
        <v>37</v>
      </c>
      <c r="K2797" t="s">
        <v>37</v>
      </c>
      <c r="L2797" t="s">
        <v>39</v>
      </c>
      <c r="M2797" t="s">
        <v>37</v>
      </c>
      <c r="N2797" t="s">
        <v>37</v>
      </c>
      <c r="O2797" t="s">
        <v>39</v>
      </c>
      <c r="P2797" t="s">
        <v>38</v>
      </c>
      <c r="Q2797" t="s">
        <v>38</v>
      </c>
      <c r="R2797" t="s">
        <v>40</v>
      </c>
      <c r="S2797" t="s">
        <v>41</v>
      </c>
      <c r="T2797" t="s">
        <v>9147</v>
      </c>
      <c r="U2797" t="s">
        <v>9148</v>
      </c>
      <c r="V2797" t="s">
        <v>9093</v>
      </c>
      <c r="W2797" t="s">
        <v>9094</v>
      </c>
      <c r="X2797" t="s">
        <v>46</v>
      </c>
      <c r="AC2797">
        <f>COUNTIF(C:C,QLKV_gui_ket_qua_ra_soat[[#This Row],[Mã điểm bán]])</f>
        <v>1</v>
      </c>
    </row>
    <row r="2798" spans="1:29" x14ac:dyDescent="0.45">
      <c r="A2798" t="s">
        <v>9088</v>
      </c>
      <c r="B2798">
        <v>2124</v>
      </c>
      <c r="C2798" t="s">
        <v>9938</v>
      </c>
      <c r="D2798" t="s">
        <v>9939</v>
      </c>
      <c r="E2798" t="s">
        <v>9940</v>
      </c>
      <c r="F2798" t="s">
        <v>53</v>
      </c>
      <c r="G2798" t="s">
        <v>177</v>
      </c>
      <c r="H2798" t="s">
        <v>708</v>
      </c>
      <c r="I2798" t="s">
        <v>9941</v>
      </c>
      <c r="J2798" t="s">
        <v>37</v>
      </c>
      <c r="K2798" t="s">
        <v>37</v>
      </c>
      <c r="L2798" t="s">
        <v>39</v>
      </c>
      <c r="M2798" t="s">
        <v>37</v>
      </c>
      <c r="N2798" t="s">
        <v>37</v>
      </c>
      <c r="O2798" t="s">
        <v>39</v>
      </c>
      <c r="P2798" t="s">
        <v>38</v>
      </c>
      <c r="Q2798" t="s">
        <v>38</v>
      </c>
      <c r="R2798" t="s">
        <v>39</v>
      </c>
      <c r="S2798" t="s">
        <v>41</v>
      </c>
      <c r="T2798" t="s">
        <v>9240</v>
      </c>
      <c r="U2798" t="s">
        <v>9226</v>
      </c>
      <c r="V2798" t="s">
        <v>9093</v>
      </c>
      <c r="W2798" t="s">
        <v>9227</v>
      </c>
      <c r="Z2798" t="s">
        <v>46</v>
      </c>
      <c r="AA2798" t="s">
        <v>9235</v>
      </c>
      <c r="AC2798">
        <f>COUNTIF(C:C,QLKV_gui_ket_qua_ra_soat[[#This Row],[Mã điểm bán]])</f>
        <v>1</v>
      </c>
    </row>
    <row r="2799" spans="1:29" x14ac:dyDescent="0.45">
      <c r="A2799" t="s">
        <v>9088</v>
      </c>
      <c r="B2799">
        <v>2130</v>
      </c>
      <c r="C2799" t="s">
        <v>9942</v>
      </c>
      <c r="D2799" t="s">
        <v>9943</v>
      </c>
      <c r="E2799" t="s">
        <v>674</v>
      </c>
      <c r="F2799" t="s">
        <v>2432</v>
      </c>
      <c r="G2799" t="s">
        <v>34</v>
      </c>
      <c r="H2799" t="s">
        <v>685</v>
      </c>
      <c r="I2799" t="s">
        <v>9944</v>
      </c>
      <c r="J2799" t="s">
        <v>38</v>
      </c>
      <c r="K2799" t="s">
        <v>38</v>
      </c>
      <c r="L2799" t="s">
        <v>39</v>
      </c>
      <c r="M2799" t="s">
        <v>38</v>
      </c>
      <c r="N2799" t="s">
        <v>38</v>
      </c>
      <c r="O2799" t="s">
        <v>39</v>
      </c>
      <c r="P2799" t="s">
        <v>38</v>
      </c>
      <c r="Q2799" t="s">
        <v>38</v>
      </c>
      <c r="R2799" t="s">
        <v>39</v>
      </c>
      <c r="S2799" t="s">
        <v>41</v>
      </c>
      <c r="T2799" t="s">
        <v>9158</v>
      </c>
      <c r="U2799" t="s">
        <v>9159</v>
      </c>
      <c r="V2799" t="s">
        <v>9093</v>
      </c>
      <c r="W2799" t="s">
        <v>2978</v>
      </c>
      <c r="X2799" t="s">
        <v>46</v>
      </c>
      <c r="AC2799">
        <f>COUNTIF(C:C,QLKV_gui_ket_qua_ra_soat[[#This Row],[Mã điểm bán]])</f>
        <v>1</v>
      </c>
    </row>
    <row r="2800" spans="1:29" x14ac:dyDescent="0.45">
      <c r="A2800" t="s">
        <v>9088</v>
      </c>
      <c r="B2800">
        <v>2133</v>
      </c>
      <c r="C2800" t="s">
        <v>9945</v>
      </c>
      <c r="D2800" t="s">
        <v>9946</v>
      </c>
      <c r="E2800" t="s">
        <v>297</v>
      </c>
      <c r="F2800" t="s">
        <v>166</v>
      </c>
      <c r="G2800" t="s">
        <v>177</v>
      </c>
      <c r="H2800" t="s">
        <v>54</v>
      </c>
      <c r="I2800" t="s">
        <v>9947</v>
      </c>
      <c r="J2800" t="s">
        <v>41</v>
      </c>
      <c r="K2800" t="s">
        <v>41</v>
      </c>
      <c r="L2800" t="s">
        <v>41</v>
      </c>
      <c r="M2800" t="s">
        <v>41</v>
      </c>
      <c r="N2800" t="s">
        <v>41</v>
      </c>
      <c r="O2800" t="s">
        <v>41</v>
      </c>
      <c r="P2800" t="s">
        <v>41</v>
      </c>
      <c r="Q2800" t="s">
        <v>41</v>
      </c>
      <c r="R2800" t="s">
        <v>41</v>
      </c>
      <c r="S2800" t="s">
        <v>41</v>
      </c>
      <c r="T2800" t="s">
        <v>9178</v>
      </c>
      <c r="U2800" t="s">
        <v>9179</v>
      </c>
      <c r="V2800" t="s">
        <v>9093</v>
      </c>
      <c r="W2800" t="s">
        <v>9180</v>
      </c>
      <c r="Z2800" t="s">
        <v>46</v>
      </c>
      <c r="AA2800" t="s">
        <v>9119</v>
      </c>
      <c r="AC2800">
        <f>COUNTIF(C:C,QLKV_gui_ket_qua_ra_soat[[#This Row],[Mã điểm bán]])</f>
        <v>1</v>
      </c>
    </row>
    <row r="2801" spans="1:29" x14ac:dyDescent="0.45">
      <c r="A2801" t="s">
        <v>9088</v>
      </c>
      <c r="B2801">
        <v>2142</v>
      </c>
      <c r="C2801" t="s">
        <v>9948</v>
      </c>
      <c r="D2801" t="s">
        <v>9949</v>
      </c>
      <c r="E2801" t="s">
        <v>9950</v>
      </c>
      <c r="F2801" t="s">
        <v>417</v>
      </c>
      <c r="G2801" t="s">
        <v>34</v>
      </c>
      <c r="H2801" t="s">
        <v>35</v>
      </c>
      <c r="I2801" t="s">
        <v>9951</v>
      </c>
      <c r="J2801" t="s">
        <v>38</v>
      </c>
      <c r="K2801" t="s">
        <v>38</v>
      </c>
      <c r="L2801" t="s">
        <v>40</v>
      </c>
      <c r="M2801" t="s">
        <v>37</v>
      </c>
      <c r="N2801" t="s">
        <v>38</v>
      </c>
      <c r="O2801" t="s">
        <v>39</v>
      </c>
      <c r="P2801" t="s">
        <v>38</v>
      </c>
      <c r="Q2801" t="s">
        <v>38</v>
      </c>
      <c r="R2801" t="s">
        <v>40</v>
      </c>
      <c r="S2801" t="s">
        <v>41</v>
      </c>
      <c r="T2801" t="s">
        <v>9142</v>
      </c>
      <c r="U2801" t="s">
        <v>9143</v>
      </c>
      <c r="V2801" t="s">
        <v>9093</v>
      </c>
      <c r="W2801" t="s">
        <v>2978</v>
      </c>
      <c r="Y2801" t="s">
        <v>46</v>
      </c>
      <c r="AC2801">
        <f>COUNTIF(C:C,QLKV_gui_ket_qua_ra_soat[[#This Row],[Mã điểm bán]])</f>
        <v>1</v>
      </c>
    </row>
    <row r="2802" spans="1:29" x14ac:dyDescent="0.45">
      <c r="A2802" t="s">
        <v>9088</v>
      </c>
      <c r="B2802">
        <v>2167</v>
      </c>
      <c r="C2802" t="s">
        <v>9952</v>
      </c>
      <c r="D2802" t="s">
        <v>9953</v>
      </c>
      <c r="E2802" t="s">
        <v>9954</v>
      </c>
      <c r="F2802" t="s">
        <v>115</v>
      </c>
      <c r="G2802" t="s">
        <v>34</v>
      </c>
      <c r="H2802" t="s">
        <v>356</v>
      </c>
      <c r="I2802" t="s">
        <v>1091</v>
      </c>
      <c r="J2802" t="s">
        <v>38</v>
      </c>
      <c r="K2802" t="s">
        <v>38</v>
      </c>
      <c r="L2802" t="s">
        <v>40</v>
      </c>
      <c r="M2802" t="s">
        <v>38</v>
      </c>
      <c r="N2802" t="s">
        <v>38</v>
      </c>
      <c r="O2802" t="s">
        <v>40</v>
      </c>
      <c r="P2802" t="s">
        <v>38</v>
      </c>
      <c r="Q2802" t="s">
        <v>38</v>
      </c>
      <c r="R2802" t="s">
        <v>40</v>
      </c>
      <c r="S2802" t="s">
        <v>41</v>
      </c>
      <c r="T2802" t="s">
        <v>9099</v>
      </c>
      <c r="U2802" t="s">
        <v>9100</v>
      </c>
      <c r="V2802" t="s">
        <v>9093</v>
      </c>
      <c r="W2802" t="s">
        <v>9101</v>
      </c>
      <c r="Z2802" t="s">
        <v>46</v>
      </c>
      <c r="AA2802" t="s">
        <v>9119</v>
      </c>
      <c r="AC2802">
        <f>COUNTIF(C:C,QLKV_gui_ket_qua_ra_soat[[#This Row],[Mã điểm bán]])</f>
        <v>1</v>
      </c>
    </row>
    <row r="2803" spans="1:29" x14ac:dyDescent="0.45">
      <c r="A2803" t="s">
        <v>9088</v>
      </c>
      <c r="B2803">
        <v>2169</v>
      </c>
      <c r="C2803" t="s">
        <v>9955</v>
      </c>
      <c r="D2803" t="s">
        <v>9956</v>
      </c>
      <c r="E2803" t="s">
        <v>9957</v>
      </c>
      <c r="F2803" t="s">
        <v>53</v>
      </c>
      <c r="G2803" t="s">
        <v>177</v>
      </c>
      <c r="H2803" t="s">
        <v>1746</v>
      </c>
      <c r="I2803" t="s">
        <v>9958</v>
      </c>
      <c r="J2803" t="s">
        <v>38</v>
      </c>
      <c r="K2803" t="s">
        <v>37</v>
      </c>
      <c r="L2803" t="s">
        <v>39</v>
      </c>
      <c r="M2803" t="s">
        <v>37</v>
      </c>
      <c r="N2803" t="s">
        <v>37</v>
      </c>
      <c r="O2803" t="s">
        <v>39</v>
      </c>
      <c r="P2803" t="s">
        <v>38</v>
      </c>
      <c r="Q2803" t="s">
        <v>38</v>
      </c>
      <c r="R2803" t="s">
        <v>39</v>
      </c>
      <c r="S2803" t="s">
        <v>41</v>
      </c>
      <c r="T2803" t="s">
        <v>9240</v>
      </c>
      <c r="U2803" t="s">
        <v>9205</v>
      </c>
      <c r="V2803" t="s">
        <v>9093</v>
      </c>
      <c r="W2803" t="s">
        <v>9227</v>
      </c>
      <c r="Z2803" t="s">
        <v>46</v>
      </c>
      <c r="AA2803" t="s">
        <v>9095</v>
      </c>
      <c r="AC2803">
        <f>COUNTIF(C:C,QLKV_gui_ket_qua_ra_soat[[#This Row],[Mã điểm bán]])</f>
        <v>1</v>
      </c>
    </row>
    <row r="2804" spans="1:29" x14ac:dyDescent="0.45">
      <c r="A2804" t="s">
        <v>9088</v>
      </c>
      <c r="B2804">
        <v>2170</v>
      </c>
      <c r="C2804" t="s">
        <v>9959</v>
      </c>
      <c r="D2804" t="s">
        <v>9960</v>
      </c>
      <c r="E2804" t="s">
        <v>529</v>
      </c>
      <c r="F2804" t="s">
        <v>53</v>
      </c>
      <c r="G2804" t="s">
        <v>177</v>
      </c>
      <c r="H2804" t="s">
        <v>1639</v>
      </c>
      <c r="I2804" t="s">
        <v>9961</v>
      </c>
      <c r="J2804" t="s">
        <v>38</v>
      </c>
      <c r="K2804" t="s">
        <v>38</v>
      </c>
      <c r="L2804" t="s">
        <v>40</v>
      </c>
      <c r="M2804" t="s">
        <v>37</v>
      </c>
      <c r="N2804" t="s">
        <v>37</v>
      </c>
      <c r="O2804" t="s">
        <v>39</v>
      </c>
      <c r="P2804" t="s">
        <v>38</v>
      </c>
      <c r="Q2804" t="s">
        <v>38</v>
      </c>
      <c r="R2804" t="s">
        <v>40</v>
      </c>
      <c r="S2804" t="s">
        <v>41</v>
      </c>
      <c r="T2804" t="s">
        <v>9199</v>
      </c>
      <c r="U2804" t="s">
        <v>9200</v>
      </c>
      <c r="V2804" t="s">
        <v>9093</v>
      </c>
      <c r="W2804" t="s">
        <v>9180</v>
      </c>
      <c r="X2804" t="s">
        <v>46</v>
      </c>
      <c r="AC2804">
        <f>COUNTIF(C:C,QLKV_gui_ket_qua_ra_soat[[#This Row],[Mã điểm bán]])</f>
        <v>1</v>
      </c>
    </row>
    <row r="2805" spans="1:29" x14ac:dyDescent="0.45">
      <c r="A2805" t="s">
        <v>9088</v>
      </c>
      <c r="B2805">
        <v>2190</v>
      </c>
      <c r="C2805" t="s">
        <v>9962</v>
      </c>
      <c r="D2805" t="s">
        <v>9963</v>
      </c>
      <c r="E2805" t="s">
        <v>2040</v>
      </c>
      <c r="F2805" t="s">
        <v>478</v>
      </c>
      <c r="G2805" t="s">
        <v>34</v>
      </c>
      <c r="H2805" t="s">
        <v>1184</v>
      </c>
      <c r="I2805" t="s">
        <v>9964</v>
      </c>
      <c r="J2805" t="s">
        <v>38</v>
      </c>
      <c r="K2805" t="s">
        <v>38</v>
      </c>
      <c r="L2805" t="s">
        <v>39</v>
      </c>
      <c r="M2805" t="s">
        <v>37</v>
      </c>
      <c r="N2805" t="s">
        <v>37</v>
      </c>
      <c r="O2805" t="s">
        <v>39</v>
      </c>
      <c r="P2805" t="s">
        <v>38</v>
      </c>
      <c r="Q2805" t="s">
        <v>38</v>
      </c>
      <c r="R2805" t="s">
        <v>39</v>
      </c>
      <c r="S2805" t="s">
        <v>41</v>
      </c>
      <c r="T2805" t="s">
        <v>9178</v>
      </c>
      <c r="U2805" t="s">
        <v>9179</v>
      </c>
      <c r="V2805" t="s">
        <v>9093</v>
      </c>
      <c r="W2805" t="s">
        <v>9180</v>
      </c>
      <c r="X2805" t="s">
        <v>46</v>
      </c>
      <c r="AC2805">
        <f>COUNTIF(C:C,QLKV_gui_ket_qua_ra_soat[[#This Row],[Mã điểm bán]])</f>
        <v>1</v>
      </c>
    </row>
    <row r="2806" spans="1:29" x14ac:dyDescent="0.45">
      <c r="A2806" t="s">
        <v>9088</v>
      </c>
      <c r="B2806">
        <v>2197</v>
      </c>
      <c r="C2806" t="s">
        <v>9965</v>
      </c>
      <c r="D2806" t="s">
        <v>9966</v>
      </c>
      <c r="E2806" t="s">
        <v>113</v>
      </c>
      <c r="F2806" t="s">
        <v>115</v>
      </c>
      <c r="G2806" t="s">
        <v>177</v>
      </c>
      <c r="H2806" t="s">
        <v>1648</v>
      </c>
      <c r="I2806" t="s">
        <v>9967</v>
      </c>
      <c r="J2806" t="s">
        <v>38</v>
      </c>
      <c r="K2806" t="s">
        <v>38</v>
      </c>
      <c r="L2806" t="s">
        <v>40</v>
      </c>
      <c r="M2806" t="s">
        <v>37</v>
      </c>
      <c r="N2806" t="s">
        <v>37</v>
      </c>
      <c r="O2806" t="s">
        <v>39</v>
      </c>
      <c r="P2806" t="s">
        <v>38</v>
      </c>
      <c r="Q2806" t="s">
        <v>38</v>
      </c>
      <c r="R2806" t="s">
        <v>40</v>
      </c>
      <c r="S2806" t="s">
        <v>9968</v>
      </c>
      <c r="T2806" t="s">
        <v>9199</v>
      </c>
      <c r="U2806" t="s">
        <v>9200</v>
      </c>
      <c r="V2806" t="s">
        <v>9093</v>
      </c>
      <c r="W2806" t="s">
        <v>9180</v>
      </c>
      <c r="Z2806" t="s">
        <v>46</v>
      </c>
      <c r="AA2806" t="s">
        <v>9119</v>
      </c>
      <c r="AC2806">
        <f>COUNTIF(C:C,QLKV_gui_ket_qua_ra_soat[[#This Row],[Mã điểm bán]])</f>
        <v>1</v>
      </c>
    </row>
    <row r="2807" spans="1:29" x14ac:dyDescent="0.45">
      <c r="A2807" t="s">
        <v>9088</v>
      </c>
      <c r="B2807">
        <v>2208</v>
      </c>
      <c r="C2807" t="s">
        <v>9969</v>
      </c>
      <c r="D2807" t="s">
        <v>9970</v>
      </c>
      <c r="E2807" t="s">
        <v>9971</v>
      </c>
      <c r="F2807" t="s">
        <v>53</v>
      </c>
      <c r="G2807" t="s">
        <v>177</v>
      </c>
      <c r="H2807" t="s">
        <v>1746</v>
      </c>
      <c r="I2807" t="s">
        <v>9972</v>
      </c>
      <c r="J2807" t="s">
        <v>37</v>
      </c>
      <c r="K2807" t="s">
        <v>38</v>
      </c>
      <c r="L2807" t="s">
        <v>39</v>
      </c>
      <c r="M2807" t="s">
        <v>37</v>
      </c>
      <c r="N2807" t="s">
        <v>37</v>
      </c>
      <c r="O2807" t="s">
        <v>39</v>
      </c>
      <c r="P2807" t="s">
        <v>38</v>
      </c>
      <c r="Q2807" t="s">
        <v>38</v>
      </c>
      <c r="R2807" t="s">
        <v>39</v>
      </c>
      <c r="S2807" t="s">
        <v>41</v>
      </c>
      <c r="T2807" t="s">
        <v>9240</v>
      </c>
      <c r="U2807" t="s">
        <v>9226</v>
      </c>
      <c r="V2807" t="s">
        <v>9093</v>
      </c>
      <c r="W2807" t="s">
        <v>9227</v>
      </c>
      <c r="Z2807" t="s">
        <v>46</v>
      </c>
      <c r="AA2807" t="s">
        <v>9095</v>
      </c>
      <c r="AC2807">
        <f>COUNTIF(C:C,QLKV_gui_ket_qua_ra_soat[[#This Row],[Mã điểm bán]])</f>
        <v>1</v>
      </c>
    </row>
    <row r="2808" spans="1:29" x14ac:dyDescent="0.45">
      <c r="A2808" t="s">
        <v>9088</v>
      </c>
      <c r="B2808">
        <v>2214</v>
      </c>
      <c r="C2808" t="s">
        <v>9973</v>
      </c>
      <c r="D2808" t="s">
        <v>9974</v>
      </c>
      <c r="E2808" t="s">
        <v>9663</v>
      </c>
      <c r="F2808" t="s">
        <v>1981</v>
      </c>
      <c r="G2808" t="s">
        <v>34</v>
      </c>
      <c r="H2808" t="s">
        <v>54</v>
      </c>
      <c r="I2808" t="s">
        <v>2049</v>
      </c>
      <c r="J2808" t="s">
        <v>38</v>
      </c>
      <c r="K2808" t="s">
        <v>38</v>
      </c>
      <c r="L2808" t="s">
        <v>40</v>
      </c>
      <c r="M2808" t="s">
        <v>38</v>
      </c>
      <c r="N2808" t="s">
        <v>38</v>
      </c>
      <c r="O2808" t="s">
        <v>40</v>
      </c>
      <c r="P2808" t="s">
        <v>38</v>
      </c>
      <c r="Q2808" t="s">
        <v>38</v>
      </c>
      <c r="R2808" t="s">
        <v>40</v>
      </c>
      <c r="S2808" t="s">
        <v>41</v>
      </c>
      <c r="T2808" t="s">
        <v>9099</v>
      </c>
      <c r="U2808" t="s">
        <v>9100</v>
      </c>
      <c r="V2808" t="s">
        <v>9093</v>
      </c>
      <c r="W2808" t="s">
        <v>9101</v>
      </c>
      <c r="Z2808" t="s">
        <v>46</v>
      </c>
      <c r="AA2808" t="s">
        <v>9119</v>
      </c>
      <c r="AC2808">
        <f>COUNTIF(C:C,QLKV_gui_ket_qua_ra_soat[[#This Row],[Mã điểm bán]])</f>
        <v>1</v>
      </c>
    </row>
    <row r="2809" spans="1:29" x14ac:dyDescent="0.45">
      <c r="A2809" t="s">
        <v>9088</v>
      </c>
      <c r="B2809">
        <v>2234</v>
      </c>
      <c r="C2809" t="s">
        <v>9975</v>
      </c>
      <c r="D2809" t="s">
        <v>6981</v>
      </c>
      <c r="E2809" t="s">
        <v>9976</v>
      </c>
      <c r="F2809" t="s">
        <v>9977</v>
      </c>
      <c r="G2809" t="s">
        <v>34</v>
      </c>
      <c r="H2809" t="s">
        <v>54</v>
      </c>
      <c r="I2809" t="s">
        <v>9978</v>
      </c>
      <c r="J2809" t="s">
        <v>38</v>
      </c>
      <c r="K2809" t="s">
        <v>38</v>
      </c>
      <c r="L2809" t="s">
        <v>40</v>
      </c>
      <c r="M2809" t="s">
        <v>37</v>
      </c>
      <c r="N2809" t="s">
        <v>37</v>
      </c>
      <c r="O2809" t="s">
        <v>39</v>
      </c>
      <c r="P2809" t="s">
        <v>38</v>
      </c>
      <c r="Q2809" t="s">
        <v>38</v>
      </c>
      <c r="R2809" t="s">
        <v>40</v>
      </c>
      <c r="S2809" t="s">
        <v>41</v>
      </c>
      <c r="T2809" t="s">
        <v>9142</v>
      </c>
      <c r="U2809" t="s">
        <v>9143</v>
      </c>
      <c r="V2809" t="s">
        <v>9093</v>
      </c>
      <c r="W2809" t="s">
        <v>2978</v>
      </c>
      <c r="Z2809" t="s">
        <v>46</v>
      </c>
      <c r="AA2809" t="s">
        <v>9263</v>
      </c>
      <c r="AB2809" t="s">
        <v>3012</v>
      </c>
      <c r="AC2809">
        <f>COUNTIF(C:C,QLKV_gui_ket_qua_ra_soat[[#This Row],[Mã điểm bán]])</f>
        <v>1</v>
      </c>
    </row>
    <row r="2810" spans="1:29" x14ac:dyDescent="0.45">
      <c r="A2810" t="s">
        <v>9088</v>
      </c>
      <c r="B2810">
        <v>2236</v>
      </c>
      <c r="C2810" t="s">
        <v>9979</v>
      </c>
      <c r="D2810" t="s">
        <v>9980</v>
      </c>
      <c r="E2810" t="s">
        <v>1229</v>
      </c>
      <c r="F2810" t="s">
        <v>166</v>
      </c>
      <c r="G2810" t="s">
        <v>150</v>
      </c>
      <c r="H2810" t="s">
        <v>133</v>
      </c>
      <c r="I2810" t="s">
        <v>9981</v>
      </c>
      <c r="J2810" t="s">
        <v>38</v>
      </c>
      <c r="K2810" t="s">
        <v>38</v>
      </c>
      <c r="L2810" t="s">
        <v>40</v>
      </c>
      <c r="M2810" t="s">
        <v>38</v>
      </c>
      <c r="N2810" t="s">
        <v>38</v>
      </c>
      <c r="O2810" t="s">
        <v>40</v>
      </c>
      <c r="P2810" t="s">
        <v>38</v>
      </c>
      <c r="Q2810" t="s">
        <v>38</v>
      </c>
      <c r="R2810" t="s">
        <v>40</v>
      </c>
      <c r="S2810" t="s">
        <v>41</v>
      </c>
      <c r="T2810" t="s">
        <v>9099</v>
      </c>
      <c r="U2810" t="s">
        <v>9100</v>
      </c>
      <c r="V2810" t="s">
        <v>9093</v>
      </c>
      <c r="W2810" t="s">
        <v>9101</v>
      </c>
      <c r="Z2810" t="s">
        <v>46</v>
      </c>
      <c r="AA2810" t="s">
        <v>9119</v>
      </c>
      <c r="AC2810">
        <f>COUNTIF(C:C,QLKV_gui_ket_qua_ra_soat[[#This Row],[Mã điểm bán]])</f>
        <v>1</v>
      </c>
    </row>
    <row r="2811" spans="1:29" x14ac:dyDescent="0.45">
      <c r="A2811" t="s">
        <v>9088</v>
      </c>
      <c r="B2811">
        <v>2246</v>
      </c>
      <c r="C2811" t="s">
        <v>9982</v>
      </c>
      <c r="D2811" t="s">
        <v>9983</v>
      </c>
      <c r="E2811" t="s">
        <v>1964</v>
      </c>
      <c r="F2811" t="s">
        <v>3764</v>
      </c>
      <c r="G2811" t="s">
        <v>177</v>
      </c>
      <c r="H2811" t="s">
        <v>1188</v>
      </c>
      <c r="I2811" t="s">
        <v>9984</v>
      </c>
      <c r="J2811" t="s">
        <v>38</v>
      </c>
      <c r="K2811" t="s">
        <v>38</v>
      </c>
      <c r="L2811" t="s">
        <v>40</v>
      </c>
      <c r="M2811" t="s">
        <v>38</v>
      </c>
      <c r="N2811" t="s">
        <v>38</v>
      </c>
      <c r="O2811" t="s">
        <v>40</v>
      </c>
      <c r="P2811" t="s">
        <v>38</v>
      </c>
      <c r="Q2811" t="s">
        <v>38</v>
      </c>
      <c r="R2811" t="s">
        <v>40</v>
      </c>
      <c r="S2811" t="s">
        <v>41</v>
      </c>
      <c r="T2811" t="s">
        <v>9129</v>
      </c>
      <c r="U2811" t="s">
        <v>9130</v>
      </c>
      <c r="V2811" t="s">
        <v>9093</v>
      </c>
      <c r="W2811" t="s">
        <v>9131</v>
      </c>
      <c r="X2811" t="s">
        <v>46</v>
      </c>
      <c r="AC2811">
        <f>COUNTIF(C:C,QLKV_gui_ket_qua_ra_soat[[#This Row],[Mã điểm bán]])</f>
        <v>1</v>
      </c>
    </row>
    <row r="2812" spans="1:29" x14ac:dyDescent="0.45">
      <c r="A2812" t="s">
        <v>9088</v>
      </c>
      <c r="B2812">
        <v>2262</v>
      </c>
      <c r="C2812" t="s">
        <v>9985</v>
      </c>
      <c r="D2812" t="s">
        <v>9986</v>
      </c>
      <c r="E2812" t="s">
        <v>1000</v>
      </c>
      <c r="F2812" t="s">
        <v>115</v>
      </c>
      <c r="G2812" t="s">
        <v>1624</v>
      </c>
      <c r="H2812" t="s">
        <v>4115</v>
      </c>
      <c r="I2812" t="s">
        <v>2543</v>
      </c>
      <c r="J2812" t="s">
        <v>38</v>
      </c>
      <c r="K2812" t="s">
        <v>38</v>
      </c>
      <c r="L2812" t="s">
        <v>40</v>
      </c>
      <c r="M2812" t="s">
        <v>38</v>
      </c>
      <c r="N2812" t="s">
        <v>38</v>
      </c>
      <c r="O2812" t="s">
        <v>40</v>
      </c>
      <c r="P2812" t="s">
        <v>38</v>
      </c>
      <c r="Q2812" t="s">
        <v>38</v>
      </c>
      <c r="R2812" t="s">
        <v>40</v>
      </c>
      <c r="S2812" t="s">
        <v>41</v>
      </c>
      <c r="T2812" t="s">
        <v>9099</v>
      </c>
      <c r="U2812" t="s">
        <v>9100</v>
      </c>
      <c r="V2812" t="s">
        <v>9093</v>
      </c>
      <c r="W2812" t="s">
        <v>9101</v>
      </c>
      <c r="X2812" t="s">
        <v>46</v>
      </c>
      <c r="AC2812">
        <f>COUNTIF(C:C,QLKV_gui_ket_qua_ra_soat[[#This Row],[Mã điểm bán]])</f>
        <v>1</v>
      </c>
    </row>
    <row r="2813" spans="1:29" x14ac:dyDescent="0.45">
      <c r="A2813" t="s">
        <v>9088</v>
      </c>
      <c r="B2813">
        <v>2275</v>
      </c>
      <c r="C2813" t="s">
        <v>9987</v>
      </c>
      <c r="D2813" t="s">
        <v>9988</v>
      </c>
      <c r="E2813" t="s">
        <v>9234</v>
      </c>
      <c r="F2813" t="s">
        <v>325</v>
      </c>
      <c r="G2813" t="s">
        <v>34</v>
      </c>
      <c r="H2813" t="s">
        <v>214</v>
      </c>
      <c r="I2813" t="s">
        <v>9989</v>
      </c>
      <c r="J2813" t="s">
        <v>38</v>
      </c>
      <c r="K2813" t="s">
        <v>37</v>
      </c>
      <c r="L2813" t="s">
        <v>39</v>
      </c>
      <c r="M2813" t="s">
        <v>37</v>
      </c>
      <c r="N2813" t="s">
        <v>37</v>
      </c>
      <c r="O2813" t="s">
        <v>39</v>
      </c>
      <c r="P2813" t="s">
        <v>38</v>
      </c>
      <c r="Q2813" t="s">
        <v>37</v>
      </c>
      <c r="R2813" t="s">
        <v>39</v>
      </c>
      <c r="S2813" t="s">
        <v>41</v>
      </c>
      <c r="T2813" t="s">
        <v>9225</v>
      </c>
      <c r="U2813" t="s">
        <v>9226</v>
      </c>
      <c r="V2813" t="s">
        <v>9093</v>
      </c>
      <c r="W2813" t="s">
        <v>9227</v>
      </c>
      <c r="X2813" t="s">
        <v>46</v>
      </c>
      <c r="AC2813">
        <f>COUNTIF(C:C,QLKV_gui_ket_qua_ra_soat[[#This Row],[Mã điểm bán]])</f>
        <v>1</v>
      </c>
    </row>
    <row r="2814" spans="1:29" x14ac:dyDescent="0.45">
      <c r="A2814" t="s">
        <v>9088</v>
      </c>
      <c r="B2814">
        <v>2284</v>
      </c>
      <c r="C2814" t="s">
        <v>9990</v>
      </c>
      <c r="D2814" t="s">
        <v>9991</v>
      </c>
      <c r="E2814" t="s">
        <v>98</v>
      </c>
      <c r="F2814" t="s">
        <v>581</v>
      </c>
      <c r="G2814" t="s">
        <v>177</v>
      </c>
      <c r="H2814" t="s">
        <v>54</v>
      </c>
      <c r="I2814" t="s">
        <v>9992</v>
      </c>
      <c r="J2814" t="s">
        <v>38</v>
      </c>
      <c r="K2814" t="s">
        <v>38</v>
      </c>
      <c r="L2814" t="s">
        <v>40</v>
      </c>
      <c r="M2814" t="s">
        <v>38</v>
      </c>
      <c r="N2814" t="s">
        <v>38</v>
      </c>
      <c r="O2814" t="s">
        <v>40</v>
      </c>
      <c r="P2814" t="s">
        <v>38</v>
      </c>
      <c r="Q2814" t="s">
        <v>38</v>
      </c>
      <c r="R2814" t="s">
        <v>40</v>
      </c>
      <c r="S2814" t="s">
        <v>41</v>
      </c>
      <c r="T2814" t="s">
        <v>9129</v>
      </c>
      <c r="U2814" t="s">
        <v>9130</v>
      </c>
      <c r="V2814" t="s">
        <v>9093</v>
      </c>
      <c r="W2814" t="s">
        <v>9131</v>
      </c>
      <c r="X2814" t="s">
        <v>46</v>
      </c>
      <c r="AC2814">
        <f>COUNTIF(C:C,QLKV_gui_ket_qua_ra_soat[[#This Row],[Mã điểm bán]])</f>
        <v>1</v>
      </c>
    </row>
    <row r="2815" spans="1:29" x14ac:dyDescent="0.45">
      <c r="A2815" t="s">
        <v>9088</v>
      </c>
      <c r="B2815">
        <v>2298</v>
      </c>
      <c r="C2815" t="s">
        <v>9993</v>
      </c>
      <c r="D2815" t="s">
        <v>9994</v>
      </c>
      <c r="E2815" t="s">
        <v>9995</v>
      </c>
      <c r="F2815" t="s">
        <v>5829</v>
      </c>
      <c r="G2815" t="s">
        <v>177</v>
      </c>
      <c r="H2815" t="s">
        <v>54</v>
      </c>
      <c r="I2815" t="s">
        <v>9996</v>
      </c>
      <c r="J2815" t="s">
        <v>38</v>
      </c>
      <c r="K2815" t="s">
        <v>38</v>
      </c>
      <c r="L2815" t="s">
        <v>40</v>
      </c>
      <c r="M2815" t="s">
        <v>38</v>
      </c>
      <c r="N2815" t="s">
        <v>38</v>
      </c>
      <c r="O2815" t="s">
        <v>40</v>
      </c>
      <c r="P2815" t="s">
        <v>38</v>
      </c>
      <c r="Q2815" t="s">
        <v>38</v>
      </c>
      <c r="R2815" t="s">
        <v>40</v>
      </c>
      <c r="S2815" t="s">
        <v>9997</v>
      </c>
      <c r="T2815" t="s">
        <v>9298</v>
      </c>
      <c r="U2815" t="s">
        <v>9299</v>
      </c>
      <c r="V2815" t="s">
        <v>9093</v>
      </c>
      <c r="W2815" t="s">
        <v>2978</v>
      </c>
      <c r="X2815" t="s">
        <v>46</v>
      </c>
      <c r="AC2815">
        <f>COUNTIF(C:C,QLKV_gui_ket_qua_ra_soat[[#This Row],[Mã điểm bán]])</f>
        <v>1</v>
      </c>
    </row>
    <row r="2816" spans="1:29" x14ac:dyDescent="0.45">
      <c r="A2816" t="s">
        <v>9088</v>
      </c>
      <c r="B2816">
        <v>2307</v>
      </c>
      <c r="C2816" t="s">
        <v>9998</v>
      </c>
      <c r="D2816" t="s">
        <v>9999</v>
      </c>
      <c r="E2816" t="s">
        <v>108</v>
      </c>
      <c r="F2816" t="s">
        <v>426</v>
      </c>
      <c r="G2816" t="s">
        <v>177</v>
      </c>
      <c r="H2816" t="s">
        <v>54</v>
      </c>
      <c r="I2816" t="s">
        <v>10000</v>
      </c>
      <c r="J2816" t="s">
        <v>38</v>
      </c>
      <c r="K2816" t="s">
        <v>38</v>
      </c>
      <c r="L2816" t="s">
        <v>40</v>
      </c>
      <c r="M2816" t="s">
        <v>38</v>
      </c>
      <c r="N2816" t="s">
        <v>38</v>
      </c>
      <c r="O2816" t="s">
        <v>40</v>
      </c>
      <c r="P2816" t="s">
        <v>38</v>
      </c>
      <c r="Q2816" t="s">
        <v>38</v>
      </c>
      <c r="R2816" t="s">
        <v>40</v>
      </c>
      <c r="S2816" t="s">
        <v>41</v>
      </c>
      <c r="T2816" t="s">
        <v>9129</v>
      </c>
      <c r="U2816" t="s">
        <v>9130</v>
      </c>
      <c r="V2816" t="s">
        <v>9093</v>
      </c>
      <c r="W2816" t="s">
        <v>9131</v>
      </c>
      <c r="X2816" t="s">
        <v>46</v>
      </c>
      <c r="AC2816">
        <f>COUNTIF(C:C,QLKV_gui_ket_qua_ra_soat[[#This Row],[Mã điểm bán]])</f>
        <v>1</v>
      </c>
    </row>
    <row r="2817" spans="1:29" x14ac:dyDescent="0.45">
      <c r="A2817" t="s">
        <v>9088</v>
      </c>
      <c r="B2817">
        <v>2318</v>
      </c>
      <c r="C2817" t="s">
        <v>10001</v>
      </c>
      <c r="D2817" t="s">
        <v>10002</v>
      </c>
      <c r="E2817" t="s">
        <v>69</v>
      </c>
      <c r="F2817" t="s">
        <v>53</v>
      </c>
      <c r="G2817" t="s">
        <v>177</v>
      </c>
      <c r="H2817" t="s">
        <v>54</v>
      </c>
      <c r="I2817" t="s">
        <v>2728</v>
      </c>
      <c r="J2817" t="s">
        <v>38</v>
      </c>
      <c r="K2817" t="s">
        <v>38</v>
      </c>
      <c r="L2817" t="s">
        <v>40</v>
      </c>
      <c r="M2817" t="s">
        <v>38</v>
      </c>
      <c r="N2817" t="s">
        <v>38</v>
      </c>
      <c r="O2817" t="s">
        <v>40</v>
      </c>
      <c r="P2817" t="s">
        <v>38</v>
      </c>
      <c r="Q2817" t="s">
        <v>38</v>
      </c>
      <c r="R2817" t="s">
        <v>40</v>
      </c>
      <c r="S2817" t="s">
        <v>41</v>
      </c>
      <c r="T2817" t="s">
        <v>9129</v>
      </c>
      <c r="U2817" t="s">
        <v>9130</v>
      </c>
      <c r="V2817" t="s">
        <v>9093</v>
      </c>
      <c r="W2817" t="s">
        <v>9131</v>
      </c>
      <c r="X2817" t="s">
        <v>46</v>
      </c>
      <c r="AC2817">
        <f>COUNTIF(C:C,QLKV_gui_ket_qua_ra_soat[[#This Row],[Mã điểm bán]])</f>
        <v>1</v>
      </c>
    </row>
    <row r="2818" spans="1:29" x14ac:dyDescent="0.45">
      <c r="A2818" t="s">
        <v>9088</v>
      </c>
      <c r="B2818">
        <v>2321</v>
      </c>
      <c r="C2818" t="s">
        <v>10003</v>
      </c>
      <c r="D2818" t="s">
        <v>9756</v>
      </c>
      <c r="E2818" t="s">
        <v>2119</v>
      </c>
      <c r="F2818" t="s">
        <v>426</v>
      </c>
      <c r="G2818" t="s">
        <v>34</v>
      </c>
      <c r="H2818" t="s">
        <v>356</v>
      </c>
      <c r="I2818" t="s">
        <v>10004</v>
      </c>
      <c r="J2818" t="s">
        <v>37</v>
      </c>
      <c r="K2818" t="s">
        <v>37</v>
      </c>
      <c r="L2818" t="s">
        <v>39</v>
      </c>
      <c r="M2818" t="s">
        <v>56</v>
      </c>
      <c r="N2818" t="s">
        <v>56</v>
      </c>
      <c r="O2818" t="s">
        <v>39</v>
      </c>
      <c r="P2818" t="s">
        <v>38</v>
      </c>
      <c r="Q2818" t="s">
        <v>37</v>
      </c>
      <c r="R2818" t="s">
        <v>39</v>
      </c>
      <c r="S2818" t="s">
        <v>41</v>
      </c>
      <c r="T2818" t="s">
        <v>9312</v>
      </c>
      <c r="U2818" t="s">
        <v>9313</v>
      </c>
      <c r="V2818" t="s">
        <v>9093</v>
      </c>
      <c r="W2818" t="s">
        <v>9131</v>
      </c>
      <c r="Z2818" t="s">
        <v>46</v>
      </c>
      <c r="AA2818" t="s">
        <v>9160</v>
      </c>
      <c r="AC2818">
        <f>COUNTIF(C:C,QLKV_gui_ket_qua_ra_soat[[#This Row],[Mã điểm bán]])</f>
        <v>1</v>
      </c>
    </row>
    <row r="2819" spans="1:29" x14ac:dyDescent="0.45">
      <c r="A2819" t="s">
        <v>9088</v>
      </c>
      <c r="B2819">
        <v>2371</v>
      </c>
      <c r="C2819" t="s">
        <v>10005</v>
      </c>
      <c r="D2819" t="s">
        <v>10006</v>
      </c>
      <c r="E2819" t="s">
        <v>98</v>
      </c>
      <c r="F2819" t="s">
        <v>461</v>
      </c>
      <c r="G2819" t="s">
        <v>177</v>
      </c>
      <c r="H2819" t="s">
        <v>546</v>
      </c>
      <c r="I2819" t="s">
        <v>10007</v>
      </c>
      <c r="J2819" t="s">
        <v>37</v>
      </c>
      <c r="K2819" t="s">
        <v>37</v>
      </c>
      <c r="L2819" t="s">
        <v>39</v>
      </c>
      <c r="M2819" t="s">
        <v>38</v>
      </c>
      <c r="N2819" t="s">
        <v>37</v>
      </c>
      <c r="O2819" t="s">
        <v>39</v>
      </c>
      <c r="P2819" t="s">
        <v>38</v>
      </c>
      <c r="Q2819" t="s">
        <v>38</v>
      </c>
      <c r="R2819" t="s">
        <v>40</v>
      </c>
      <c r="S2819" t="s">
        <v>10008</v>
      </c>
      <c r="T2819" t="s">
        <v>9147</v>
      </c>
      <c r="U2819" t="s">
        <v>9148</v>
      </c>
      <c r="V2819" t="s">
        <v>9093</v>
      </c>
      <c r="W2819" t="s">
        <v>9094</v>
      </c>
      <c r="Z2819" t="s">
        <v>46</v>
      </c>
      <c r="AA2819" t="s">
        <v>9095</v>
      </c>
      <c r="AC2819">
        <f>COUNTIF(C:C,QLKV_gui_ket_qua_ra_soat[[#This Row],[Mã điểm bán]])</f>
        <v>1</v>
      </c>
    </row>
    <row r="2820" spans="1:29" x14ac:dyDescent="0.45">
      <c r="A2820" t="s">
        <v>9088</v>
      </c>
      <c r="B2820">
        <v>2376</v>
      </c>
      <c r="C2820" t="s">
        <v>10009</v>
      </c>
      <c r="D2820" t="s">
        <v>10010</v>
      </c>
      <c r="E2820" t="s">
        <v>206</v>
      </c>
      <c r="F2820" t="s">
        <v>53</v>
      </c>
      <c r="G2820" t="s">
        <v>34</v>
      </c>
      <c r="H2820" t="s">
        <v>54</v>
      </c>
      <c r="I2820" t="s">
        <v>1838</v>
      </c>
      <c r="J2820" t="s">
        <v>38</v>
      </c>
      <c r="K2820" t="s">
        <v>38</v>
      </c>
      <c r="L2820" t="s">
        <v>40</v>
      </c>
      <c r="M2820" t="s">
        <v>38</v>
      </c>
      <c r="N2820" t="s">
        <v>38</v>
      </c>
      <c r="O2820" t="s">
        <v>39</v>
      </c>
      <c r="P2820" t="s">
        <v>38</v>
      </c>
      <c r="Q2820" t="s">
        <v>38</v>
      </c>
      <c r="R2820" t="s">
        <v>40</v>
      </c>
      <c r="S2820" t="s">
        <v>41</v>
      </c>
      <c r="T2820" t="s">
        <v>9648</v>
      </c>
      <c r="U2820" t="s">
        <v>9649</v>
      </c>
      <c r="V2820" t="s">
        <v>9093</v>
      </c>
      <c r="W2820" t="s">
        <v>9101</v>
      </c>
      <c r="Z2820" t="s">
        <v>46</v>
      </c>
      <c r="AA2820" t="s">
        <v>9095</v>
      </c>
      <c r="AC2820">
        <f>COUNTIF(C:C,QLKV_gui_ket_qua_ra_soat[[#This Row],[Mã điểm bán]])</f>
        <v>1</v>
      </c>
    </row>
    <row r="2821" spans="1:29" x14ac:dyDescent="0.45">
      <c r="A2821" t="s">
        <v>9088</v>
      </c>
      <c r="B2821">
        <v>2382</v>
      </c>
      <c r="C2821" t="s">
        <v>10011</v>
      </c>
      <c r="D2821" t="s">
        <v>10012</v>
      </c>
      <c r="E2821" t="s">
        <v>265</v>
      </c>
      <c r="F2821" t="s">
        <v>53</v>
      </c>
      <c r="G2821" t="s">
        <v>150</v>
      </c>
      <c r="H2821" t="s">
        <v>1982</v>
      </c>
      <c r="I2821" t="s">
        <v>1838</v>
      </c>
      <c r="J2821" t="s">
        <v>38</v>
      </c>
      <c r="K2821" t="s">
        <v>38</v>
      </c>
      <c r="L2821" t="s">
        <v>40</v>
      </c>
      <c r="M2821" t="s">
        <v>38</v>
      </c>
      <c r="N2821" t="s">
        <v>38</v>
      </c>
      <c r="O2821" t="s">
        <v>40</v>
      </c>
      <c r="P2821" t="s">
        <v>38</v>
      </c>
      <c r="Q2821" t="s">
        <v>38</v>
      </c>
      <c r="R2821" t="s">
        <v>40</v>
      </c>
      <c r="S2821" t="s">
        <v>9647</v>
      </c>
      <c r="T2821" t="s">
        <v>9648</v>
      </c>
      <c r="U2821" t="s">
        <v>9649</v>
      </c>
      <c r="V2821" t="s">
        <v>9093</v>
      </c>
      <c r="W2821" t="s">
        <v>9101</v>
      </c>
      <c r="Z2821" t="s">
        <v>46</v>
      </c>
      <c r="AA2821" t="s">
        <v>9095</v>
      </c>
      <c r="AC2821">
        <f>COUNTIF(C:C,QLKV_gui_ket_qua_ra_soat[[#This Row],[Mã điểm bán]])</f>
        <v>1</v>
      </c>
    </row>
    <row r="2822" spans="1:29" x14ac:dyDescent="0.45">
      <c r="A2822" t="s">
        <v>9088</v>
      </c>
      <c r="B2822">
        <v>2387</v>
      </c>
      <c r="C2822" t="s">
        <v>10013</v>
      </c>
      <c r="D2822" t="s">
        <v>10014</v>
      </c>
      <c r="E2822" t="s">
        <v>10015</v>
      </c>
      <c r="F2822" t="s">
        <v>325</v>
      </c>
      <c r="G2822" t="s">
        <v>34</v>
      </c>
      <c r="H2822" t="s">
        <v>1263</v>
      </c>
      <c r="I2822" t="s">
        <v>9922</v>
      </c>
      <c r="J2822" t="s">
        <v>41</v>
      </c>
      <c r="K2822" t="s">
        <v>41</v>
      </c>
      <c r="L2822" t="s">
        <v>41</v>
      </c>
      <c r="M2822" t="s">
        <v>41</v>
      </c>
      <c r="N2822" t="s">
        <v>41</v>
      </c>
      <c r="O2822" t="s">
        <v>41</v>
      </c>
      <c r="P2822" t="s">
        <v>41</v>
      </c>
      <c r="Q2822" t="s">
        <v>41</v>
      </c>
      <c r="R2822" t="s">
        <v>41</v>
      </c>
      <c r="S2822" t="s">
        <v>41</v>
      </c>
      <c r="T2822" t="s">
        <v>9099</v>
      </c>
      <c r="U2822" t="s">
        <v>9100</v>
      </c>
      <c r="V2822" t="s">
        <v>9093</v>
      </c>
      <c r="W2822" t="s">
        <v>9101</v>
      </c>
      <c r="Z2822" t="s">
        <v>46</v>
      </c>
      <c r="AA2822" t="s">
        <v>9119</v>
      </c>
      <c r="AC2822">
        <f>COUNTIF(C:C,QLKV_gui_ket_qua_ra_soat[[#This Row],[Mã điểm bán]])</f>
        <v>1</v>
      </c>
    </row>
    <row r="2823" spans="1:29" x14ac:dyDescent="0.45">
      <c r="A2823" t="s">
        <v>9088</v>
      </c>
      <c r="B2823">
        <v>2395</v>
      </c>
      <c r="C2823" t="s">
        <v>10016</v>
      </c>
      <c r="D2823" t="s">
        <v>9002</v>
      </c>
      <c r="E2823" t="s">
        <v>10017</v>
      </c>
      <c r="F2823" t="s">
        <v>401</v>
      </c>
      <c r="G2823" t="s">
        <v>34</v>
      </c>
      <c r="H2823" t="s">
        <v>10018</v>
      </c>
      <c r="I2823" t="s">
        <v>10019</v>
      </c>
      <c r="J2823" t="s">
        <v>41</v>
      </c>
      <c r="K2823" t="s">
        <v>41</v>
      </c>
      <c r="L2823" t="s">
        <v>41</v>
      </c>
      <c r="M2823" t="s">
        <v>41</v>
      </c>
      <c r="N2823" t="s">
        <v>41</v>
      </c>
      <c r="O2823" t="s">
        <v>41</v>
      </c>
      <c r="P2823" t="s">
        <v>41</v>
      </c>
      <c r="Q2823" t="s">
        <v>41</v>
      </c>
      <c r="R2823" t="s">
        <v>41</v>
      </c>
      <c r="S2823" t="s">
        <v>41</v>
      </c>
      <c r="T2823" t="s">
        <v>9099</v>
      </c>
      <c r="U2823" t="s">
        <v>9100</v>
      </c>
      <c r="V2823" t="s">
        <v>9093</v>
      </c>
      <c r="W2823" t="s">
        <v>9101</v>
      </c>
      <c r="Z2823" t="s">
        <v>46</v>
      </c>
      <c r="AA2823" t="s">
        <v>9119</v>
      </c>
      <c r="AC2823">
        <f>COUNTIF(C:C,QLKV_gui_ket_qua_ra_soat[[#This Row],[Mã điểm bán]])</f>
        <v>1</v>
      </c>
    </row>
    <row r="2824" spans="1:29" x14ac:dyDescent="0.45">
      <c r="A2824" t="s">
        <v>9088</v>
      </c>
      <c r="B2824">
        <v>2396</v>
      </c>
      <c r="C2824" t="s">
        <v>10020</v>
      </c>
      <c r="D2824" t="s">
        <v>10021</v>
      </c>
      <c r="E2824" t="s">
        <v>206</v>
      </c>
      <c r="F2824" t="s">
        <v>53</v>
      </c>
      <c r="G2824" t="s">
        <v>34</v>
      </c>
      <c r="H2824" t="s">
        <v>54</v>
      </c>
      <c r="I2824" t="s">
        <v>10022</v>
      </c>
      <c r="J2824" t="s">
        <v>38</v>
      </c>
      <c r="K2824" t="s">
        <v>38</v>
      </c>
      <c r="L2824" t="s">
        <v>39</v>
      </c>
      <c r="M2824" t="s">
        <v>38</v>
      </c>
      <c r="N2824" t="s">
        <v>38</v>
      </c>
      <c r="O2824" t="s">
        <v>39</v>
      </c>
      <c r="P2824" t="s">
        <v>38</v>
      </c>
      <c r="Q2824" t="s">
        <v>38</v>
      </c>
      <c r="R2824" t="s">
        <v>39</v>
      </c>
      <c r="S2824" t="s">
        <v>41</v>
      </c>
      <c r="T2824" t="s">
        <v>9158</v>
      </c>
      <c r="U2824" t="s">
        <v>9159</v>
      </c>
      <c r="V2824" t="s">
        <v>9093</v>
      </c>
      <c r="W2824" t="s">
        <v>2978</v>
      </c>
      <c r="X2824" t="s">
        <v>46</v>
      </c>
      <c r="AC2824">
        <f>COUNTIF(C:C,QLKV_gui_ket_qua_ra_soat[[#This Row],[Mã điểm bán]])</f>
        <v>1</v>
      </c>
    </row>
    <row r="2825" spans="1:29" x14ac:dyDescent="0.45">
      <c r="A2825" t="s">
        <v>9088</v>
      </c>
      <c r="B2825">
        <v>2402</v>
      </c>
      <c r="C2825" t="s">
        <v>10023</v>
      </c>
      <c r="D2825" t="s">
        <v>10024</v>
      </c>
      <c r="E2825" t="s">
        <v>10025</v>
      </c>
      <c r="F2825" t="s">
        <v>1981</v>
      </c>
      <c r="G2825" t="s">
        <v>34</v>
      </c>
      <c r="H2825" t="s">
        <v>54</v>
      </c>
      <c r="I2825" t="s">
        <v>10026</v>
      </c>
      <c r="J2825" t="s">
        <v>38</v>
      </c>
      <c r="K2825" t="s">
        <v>38</v>
      </c>
      <c r="L2825" t="s">
        <v>40</v>
      </c>
      <c r="M2825" t="s">
        <v>38</v>
      </c>
      <c r="N2825" t="s">
        <v>38</v>
      </c>
      <c r="O2825" t="s">
        <v>40</v>
      </c>
      <c r="P2825" t="s">
        <v>38</v>
      </c>
      <c r="Q2825" t="s">
        <v>38</v>
      </c>
      <c r="R2825" t="s">
        <v>40</v>
      </c>
      <c r="S2825" t="s">
        <v>10027</v>
      </c>
      <c r="T2825" t="s">
        <v>9298</v>
      </c>
      <c r="U2825" t="s">
        <v>9299</v>
      </c>
      <c r="V2825" t="s">
        <v>9093</v>
      </c>
      <c r="W2825" t="s">
        <v>2978</v>
      </c>
      <c r="X2825" t="s">
        <v>46</v>
      </c>
      <c r="AC2825">
        <f>COUNTIF(C:C,QLKV_gui_ket_qua_ra_soat[[#This Row],[Mã điểm bán]])</f>
        <v>1</v>
      </c>
    </row>
    <row r="2826" spans="1:29" x14ac:dyDescent="0.45">
      <c r="A2826" t="s">
        <v>9088</v>
      </c>
      <c r="B2826">
        <v>2407</v>
      </c>
      <c r="C2826" t="s">
        <v>10028</v>
      </c>
      <c r="D2826" t="s">
        <v>10029</v>
      </c>
      <c r="E2826" t="s">
        <v>10030</v>
      </c>
      <c r="F2826" t="s">
        <v>115</v>
      </c>
      <c r="G2826" t="s">
        <v>34</v>
      </c>
      <c r="H2826" t="s">
        <v>8400</v>
      </c>
      <c r="I2826" t="s">
        <v>10031</v>
      </c>
      <c r="J2826" t="s">
        <v>38</v>
      </c>
      <c r="K2826" t="s">
        <v>38</v>
      </c>
      <c r="L2826" t="s">
        <v>40</v>
      </c>
      <c r="M2826" t="s">
        <v>38</v>
      </c>
      <c r="N2826" t="s">
        <v>38</v>
      </c>
      <c r="O2826" t="s">
        <v>40</v>
      </c>
      <c r="P2826" t="s">
        <v>38</v>
      </c>
      <c r="Q2826" t="s">
        <v>38</v>
      </c>
      <c r="R2826" t="s">
        <v>40</v>
      </c>
      <c r="S2826" t="s">
        <v>41</v>
      </c>
      <c r="T2826" t="s">
        <v>9099</v>
      </c>
      <c r="U2826" t="s">
        <v>9100</v>
      </c>
      <c r="V2826" t="s">
        <v>9093</v>
      </c>
      <c r="W2826" t="s">
        <v>9101</v>
      </c>
      <c r="Z2826" t="s">
        <v>46</v>
      </c>
      <c r="AA2826" t="s">
        <v>9119</v>
      </c>
      <c r="AC2826">
        <f>COUNTIF(C:C,QLKV_gui_ket_qua_ra_soat[[#This Row],[Mã điểm bán]])</f>
        <v>1</v>
      </c>
    </row>
    <row r="2827" spans="1:29" x14ac:dyDescent="0.45">
      <c r="A2827" t="s">
        <v>9088</v>
      </c>
      <c r="B2827">
        <v>2408</v>
      </c>
      <c r="C2827" t="s">
        <v>10032</v>
      </c>
      <c r="D2827" t="s">
        <v>10033</v>
      </c>
      <c r="E2827" t="s">
        <v>10034</v>
      </c>
      <c r="F2827" t="s">
        <v>53</v>
      </c>
      <c r="G2827" t="s">
        <v>34</v>
      </c>
      <c r="H2827" t="s">
        <v>1184</v>
      </c>
      <c r="I2827" t="s">
        <v>10035</v>
      </c>
      <c r="J2827" t="s">
        <v>37</v>
      </c>
      <c r="K2827" t="s">
        <v>37</v>
      </c>
      <c r="L2827" t="s">
        <v>39</v>
      </c>
      <c r="M2827" t="s">
        <v>37</v>
      </c>
      <c r="N2827" t="s">
        <v>37</v>
      </c>
      <c r="O2827" t="s">
        <v>39</v>
      </c>
      <c r="P2827" t="s">
        <v>37</v>
      </c>
      <c r="Q2827" t="s">
        <v>37</v>
      </c>
      <c r="R2827" t="s">
        <v>39</v>
      </c>
      <c r="S2827" t="s">
        <v>41</v>
      </c>
      <c r="T2827" t="s">
        <v>9240</v>
      </c>
      <c r="U2827" t="s">
        <v>9205</v>
      </c>
      <c r="V2827" t="s">
        <v>9093</v>
      </c>
      <c r="W2827" t="s">
        <v>9227</v>
      </c>
      <c r="Z2827" t="s">
        <v>46</v>
      </c>
      <c r="AA2827" t="s">
        <v>9095</v>
      </c>
      <c r="AC2827">
        <f>COUNTIF(C:C,QLKV_gui_ket_qua_ra_soat[[#This Row],[Mã điểm bán]])</f>
        <v>1</v>
      </c>
    </row>
    <row r="2828" spans="1:29" x14ac:dyDescent="0.45">
      <c r="A2828" t="s">
        <v>9088</v>
      </c>
      <c r="B2828">
        <v>2409</v>
      </c>
      <c r="C2828" t="s">
        <v>10036</v>
      </c>
      <c r="D2828" t="s">
        <v>10037</v>
      </c>
      <c r="E2828" t="s">
        <v>10038</v>
      </c>
      <c r="F2828" t="s">
        <v>53</v>
      </c>
      <c r="G2828" t="s">
        <v>177</v>
      </c>
      <c r="H2828" t="s">
        <v>54</v>
      </c>
      <c r="I2828" t="s">
        <v>4639</v>
      </c>
      <c r="J2828" t="s">
        <v>38</v>
      </c>
      <c r="K2828" t="s">
        <v>38</v>
      </c>
      <c r="L2828" t="s">
        <v>39</v>
      </c>
      <c r="M2828" t="s">
        <v>38</v>
      </c>
      <c r="N2828" t="s">
        <v>38</v>
      </c>
      <c r="O2828" t="s">
        <v>39</v>
      </c>
      <c r="P2828" t="s">
        <v>38</v>
      </c>
      <c r="Q2828" t="s">
        <v>38</v>
      </c>
      <c r="R2828" t="s">
        <v>39</v>
      </c>
      <c r="S2828" t="s">
        <v>5662</v>
      </c>
      <c r="T2828" t="s">
        <v>9158</v>
      </c>
      <c r="U2828" t="s">
        <v>9159</v>
      </c>
      <c r="V2828" t="s">
        <v>9093</v>
      </c>
      <c r="W2828" t="s">
        <v>2978</v>
      </c>
      <c r="X2828" t="s">
        <v>46</v>
      </c>
      <c r="AC2828">
        <f>COUNTIF(C:C,QLKV_gui_ket_qua_ra_soat[[#This Row],[Mã điểm bán]])</f>
        <v>1</v>
      </c>
    </row>
    <row r="2829" spans="1:29" x14ac:dyDescent="0.45">
      <c r="A2829" t="s">
        <v>9088</v>
      </c>
      <c r="B2829">
        <v>2413</v>
      </c>
      <c r="C2829" t="s">
        <v>10039</v>
      </c>
      <c r="D2829" t="s">
        <v>10040</v>
      </c>
      <c r="E2829" t="s">
        <v>10041</v>
      </c>
      <c r="F2829" t="s">
        <v>600</v>
      </c>
      <c r="G2829" t="s">
        <v>34</v>
      </c>
      <c r="H2829" t="s">
        <v>54</v>
      </c>
      <c r="I2829" t="s">
        <v>10042</v>
      </c>
      <c r="J2829" t="s">
        <v>38</v>
      </c>
      <c r="K2829" t="s">
        <v>38</v>
      </c>
      <c r="L2829" t="s">
        <v>40</v>
      </c>
      <c r="M2829" t="s">
        <v>37</v>
      </c>
      <c r="N2829" t="s">
        <v>37</v>
      </c>
      <c r="O2829" t="s">
        <v>39</v>
      </c>
      <c r="P2829" t="s">
        <v>38</v>
      </c>
      <c r="Q2829" t="s">
        <v>38</v>
      </c>
      <c r="R2829" t="s">
        <v>40</v>
      </c>
      <c r="S2829" t="s">
        <v>10043</v>
      </c>
      <c r="T2829" t="s">
        <v>9298</v>
      </c>
      <c r="U2829" t="s">
        <v>9299</v>
      </c>
      <c r="V2829" t="s">
        <v>9093</v>
      </c>
      <c r="W2829" t="s">
        <v>2978</v>
      </c>
      <c r="Z2829" t="s">
        <v>46</v>
      </c>
      <c r="AA2829" t="s">
        <v>9160</v>
      </c>
      <c r="AC2829">
        <f>COUNTIF(C:C,QLKV_gui_ket_qua_ra_soat[[#This Row],[Mã điểm bán]])</f>
        <v>1</v>
      </c>
    </row>
    <row r="2830" spans="1:29" x14ac:dyDescent="0.45">
      <c r="A2830" t="s">
        <v>9088</v>
      </c>
      <c r="B2830">
        <v>2435</v>
      </c>
      <c r="C2830" t="s">
        <v>10044</v>
      </c>
      <c r="D2830" t="s">
        <v>10045</v>
      </c>
      <c r="E2830" t="s">
        <v>10046</v>
      </c>
      <c r="F2830" t="s">
        <v>53</v>
      </c>
      <c r="G2830" t="s">
        <v>34</v>
      </c>
      <c r="H2830" t="s">
        <v>1736</v>
      </c>
      <c r="I2830" t="s">
        <v>10047</v>
      </c>
      <c r="J2830" t="s">
        <v>38</v>
      </c>
      <c r="K2830" t="s">
        <v>38</v>
      </c>
      <c r="L2830" t="s">
        <v>40</v>
      </c>
      <c r="M2830" t="s">
        <v>37</v>
      </c>
      <c r="N2830" t="s">
        <v>37</v>
      </c>
      <c r="O2830" t="s">
        <v>39</v>
      </c>
      <c r="P2830" t="s">
        <v>38</v>
      </c>
      <c r="Q2830" t="s">
        <v>38</v>
      </c>
      <c r="R2830" t="s">
        <v>40</v>
      </c>
      <c r="S2830" t="s">
        <v>41</v>
      </c>
      <c r="T2830" t="s">
        <v>9199</v>
      </c>
      <c r="U2830" t="s">
        <v>9200</v>
      </c>
      <c r="V2830" t="s">
        <v>9093</v>
      </c>
      <c r="W2830" t="s">
        <v>9180</v>
      </c>
      <c r="Z2830" t="s">
        <v>46</v>
      </c>
      <c r="AA2830" t="s">
        <v>9119</v>
      </c>
      <c r="AC2830">
        <f>COUNTIF(C:C,QLKV_gui_ket_qua_ra_soat[[#This Row],[Mã điểm bán]])</f>
        <v>1</v>
      </c>
    </row>
    <row r="2831" spans="1:29" x14ac:dyDescent="0.45">
      <c r="A2831" t="s">
        <v>9088</v>
      </c>
      <c r="B2831">
        <v>2441</v>
      </c>
      <c r="C2831" t="s">
        <v>10048</v>
      </c>
      <c r="D2831" t="s">
        <v>10049</v>
      </c>
      <c r="E2831" t="s">
        <v>338</v>
      </c>
      <c r="F2831" t="s">
        <v>53</v>
      </c>
      <c r="G2831" t="s">
        <v>34</v>
      </c>
      <c r="H2831" t="s">
        <v>54</v>
      </c>
      <c r="I2831" t="s">
        <v>10050</v>
      </c>
      <c r="J2831" t="s">
        <v>38</v>
      </c>
      <c r="K2831" t="s">
        <v>38</v>
      </c>
      <c r="L2831" t="s">
        <v>40</v>
      </c>
      <c r="M2831" t="s">
        <v>56</v>
      </c>
      <c r="N2831" t="s">
        <v>37</v>
      </c>
      <c r="O2831" t="s">
        <v>40</v>
      </c>
      <c r="P2831" t="s">
        <v>38</v>
      </c>
      <c r="Q2831" t="s">
        <v>38</v>
      </c>
      <c r="R2831" t="s">
        <v>40</v>
      </c>
      <c r="S2831" t="s">
        <v>10051</v>
      </c>
      <c r="T2831" t="s">
        <v>9142</v>
      </c>
      <c r="U2831" t="s">
        <v>9143</v>
      </c>
      <c r="V2831" t="s">
        <v>9093</v>
      </c>
      <c r="W2831" t="s">
        <v>2978</v>
      </c>
      <c r="Z2831" t="s">
        <v>46</v>
      </c>
      <c r="AA2831" t="s">
        <v>9160</v>
      </c>
      <c r="AC2831">
        <f>COUNTIF(C:C,QLKV_gui_ket_qua_ra_soat[[#This Row],[Mã điểm bán]])</f>
        <v>1</v>
      </c>
    </row>
    <row r="2832" spans="1:29" x14ac:dyDescent="0.45">
      <c r="A2832" t="s">
        <v>9088</v>
      </c>
      <c r="B2832">
        <v>2445</v>
      </c>
      <c r="C2832" t="s">
        <v>10052</v>
      </c>
      <c r="D2832" t="s">
        <v>3330</v>
      </c>
      <c r="E2832" t="s">
        <v>68</v>
      </c>
      <c r="F2832" t="s">
        <v>53</v>
      </c>
      <c r="G2832" t="s">
        <v>34</v>
      </c>
      <c r="H2832" t="s">
        <v>54</v>
      </c>
      <c r="I2832" t="s">
        <v>3188</v>
      </c>
      <c r="J2832" t="s">
        <v>37</v>
      </c>
      <c r="K2832" t="s">
        <v>37</v>
      </c>
      <c r="L2832" t="s">
        <v>39</v>
      </c>
      <c r="M2832" t="s">
        <v>37</v>
      </c>
      <c r="N2832" t="s">
        <v>37</v>
      </c>
      <c r="O2832" t="s">
        <v>39</v>
      </c>
      <c r="P2832" t="s">
        <v>38</v>
      </c>
      <c r="Q2832" t="s">
        <v>38</v>
      </c>
      <c r="R2832" t="s">
        <v>40</v>
      </c>
      <c r="S2832" t="s">
        <v>41</v>
      </c>
      <c r="T2832" t="s">
        <v>9147</v>
      </c>
      <c r="U2832" t="s">
        <v>9148</v>
      </c>
      <c r="V2832" t="s">
        <v>9093</v>
      </c>
      <c r="W2832" t="s">
        <v>9094</v>
      </c>
      <c r="X2832" t="s">
        <v>46</v>
      </c>
      <c r="AC2832">
        <f>COUNTIF(C:C,QLKV_gui_ket_qua_ra_soat[[#This Row],[Mã điểm bán]])</f>
        <v>1</v>
      </c>
    </row>
    <row r="2833" spans="1:29" x14ac:dyDescent="0.45">
      <c r="A2833" t="s">
        <v>9088</v>
      </c>
      <c r="B2833">
        <v>2448</v>
      </c>
      <c r="C2833" t="s">
        <v>10053</v>
      </c>
      <c r="D2833" t="s">
        <v>10054</v>
      </c>
      <c r="E2833" t="s">
        <v>212</v>
      </c>
      <c r="F2833" t="s">
        <v>53</v>
      </c>
      <c r="G2833" t="s">
        <v>34</v>
      </c>
      <c r="H2833" t="s">
        <v>77</v>
      </c>
      <c r="I2833" t="s">
        <v>2866</v>
      </c>
      <c r="J2833" t="s">
        <v>38</v>
      </c>
      <c r="K2833" t="s">
        <v>38</v>
      </c>
      <c r="L2833" t="s">
        <v>39</v>
      </c>
      <c r="M2833" t="s">
        <v>37</v>
      </c>
      <c r="N2833" t="s">
        <v>37</v>
      </c>
      <c r="O2833" t="s">
        <v>39</v>
      </c>
      <c r="P2833" t="s">
        <v>38</v>
      </c>
      <c r="Q2833" t="s">
        <v>38</v>
      </c>
      <c r="R2833" t="s">
        <v>39</v>
      </c>
      <c r="S2833" t="s">
        <v>41</v>
      </c>
      <c r="T2833" t="s">
        <v>9178</v>
      </c>
      <c r="U2833" t="s">
        <v>9179</v>
      </c>
      <c r="V2833" t="s">
        <v>9093</v>
      </c>
      <c r="W2833" t="s">
        <v>9180</v>
      </c>
      <c r="X2833" t="s">
        <v>46</v>
      </c>
      <c r="AC2833">
        <f>COUNTIF(C:C,QLKV_gui_ket_qua_ra_soat[[#This Row],[Mã điểm bán]])</f>
        <v>1</v>
      </c>
    </row>
    <row r="2834" spans="1:29" x14ac:dyDescent="0.45">
      <c r="A2834" t="s">
        <v>9088</v>
      </c>
      <c r="B2834">
        <v>2453</v>
      </c>
      <c r="C2834" t="s">
        <v>10055</v>
      </c>
      <c r="D2834" t="s">
        <v>10056</v>
      </c>
      <c r="E2834" t="s">
        <v>2580</v>
      </c>
      <c r="F2834" t="s">
        <v>53</v>
      </c>
      <c r="G2834" t="s">
        <v>34</v>
      </c>
      <c r="H2834" t="s">
        <v>863</v>
      </c>
      <c r="I2834" t="s">
        <v>2866</v>
      </c>
      <c r="J2834" t="s">
        <v>38</v>
      </c>
      <c r="K2834" t="s">
        <v>38</v>
      </c>
      <c r="L2834" t="s">
        <v>39</v>
      </c>
      <c r="M2834" t="s">
        <v>37</v>
      </c>
      <c r="N2834" t="s">
        <v>37</v>
      </c>
      <c r="O2834" t="s">
        <v>39</v>
      </c>
      <c r="P2834" t="s">
        <v>38</v>
      </c>
      <c r="Q2834" t="s">
        <v>38</v>
      </c>
      <c r="R2834" t="s">
        <v>39</v>
      </c>
      <c r="S2834" t="s">
        <v>41</v>
      </c>
      <c r="T2834" t="s">
        <v>9178</v>
      </c>
      <c r="U2834" t="s">
        <v>9179</v>
      </c>
      <c r="V2834" t="s">
        <v>9093</v>
      </c>
      <c r="W2834" t="s">
        <v>9180</v>
      </c>
      <c r="Z2834" t="s">
        <v>46</v>
      </c>
      <c r="AA2834" t="s">
        <v>9119</v>
      </c>
      <c r="AC2834">
        <f>COUNTIF(C:C,QLKV_gui_ket_qua_ra_soat[[#This Row],[Mã điểm bán]])</f>
        <v>1</v>
      </c>
    </row>
    <row r="2835" spans="1:29" x14ac:dyDescent="0.45">
      <c r="A2835" t="s">
        <v>9088</v>
      </c>
      <c r="B2835">
        <v>2456</v>
      </c>
      <c r="C2835" t="s">
        <v>10057</v>
      </c>
      <c r="D2835" t="s">
        <v>10058</v>
      </c>
      <c r="E2835" t="s">
        <v>68</v>
      </c>
      <c r="F2835" t="s">
        <v>53</v>
      </c>
      <c r="G2835" t="s">
        <v>34</v>
      </c>
      <c r="H2835" t="s">
        <v>319</v>
      </c>
      <c r="I2835" t="s">
        <v>489</v>
      </c>
      <c r="J2835" t="s">
        <v>37</v>
      </c>
      <c r="K2835" t="s">
        <v>37</v>
      </c>
      <c r="L2835" t="s">
        <v>39</v>
      </c>
      <c r="M2835" t="s">
        <v>37</v>
      </c>
      <c r="N2835" t="s">
        <v>37</v>
      </c>
      <c r="O2835" t="s">
        <v>39</v>
      </c>
      <c r="P2835" t="s">
        <v>38</v>
      </c>
      <c r="Q2835" t="s">
        <v>38</v>
      </c>
      <c r="R2835" t="s">
        <v>40</v>
      </c>
      <c r="S2835" t="s">
        <v>41</v>
      </c>
      <c r="T2835" t="s">
        <v>9147</v>
      </c>
      <c r="U2835" t="s">
        <v>9148</v>
      </c>
      <c r="V2835" t="s">
        <v>9093</v>
      </c>
      <c r="W2835" t="s">
        <v>9094</v>
      </c>
      <c r="X2835" t="s">
        <v>46</v>
      </c>
      <c r="AC2835">
        <f>COUNTIF(C:C,QLKV_gui_ket_qua_ra_soat[[#This Row],[Mã điểm bán]])</f>
        <v>1</v>
      </c>
    </row>
    <row r="2836" spans="1:29" x14ac:dyDescent="0.45">
      <c r="A2836" t="s">
        <v>9088</v>
      </c>
      <c r="B2836">
        <v>2459</v>
      </c>
      <c r="C2836" t="s">
        <v>10059</v>
      </c>
      <c r="D2836" t="s">
        <v>10060</v>
      </c>
      <c r="E2836" t="s">
        <v>10061</v>
      </c>
      <c r="F2836" t="s">
        <v>53</v>
      </c>
      <c r="G2836" t="s">
        <v>34</v>
      </c>
      <c r="H2836" t="s">
        <v>54</v>
      </c>
      <c r="I2836" t="s">
        <v>10062</v>
      </c>
      <c r="J2836" t="s">
        <v>38</v>
      </c>
      <c r="K2836" t="s">
        <v>38</v>
      </c>
      <c r="L2836" t="s">
        <v>40</v>
      </c>
      <c r="M2836" t="s">
        <v>38</v>
      </c>
      <c r="N2836" t="s">
        <v>37</v>
      </c>
      <c r="O2836" t="s">
        <v>40</v>
      </c>
      <c r="P2836" t="s">
        <v>38</v>
      </c>
      <c r="Q2836" t="s">
        <v>38</v>
      </c>
      <c r="R2836" t="s">
        <v>40</v>
      </c>
      <c r="S2836" t="s">
        <v>10063</v>
      </c>
      <c r="T2836" t="s">
        <v>9298</v>
      </c>
      <c r="U2836" t="s">
        <v>9299</v>
      </c>
      <c r="V2836" t="s">
        <v>9093</v>
      </c>
      <c r="W2836" t="s">
        <v>2978</v>
      </c>
      <c r="X2836" t="s">
        <v>46</v>
      </c>
      <c r="AC2836">
        <f>COUNTIF(C:C,QLKV_gui_ket_qua_ra_soat[[#This Row],[Mã điểm bán]])</f>
        <v>1</v>
      </c>
    </row>
    <row r="2837" spans="1:29" x14ac:dyDescent="0.45">
      <c r="A2837" t="s">
        <v>9088</v>
      </c>
      <c r="B2837">
        <v>2463</v>
      </c>
      <c r="C2837" t="s">
        <v>10064</v>
      </c>
      <c r="D2837" t="s">
        <v>10065</v>
      </c>
      <c r="E2837" t="s">
        <v>143</v>
      </c>
      <c r="F2837" t="s">
        <v>3417</v>
      </c>
      <c r="G2837" t="s">
        <v>34</v>
      </c>
      <c r="H2837" t="s">
        <v>1188</v>
      </c>
      <c r="I2837" t="s">
        <v>10066</v>
      </c>
      <c r="J2837" t="s">
        <v>38</v>
      </c>
      <c r="K2837" t="s">
        <v>38</v>
      </c>
      <c r="L2837" t="s">
        <v>40</v>
      </c>
      <c r="M2837" t="s">
        <v>38</v>
      </c>
      <c r="N2837" t="s">
        <v>38</v>
      </c>
      <c r="O2837" t="s">
        <v>39</v>
      </c>
      <c r="P2837" t="s">
        <v>38</v>
      </c>
      <c r="Q2837" t="s">
        <v>38</v>
      </c>
      <c r="R2837" t="s">
        <v>40</v>
      </c>
      <c r="S2837" t="s">
        <v>41</v>
      </c>
      <c r="T2837" t="s">
        <v>9129</v>
      </c>
      <c r="U2837" t="s">
        <v>9130</v>
      </c>
      <c r="V2837" t="s">
        <v>9093</v>
      </c>
      <c r="W2837" t="s">
        <v>9131</v>
      </c>
      <c r="X2837" t="s">
        <v>46</v>
      </c>
      <c r="AC2837">
        <f>COUNTIF(C:C,QLKV_gui_ket_qua_ra_soat[[#This Row],[Mã điểm bán]])</f>
        <v>1</v>
      </c>
    </row>
    <row r="2838" spans="1:29" x14ac:dyDescent="0.45">
      <c r="A2838" t="s">
        <v>9088</v>
      </c>
      <c r="B2838">
        <v>2471</v>
      </c>
      <c r="C2838" t="s">
        <v>10067</v>
      </c>
      <c r="D2838" t="s">
        <v>10068</v>
      </c>
      <c r="E2838" t="s">
        <v>296</v>
      </c>
      <c r="F2838" t="s">
        <v>53</v>
      </c>
      <c r="G2838" t="s">
        <v>177</v>
      </c>
      <c r="H2838" t="s">
        <v>54</v>
      </c>
      <c r="I2838" t="s">
        <v>1838</v>
      </c>
      <c r="J2838" t="s">
        <v>37</v>
      </c>
      <c r="K2838" t="s">
        <v>37</v>
      </c>
      <c r="L2838" t="s">
        <v>40</v>
      </c>
      <c r="M2838" t="s">
        <v>38</v>
      </c>
      <c r="N2838" t="s">
        <v>37</v>
      </c>
      <c r="O2838" t="s">
        <v>39</v>
      </c>
      <c r="P2838" t="s">
        <v>38</v>
      </c>
      <c r="Q2838" t="s">
        <v>38</v>
      </c>
      <c r="R2838" t="s">
        <v>40</v>
      </c>
      <c r="S2838" t="s">
        <v>5169</v>
      </c>
      <c r="T2838" t="s">
        <v>9648</v>
      </c>
      <c r="U2838" t="s">
        <v>9649</v>
      </c>
      <c r="V2838" t="s">
        <v>9093</v>
      </c>
      <c r="W2838" t="s">
        <v>9101</v>
      </c>
      <c r="X2838" t="s">
        <v>46</v>
      </c>
      <c r="AC2838">
        <f>COUNTIF(C:C,QLKV_gui_ket_qua_ra_soat[[#This Row],[Mã điểm bán]])</f>
        <v>1</v>
      </c>
    </row>
    <row r="2839" spans="1:29" x14ac:dyDescent="0.45">
      <c r="A2839" t="s">
        <v>9088</v>
      </c>
      <c r="B2839">
        <v>2474</v>
      </c>
      <c r="C2839" t="s">
        <v>10069</v>
      </c>
      <c r="D2839" t="s">
        <v>3395</v>
      </c>
      <c r="E2839" t="s">
        <v>3084</v>
      </c>
      <c r="F2839" t="s">
        <v>53</v>
      </c>
      <c r="G2839" t="s">
        <v>34</v>
      </c>
      <c r="H2839" t="s">
        <v>54</v>
      </c>
      <c r="I2839" t="s">
        <v>10070</v>
      </c>
      <c r="J2839" t="s">
        <v>38</v>
      </c>
      <c r="K2839" t="s">
        <v>38</v>
      </c>
      <c r="L2839" t="s">
        <v>39</v>
      </c>
      <c r="M2839" t="s">
        <v>38</v>
      </c>
      <c r="N2839" t="s">
        <v>38</v>
      </c>
      <c r="O2839" t="s">
        <v>39</v>
      </c>
      <c r="P2839" t="s">
        <v>38</v>
      </c>
      <c r="Q2839" t="s">
        <v>38</v>
      </c>
      <c r="R2839" t="s">
        <v>39</v>
      </c>
      <c r="S2839" t="s">
        <v>9761</v>
      </c>
      <c r="T2839" t="s">
        <v>9158</v>
      </c>
      <c r="U2839" t="s">
        <v>9159</v>
      </c>
      <c r="V2839" t="s">
        <v>9093</v>
      </c>
      <c r="W2839" t="s">
        <v>2978</v>
      </c>
      <c r="X2839" t="s">
        <v>46</v>
      </c>
      <c r="AC2839">
        <f>COUNTIF(C:C,QLKV_gui_ket_qua_ra_soat[[#This Row],[Mã điểm bán]])</f>
        <v>1</v>
      </c>
    </row>
    <row r="2840" spans="1:29" x14ac:dyDescent="0.45">
      <c r="A2840" t="s">
        <v>9088</v>
      </c>
      <c r="B2840">
        <v>2478</v>
      </c>
      <c r="C2840" t="s">
        <v>10071</v>
      </c>
      <c r="D2840" t="s">
        <v>9002</v>
      </c>
      <c r="E2840" t="s">
        <v>371</v>
      </c>
      <c r="F2840" t="s">
        <v>53</v>
      </c>
      <c r="G2840" t="s">
        <v>177</v>
      </c>
      <c r="H2840" t="s">
        <v>1177</v>
      </c>
      <c r="I2840" t="s">
        <v>10072</v>
      </c>
      <c r="J2840" t="s">
        <v>38</v>
      </c>
      <c r="K2840" t="s">
        <v>38</v>
      </c>
      <c r="L2840" t="s">
        <v>40</v>
      </c>
      <c r="M2840" t="s">
        <v>37</v>
      </c>
      <c r="N2840" t="s">
        <v>37</v>
      </c>
      <c r="O2840" t="s">
        <v>40</v>
      </c>
      <c r="P2840" t="s">
        <v>38</v>
      </c>
      <c r="Q2840" t="s">
        <v>38</v>
      </c>
      <c r="R2840" t="s">
        <v>40</v>
      </c>
      <c r="S2840" t="s">
        <v>41</v>
      </c>
      <c r="T2840" t="s">
        <v>9199</v>
      </c>
      <c r="U2840" t="s">
        <v>9200</v>
      </c>
      <c r="V2840" t="s">
        <v>9093</v>
      </c>
      <c r="W2840" t="s">
        <v>9180</v>
      </c>
      <c r="Z2840" t="s">
        <v>46</v>
      </c>
      <c r="AA2840" t="s">
        <v>9095</v>
      </c>
      <c r="AB2840" t="s">
        <v>2999</v>
      </c>
      <c r="AC2840">
        <f>COUNTIF(C:C,QLKV_gui_ket_qua_ra_soat[[#This Row],[Mã điểm bán]])</f>
        <v>1</v>
      </c>
    </row>
    <row r="2841" spans="1:29" x14ac:dyDescent="0.45">
      <c r="A2841" t="s">
        <v>9088</v>
      </c>
      <c r="B2841">
        <v>2496</v>
      </c>
      <c r="C2841" t="s">
        <v>10073</v>
      </c>
      <c r="D2841" t="s">
        <v>10074</v>
      </c>
      <c r="E2841" t="s">
        <v>10075</v>
      </c>
      <c r="F2841" t="s">
        <v>10076</v>
      </c>
      <c r="G2841" t="s">
        <v>177</v>
      </c>
      <c r="H2841" t="s">
        <v>54</v>
      </c>
      <c r="I2841" t="s">
        <v>10077</v>
      </c>
      <c r="J2841" t="s">
        <v>38</v>
      </c>
      <c r="K2841" t="s">
        <v>38</v>
      </c>
      <c r="L2841" t="s">
        <v>40</v>
      </c>
      <c r="M2841" t="s">
        <v>37</v>
      </c>
      <c r="N2841" t="s">
        <v>37</v>
      </c>
      <c r="O2841" t="s">
        <v>39</v>
      </c>
      <c r="P2841" t="s">
        <v>38</v>
      </c>
      <c r="Q2841" t="s">
        <v>38</v>
      </c>
      <c r="R2841" t="s">
        <v>40</v>
      </c>
      <c r="S2841" t="s">
        <v>10078</v>
      </c>
      <c r="T2841" t="s">
        <v>9298</v>
      </c>
      <c r="U2841" t="s">
        <v>9299</v>
      </c>
      <c r="V2841" t="s">
        <v>9093</v>
      </c>
      <c r="W2841" t="s">
        <v>2978</v>
      </c>
      <c r="X2841" t="s">
        <v>46</v>
      </c>
      <c r="AC2841">
        <f>COUNTIF(C:C,QLKV_gui_ket_qua_ra_soat[[#This Row],[Mã điểm bán]])</f>
        <v>1</v>
      </c>
    </row>
    <row r="2842" spans="1:29" x14ac:dyDescent="0.45">
      <c r="A2842" t="s">
        <v>9088</v>
      </c>
      <c r="B2842">
        <v>2499</v>
      </c>
      <c r="C2842" t="s">
        <v>10079</v>
      </c>
      <c r="D2842" t="s">
        <v>10080</v>
      </c>
      <c r="E2842" t="s">
        <v>127</v>
      </c>
      <c r="F2842" t="s">
        <v>166</v>
      </c>
      <c r="G2842" t="s">
        <v>34</v>
      </c>
      <c r="H2842" t="s">
        <v>1736</v>
      </c>
      <c r="I2842" t="s">
        <v>2866</v>
      </c>
      <c r="J2842" t="s">
        <v>38</v>
      </c>
      <c r="K2842" t="s">
        <v>38</v>
      </c>
      <c r="L2842" t="s">
        <v>39</v>
      </c>
      <c r="M2842" t="s">
        <v>37</v>
      </c>
      <c r="N2842" t="s">
        <v>37</v>
      </c>
      <c r="O2842" t="s">
        <v>39</v>
      </c>
      <c r="P2842" t="s">
        <v>38</v>
      </c>
      <c r="Q2842" t="s">
        <v>38</v>
      </c>
      <c r="R2842" t="s">
        <v>39</v>
      </c>
      <c r="S2842" t="s">
        <v>41</v>
      </c>
      <c r="T2842" t="s">
        <v>9178</v>
      </c>
      <c r="U2842" t="s">
        <v>9179</v>
      </c>
      <c r="V2842" t="s">
        <v>9093</v>
      </c>
      <c r="W2842" t="s">
        <v>9180</v>
      </c>
      <c r="X2842" t="s">
        <v>46</v>
      </c>
      <c r="AC2842">
        <f>COUNTIF(C:C,QLKV_gui_ket_qua_ra_soat[[#This Row],[Mã điểm bán]])</f>
        <v>1</v>
      </c>
    </row>
    <row r="2843" spans="1:29" x14ac:dyDescent="0.45">
      <c r="A2843" t="s">
        <v>9088</v>
      </c>
      <c r="B2843">
        <v>2502</v>
      </c>
      <c r="C2843" t="s">
        <v>10081</v>
      </c>
      <c r="D2843" t="s">
        <v>10082</v>
      </c>
      <c r="E2843" t="s">
        <v>2702</v>
      </c>
      <c r="F2843" t="s">
        <v>53</v>
      </c>
      <c r="G2843" t="s">
        <v>177</v>
      </c>
      <c r="H2843" t="s">
        <v>1025</v>
      </c>
      <c r="I2843" t="s">
        <v>10083</v>
      </c>
      <c r="J2843" t="s">
        <v>38</v>
      </c>
      <c r="K2843" t="s">
        <v>38</v>
      </c>
      <c r="L2843" t="s">
        <v>40</v>
      </c>
      <c r="M2843" t="s">
        <v>56</v>
      </c>
      <c r="N2843" t="s">
        <v>56</v>
      </c>
      <c r="O2843" t="s">
        <v>39</v>
      </c>
      <c r="P2843" t="s">
        <v>38</v>
      </c>
      <c r="Q2843" t="s">
        <v>38</v>
      </c>
      <c r="R2843" t="s">
        <v>40</v>
      </c>
      <c r="S2843" t="s">
        <v>41</v>
      </c>
      <c r="T2843" t="s">
        <v>9199</v>
      </c>
      <c r="U2843" t="s">
        <v>9200</v>
      </c>
      <c r="V2843" t="s">
        <v>9093</v>
      </c>
      <c r="W2843" t="s">
        <v>9180</v>
      </c>
      <c r="Z2843" t="s">
        <v>46</v>
      </c>
      <c r="AA2843" t="s">
        <v>9119</v>
      </c>
      <c r="AC2843">
        <f>COUNTIF(C:C,QLKV_gui_ket_qua_ra_soat[[#This Row],[Mã điểm bán]])</f>
        <v>1</v>
      </c>
    </row>
    <row r="2844" spans="1:29" x14ac:dyDescent="0.45">
      <c r="A2844" t="s">
        <v>9088</v>
      </c>
      <c r="B2844">
        <v>2516</v>
      </c>
      <c r="C2844" t="s">
        <v>10084</v>
      </c>
      <c r="D2844" t="s">
        <v>10085</v>
      </c>
      <c r="E2844" t="s">
        <v>828</v>
      </c>
      <c r="F2844" t="s">
        <v>5453</v>
      </c>
      <c r="G2844" t="s">
        <v>34</v>
      </c>
      <c r="H2844" t="s">
        <v>685</v>
      </c>
      <c r="I2844" t="s">
        <v>10086</v>
      </c>
      <c r="J2844" t="s">
        <v>38</v>
      </c>
      <c r="K2844" t="s">
        <v>38</v>
      </c>
      <c r="L2844" t="s">
        <v>40</v>
      </c>
      <c r="M2844" t="s">
        <v>38</v>
      </c>
      <c r="N2844" t="s">
        <v>38</v>
      </c>
      <c r="O2844" t="s">
        <v>40</v>
      </c>
      <c r="P2844" t="s">
        <v>38</v>
      </c>
      <c r="Q2844" t="s">
        <v>38</v>
      </c>
      <c r="R2844" t="s">
        <v>40</v>
      </c>
      <c r="S2844" t="s">
        <v>41</v>
      </c>
      <c r="T2844" t="s">
        <v>9129</v>
      </c>
      <c r="U2844" t="s">
        <v>9130</v>
      </c>
      <c r="V2844" t="s">
        <v>9093</v>
      </c>
      <c r="W2844" t="s">
        <v>9131</v>
      </c>
      <c r="X2844" t="s">
        <v>46</v>
      </c>
      <c r="AC2844">
        <f>COUNTIF(C:C,QLKV_gui_ket_qua_ra_soat[[#This Row],[Mã điểm bán]])</f>
        <v>1</v>
      </c>
    </row>
    <row r="2845" spans="1:29" x14ac:dyDescent="0.45">
      <c r="A2845" t="s">
        <v>9088</v>
      </c>
      <c r="B2845">
        <v>2523</v>
      </c>
      <c r="C2845" t="s">
        <v>10087</v>
      </c>
      <c r="D2845" t="s">
        <v>10088</v>
      </c>
      <c r="E2845" t="s">
        <v>10089</v>
      </c>
      <c r="F2845" t="s">
        <v>115</v>
      </c>
      <c r="G2845" t="s">
        <v>1458</v>
      </c>
      <c r="H2845" t="s">
        <v>378</v>
      </c>
      <c r="I2845" t="s">
        <v>2049</v>
      </c>
      <c r="J2845" t="s">
        <v>41</v>
      </c>
      <c r="K2845" t="s">
        <v>41</v>
      </c>
      <c r="L2845" t="s">
        <v>41</v>
      </c>
      <c r="M2845" t="s">
        <v>41</v>
      </c>
      <c r="N2845" t="s">
        <v>41</v>
      </c>
      <c r="O2845" t="s">
        <v>41</v>
      </c>
      <c r="P2845" t="s">
        <v>41</v>
      </c>
      <c r="Q2845" t="s">
        <v>41</v>
      </c>
      <c r="R2845" t="s">
        <v>41</v>
      </c>
      <c r="S2845" t="s">
        <v>41</v>
      </c>
      <c r="T2845" t="s">
        <v>9099</v>
      </c>
      <c r="U2845" t="s">
        <v>9100</v>
      </c>
      <c r="V2845" t="s">
        <v>9093</v>
      </c>
      <c r="W2845" t="s">
        <v>9101</v>
      </c>
      <c r="Z2845" t="s">
        <v>46</v>
      </c>
      <c r="AA2845" t="s">
        <v>9119</v>
      </c>
      <c r="AC2845">
        <f>COUNTIF(C:C,QLKV_gui_ket_qua_ra_soat[[#This Row],[Mã điểm bán]])</f>
        <v>1</v>
      </c>
    </row>
    <row r="2846" spans="1:29" x14ac:dyDescent="0.45">
      <c r="A2846" t="s">
        <v>9088</v>
      </c>
      <c r="B2846">
        <v>2531</v>
      </c>
      <c r="C2846" t="s">
        <v>10090</v>
      </c>
      <c r="D2846" t="s">
        <v>10091</v>
      </c>
      <c r="E2846" t="s">
        <v>176</v>
      </c>
      <c r="F2846" t="s">
        <v>53</v>
      </c>
      <c r="G2846" t="s">
        <v>177</v>
      </c>
      <c r="H2846" t="s">
        <v>525</v>
      </c>
      <c r="I2846" t="s">
        <v>10092</v>
      </c>
      <c r="J2846" t="s">
        <v>38</v>
      </c>
      <c r="K2846" t="s">
        <v>38</v>
      </c>
      <c r="L2846" t="s">
        <v>40</v>
      </c>
      <c r="M2846" t="s">
        <v>37</v>
      </c>
      <c r="N2846" t="s">
        <v>37</v>
      </c>
      <c r="O2846" t="s">
        <v>39</v>
      </c>
      <c r="P2846" t="s">
        <v>38</v>
      </c>
      <c r="Q2846" t="s">
        <v>38</v>
      </c>
      <c r="R2846" t="s">
        <v>40</v>
      </c>
      <c r="S2846" t="s">
        <v>10093</v>
      </c>
      <c r="T2846" t="s">
        <v>9199</v>
      </c>
      <c r="U2846" t="s">
        <v>9200</v>
      </c>
      <c r="V2846" t="s">
        <v>9093</v>
      </c>
      <c r="W2846" t="s">
        <v>9180</v>
      </c>
      <c r="X2846" t="s">
        <v>46</v>
      </c>
      <c r="AC2846">
        <f>COUNTIF(C:C,QLKV_gui_ket_qua_ra_soat[[#This Row],[Mã điểm bán]])</f>
        <v>1</v>
      </c>
    </row>
    <row r="2847" spans="1:29" x14ac:dyDescent="0.45">
      <c r="A2847" t="s">
        <v>9088</v>
      </c>
      <c r="B2847">
        <v>2534</v>
      </c>
      <c r="C2847" t="s">
        <v>10094</v>
      </c>
      <c r="D2847" t="s">
        <v>10095</v>
      </c>
      <c r="E2847" t="s">
        <v>148</v>
      </c>
      <c r="F2847" t="s">
        <v>53</v>
      </c>
      <c r="G2847" t="s">
        <v>177</v>
      </c>
      <c r="H2847" t="s">
        <v>54</v>
      </c>
      <c r="I2847" t="s">
        <v>6477</v>
      </c>
      <c r="J2847" t="s">
        <v>38</v>
      </c>
      <c r="K2847" t="s">
        <v>38</v>
      </c>
      <c r="L2847" t="s">
        <v>40</v>
      </c>
      <c r="M2847" t="s">
        <v>38</v>
      </c>
      <c r="N2847" t="s">
        <v>38</v>
      </c>
      <c r="O2847" t="s">
        <v>40</v>
      </c>
      <c r="P2847" t="s">
        <v>38</v>
      </c>
      <c r="Q2847" t="s">
        <v>38</v>
      </c>
      <c r="R2847" t="s">
        <v>40</v>
      </c>
      <c r="S2847" t="s">
        <v>41</v>
      </c>
      <c r="T2847" t="s">
        <v>9129</v>
      </c>
      <c r="U2847" t="s">
        <v>9130</v>
      </c>
      <c r="V2847" t="s">
        <v>9093</v>
      </c>
      <c r="W2847" t="s">
        <v>9131</v>
      </c>
      <c r="Z2847" t="s">
        <v>46</v>
      </c>
      <c r="AA2847" t="s">
        <v>9160</v>
      </c>
      <c r="AC2847">
        <f>COUNTIF(C:C,QLKV_gui_ket_qua_ra_soat[[#This Row],[Mã điểm bán]])</f>
        <v>1</v>
      </c>
    </row>
    <row r="2848" spans="1:29" x14ac:dyDescent="0.45">
      <c r="A2848" t="s">
        <v>9088</v>
      </c>
      <c r="B2848">
        <v>2535</v>
      </c>
      <c r="C2848" t="s">
        <v>10096</v>
      </c>
      <c r="D2848" t="s">
        <v>10097</v>
      </c>
      <c r="E2848" t="s">
        <v>1886</v>
      </c>
      <c r="F2848" t="s">
        <v>53</v>
      </c>
      <c r="G2848" t="s">
        <v>34</v>
      </c>
      <c r="H2848" t="s">
        <v>1188</v>
      </c>
      <c r="I2848" t="s">
        <v>2274</v>
      </c>
      <c r="J2848" t="s">
        <v>38</v>
      </c>
      <c r="K2848" t="s">
        <v>38</v>
      </c>
      <c r="L2848" t="s">
        <v>39</v>
      </c>
      <c r="M2848" t="s">
        <v>38</v>
      </c>
      <c r="N2848" t="s">
        <v>38</v>
      </c>
      <c r="O2848" t="s">
        <v>39</v>
      </c>
      <c r="P2848" t="s">
        <v>38</v>
      </c>
      <c r="Q2848" t="s">
        <v>38</v>
      </c>
      <c r="R2848" t="s">
        <v>39</v>
      </c>
      <c r="S2848" t="s">
        <v>41</v>
      </c>
      <c r="T2848" t="s">
        <v>9158</v>
      </c>
      <c r="U2848" t="s">
        <v>9159</v>
      </c>
      <c r="V2848" t="s">
        <v>9093</v>
      </c>
      <c r="W2848" t="s">
        <v>2978</v>
      </c>
      <c r="Z2848" t="s">
        <v>46</v>
      </c>
      <c r="AA2848" t="s">
        <v>9160</v>
      </c>
      <c r="AC2848">
        <f>COUNTIF(C:C,QLKV_gui_ket_qua_ra_soat[[#This Row],[Mã điểm bán]])</f>
        <v>1</v>
      </c>
    </row>
    <row r="2849" spans="1:29" x14ac:dyDescent="0.45">
      <c r="A2849" t="s">
        <v>9088</v>
      </c>
      <c r="B2849">
        <v>2538</v>
      </c>
      <c r="C2849" t="s">
        <v>10098</v>
      </c>
      <c r="D2849" t="s">
        <v>3172</v>
      </c>
      <c r="E2849" t="s">
        <v>91</v>
      </c>
      <c r="F2849" t="s">
        <v>53</v>
      </c>
      <c r="G2849" t="s">
        <v>177</v>
      </c>
      <c r="H2849" t="s">
        <v>340</v>
      </c>
      <c r="I2849" t="s">
        <v>2921</v>
      </c>
      <c r="J2849" t="s">
        <v>38</v>
      </c>
      <c r="K2849" t="s">
        <v>38</v>
      </c>
      <c r="L2849" t="s">
        <v>39</v>
      </c>
      <c r="M2849" t="s">
        <v>37</v>
      </c>
      <c r="N2849" t="s">
        <v>37</v>
      </c>
      <c r="O2849" t="s">
        <v>39</v>
      </c>
      <c r="P2849" t="s">
        <v>38</v>
      </c>
      <c r="Q2849" t="s">
        <v>38</v>
      </c>
      <c r="R2849" t="s">
        <v>39</v>
      </c>
      <c r="S2849" t="s">
        <v>41</v>
      </c>
      <c r="T2849" t="s">
        <v>9178</v>
      </c>
      <c r="U2849" t="s">
        <v>9179</v>
      </c>
      <c r="V2849" t="s">
        <v>9093</v>
      </c>
      <c r="W2849" t="s">
        <v>9180</v>
      </c>
      <c r="X2849" t="s">
        <v>46</v>
      </c>
      <c r="AC2849">
        <f>COUNTIF(C:C,QLKV_gui_ket_qua_ra_soat[[#This Row],[Mã điểm bán]])</f>
        <v>1</v>
      </c>
    </row>
    <row r="2850" spans="1:29" x14ac:dyDescent="0.45">
      <c r="A2850" t="s">
        <v>9088</v>
      </c>
      <c r="B2850">
        <v>2547</v>
      </c>
      <c r="C2850" t="s">
        <v>10099</v>
      </c>
      <c r="D2850" t="s">
        <v>10100</v>
      </c>
      <c r="E2850" t="s">
        <v>10101</v>
      </c>
      <c r="F2850" t="s">
        <v>53</v>
      </c>
      <c r="G2850" t="s">
        <v>34</v>
      </c>
      <c r="H2850" t="s">
        <v>54</v>
      </c>
      <c r="I2850" t="s">
        <v>10102</v>
      </c>
      <c r="J2850" t="s">
        <v>38</v>
      </c>
      <c r="K2850" t="s">
        <v>38</v>
      </c>
      <c r="L2850" t="s">
        <v>40</v>
      </c>
      <c r="M2850" t="s">
        <v>38</v>
      </c>
      <c r="N2850" t="s">
        <v>38</v>
      </c>
      <c r="O2850" t="s">
        <v>40</v>
      </c>
      <c r="P2850" t="s">
        <v>38</v>
      </c>
      <c r="Q2850" t="s">
        <v>38</v>
      </c>
      <c r="R2850" t="s">
        <v>40</v>
      </c>
      <c r="S2850" t="s">
        <v>10103</v>
      </c>
      <c r="T2850" t="s">
        <v>9298</v>
      </c>
      <c r="U2850" t="s">
        <v>9299</v>
      </c>
      <c r="V2850" t="s">
        <v>9093</v>
      </c>
      <c r="W2850" t="s">
        <v>2978</v>
      </c>
      <c r="X2850" t="s">
        <v>46</v>
      </c>
      <c r="AC2850">
        <f>COUNTIF(C:C,QLKV_gui_ket_qua_ra_soat[[#This Row],[Mã điểm bán]])</f>
        <v>1</v>
      </c>
    </row>
    <row r="2851" spans="1:29" x14ac:dyDescent="0.45">
      <c r="A2851" t="s">
        <v>9088</v>
      </c>
      <c r="B2851">
        <v>2552</v>
      </c>
      <c r="C2851" t="s">
        <v>10104</v>
      </c>
      <c r="D2851" t="s">
        <v>10105</v>
      </c>
      <c r="E2851" t="s">
        <v>828</v>
      </c>
      <c r="F2851" t="s">
        <v>10106</v>
      </c>
      <c r="G2851" t="s">
        <v>177</v>
      </c>
      <c r="H2851" t="s">
        <v>1188</v>
      </c>
      <c r="I2851" t="s">
        <v>10107</v>
      </c>
      <c r="J2851" t="s">
        <v>38</v>
      </c>
      <c r="K2851" t="s">
        <v>38</v>
      </c>
      <c r="L2851" t="s">
        <v>39</v>
      </c>
      <c r="M2851" t="s">
        <v>38</v>
      </c>
      <c r="N2851" t="s">
        <v>38</v>
      </c>
      <c r="O2851" t="s">
        <v>39</v>
      </c>
      <c r="P2851" t="s">
        <v>38</v>
      </c>
      <c r="Q2851" t="s">
        <v>38</v>
      </c>
      <c r="R2851" t="s">
        <v>40</v>
      </c>
      <c r="S2851" t="s">
        <v>41</v>
      </c>
      <c r="T2851" t="s">
        <v>9129</v>
      </c>
      <c r="U2851" t="s">
        <v>9130</v>
      </c>
      <c r="V2851" t="s">
        <v>9093</v>
      </c>
      <c r="W2851" t="s">
        <v>9131</v>
      </c>
      <c r="X2851" t="s">
        <v>46</v>
      </c>
      <c r="AC2851">
        <f>COUNTIF(C:C,QLKV_gui_ket_qua_ra_soat[[#This Row],[Mã điểm bán]])</f>
        <v>1</v>
      </c>
    </row>
    <row r="2852" spans="1:29" x14ac:dyDescent="0.45">
      <c r="A2852" t="s">
        <v>9088</v>
      </c>
      <c r="B2852">
        <v>2581</v>
      </c>
      <c r="C2852" t="s">
        <v>10108</v>
      </c>
      <c r="D2852" t="s">
        <v>10109</v>
      </c>
      <c r="E2852" t="s">
        <v>10110</v>
      </c>
      <c r="F2852" t="s">
        <v>10111</v>
      </c>
      <c r="G2852" t="s">
        <v>177</v>
      </c>
      <c r="H2852" t="s">
        <v>54</v>
      </c>
      <c r="I2852" t="s">
        <v>10112</v>
      </c>
      <c r="J2852" t="s">
        <v>38</v>
      </c>
      <c r="K2852" t="s">
        <v>38</v>
      </c>
      <c r="L2852" t="s">
        <v>40</v>
      </c>
      <c r="M2852" t="s">
        <v>37</v>
      </c>
      <c r="N2852" t="s">
        <v>37</v>
      </c>
      <c r="O2852" t="s">
        <v>39</v>
      </c>
      <c r="P2852" t="s">
        <v>38</v>
      </c>
      <c r="Q2852" t="s">
        <v>38</v>
      </c>
      <c r="R2852" t="s">
        <v>40</v>
      </c>
      <c r="S2852" t="s">
        <v>10113</v>
      </c>
      <c r="T2852" t="s">
        <v>9298</v>
      </c>
      <c r="U2852" t="s">
        <v>9299</v>
      </c>
      <c r="V2852" t="s">
        <v>9093</v>
      </c>
      <c r="W2852" t="s">
        <v>2978</v>
      </c>
      <c r="X2852" t="s">
        <v>46</v>
      </c>
      <c r="AC2852">
        <f>COUNTIF(C:C,QLKV_gui_ket_qua_ra_soat[[#This Row],[Mã điểm bán]])</f>
        <v>1</v>
      </c>
    </row>
    <row r="2853" spans="1:29" x14ac:dyDescent="0.45">
      <c r="A2853" t="s">
        <v>9088</v>
      </c>
      <c r="B2853">
        <v>2594</v>
      </c>
      <c r="C2853" t="s">
        <v>10114</v>
      </c>
      <c r="D2853" t="s">
        <v>10115</v>
      </c>
      <c r="E2853" t="s">
        <v>10116</v>
      </c>
      <c r="F2853" t="s">
        <v>53</v>
      </c>
      <c r="G2853" t="s">
        <v>177</v>
      </c>
      <c r="H2853" t="s">
        <v>54</v>
      </c>
      <c r="I2853" t="s">
        <v>10117</v>
      </c>
      <c r="J2853" t="s">
        <v>38</v>
      </c>
      <c r="K2853" t="s">
        <v>38</v>
      </c>
      <c r="L2853" t="s">
        <v>40</v>
      </c>
      <c r="M2853" t="s">
        <v>38</v>
      </c>
      <c r="N2853" t="s">
        <v>38</v>
      </c>
      <c r="O2853" t="s">
        <v>40</v>
      </c>
      <c r="P2853" t="s">
        <v>38</v>
      </c>
      <c r="Q2853" t="s">
        <v>38</v>
      </c>
      <c r="R2853" t="s">
        <v>40</v>
      </c>
      <c r="S2853" t="s">
        <v>10118</v>
      </c>
      <c r="T2853" t="s">
        <v>9298</v>
      </c>
      <c r="U2853" t="s">
        <v>9299</v>
      </c>
      <c r="V2853" t="s">
        <v>9093</v>
      </c>
      <c r="W2853" t="s">
        <v>2978</v>
      </c>
      <c r="X2853" t="s">
        <v>46</v>
      </c>
      <c r="AC2853">
        <f>COUNTIF(C:C,QLKV_gui_ket_qua_ra_soat[[#This Row],[Mã điểm bán]])</f>
        <v>1</v>
      </c>
    </row>
    <row r="2854" spans="1:29" x14ac:dyDescent="0.45">
      <c r="A2854" t="s">
        <v>9088</v>
      </c>
      <c r="B2854">
        <v>2608</v>
      </c>
      <c r="C2854" t="s">
        <v>10119</v>
      </c>
      <c r="D2854" t="s">
        <v>10120</v>
      </c>
      <c r="E2854" t="s">
        <v>10121</v>
      </c>
      <c r="F2854" t="s">
        <v>115</v>
      </c>
      <c r="G2854" t="s">
        <v>177</v>
      </c>
      <c r="H2854" t="s">
        <v>1188</v>
      </c>
      <c r="I2854" t="s">
        <v>10122</v>
      </c>
      <c r="J2854" t="s">
        <v>37</v>
      </c>
      <c r="K2854" t="s">
        <v>37</v>
      </c>
      <c r="L2854" t="s">
        <v>39</v>
      </c>
      <c r="M2854" t="s">
        <v>37</v>
      </c>
      <c r="N2854" t="s">
        <v>37</v>
      </c>
      <c r="O2854" t="s">
        <v>39</v>
      </c>
      <c r="P2854" t="s">
        <v>37</v>
      </c>
      <c r="Q2854" t="s">
        <v>37</v>
      </c>
      <c r="R2854" t="s">
        <v>39</v>
      </c>
      <c r="S2854" t="s">
        <v>41</v>
      </c>
      <c r="T2854" t="s">
        <v>9240</v>
      </c>
      <c r="U2854" t="s">
        <v>9226</v>
      </c>
      <c r="V2854" t="s">
        <v>9093</v>
      </c>
      <c r="W2854" t="s">
        <v>9227</v>
      </c>
      <c r="Z2854" t="s">
        <v>46</v>
      </c>
      <c r="AA2854" t="s">
        <v>9235</v>
      </c>
      <c r="AC2854">
        <f>COUNTIF(C:C,QLKV_gui_ket_qua_ra_soat[[#This Row],[Mã điểm bán]])</f>
        <v>1</v>
      </c>
    </row>
    <row r="2855" spans="1:29" x14ac:dyDescent="0.45">
      <c r="A2855" t="s">
        <v>9088</v>
      </c>
      <c r="B2855">
        <v>2609</v>
      </c>
      <c r="C2855" t="s">
        <v>10123</v>
      </c>
      <c r="D2855" t="s">
        <v>2325</v>
      </c>
      <c r="E2855" t="s">
        <v>10124</v>
      </c>
      <c r="F2855" t="s">
        <v>53</v>
      </c>
      <c r="G2855" t="s">
        <v>34</v>
      </c>
      <c r="H2855" t="s">
        <v>1188</v>
      </c>
      <c r="I2855" t="s">
        <v>9839</v>
      </c>
      <c r="J2855" t="s">
        <v>38</v>
      </c>
      <c r="K2855" t="s">
        <v>38</v>
      </c>
      <c r="L2855" t="s">
        <v>40</v>
      </c>
      <c r="M2855" t="s">
        <v>38</v>
      </c>
      <c r="N2855" t="s">
        <v>38</v>
      </c>
      <c r="O2855" t="s">
        <v>40</v>
      </c>
      <c r="P2855" t="s">
        <v>37</v>
      </c>
      <c r="Q2855" t="s">
        <v>38</v>
      </c>
      <c r="R2855" t="s">
        <v>40</v>
      </c>
      <c r="S2855" t="s">
        <v>41</v>
      </c>
      <c r="T2855" t="s">
        <v>9158</v>
      </c>
      <c r="U2855" t="s">
        <v>9159</v>
      </c>
      <c r="V2855" t="s">
        <v>9093</v>
      </c>
      <c r="W2855" t="s">
        <v>2978</v>
      </c>
      <c r="X2855" t="s">
        <v>46</v>
      </c>
      <c r="AC2855">
        <f>COUNTIF(C:C,QLKV_gui_ket_qua_ra_soat[[#This Row],[Mã điểm bán]])</f>
        <v>1</v>
      </c>
    </row>
    <row r="2856" spans="1:29" x14ac:dyDescent="0.45">
      <c r="A2856" t="s">
        <v>9088</v>
      </c>
      <c r="B2856">
        <v>2612</v>
      </c>
      <c r="C2856" t="s">
        <v>10125</v>
      </c>
      <c r="D2856" t="s">
        <v>10126</v>
      </c>
      <c r="E2856" t="s">
        <v>148</v>
      </c>
      <c r="F2856" t="s">
        <v>325</v>
      </c>
      <c r="G2856" t="s">
        <v>177</v>
      </c>
      <c r="H2856" t="s">
        <v>54</v>
      </c>
      <c r="I2856" t="s">
        <v>10127</v>
      </c>
      <c r="J2856" t="s">
        <v>38</v>
      </c>
      <c r="K2856" t="s">
        <v>38</v>
      </c>
      <c r="L2856" t="s">
        <v>40</v>
      </c>
      <c r="M2856" t="s">
        <v>38</v>
      </c>
      <c r="N2856" t="s">
        <v>38</v>
      </c>
      <c r="O2856" t="s">
        <v>40</v>
      </c>
      <c r="P2856" t="s">
        <v>38</v>
      </c>
      <c r="Q2856" t="s">
        <v>38</v>
      </c>
      <c r="R2856" t="s">
        <v>40</v>
      </c>
      <c r="S2856" t="s">
        <v>41</v>
      </c>
      <c r="T2856" t="s">
        <v>9129</v>
      </c>
      <c r="U2856" t="s">
        <v>9130</v>
      </c>
      <c r="V2856" t="s">
        <v>9093</v>
      </c>
      <c r="W2856" t="s">
        <v>9131</v>
      </c>
      <c r="X2856" t="s">
        <v>46</v>
      </c>
      <c r="AC2856">
        <f>COUNTIF(C:C,QLKV_gui_ket_qua_ra_soat[[#This Row],[Mã điểm bán]])</f>
        <v>1</v>
      </c>
    </row>
    <row r="2857" spans="1:29" x14ac:dyDescent="0.45">
      <c r="A2857" t="s">
        <v>9088</v>
      </c>
      <c r="B2857">
        <v>2631</v>
      </c>
      <c r="C2857" t="s">
        <v>10128</v>
      </c>
      <c r="D2857" t="s">
        <v>10129</v>
      </c>
      <c r="E2857" t="s">
        <v>10130</v>
      </c>
      <c r="F2857" t="s">
        <v>166</v>
      </c>
      <c r="G2857" t="s">
        <v>177</v>
      </c>
      <c r="H2857" t="s">
        <v>214</v>
      </c>
      <c r="I2857" t="s">
        <v>10122</v>
      </c>
      <c r="J2857" t="s">
        <v>37</v>
      </c>
      <c r="K2857" t="s">
        <v>37</v>
      </c>
      <c r="L2857" t="s">
        <v>39</v>
      </c>
      <c r="M2857" t="s">
        <v>37</v>
      </c>
      <c r="N2857" t="s">
        <v>37</v>
      </c>
      <c r="O2857" t="s">
        <v>39</v>
      </c>
      <c r="P2857" t="s">
        <v>37</v>
      </c>
      <c r="Q2857" t="s">
        <v>37</v>
      </c>
      <c r="R2857" t="s">
        <v>39</v>
      </c>
      <c r="S2857" t="s">
        <v>41</v>
      </c>
      <c r="T2857" t="s">
        <v>9240</v>
      </c>
      <c r="U2857" t="s">
        <v>9226</v>
      </c>
      <c r="V2857" t="s">
        <v>9093</v>
      </c>
      <c r="W2857" t="s">
        <v>9227</v>
      </c>
      <c r="Y2857" t="s">
        <v>46</v>
      </c>
      <c r="AC2857">
        <f>COUNTIF(C:C,QLKV_gui_ket_qua_ra_soat[[#This Row],[Mã điểm bán]])</f>
        <v>1</v>
      </c>
    </row>
    <row r="2858" spans="1:29" x14ac:dyDescent="0.45">
      <c r="A2858" t="s">
        <v>9088</v>
      </c>
      <c r="B2858">
        <v>2633</v>
      </c>
      <c r="C2858" t="s">
        <v>10131</v>
      </c>
      <c r="D2858" t="s">
        <v>10132</v>
      </c>
      <c r="E2858" t="s">
        <v>788</v>
      </c>
      <c r="F2858" t="s">
        <v>456</v>
      </c>
      <c r="G2858" t="s">
        <v>177</v>
      </c>
      <c r="H2858" t="s">
        <v>1188</v>
      </c>
      <c r="I2858" t="s">
        <v>10133</v>
      </c>
      <c r="J2858" t="s">
        <v>38</v>
      </c>
      <c r="K2858" t="s">
        <v>38</v>
      </c>
      <c r="L2858" t="s">
        <v>40</v>
      </c>
      <c r="M2858" t="s">
        <v>38</v>
      </c>
      <c r="N2858" t="s">
        <v>38</v>
      </c>
      <c r="O2858" t="s">
        <v>40</v>
      </c>
      <c r="P2858" t="s">
        <v>38</v>
      </c>
      <c r="Q2858" t="s">
        <v>38</v>
      </c>
      <c r="R2858" t="s">
        <v>40</v>
      </c>
      <c r="S2858" t="s">
        <v>41</v>
      </c>
      <c r="T2858" t="s">
        <v>9129</v>
      </c>
      <c r="U2858" t="s">
        <v>9130</v>
      </c>
      <c r="V2858" t="s">
        <v>9093</v>
      </c>
      <c r="W2858" t="s">
        <v>9131</v>
      </c>
      <c r="X2858" t="s">
        <v>46</v>
      </c>
      <c r="AC2858">
        <f>COUNTIF(C:C,QLKV_gui_ket_qua_ra_soat[[#This Row],[Mã điểm bán]])</f>
        <v>1</v>
      </c>
    </row>
    <row r="2859" spans="1:29" x14ac:dyDescent="0.45">
      <c r="A2859" t="s">
        <v>9088</v>
      </c>
      <c r="B2859">
        <v>2636</v>
      </c>
      <c r="C2859" t="s">
        <v>10134</v>
      </c>
      <c r="D2859" t="s">
        <v>10135</v>
      </c>
      <c r="E2859" t="s">
        <v>109</v>
      </c>
      <c r="F2859" t="s">
        <v>1024</v>
      </c>
      <c r="G2859" t="s">
        <v>177</v>
      </c>
      <c r="H2859" t="s">
        <v>54</v>
      </c>
      <c r="I2859" t="s">
        <v>7650</v>
      </c>
      <c r="J2859" t="s">
        <v>37</v>
      </c>
      <c r="K2859" t="s">
        <v>37</v>
      </c>
      <c r="L2859" t="s">
        <v>39</v>
      </c>
      <c r="M2859" t="s">
        <v>37</v>
      </c>
      <c r="N2859" t="s">
        <v>37</v>
      </c>
      <c r="O2859" t="s">
        <v>39</v>
      </c>
      <c r="P2859" t="s">
        <v>38</v>
      </c>
      <c r="Q2859" t="s">
        <v>38</v>
      </c>
      <c r="R2859" t="s">
        <v>40</v>
      </c>
      <c r="S2859" t="s">
        <v>41</v>
      </c>
      <c r="T2859" t="s">
        <v>9147</v>
      </c>
      <c r="U2859" t="s">
        <v>9148</v>
      </c>
      <c r="V2859" t="s">
        <v>9093</v>
      </c>
      <c r="W2859" t="s">
        <v>9094</v>
      </c>
      <c r="X2859" t="s">
        <v>46</v>
      </c>
      <c r="AC2859">
        <f>COUNTIF(C:C,QLKV_gui_ket_qua_ra_soat[[#This Row],[Mã điểm bán]])</f>
        <v>1</v>
      </c>
    </row>
    <row r="2860" spans="1:29" x14ac:dyDescent="0.45">
      <c r="A2860" t="s">
        <v>9088</v>
      </c>
      <c r="B2860">
        <v>2637</v>
      </c>
      <c r="C2860" t="s">
        <v>10136</v>
      </c>
      <c r="D2860" t="s">
        <v>2745</v>
      </c>
      <c r="E2860" t="s">
        <v>534</v>
      </c>
      <c r="F2860" t="s">
        <v>417</v>
      </c>
      <c r="G2860" t="s">
        <v>177</v>
      </c>
      <c r="H2860" t="s">
        <v>54</v>
      </c>
      <c r="I2860" t="s">
        <v>10137</v>
      </c>
      <c r="J2860" t="s">
        <v>38</v>
      </c>
      <c r="K2860" t="s">
        <v>38</v>
      </c>
      <c r="L2860" t="s">
        <v>40</v>
      </c>
      <c r="M2860" t="s">
        <v>38</v>
      </c>
      <c r="N2860" t="s">
        <v>38</v>
      </c>
      <c r="O2860" t="s">
        <v>40</v>
      </c>
      <c r="P2860" t="s">
        <v>38</v>
      </c>
      <c r="Q2860" t="s">
        <v>38</v>
      </c>
      <c r="R2860" t="s">
        <v>40</v>
      </c>
      <c r="S2860" t="s">
        <v>41</v>
      </c>
      <c r="T2860" t="s">
        <v>9129</v>
      </c>
      <c r="U2860" t="s">
        <v>9130</v>
      </c>
      <c r="V2860" t="s">
        <v>9093</v>
      </c>
      <c r="W2860" t="s">
        <v>9131</v>
      </c>
      <c r="X2860" t="s">
        <v>46</v>
      </c>
      <c r="AC2860">
        <f>COUNTIF(C:C,QLKV_gui_ket_qua_ra_soat[[#This Row],[Mã điểm bán]])</f>
        <v>1</v>
      </c>
    </row>
    <row r="2861" spans="1:29" x14ac:dyDescent="0.45">
      <c r="A2861" t="s">
        <v>9088</v>
      </c>
      <c r="B2861">
        <v>2638</v>
      </c>
      <c r="C2861" t="s">
        <v>10138</v>
      </c>
      <c r="D2861" t="s">
        <v>10139</v>
      </c>
      <c r="E2861" t="s">
        <v>261</v>
      </c>
      <c r="F2861" t="s">
        <v>1882</v>
      </c>
      <c r="G2861" t="s">
        <v>34</v>
      </c>
      <c r="H2861" t="s">
        <v>54</v>
      </c>
      <c r="I2861" t="s">
        <v>2218</v>
      </c>
      <c r="J2861" t="s">
        <v>38</v>
      </c>
      <c r="K2861" t="s">
        <v>38</v>
      </c>
      <c r="L2861" t="s">
        <v>40</v>
      </c>
      <c r="M2861" t="s">
        <v>38</v>
      </c>
      <c r="N2861" t="s">
        <v>56</v>
      </c>
      <c r="O2861" t="s">
        <v>40</v>
      </c>
      <c r="P2861" t="s">
        <v>38</v>
      </c>
      <c r="Q2861" t="s">
        <v>38</v>
      </c>
      <c r="R2861" t="s">
        <v>40</v>
      </c>
      <c r="S2861" t="s">
        <v>10140</v>
      </c>
      <c r="T2861" t="s">
        <v>9142</v>
      </c>
      <c r="U2861" t="s">
        <v>9143</v>
      </c>
      <c r="V2861" t="s">
        <v>9093</v>
      </c>
      <c r="W2861" t="s">
        <v>2978</v>
      </c>
      <c r="Z2861" t="s">
        <v>46</v>
      </c>
      <c r="AA2861" t="s">
        <v>9160</v>
      </c>
      <c r="AC2861">
        <f>COUNTIF(C:C,QLKV_gui_ket_qua_ra_soat[[#This Row],[Mã điểm bán]])</f>
        <v>1</v>
      </c>
    </row>
    <row r="2862" spans="1:29" x14ac:dyDescent="0.45">
      <c r="A2862" t="s">
        <v>9088</v>
      </c>
      <c r="B2862">
        <v>2655</v>
      </c>
      <c r="C2862" t="s">
        <v>10141</v>
      </c>
      <c r="D2862" t="s">
        <v>10142</v>
      </c>
      <c r="E2862" t="s">
        <v>10143</v>
      </c>
      <c r="F2862" t="s">
        <v>115</v>
      </c>
      <c r="G2862" t="s">
        <v>34</v>
      </c>
      <c r="H2862" t="s">
        <v>214</v>
      </c>
      <c r="I2862" t="s">
        <v>9224</v>
      </c>
      <c r="J2862" t="s">
        <v>37</v>
      </c>
      <c r="K2862" t="s">
        <v>37</v>
      </c>
      <c r="L2862" t="s">
        <v>39</v>
      </c>
      <c r="M2862" t="s">
        <v>37</v>
      </c>
      <c r="N2862" t="s">
        <v>37</v>
      </c>
      <c r="O2862" t="s">
        <v>39</v>
      </c>
      <c r="P2862" t="s">
        <v>37</v>
      </c>
      <c r="Q2862" t="s">
        <v>37</v>
      </c>
      <c r="R2862" t="s">
        <v>39</v>
      </c>
      <c r="S2862" t="s">
        <v>41</v>
      </c>
      <c r="T2862" t="s">
        <v>9225</v>
      </c>
      <c r="U2862" t="s">
        <v>9226</v>
      </c>
      <c r="V2862" t="s">
        <v>9093</v>
      </c>
      <c r="W2862" t="s">
        <v>9227</v>
      </c>
      <c r="Z2862" t="s">
        <v>46</v>
      </c>
      <c r="AA2862" t="s">
        <v>9235</v>
      </c>
      <c r="AC2862">
        <f>COUNTIF(C:C,QLKV_gui_ket_qua_ra_soat[[#This Row],[Mã điểm bán]])</f>
        <v>1</v>
      </c>
    </row>
    <row r="2863" spans="1:29" x14ac:dyDescent="0.45">
      <c r="A2863" t="s">
        <v>9088</v>
      </c>
      <c r="B2863">
        <v>2656</v>
      </c>
      <c r="C2863" t="s">
        <v>10144</v>
      </c>
      <c r="D2863" t="s">
        <v>10145</v>
      </c>
      <c r="E2863" t="s">
        <v>157</v>
      </c>
      <c r="F2863" t="s">
        <v>53</v>
      </c>
      <c r="G2863" t="s">
        <v>177</v>
      </c>
      <c r="H2863" t="s">
        <v>54</v>
      </c>
      <c r="I2863" t="s">
        <v>172</v>
      </c>
      <c r="J2863" t="s">
        <v>38</v>
      </c>
      <c r="K2863" t="s">
        <v>38</v>
      </c>
      <c r="L2863" t="s">
        <v>40</v>
      </c>
      <c r="M2863" t="s">
        <v>38</v>
      </c>
      <c r="N2863" t="s">
        <v>38</v>
      </c>
      <c r="O2863" t="s">
        <v>40</v>
      </c>
      <c r="P2863" t="s">
        <v>38</v>
      </c>
      <c r="Q2863" t="s">
        <v>38</v>
      </c>
      <c r="R2863" t="s">
        <v>40</v>
      </c>
      <c r="S2863" t="s">
        <v>41</v>
      </c>
      <c r="T2863" t="s">
        <v>9129</v>
      </c>
      <c r="U2863" t="s">
        <v>9130</v>
      </c>
      <c r="V2863" t="s">
        <v>9093</v>
      </c>
      <c r="W2863" t="s">
        <v>9131</v>
      </c>
      <c r="X2863" t="s">
        <v>46</v>
      </c>
      <c r="AC2863">
        <f>COUNTIF(C:C,QLKV_gui_ket_qua_ra_soat[[#This Row],[Mã điểm bán]])</f>
        <v>1</v>
      </c>
    </row>
    <row r="2864" spans="1:29" x14ac:dyDescent="0.45">
      <c r="A2864" t="s">
        <v>9088</v>
      </c>
      <c r="B2864">
        <v>2659</v>
      </c>
      <c r="C2864" t="s">
        <v>10146</v>
      </c>
      <c r="D2864" t="s">
        <v>10147</v>
      </c>
      <c r="E2864" t="s">
        <v>6613</v>
      </c>
      <c r="F2864" t="s">
        <v>10148</v>
      </c>
      <c r="G2864" t="s">
        <v>34</v>
      </c>
      <c r="H2864" t="s">
        <v>546</v>
      </c>
      <c r="I2864" t="s">
        <v>10149</v>
      </c>
      <c r="J2864" t="s">
        <v>38</v>
      </c>
      <c r="K2864" t="s">
        <v>38</v>
      </c>
      <c r="L2864" t="s">
        <v>40</v>
      </c>
      <c r="M2864" t="s">
        <v>38</v>
      </c>
      <c r="N2864" t="s">
        <v>38</v>
      </c>
      <c r="O2864" t="s">
        <v>40</v>
      </c>
      <c r="P2864" t="s">
        <v>38</v>
      </c>
      <c r="Q2864" t="s">
        <v>38</v>
      </c>
      <c r="R2864" t="s">
        <v>40</v>
      </c>
      <c r="S2864" t="s">
        <v>41</v>
      </c>
      <c r="T2864" t="s">
        <v>9648</v>
      </c>
      <c r="U2864" t="s">
        <v>9649</v>
      </c>
      <c r="V2864" t="s">
        <v>9093</v>
      </c>
      <c r="W2864" t="s">
        <v>9101</v>
      </c>
      <c r="Z2864" t="s">
        <v>46</v>
      </c>
      <c r="AA2864" t="s">
        <v>9119</v>
      </c>
      <c r="AC2864">
        <f>COUNTIF(C:C,QLKV_gui_ket_qua_ra_soat[[#This Row],[Mã điểm bán]])</f>
        <v>1</v>
      </c>
    </row>
    <row r="2865" spans="1:29" x14ac:dyDescent="0.45">
      <c r="A2865" t="s">
        <v>9088</v>
      </c>
      <c r="B2865">
        <v>2661</v>
      </c>
      <c r="C2865" t="s">
        <v>10150</v>
      </c>
      <c r="D2865" t="s">
        <v>10151</v>
      </c>
      <c r="E2865" t="s">
        <v>98</v>
      </c>
      <c r="F2865" t="s">
        <v>696</v>
      </c>
      <c r="G2865" t="s">
        <v>34</v>
      </c>
      <c r="H2865" t="s">
        <v>54</v>
      </c>
      <c r="I2865" t="s">
        <v>9162</v>
      </c>
      <c r="J2865" t="s">
        <v>38</v>
      </c>
      <c r="K2865" t="s">
        <v>38</v>
      </c>
      <c r="L2865" t="s">
        <v>40</v>
      </c>
      <c r="M2865" t="s">
        <v>38</v>
      </c>
      <c r="N2865" t="s">
        <v>38</v>
      </c>
      <c r="O2865" t="s">
        <v>39</v>
      </c>
      <c r="P2865" t="s">
        <v>38</v>
      </c>
      <c r="Q2865" t="s">
        <v>38</v>
      </c>
      <c r="R2865" t="s">
        <v>39</v>
      </c>
      <c r="S2865" t="s">
        <v>41</v>
      </c>
      <c r="T2865" t="s">
        <v>9129</v>
      </c>
      <c r="U2865" t="s">
        <v>9130</v>
      </c>
      <c r="V2865" t="s">
        <v>9093</v>
      </c>
      <c r="W2865" t="s">
        <v>9131</v>
      </c>
      <c r="X2865" t="s">
        <v>46</v>
      </c>
      <c r="AC2865">
        <f>COUNTIF(C:C,QLKV_gui_ket_qua_ra_soat[[#This Row],[Mã điểm bán]])</f>
        <v>1</v>
      </c>
    </row>
    <row r="2866" spans="1:29" x14ac:dyDescent="0.45">
      <c r="A2866" t="s">
        <v>9088</v>
      </c>
      <c r="B2866">
        <v>2662</v>
      </c>
      <c r="C2866" t="s">
        <v>10152</v>
      </c>
      <c r="D2866" t="s">
        <v>10153</v>
      </c>
      <c r="E2866" t="s">
        <v>529</v>
      </c>
      <c r="F2866" t="s">
        <v>53</v>
      </c>
      <c r="G2866" t="s">
        <v>177</v>
      </c>
      <c r="H2866" t="s">
        <v>685</v>
      </c>
      <c r="I2866" t="s">
        <v>9839</v>
      </c>
      <c r="J2866" t="s">
        <v>38</v>
      </c>
      <c r="K2866" t="s">
        <v>38</v>
      </c>
      <c r="L2866" t="s">
        <v>40</v>
      </c>
      <c r="M2866" t="s">
        <v>38</v>
      </c>
      <c r="N2866" t="s">
        <v>38</v>
      </c>
      <c r="O2866" t="s">
        <v>40</v>
      </c>
      <c r="P2866" t="s">
        <v>38</v>
      </c>
      <c r="Q2866" t="s">
        <v>38</v>
      </c>
      <c r="R2866" t="s">
        <v>40</v>
      </c>
      <c r="S2866" t="s">
        <v>5662</v>
      </c>
      <c r="T2866" t="s">
        <v>9158</v>
      </c>
      <c r="U2866" t="s">
        <v>9159</v>
      </c>
      <c r="V2866" t="s">
        <v>9093</v>
      </c>
      <c r="W2866" t="s">
        <v>2978</v>
      </c>
      <c r="Z2866" t="s">
        <v>46</v>
      </c>
      <c r="AA2866" t="s">
        <v>9160</v>
      </c>
      <c r="AC2866">
        <f>COUNTIF(C:C,QLKV_gui_ket_qua_ra_soat[[#This Row],[Mã điểm bán]])</f>
        <v>1</v>
      </c>
    </row>
    <row r="2867" spans="1:29" x14ac:dyDescent="0.45">
      <c r="A2867" t="s">
        <v>9088</v>
      </c>
      <c r="B2867">
        <v>2669</v>
      </c>
      <c r="C2867" t="s">
        <v>10154</v>
      </c>
      <c r="D2867" t="s">
        <v>10155</v>
      </c>
      <c r="E2867" t="s">
        <v>370</v>
      </c>
      <c r="F2867" t="s">
        <v>3932</v>
      </c>
      <c r="G2867" t="s">
        <v>34</v>
      </c>
      <c r="H2867" t="s">
        <v>2256</v>
      </c>
      <c r="I2867" t="s">
        <v>10156</v>
      </c>
      <c r="J2867" t="s">
        <v>37</v>
      </c>
      <c r="K2867" t="s">
        <v>37</v>
      </c>
      <c r="L2867" t="s">
        <v>39</v>
      </c>
      <c r="M2867" t="s">
        <v>38</v>
      </c>
      <c r="N2867" t="s">
        <v>37</v>
      </c>
      <c r="O2867" t="s">
        <v>39</v>
      </c>
      <c r="P2867" t="s">
        <v>38</v>
      </c>
      <c r="Q2867" t="s">
        <v>38</v>
      </c>
      <c r="R2867" t="s">
        <v>40</v>
      </c>
      <c r="S2867" t="s">
        <v>41</v>
      </c>
      <c r="T2867" t="s">
        <v>9147</v>
      </c>
      <c r="U2867" t="s">
        <v>9148</v>
      </c>
      <c r="V2867" t="s">
        <v>9093</v>
      </c>
      <c r="W2867" t="s">
        <v>9094</v>
      </c>
      <c r="Y2867" t="s">
        <v>46</v>
      </c>
      <c r="AC2867">
        <f>COUNTIF(C:C,QLKV_gui_ket_qua_ra_soat[[#This Row],[Mã điểm bán]])</f>
        <v>1</v>
      </c>
    </row>
    <row r="2868" spans="1:29" x14ac:dyDescent="0.45">
      <c r="A2868" t="s">
        <v>9088</v>
      </c>
      <c r="B2868">
        <v>2671</v>
      </c>
      <c r="C2868" t="s">
        <v>10157</v>
      </c>
      <c r="D2868" t="s">
        <v>10158</v>
      </c>
      <c r="E2868" t="s">
        <v>4483</v>
      </c>
      <c r="F2868" t="s">
        <v>339</v>
      </c>
      <c r="G2868" t="s">
        <v>177</v>
      </c>
      <c r="H2868" t="s">
        <v>171</v>
      </c>
      <c r="I2868" t="s">
        <v>10159</v>
      </c>
      <c r="J2868" t="s">
        <v>38</v>
      </c>
      <c r="K2868" t="s">
        <v>38</v>
      </c>
      <c r="L2868" t="s">
        <v>40</v>
      </c>
      <c r="M2868" t="s">
        <v>38</v>
      </c>
      <c r="N2868" t="s">
        <v>38</v>
      </c>
      <c r="O2868" t="s">
        <v>40</v>
      </c>
      <c r="P2868" t="s">
        <v>38</v>
      </c>
      <c r="Q2868" t="s">
        <v>38</v>
      </c>
      <c r="R2868" t="s">
        <v>40</v>
      </c>
      <c r="S2868" t="s">
        <v>41</v>
      </c>
      <c r="T2868" t="s">
        <v>9129</v>
      </c>
      <c r="U2868" t="s">
        <v>9130</v>
      </c>
      <c r="V2868" t="s">
        <v>9093</v>
      </c>
      <c r="W2868" t="s">
        <v>9131</v>
      </c>
      <c r="X2868" t="s">
        <v>46</v>
      </c>
      <c r="AC2868">
        <f>COUNTIF(C:C,QLKV_gui_ket_qua_ra_soat[[#This Row],[Mã điểm bán]])</f>
        <v>1</v>
      </c>
    </row>
    <row r="2869" spans="1:29" x14ac:dyDescent="0.45">
      <c r="A2869" t="s">
        <v>9088</v>
      </c>
      <c r="B2869">
        <v>2672</v>
      </c>
      <c r="C2869" t="s">
        <v>10160</v>
      </c>
      <c r="D2869" t="s">
        <v>10161</v>
      </c>
      <c r="E2869" t="s">
        <v>10162</v>
      </c>
      <c r="F2869" t="s">
        <v>53</v>
      </c>
      <c r="G2869" t="s">
        <v>34</v>
      </c>
      <c r="H2869" t="s">
        <v>842</v>
      </c>
      <c r="I2869" t="s">
        <v>10163</v>
      </c>
      <c r="J2869" t="s">
        <v>38</v>
      </c>
      <c r="K2869" t="s">
        <v>38</v>
      </c>
      <c r="L2869" t="s">
        <v>40</v>
      </c>
      <c r="M2869" t="s">
        <v>38</v>
      </c>
      <c r="N2869" t="s">
        <v>38</v>
      </c>
      <c r="O2869" t="s">
        <v>40</v>
      </c>
      <c r="P2869" t="s">
        <v>38</v>
      </c>
      <c r="Q2869" t="s">
        <v>38</v>
      </c>
      <c r="R2869" t="s">
        <v>40</v>
      </c>
      <c r="S2869" t="s">
        <v>10164</v>
      </c>
      <c r="T2869" t="s">
        <v>9298</v>
      </c>
      <c r="U2869" t="s">
        <v>9299</v>
      </c>
      <c r="V2869" t="s">
        <v>9093</v>
      </c>
      <c r="W2869" t="s">
        <v>2978</v>
      </c>
      <c r="X2869" t="s">
        <v>46</v>
      </c>
      <c r="AC2869">
        <f>COUNTIF(C:C,QLKV_gui_ket_qua_ra_soat[[#This Row],[Mã điểm bán]])</f>
        <v>1</v>
      </c>
    </row>
    <row r="2870" spans="1:29" x14ac:dyDescent="0.45">
      <c r="A2870" t="s">
        <v>9088</v>
      </c>
      <c r="B2870">
        <v>2683</v>
      </c>
      <c r="C2870" t="s">
        <v>10165</v>
      </c>
      <c r="D2870" t="s">
        <v>10166</v>
      </c>
      <c r="E2870" t="s">
        <v>32</v>
      </c>
      <c r="F2870" t="s">
        <v>53</v>
      </c>
      <c r="G2870" t="s">
        <v>177</v>
      </c>
      <c r="H2870" t="s">
        <v>54</v>
      </c>
      <c r="I2870" t="s">
        <v>9899</v>
      </c>
      <c r="J2870" t="s">
        <v>41</v>
      </c>
      <c r="K2870" t="s">
        <v>41</v>
      </c>
      <c r="L2870" t="s">
        <v>41</v>
      </c>
      <c r="M2870" t="s">
        <v>41</v>
      </c>
      <c r="N2870" t="s">
        <v>41</v>
      </c>
      <c r="O2870" t="s">
        <v>41</v>
      </c>
      <c r="P2870" t="s">
        <v>41</v>
      </c>
      <c r="Q2870" t="s">
        <v>41</v>
      </c>
      <c r="R2870" t="s">
        <v>41</v>
      </c>
      <c r="S2870" t="s">
        <v>41</v>
      </c>
      <c r="T2870" t="s">
        <v>9158</v>
      </c>
      <c r="U2870" t="s">
        <v>9159</v>
      </c>
      <c r="V2870" t="s">
        <v>9093</v>
      </c>
      <c r="W2870" t="s">
        <v>2978</v>
      </c>
      <c r="Z2870" t="s">
        <v>46</v>
      </c>
      <c r="AA2870" t="s">
        <v>9160</v>
      </c>
      <c r="AC2870">
        <f>COUNTIF(C:C,QLKV_gui_ket_qua_ra_soat[[#This Row],[Mã điểm bán]])</f>
        <v>1</v>
      </c>
    </row>
    <row r="2871" spans="1:29" x14ac:dyDescent="0.45">
      <c r="A2871" t="s">
        <v>9088</v>
      </c>
      <c r="B2871">
        <v>2688</v>
      </c>
      <c r="C2871" t="s">
        <v>10167</v>
      </c>
      <c r="D2871" t="s">
        <v>10168</v>
      </c>
      <c r="E2871" t="s">
        <v>7790</v>
      </c>
      <c r="F2871" t="s">
        <v>8220</v>
      </c>
      <c r="G2871" t="s">
        <v>34</v>
      </c>
      <c r="H2871" t="s">
        <v>457</v>
      </c>
      <c r="I2871" t="s">
        <v>10169</v>
      </c>
      <c r="J2871" t="s">
        <v>37</v>
      </c>
      <c r="K2871" t="s">
        <v>37</v>
      </c>
      <c r="L2871" t="s">
        <v>39</v>
      </c>
      <c r="M2871" t="s">
        <v>37</v>
      </c>
      <c r="N2871" t="s">
        <v>37</v>
      </c>
      <c r="O2871" t="s">
        <v>39</v>
      </c>
      <c r="P2871" t="s">
        <v>38</v>
      </c>
      <c r="Q2871" t="s">
        <v>38</v>
      </c>
      <c r="R2871" t="s">
        <v>40</v>
      </c>
      <c r="S2871" t="s">
        <v>41</v>
      </c>
      <c r="T2871" t="s">
        <v>9147</v>
      </c>
      <c r="U2871" t="s">
        <v>9148</v>
      </c>
      <c r="V2871" t="s">
        <v>9093</v>
      </c>
      <c r="W2871" t="s">
        <v>9094</v>
      </c>
      <c r="X2871" t="s">
        <v>46</v>
      </c>
      <c r="AC2871">
        <f>COUNTIF(C:C,QLKV_gui_ket_qua_ra_soat[[#This Row],[Mã điểm bán]])</f>
        <v>1</v>
      </c>
    </row>
    <row r="2872" spans="1:29" x14ac:dyDescent="0.45">
      <c r="A2872" t="s">
        <v>9088</v>
      </c>
      <c r="B2872">
        <v>2691</v>
      </c>
      <c r="C2872" t="s">
        <v>10170</v>
      </c>
      <c r="D2872" t="s">
        <v>10171</v>
      </c>
      <c r="E2872" t="s">
        <v>10172</v>
      </c>
      <c r="F2872" t="s">
        <v>115</v>
      </c>
      <c r="G2872" t="s">
        <v>177</v>
      </c>
      <c r="H2872" t="s">
        <v>214</v>
      </c>
      <c r="I2872" t="s">
        <v>10173</v>
      </c>
      <c r="J2872" t="s">
        <v>37</v>
      </c>
      <c r="K2872" t="s">
        <v>37</v>
      </c>
      <c r="L2872" t="s">
        <v>39</v>
      </c>
      <c r="M2872" t="s">
        <v>37</v>
      </c>
      <c r="N2872" t="s">
        <v>37</v>
      </c>
      <c r="O2872" t="s">
        <v>39</v>
      </c>
      <c r="P2872" t="s">
        <v>37</v>
      </c>
      <c r="Q2872" t="s">
        <v>37</v>
      </c>
      <c r="R2872" t="s">
        <v>39</v>
      </c>
      <c r="S2872" t="s">
        <v>41</v>
      </c>
      <c r="T2872" t="s">
        <v>9240</v>
      </c>
      <c r="U2872" t="s">
        <v>9205</v>
      </c>
      <c r="V2872" t="s">
        <v>9093</v>
      </c>
      <c r="W2872" t="s">
        <v>9227</v>
      </c>
      <c r="Z2872" t="s">
        <v>46</v>
      </c>
      <c r="AA2872" t="s">
        <v>9235</v>
      </c>
      <c r="AC2872">
        <f>COUNTIF(C:C,QLKV_gui_ket_qua_ra_soat[[#This Row],[Mã điểm bán]])</f>
        <v>1</v>
      </c>
    </row>
    <row r="2873" spans="1:29" x14ac:dyDescent="0.45">
      <c r="A2873" t="s">
        <v>9088</v>
      </c>
      <c r="B2873">
        <v>2693</v>
      </c>
      <c r="C2873" t="s">
        <v>10174</v>
      </c>
      <c r="D2873" t="s">
        <v>5905</v>
      </c>
      <c r="E2873" t="s">
        <v>108</v>
      </c>
      <c r="F2873" t="s">
        <v>53</v>
      </c>
      <c r="G2873" t="s">
        <v>177</v>
      </c>
      <c r="H2873" t="s">
        <v>54</v>
      </c>
      <c r="I2873" t="s">
        <v>9899</v>
      </c>
      <c r="J2873" t="s">
        <v>38</v>
      </c>
      <c r="K2873" t="s">
        <v>38</v>
      </c>
      <c r="L2873" t="s">
        <v>40</v>
      </c>
      <c r="M2873" t="s">
        <v>38</v>
      </c>
      <c r="N2873" t="s">
        <v>38</v>
      </c>
      <c r="O2873" t="s">
        <v>40</v>
      </c>
      <c r="P2873" t="s">
        <v>38</v>
      </c>
      <c r="Q2873" t="s">
        <v>38</v>
      </c>
      <c r="R2873" t="s">
        <v>40</v>
      </c>
      <c r="S2873" t="s">
        <v>5662</v>
      </c>
      <c r="T2873" t="s">
        <v>9158</v>
      </c>
      <c r="U2873" t="s">
        <v>9159</v>
      </c>
      <c r="V2873" t="s">
        <v>9093</v>
      </c>
      <c r="W2873" t="s">
        <v>2978</v>
      </c>
      <c r="Z2873" t="s">
        <v>46</v>
      </c>
      <c r="AA2873" t="s">
        <v>9160</v>
      </c>
      <c r="AB2873" t="s">
        <v>3012</v>
      </c>
      <c r="AC2873">
        <f>COUNTIF(C:C,QLKV_gui_ket_qua_ra_soat[[#This Row],[Mã điểm bán]])</f>
        <v>1</v>
      </c>
    </row>
    <row r="2874" spans="1:29" x14ac:dyDescent="0.45">
      <c r="A2874" t="s">
        <v>9088</v>
      </c>
      <c r="B2874">
        <v>2701</v>
      </c>
      <c r="C2874" t="s">
        <v>10175</v>
      </c>
      <c r="D2874" t="s">
        <v>8227</v>
      </c>
      <c r="E2874" t="s">
        <v>10176</v>
      </c>
      <c r="F2874" t="s">
        <v>53</v>
      </c>
      <c r="G2874" t="s">
        <v>177</v>
      </c>
      <c r="H2874" t="s">
        <v>54</v>
      </c>
      <c r="I2874" t="s">
        <v>10177</v>
      </c>
      <c r="J2874" t="s">
        <v>38</v>
      </c>
      <c r="K2874" t="s">
        <v>38</v>
      </c>
      <c r="L2874" t="s">
        <v>40</v>
      </c>
      <c r="M2874" t="s">
        <v>38</v>
      </c>
      <c r="N2874" t="s">
        <v>38</v>
      </c>
      <c r="O2874" t="s">
        <v>40</v>
      </c>
      <c r="P2874" t="s">
        <v>38</v>
      </c>
      <c r="Q2874" t="s">
        <v>38</v>
      </c>
      <c r="R2874" t="s">
        <v>40</v>
      </c>
      <c r="S2874" t="s">
        <v>10178</v>
      </c>
      <c r="T2874" t="s">
        <v>9298</v>
      </c>
      <c r="U2874" t="s">
        <v>9299</v>
      </c>
      <c r="V2874" t="s">
        <v>9093</v>
      </c>
      <c r="W2874" t="s">
        <v>2978</v>
      </c>
      <c r="X2874" t="s">
        <v>46</v>
      </c>
      <c r="AC2874">
        <f>COUNTIF(C:C,QLKV_gui_ket_qua_ra_soat[[#This Row],[Mã điểm bán]])</f>
        <v>1</v>
      </c>
    </row>
    <row r="2875" spans="1:29" x14ac:dyDescent="0.45">
      <c r="A2875" t="s">
        <v>9088</v>
      </c>
      <c r="B2875">
        <v>2717</v>
      </c>
      <c r="C2875" t="s">
        <v>10179</v>
      </c>
      <c r="D2875" t="s">
        <v>10180</v>
      </c>
      <c r="E2875" t="s">
        <v>157</v>
      </c>
      <c r="F2875" t="s">
        <v>53</v>
      </c>
      <c r="G2875" t="s">
        <v>34</v>
      </c>
      <c r="H2875" t="s">
        <v>54</v>
      </c>
      <c r="I2875" t="s">
        <v>4639</v>
      </c>
      <c r="J2875" t="s">
        <v>38</v>
      </c>
      <c r="K2875" t="s">
        <v>38</v>
      </c>
      <c r="L2875" t="s">
        <v>40</v>
      </c>
      <c r="M2875" t="s">
        <v>38</v>
      </c>
      <c r="N2875" t="s">
        <v>38</v>
      </c>
      <c r="O2875" t="s">
        <v>40</v>
      </c>
      <c r="P2875" t="s">
        <v>38</v>
      </c>
      <c r="Q2875" t="s">
        <v>38</v>
      </c>
      <c r="R2875" t="s">
        <v>40</v>
      </c>
      <c r="S2875" t="s">
        <v>41</v>
      </c>
      <c r="T2875" t="s">
        <v>9158</v>
      </c>
      <c r="U2875" t="s">
        <v>9159</v>
      </c>
      <c r="V2875" t="s">
        <v>9093</v>
      </c>
      <c r="W2875" t="s">
        <v>2978</v>
      </c>
      <c r="X2875" t="s">
        <v>46</v>
      </c>
      <c r="AC2875">
        <f>COUNTIF(C:C,QLKV_gui_ket_qua_ra_soat[[#This Row],[Mã điểm bán]])</f>
        <v>1</v>
      </c>
    </row>
    <row r="2876" spans="1:29" x14ac:dyDescent="0.45">
      <c r="A2876" t="s">
        <v>9088</v>
      </c>
      <c r="B2876">
        <v>2739</v>
      </c>
      <c r="C2876" t="s">
        <v>10181</v>
      </c>
      <c r="D2876" t="s">
        <v>4206</v>
      </c>
      <c r="E2876" t="s">
        <v>10182</v>
      </c>
      <c r="F2876" t="s">
        <v>3069</v>
      </c>
      <c r="G2876" t="s">
        <v>177</v>
      </c>
      <c r="H2876" t="s">
        <v>54</v>
      </c>
      <c r="I2876" t="s">
        <v>10183</v>
      </c>
      <c r="J2876" t="s">
        <v>38</v>
      </c>
      <c r="K2876" t="s">
        <v>38</v>
      </c>
      <c r="L2876" t="s">
        <v>40</v>
      </c>
      <c r="M2876" t="s">
        <v>38</v>
      </c>
      <c r="N2876" t="s">
        <v>38</v>
      </c>
      <c r="O2876" t="s">
        <v>40</v>
      </c>
      <c r="P2876" t="s">
        <v>38</v>
      </c>
      <c r="Q2876" t="s">
        <v>38</v>
      </c>
      <c r="R2876" t="s">
        <v>40</v>
      </c>
      <c r="S2876" t="s">
        <v>10184</v>
      </c>
      <c r="T2876" t="s">
        <v>9298</v>
      </c>
      <c r="U2876" t="s">
        <v>9299</v>
      </c>
      <c r="V2876" t="s">
        <v>9093</v>
      </c>
      <c r="W2876" t="s">
        <v>2978</v>
      </c>
      <c r="X2876" t="s">
        <v>46</v>
      </c>
      <c r="AC2876">
        <f>COUNTIF(C:C,QLKV_gui_ket_qua_ra_soat[[#This Row],[Mã điểm bán]])</f>
        <v>1</v>
      </c>
    </row>
    <row r="2877" spans="1:29" x14ac:dyDescent="0.45">
      <c r="A2877" t="s">
        <v>9088</v>
      </c>
      <c r="B2877">
        <v>2753</v>
      </c>
      <c r="C2877" t="s">
        <v>10185</v>
      </c>
      <c r="D2877" t="s">
        <v>10186</v>
      </c>
      <c r="E2877" t="s">
        <v>74</v>
      </c>
      <c r="F2877" t="s">
        <v>53</v>
      </c>
      <c r="G2877" t="s">
        <v>34</v>
      </c>
      <c r="H2877" t="s">
        <v>54</v>
      </c>
      <c r="I2877" t="s">
        <v>9652</v>
      </c>
      <c r="J2877" t="s">
        <v>38</v>
      </c>
      <c r="K2877" t="s">
        <v>38</v>
      </c>
      <c r="L2877" t="s">
        <v>40</v>
      </c>
      <c r="M2877" t="s">
        <v>38</v>
      </c>
      <c r="N2877" t="s">
        <v>38</v>
      </c>
      <c r="O2877" t="s">
        <v>40</v>
      </c>
      <c r="P2877" t="s">
        <v>38</v>
      </c>
      <c r="Q2877" t="s">
        <v>38</v>
      </c>
      <c r="R2877" t="s">
        <v>40</v>
      </c>
      <c r="S2877" t="s">
        <v>41</v>
      </c>
      <c r="T2877" t="s">
        <v>9158</v>
      </c>
      <c r="U2877" t="s">
        <v>9159</v>
      </c>
      <c r="V2877" t="s">
        <v>9093</v>
      </c>
      <c r="W2877" t="s">
        <v>2978</v>
      </c>
      <c r="Z2877" t="s">
        <v>46</v>
      </c>
      <c r="AA2877" t="s">
        <v>9160</v>
      </c>
      <c r="AC2877">
        <f>COUNTIF(C:C,QLKV_gui_ket_qua_ra_soat[[#This Row],[Mã điểm bán]])</f>
        <v>1</v>
      </c>
    </row>
    <row r="2878" spans="1:29" x14ac:dyDescent="0.45">
      <c r="A2878" t="s">
        <v>9088</v>
      </c>
      <c r="B2878">
        <v>2768</v>
      </c>
      <c r="C2878" t="s">
        <v>10187</v>
      </c>
      <c r="D2878" t="s">
        <v>10188</v>
      </c>
      <c r="E2878" t="s">
        <v>338</v>
      </c>
      <c r="F2878" t="s">
        <v>53</v>
      </c>
      <c r="G2878" t="s">
        <v>34</v>
      </c>
      <c r="H2878" t="s">
        <v>685</v>
      </c>
      <c r="I2878" t="s">
        <v>9839</v>
      </c>
      <c r="J2878" t="s">
        <v>38</v>
      </c>
      <c r="K2878" t="s">
        <v>38</v>
      </c>
      <c r="L2878" t="s">
        <v>40</v>
      </c>
      <c r="M2878" t="s">
        <v>38</v>
      </c>
      <c r="N2878" t="s">
        <v>38</v>
      </c>
      <c r="O2878" t="s">
        <v>40</v>
      </c>
      <c r="P2878" t="s">
        <v>38</v>
      </c>
      <c r="Q2878" t="s">
        <v>38</v>
      </c>
      <c r="R2878" t="s">
        <v>40</v>
      </c>
      <c r="S2878" t="s">
        <v>41</v>
      </c>
      <c r="T2878" t="s">
        <v>9158</v>
      </c>
      <c r="U2878" t="s">
        <v>9159</v>
      </c>
      <c r="V2878" t="s">
        <v>9093</v>
      </c>
      <c r="W2878" t="s">
        <v>2978</v>
      </c>
      <c r="Z2878" t="s">
        <v>46</v>
      </c>
      <c r="AA2878" t="s">
        <v>9160</v>
      </c>
      <c r="AC2878">
        <f>COUNTIF(C:C,QLKV_gui_ket_qua_ra_soat[[#This Row],[Mã điểm bán]])</f>
        <v>1</v>
      </c>
    </row>
    <row r="2879" spans="1:29" x14ac:dyDescent="0.45">
      <c r="A2879" t="s">
        <v>9088</v>
      </c>
      <c r="B2879">
        <v>2772</v>
      </c>
      <c r="C2879" t="s">
        <v>10189</v>
      </c>
      <c r="D2879" t="s">
        <v>10190</v>
      </c>
      <c r="E2879" t="s">
        <v>157</v>
      </c>
      <c r="F2879" t="s">
        <v>53</v>
      </c>
      <c r="G2879" t="s">
        <v>177</v>
      </c>
      <c r="H2879" t="s">
        <v>54</v>
      </c>
      <c r="I2879" t="s">
        <v>1838</v>
      </c>
      <c r="J2879" t="s">
        <v>38</v>
      </c>
      <c r="K2879" t="s">
        <v>38</v>
      </c>
      <c r="L2879" t="s">
        <v>39</v>
      </c>
      <c r="M2879" t="s">
        <v>38</v>
      </c>
      <c r="N2879" t="s">
        <v>38</v>
      </c>
      <c r="O2879" t="s">
        <v>39</v>
      </c>
      <c r="P2879" t="s">
        <v>38</v>
      </c>
      <c r="Q2879" t="s">
        <v>38</v>
      </c>
      <c r="R2879" t="s">
        <v>40</v>
      </c>
      <c r="S2879" t="s">
        <v>10191</v>
      </c>
      <c r="T2879" t="s">
        <v>9648</v>
      </c>
      <c r="U2879" t="s">
        <v>9649</v>
      </c>
      <c r="V2879" t="s">
        <v>9093</v>
      </c>
      <c r="W2879" t="s">
        <v>9101</v>
      </c>
      <c r="X2879" t="s">
        <v>46</v>
      </c>
      <c r="AC2879">
        <f>COUNTIF(C:C,QLKV_gui_ket_qua_ra_soat[[#This Row],[Mã điểm bán]])</f>
        <v>1</v>
      </c>
    </row>
    <row r="2880" spans="1:29" x14ac:dyDescent="0.45">
      <c r="A2880" t="s">
        <v>9088</v>
      </c>
      <c r="B2880">
        <v>2777</v>
      </c>
      <c r="C2880" t="s">
        <v>10192</v>
      </c>
      <c r="D2880" t="s">
        <v>10193</v>
      </c>
      <c r="E2880" t="s">
        <v>857</v>
      </c>
      <c r="F2880" t="s">
        <v>224</v>
      </c>
      <c r="G2880" t="s">
        <v>34</v>
      </c>
      <c r="H2880" t="s">
        <v>54</v>
      </c>
      <c r="I2880" t="s">
        <v>10194</v>
      </c>
      <c r="J2880" t="s">
        <v>38</v>
      </c>
      <c r="K2880" t="s">
        <v>38</v>
      </c>
      <c r="L2880" t="s">
        <v>40</v>
      </c>
      <c r="M2880" t="s">
        <v>38</v>
      </c>
      <c r="N2880" t="s">
        <v>38</v>
      </c>
      <c r="O2880" t="s">
        <v>40</v>
      </c>
      <c r="P2880" t="s">
        <v>38</v>
      </c>
      <c r="Q2880" t="s">
        <v>38</v>
      </c>
      <c r="R2880" t="s">
        <v>40</v>
      </c>
      <c r="S2880" t="s">
        <v>10195</v>
      </c>
      <c r="T2880" t="s">
        <v>9427</v>
      </c>
      <c r="U2880" t="s">
        <v>9148</v>
      </c>
      <c r="V2880" t="s">
        <v>9093</v>
      </c>
      <c r="W2880" t="s">
        <v>9094</v>
      </c>
      <c r="Z2880" t="s">
        <v>46</v>
      </c>
      <c r="AA2880" t="s">
        <v>9235</v>
      </c>
      <c r="AC2880">
        <f>COUNTIF(C:C,QLKV_gui_ket_qua_ra_soat[[#This Row],[Mã điểm bán]])</f>
        <v>1</v>
      </c>
    </row>
    <row r="2881" spans="1:29" x14ac:dyDescent="0.45">
      <c r="A2881" t="s">
        <v>9088</v>
      </c>
      <c r="B2881">
        <v>2791</v>
      </c>
      <c r="C2881" t="s">
        <v>10196</v>
      </c>
      <c r="D2881" t="s">
        <v>10197</v>
      </c>
      <c r="E2881" t="s">
        <v>10198</v>
      </c>
      <c r="F2881" t="s">
        <v>286</v>
      </c>
      <c r="G2881" t="s">
        <v>34</v>
      </c>
      <c r="H2881" t="s">
        <v>1188</v>
      </c>
      <c r="I2881" t="s">
        <v>10199</v>
      </c>
      <c r="J2881" t="s">
        <v>38</v>
      </c>
      <c r="K2881" t="s">
        <v>38</v>
      </c>
      <c r="L2881" t="s">
        <v>40</v>
      </c>
      <c r="M2881" t="s">
        <v>38</v>
      </c>
      <c r="N2881" t="s">
        <v>37</v>
      </c>
      <c r="O2881" t="s">
        <v>39</v>
      </c>
      <c r="P2881" t="s">
        <v>38</v>
      </c>
      <c r="Q2881" t="s">
        <v>38</v>
      </c>
      <c r="R2881" t="s">
        <v>40</v>
      </c>
      <c r="S2881" t="s">
        <v>41</v>
      </c>
      <c r="T2881" t="s">
        <v>9129</v>
      </c>
      <c r="U2881" t="s">
        <v>9130</v>
      </c>
      <c r="V2881" t="s">
        <v>9093</v>
      </c>
      <c r="W2881" t="s">
        <v>9131</v>
      </c>
      <c r="X2881" t="s">
        <v>46</v>
      </c>
      <c r="AC2881">
        <f>COUNTIF(C:C,QLKV_gui_ket_qua_ra_soat[[#This Row],[Mã điểm bán]])</f>
        <v>1</v>
      </c>
    </row>
    <row r="2882" spans="1:29" x14ac:dyDescent="0.45">
      <c r="A2882" t="s">
        <v>9088</v>
      </c>
      <c r="B2882">
        <v>2799</v>
      </c>
      <c r="C2882" t="s">
        <v>10200</v>
      </c>
      <c r="D2882" t="s">
        <v>10201</v>
      </c>
      <c r="E2882" t="s">
        <v>256</v>
      </c>
      <c r="F2882" t="s">
        <v>53</v>
      </c>
      <c r="G2882" t="s">
        <v>177</v>
      </c>
      <c r="H2882" t="s">
        <v>54</v>
      </c>
      <c r="I2882" t="s">
        <v>4639</v>
      </c>
      <c r="J2882" t="s">
        <v>38</v>
      </c>
      <c r="K2882" t="s">
        <v>38</v>
      </c>
      <c r="L2882" t="s">
        <v>40</v>
      </c>
      <c r="M2882" t="s">
        <v>38</v>
      </c>
      <c r="N2882" t="s">
        <v>38</v>
      </c>
      <c r="O2882" t="s">
        <v>40</v>
      </c>
      <c r="P2882" t="s">
        <v>38</v>
      </c>
      <c r="Q2882" t="s">
        <v>38</v>
      </c>
      <c r="R2882" t="s">
        <v>40</v>
      </c>
      <c r="S2882" t="s">
        <v>10202</v>
      </c>
      <c r="T2882" t="s">
        <v>9158</v>
      </c>
      <c r="U2882" t="s">
        <v>9159</v>
      </c>
      <c r="V2882" t="s">
        <v>9093</v>
      </c>
      <c r="W2882" t="s">
        <v>2978</v>
      </c>
      <c r="X2882" t="s">
        <v>46</v>
      </c>
      <c r="AC2882">
        <f>COUNTIF(C:C,QLKV_gui_ket_qua_ra_soat[[#This Row],[Mã điểm bán]])</f>
        <v>1</v>
      </c>
    </row>
    <row r="2883" spans="1:29" x14ac:dyDescent="0.45">
      <c r="A2883" t="s">
        <v>9088</v>
      </c>
      <c r="B2883">
        <v>2814</v>
      </c>
      <c r="C2883" t="s">
        <v>10203</v>
      </c>
      <c r="D2883" t="s">
        <v>10204</v>
      </c>
      <c r="E2883" t="s">
        <v>370</v>
      </c>
      <c r="F2883" t="s">
        <v>581</v>
      </c>
      <c r="G2883" t="s">
        <v>177</v>
      </c>
      <c r="H2883" t="s">
        <v>171</v>
      </c>
      <c r="I2883" t="s">
        <v>10205</v>
      </c>
      <c r="J2883" t="s">
        <v>38</v>
      </c>
      <c r="K2883" t="s">
        <v>38</v>
      </c>
      <c r="L2883" t="s">
        <v>40</v>
      </c>
      <c r="M2883" t="s">
        <v>38</v>
      </c>
      <c r="N2883" t="s">
        <v>38</v>
      </c>
      <c r="O2883" t="s">
        <v>40</v>
      </c>
      <c r="P2883" t="s">
        <v>38</v>
      </c>
      <c r="Q2883" t="s">
        <v>38</v>
      </c>
      <c r="R2883" t="s">
        <v>40</v>
      </c>
      <c r="S2883" t="s">
        <v>41</v>
      </c>
      <c r="T2883" t="s">
        <v>9129</v>
      </c>
      <c r="U2883" t="s">
        <v>9130</v>
      </c>
      <c r="V2883" t="s">
        <v>9093</v>
      </c>
      <c r="W2883" t="s">
        <v>9131</v>
      </c>
      <c r="X2883" t="s">
        <v>46</v>
      </c>
      <c r="AC2883">
        <f>COUNTIF(C:C,QLKV_gui_ket_qua_ra_soat[[#This Row],[Mã điểm bán]])</f>
        <v>1</v>
      </c>
    </row>
    <row r="2884" spans="1:29" x14ac:dyDescent="0.45">
      <c r="A2884" t="s">
        <v>9088</v>
      </c>
      <c r="B2884">
        <v>2828</v>
      </c>
      <c r="C2884" t="s">
        <v>10206</v>
      </c>
      <c r="D2884" t="s">
        <v>10207</v>
      </c>
      <c r="E2884" t="s">
        <v>157</v>
      </c>
      <c r="F2884" t="s">
        <v>53</v>
      </c>
      <c r="G2884" t="s">
        <v>34</v>
      </c>
      <c r="H2884" t="s">
        <v>54</v>
      </c>
      <c r="I2884" t="s">
        <v>9899</v>
      </c>
      <c r="J2884" t="s">
        <v>38</v>
      </c>
      <c r="K2884" t="s">
        <v>38</v>
      </c>
      <c r="L2884" t="s">
        <v>40</v>
      </c>
      <c r="M2884" t="s">
        <v>38</v>
      </c>
      <c r="N2884" t="s">
        <v>38</v>
      </c>
      <c r="O2884" t="s">
        <v>40</v>
      </c>
      <c r="P2884" t="s">
        <v>38</v>
      </c>
      <c r="Q2884" t="s">
        <v>38</v>
      </c>
      <c r="R2884" t="s">
        <v>40</v>
      </c>
      <c r="S2884" t="s">
        <v>41</v>
      </c>
      <c r="T2884" t="s">
        <v>9158</v>
      </c>
      <c r="U2884" t="s">
        <v>9159</v>
      </c>
      <c r="V2884" t="s">
        <v>9093</v>
      </c>
      <c r="W2884" t="s">
        <v>2978</v>
      </c>
      <c r="X2884" t="s">
        <v>46</v>
      </c>
      <c r="AC2884">
        <f>COUNTIF(C:C,QLKV_gui_ket_qua_ra_soat[[#This Row],[Mã điểm bán]])</f>
        <v>1</v>
      </c>
    </row>
    <row r="2885" spans="1:29" x14ac:dyDescent="0.45">
      <c r="A2885" t="s">
        <v>9088</v>
      </c>
      <c r="B2885">
        <v>2846</v>
      </c>
      <c r="C2885" t="s">
        <v>10208</v>
      </c>
      <c r="D2885" t="s">
        <v>10209</v>
      </c>
      <c r="E2885" t="s">
        <v>68</v>
      </c>
      <c r="F2885" t="s">
        <v>53</v>
      </c>
      <c r="G2885" t="s">
        <v>177</v>
      </c>
      <c r="H2885" t="s">
        <v>54</v>
      </c>
      <c r="I2885" t="s">
        <v>9839</v>
      </c>
      <c r="J2885" t="s">
        <v>38</v>
      </c>
      <c r="K2885" t="s">
        <v>38</v>
      </c>
      <c r="L2885" t="s">
        <v>40</v>
      </c>
      <c r="M2885" t="s">
        <v>38</v>
      </c>
      <c r="N2885" t="s">
        <v>38</v>
      </c>
      <c r="O2885" t="s">
        <v>40</v>
      </c>
      <c r="P2885" t="s">
        <v>38</v>
      </c>
      <c r="Q2885" t="s">
        <v>38</v>
      </c>
      <c r="R2885" t="s">
        <v>40</v>
      </c>
      <c r="S2885" t="s">
        <v>9761</v>
      </c>
      <c r="T2885" t="s">
        <v>9158</v>
      </c>
      <c r="U2885" t="s">
        <v>9159</v>
      </c>
      <c r="V2885" t="s">
        <v>9093</v>
      </c>
      <c r="W2885" t="s">
        <v>2978</v>
      </c>
      <c r="X2885" t="s">
        <v>46</v>
      </c>
      <c r="AC2885">
        <f>COUNTIF(C:C,QLKV_gui_ket_qua_ra_soat[[#This Row],[Mã điểm bán]])</f>
        <v>1</v>
      </c>
    </row>
    <row r="2886" spans="1:29" x14ac:dyDescent="0.45">
      <c r="A2886" t="s">
        <v>9088</v>
      </c>
      <c r="B2886">
        <v>2847</v>
      </c>
      <c r="C2886" t="s">
        <v>10210</v>
      </c>
      <c r="D2886" t="s">
        <v>10211</v>
      </c>
      <c r="E2886" t="s">
        <v>416</v>
      </c>
      <c r="F2886" t="s">
        <v>53</v>
      </c>
      <c r="G2886" t="s">
        <v>34</v>
      </c>
      <c r="H2886" t="s">
        <v>54</v>
      </c>
      <c r="I2886" t="s">
        <v>5734</v>
      </c>
      <c r="J2886" t="s">
        <v>37</v>
      </c>
      <c r="K2886" t="s">
        <v>56</v>
      </c>
      <c r="L2886" t="s">
        <v>39</v>
      </c>
      <c r="M2886" t="s">
        <v>38</v>
      </c>
      <c r="N2886" t="s">
        <v>56</v>
      </c>
      <c r="O2886" t="s">
        <v>39</v>
      </c>
      <c r="P2886" t="s">
        <v>38</v>
      </c>
      <c r="Q2886" t="s">
        <v>38</v>
      </c>
      <c r="R2886" t="s">
        <v>40</v>
      </c>
      <c r="S2886" t="s">
        <v>41</v>
      </c>
      <c r="T2886" t="s">
        <v>9147</v>
      </c>
      <c r="U2886" t="s">
        <v>9148</v>
      </c>
      <c r="V2886" t="s">
        <v>9093</v>
      </c>
      <c r="W2886" t="s">
        <v>9094</v>
      </c>
      <c r="X2886" t="s">
        <v>46</v>
      </c>
      <c r="AC2886">
        <f>COUNTIF(C:C,QLKV_gui_ket_qua_ra_soat[[#This Row],[Mã điểm bán]])</f>
        <v>1</v>
      </c>
    </row>
    <row r="2887" spans="1:29" x14ac:dyDescent="0.45">
      <c r="A2887" t="s">
        <v>9088</v>
      </c>
      <c r="B2887">
        <v>2865</v>
      </c>
      <c r="C2887" t="s">
        <v>10212</v>
      </c>
      <c r="D2887" t="s">
        <v>10213</v>
      </c>
      <c r="E2887" t="s">
        <v>10214</v>
      </c>
      <c r="F2887" t="s">
        <v>53</v>
      </c>
      <c r="G2887" t="s">
        <v>34</v>
      </c>
      <c r="H2887" t="s">
        <v>54</v>
      </c>
      <c r="I2887" t="s">
        <v>10215</v>
      </c>
      <c r="J2887" t="s">
        <v>38</v>
      </c>
      <c r="K2887" t="s">
        <v>38</v>
      </c>
      <c r="L2887" t="s">
        <v>40</v>
      </c>
      <c r="M2887" t="s">
        <v>38</v>
      </c>
      <c r="N2887" t="s">
        <v>38</v>
      </c>
      <c r="O2887" t="s">
        <v>40</v>
      </c>
      <c r="P2887" t="s">
        <v>38</v>
      </c>
      <c r="Q2887" t="s">
        <v>38</v>
      </c>
      <c r="R2887" t="s">
        <v>40</v>
      </c>
      <c r="S2887" t="s">
        <v>10216</v>
      </c>
      <c r="T2887" t="s">
        <v>9298</v>
      </c>
      <c r="U2887" t="s">
        <v>9299</v>
      </c>
      <c r="V2887" t="s">
        <v>9093</v>
      </c>
      <c r="W2887" t="s">
        <v>2978</v>
      </c>
      <c r="X2887" t="s">
        <v>46</v>
      </c>
      <c r="AC2887">
        <f>COUNTIF(C:C,QLKV_gui_ket_qua_ra_soat[[#This Row],[Mã điểm bán]])</f>
        <v>1</v>
      </c>
    </row>
    <row r="2888" spans="1:29" x14ac:dyDescent="0.45">
      <c r="A2888" t="s">
        <v>9088</v>
      </c>
      <c r="B2888">
        <v>2874</v>
      </c>
      <c r="C2888" t="s">
        <v>10217</v>
      </c>
      <c r="D2888" t="s">
        <v>10218</v>
      </c>
      <c r="E2888" t="s">
        <v>291</v>
      </c>
      <c r="F2888" t="s">
        <v>10219</v>
      </c>
      <c r="G2888" t="s">
        <v>177</v>
      </c>
      <c r="H2888" t="s">
        <v>54</v>
      </c>
      <c r="I2888" t="s">
        <v>10220</v>
      </c>
      <c r="J2888" t="s">
        <v>38</v>
      </c>
      <c r="K2888" t="s">
        <v>38</v>
      </c>
      <c r="L2888" t="s">
        <v>40</v>
      </c>
      <c r="M2888" t="s">
        <v>38</v>
      </c>
      <c r="N2888" t="s">
        <v>38</v>
      </c>
      <c r="O2888" t="s">
        <v>39</v>
      </c>
      <c r="P2888" t="s">
        <v>38</v>
      </c>
      <c r="Q2888" t="s">
        <v>38</v>
      </c>
      <c r="R2888" t="s">
        <v>40</v>
      </c>
      <c r="S2888" t="s">
        <v>10221</v>
      </c>
      <c r="T2888" t="s">
        <v>9298</v>
      </c>
      <c r="U2888" t="s">
        <v>9299</v>
      </c>
      <c r="V2888" t="s">
        <v>9093</v>
      </c>
      <c r="W2888" t="s">
        <v>2978</v>
      </c>
      <c r="Z2888" t="s">
        <v>46</v>
      </c>
      <c r="AA2888" t="s">
        <v>9160</v>
      </c>
      <c r="AC2888">
        <f>COUNTIF(C:C,QLKV_gui_ket_qua_ra_soat[[#This Row],[Mã điểm bán]])</f>
        <v>1</v>
      </c>
    </row>
    <row r="2889" spans="1:29" x14ac:dyDescent="0.45">
      <c r="A2889" t="s">
        <v>9088</v>
      </c>
      <c r="B2889">
        <v>2879</v>
      </c>
      <c r="C2889" t="s">
        <v>10222</v>
      </c>
      <c r="D2889" t="s">
        <v>10223</v>
      </c>
      <c r="E2889" t="s">
        <v>10224</v>
      </c>
      <c r="F2889" t="s">
        <v>53</v>
      </c>
      <c r="G2889" t="s">
        <v>177</v>
      </c>
      <c r="H2889" t="s">
        <v>54</v>
      </c>
      <c r="I2889" t="s">
        <v>10225</v>
      </c>
      <c r="J2889" t="s">
        <v>38</v>
      </c>
      <c r="K2889" t="s">
        <v>38</v>
      </c>
      <c r="L2889" t="s">
        <v>40</v>
      </c>
      <c r="M2889" t="s">
        <v>38</v>
      </c>
      <c r="N2889" t="s">
        <v>38</v>
      </c>
      <c r="O2889" t="s">
        <v>40</v>
      </c>
      <c r="P2889" t="s">
        <v>38</v>
      </c>
      <c r="Q2889" t="s">
        <v>38</v>
      </c>
      <c r="R2889" t="s">
        <v>40</v>
      </c>
      <c r="S2889" t="s">
        <v>10226</v>
      </c>
      <c r="T2889" t="s">
        <v>9298</v>
      </c>
      <c r="U2889" t="s">
        <v>9299</v>
      </c>
      <c r="V2889" t="s">
        <v>9093</v>
      </c>
      <c r="W2889" t="s">
        <v>2978</v>
      </c>
      <c r="X2889" t="s">
        <v>46</v>
      </c>
      <c r="AC2889">
        <f>COUNTIF(C:C,QLKV_gui_ket_qua_ra_soat[[#This Row],[Mã điểm bán]])</f>
        <v>1</v>
      </c>
    </row>
    <row r="2890" spans="1:29" x14ac:dyDescent="0.45">
      <c r="A2890" t="s">
        <v>9088</v>
      </c>
      <c r="B2890">
        <v>2883</v>
      </c>
      <c r="C2890" t="s">
        <v>10227</v>
      </c>
      <c r="D2890" t="s">
        <v>10228</v>
      </c>
      <c r="E2890" t="s">
        <v>10229</v>
      </c>
      <c r="F2890" t="s">
        <v>10230</v>
      </c>
      <c r="G2890" t="s">
        <v>177</v>
      </c>
      <c r="H2890" t="s">
        <v>54</v>
      </c>
      <c r="I2890" t="s">
        <v>10231</v>
      </c>
      <c r="J2890" t="s">
        <v>38</v>
      </c>
      <c r="K2890" t="s">
        <v>38</v>
      </c>
      <c r="L2890" t="s">
        <v>40</v>
      </c>
      <c r="M2890" t="s">
        <v>37</v>
      </c>
      <c r="N2890" t="s">
        <v>37</v>
      </c>
      <c r="O2890" t="s">
        <v>39</v>
      </c>
      <c r="P2890" t="s">
        <v>38</v>
      </c>
      <c r="Q2890" t="s">
        <v>38</v>
      </c>
      <c r="R2890" t="s">
        <v>40</v>
      </c>
      <c r="S2890" t="s">
        <v>10232</v>
      </c>
      <c r="T2890" t="s">
        <v>9298</v>
      </c>
      <c r="U2890" t="s">
        <v>9299</v>
      </c>
      <c r="V2890" t="s">
        <v>9093</v>
      </c>
      <c r="W2890" t="s">
        <v>2978</v>
      </c>
      <c r="Z2890" t="s">
        <v>46</v>
      </c>
      <c r="AA2890" t="s">
        <v>9160</v>
      </c>
      <c r="AC2890">
        <f>COUNTIF(C:C,QLKV_gui_ket_qua_ra_soat[[#This Row],[Mã điểm bán]])</f>
        <v>1</v>
      </c>
    </row>
    <row r="2891" spans="1:29" x14ac:dyDescent="0.45">
      <c r="A2891" t="s">
        <v>9088</v>
      </c>
      <c r="B2891">
        <v>2887</v>
      </c>
      <c r="C2891" t="s">
        <v>10233</v>
      </c>
      <c r="D2891" t="s">
        <v>10234</v>
      </c>
      <c r="E2891" t="s">
        <v>32</v>
      </c>
      <c r="F2891" t="s">
        <v>53</v>
      </c>
      <c r="G2891" t="s">
        <v>34</v>
      </c>
      <c r="H2891" t="s">
        <v>319</v>
      </c>
      <c r="I2891" t="s">
        <v>2049</v>
      </c>
      <c r="J2891" t="s">
        <v>38</v>
      </c>
      <c r="K2891" t="s">
        <v>38</v>
      </c>
      <c r="L2891" t="s">
        <v>40</v>
      </c>
      <c r="M2891" t="s">
        <v>38</v>
      </c>
      <c r="N2891" t="s">
        <v>38</v>
      </c>
      <c r="O2891" t="s">
        <v>40</v>
      </c>
      <c r="P2891" t="s">
        <v>38</v>
      </c>
      <c r="Q2891" t="s">
        <v>38</v>
      </c>
      <c r="R2891" t="s">
        <v>40</v>
      </c>
      <c r="S2891" t="s">
        <v>4783</v>
      </c>
      <c r="T2891" t="s">
        <v>9427</v>
      </c>
      <c r="U2891" t="s">
        <v>9148</v>
      </c>
      <c r="V2891" t="s">
        <v>9093</v>
      </c>
      <c r="W2891" t="s">
        <v>9094</v>
      </c>
      <c r="Y2891" t="s">
        <v>46</v>
      </c>
      <c r="AC2891">
        <f>COUNTIF(C:C,QLKV_gui_ket_qua_ra_soat[[#This Row],[Mã điểm bán]])</f>
        <v>1</v>
      </c>
    </row>
    <row r="2892" spans="1:29" x14ac:dyDescent="0.45">
      <c r="A2892" t="s">
        <v>9088</v>
      </c>
      <c r="B2892">
        <v>2893</v>
      </c>
      <c r="C2892" t="s">
        <v>10235</v>
      </c>
      <c r="D2892" t="s">
        <v>10236</v>
      </c>
      <c r="E2892" t="s">
        <v>157</v>
      </c>
      <c r="F2892" t="s">
        <v>166</v>
      </c>
      <c r="G2892" t="s">
        <v>177</v>
      </c>
      <c r="H2892" t="s">
        <v>214</v>
      </c>
      <c r="I2892" t="s">
        <v>10237</v>
      </c>
      <c r="J2892" t="s">
        <v>38</v>
      </c>
      <c r="K2892" t="s">
        <v>38</v>
      </c>
      <c r="L2892" t="s">
        <v>40</v>
      </c>
      <c r="M2892" t="s">
        <v>38</v>
      </c>
      <c r="N2892" t="s">
        <v>38</v>
      </c>
      <c r="O2892" t="s">
        <v>40</v>
      </c>
      <c r="P2892" t="s">
        <v>38</v>
      </c>
      <c r="Q2892" t="s">
        <v>38</v>
      </c>
      <c r="R2892" t="s">
        <v>40</v>
      </c>
      <c r="S2892" t="s">
        <v>41</v>
      </c>
      <c r="T2892" t="s">
        <v>9129</v>
      </c>
      <c r="U2892" t="s">
        <v>9130</v>
      </c>
      <c r="V2892" t="s">
        <v>9093</v>
      </c>
      <c r="W2892" t="s">
        <v>9131</v>
      </c>
      <c r="X2892" t="s">
        <v>46</v>
      </c>
      <c r="AC2892">
        <f>COUNTIF(C:C,QLKV_gui_ket_qua_ra_soat[[#This Row],[Mã điểm bán]])</f>
        <v>1</v>
      </c>
    </row>
    <row r="2893" spans="1:29" x14ac:dyDescent="0.45">
      <c r="A2893" t="s">
        <v>9088</v>
      </c>
      <c r="B2893">
        <v>2903</v>
      </c>
      <c r="C2893" t="s">
        <v>10238</v>
      </c>
      <c r="D2893" t="s">
        <v>10239</v>
      </c>
      <c r="E2893" t="s">
        <v>4410</v>
      </c>
      <c r="F2893" t="s">
        <v>934</v>
      </c>
      <c r="G2893" t="s">
        <v>177</v>
      </c>
      <c r="H2893" t="s">
        <v>1280</v>
      </c>
      <c r="I2893" t="s">
        <v>10240</v>
      </c>
      <c r="J2893" t="s">
        <v>38</v>
      </c>
      <c r="K2893" t="s">
        <v>38</v>
      </c>
      <c r="L2893" t="s">
        <v>40</v>
      </c>
      <c r="M2893" t="s">
        <v>38</v>
      </c>
      <c r="N2893" t="s">
        <v>38</v>
      </c>
      <c r="O2893" t="s">
        <v>40</v>
      </c>
      <c r="P2893" t="s">
        <v>38</v>
      </c>
      <c r="Q2893" t="s">
        <v>38</v>
      </c>
      <c r="R2893" t="s">
        <v>39</v>
      </c>
      <c r="S2893" t="s">
        <v>41</v>
      </c>
      <c r="T2893" t="s">
        <v>9129</v>
      </c>
      <c r="U2893" t="s">
        <v>9130</v>
      </c>
      <c r="V2893" t="s">
        <v>9093</v>
      </c>
      <c r="W2893" t="s">
        <v>9131</v>
      </c>
      <c r="X2893" t="s">
        <v>46</v>
      </c>
      <c r="AC2893">
        <f>COUNTIF(C:C,QLKV_gui_ket_qua_ra_soat[[#This Row],[Mã điểm bán]])</f>
        <v>1</v>
      </c>
    </row>
    <row r="2894" spans="1:29" x14ac:dyDescent="0.45">
      <c r="A2894" t="s">
        <v>9088</v>
      </c>
      <c r="B2894">
        <v>2915</v>
      </c>
      <c r="C2894" t="s">
        <v>10241</v>
      </c>
      <c r="D2894" t="s">
        <v>10242</v>
      </c>
      <c r="E2894" t="s">
        <v>148</v>
      </c>
      <c r="F2894" t="s">
        <v>401</v>
      </c>
      <c r="G2894" t="s">
        <v>177</v>
      </c>
      <c r="H2894" t="s">
        <v>214</v>
      </c>
      <c r="I2894" t="s">
        <v>10243</v>
      </c>
      <c r="J2894" t="s">
        <v>38</v>
      </c>
      <c r="K2894" t="s">
        <v>38</v>
      </c>
      <c r="L2894" t="s">
        <v>40</v>
      </c>
      <c r="M2894" t="s">
        <v>38</v>
      </c>
      <c r="N2894" t="s">
        <v>38</v>
      </c>
      <c r="O2894" t="s">
        <v>39</v>
      </c>
      <c r="P2894" t="s">
        <v>38</v>
      </c>
      <c r="Q2894" t="s">
        <v>38</v>
      </c>
      <c r="R2894" t="s">
        <v>40</v>
      </c>
      <c r="S2894" t="s">
        <v>41</v>
      </c>
      <c r="T2894" t="s">
        <v>9129</v>
      </c>
      <c r="U2894" t="s">
        <v>9130</v>
      </c>
      <c r="V2894" t="s">
        <v>9093</v>
      </c>
      <c r="W2894" t="s">
        <v>9131</v>
      </c>
      <c r="X2894" t="s">
        <v>46</v>
      </c>
      <c r="AC2894">
        <f>COUNTIF(C:C,QLKV_gui_ket_qua_ra_soat[[#This Row],[Mã điểm bán]])</f>
        <v>1</v>
      </c>
    </row>
    <row r="2895" spans="1:29" x14ac:dyDescent="0.45">
      <c r="A2895" t="s">
        <v>9088</v>
      </c>
      <c r="B2895">
        <v>2932</v>
      </c>
      <c r="C2895" t="s">
        <v>10244</v>
      </c>
      <c r="D2895" t="s">
        <v>10245</v>
      </c>
      <c r="E2895" t="s">
        <v>91</v>
      </c>
      <c r="F2895" t="s">
        <v>53</v>
      </c>
      <c r="G2895" t="s">
        <v>34</v>
      </c>
      <c r="H2895" t="s">
        <v>54</v>
      </c>
      <c r="I2895" t="s">
        <v>10246</v>
      </c>
      <c r="J2895" t="s">
        <v>38</v>
      </c>
      <c r="K2895" t="s">
        <v>38</v>
      </c>
      <c r="L2895" t="s">
        <v>40</v>
      </c>
      <c r="M2895" t="s">
        <v>38</v>
      </c>
      <c r="N2895" t="s">
        <v>38</v>
      </c>
      <c r="O2895" t="s">
        <v>40</v>
      </c>
      <c r="P2895" t="s">
        <v>38</v>
      </c>
      <c r="Q2895" t="s">
        <v>38</v>
      </c>
      <c r="R2895" t="s">
        <v>40</v>
      </c>
      <c r="S2895" t="s">
        <v>41</v>
      </c>
      <c r="T2895" t="s">
        <v>9158</v>
      </c>
      <c r="U2895" t="s">
        <v>9159</v>
      </c>
      <c r="V2895" t="s">
        <v>9093</v>
      </c>
      <c r="W2895" t="s">
        <v>2978</v>
      </c>
      <c r="X2895" t="s">
        <v>46</v>
      </c>
      <c r="AC2895">
        <f>COUNTIF(C:C,QLKV_gui_ket_qua_ra_soat[[#This Row],[Mã điểm bán]])</f>
        <v>1</v>
      </c>
    </row>
    <row r="2896" spans="1:29" x14ac:dyDescent="0.45">
      <c r="A2896" t="s">
        <v>9088</v>
      </c>
      <c r="B2896">
        <v>2935</v>
      </c>
      <c r="C2896" t="s">
        <v>10247</v>
      </c>
      <c r="D2896" t="s">
        <v>10248</v>
      </c>
      <c r="E2896" t="s">
        <v>7553</v>
      </c>
      <c r="F2896" t="s">
        <v>10249</v>
      </c>
      <c r="G2896" t="s">
        <v>34</v>
      </c>
      <c r="H2896" t="s">
        <v>2593</v>
      </c>
      <c r="I2896" t="s">
        <v>10250</v>
      </c>
      <c r="J2896" t="s">
        <v>38</v>
      </c>
      <c r="K2896" t="s">
        <v>37</v>
      </c>
      <c r="L2896" t="s">
        <v>39</v>
      </c>
      <c r="M2896" t="s">
        <v>775</v>
      </c>
      <c r="N2896" t="s">
        <v>775</v>
      </c>
      <c r="O2896" t="s">
        <v>121</v>
      </c>
      <c r="P2896" t="s">
        <v>38</v>
      </c>
      <c r="Q2896" t="s">
        <v>38</v>
      </c>
      <c r="R2896" t="s">
        <v>39</v>
      </c>
      <c r="S2896" t="s">
        <v>41</v>
      </c>
      <c r="T2896" t="s">
        <v>9312</v>
      </c>
      <c r="U2896" t="s">
        <v>9313</v>
      </c>
      <c r="V2896" t="s">
        <v>9093</v>
      </c>
      <c r="W2896" t="s">
        <v>9131</v>
      </c>
      <c r="X2896" t="s">
        <v>46</v>
      </c>
      <c r="AC2896">
        <f>COUNTIF(C:C,QLKV_gui_ket_qua_ra_soat[[#This Row],[Mã điểm bán]])</f>
        <v>1</v>
      </c>
    </row>
    <row r="2897" spans="1:29" x14ac:dyDescent="0.45">
      <c r="A2897" t="s">
        <v>9088</v>
      </c>
      <c r="B2897">
        <v>2946</v>
      </c>
      <c r="C2897" t="s">
        <v>10251</v>
      </c>
      <c r="D2897" t="s">
        <v>10252</v>
      </c>
      <c r="E2897" t="s">
        <v>6418</v>
      </c>
      <c r="F2897" t="s">
        <v>884</v>
      </c>
      <c r="G2897" t="s">
        <v>34</v>
      </c>
      <c r="H2897" t="s">
        <v>685</v>
      </c>
      <c r="I2897" t="s">
        <v>10253</v>
      </c>
      <c r="J2897" t="s">
        <v>38</v>
      </c>
      <c r="K2897" t="s">
        <v>38</v>
      </c>
      <c r="L2897" t="s">
        <v>40</v>
      </c>
      <c r="M2897" t="s">
        <v>38</v>
      </c>
      <c r="N2897" t="s">
        <v>38</v>
      </c>
      <c r="O2897" t="s">
        <v>40</v>
      </c>
      <c r="P2897" t="s">
        <v>38</v>
      </c>
      <c r="Q2897" t="s">
        <v>38</v>
      </c>
      <c r="R2897" t="s">
        <v>40</v>
      </c>
      <c r="S2897" t="s">
        <v>4834</v>
      </c>
      <c r="T2897" t="s">
        <v>9129</v>
      </c>
      <c r="U2897" t="s">
        <v>9130</v>
      </c>
      <c r="V2897" t="s">
        <v>9093</v>
      </c>
      <c r="W2897" t="s">
        <v>9131</v>
      </c>
      <c r="X2897" t="s">
        <v>46</v>
      </c>
      <c r="AC2897">
        <f>COUNTIF(C:C,QLKV_gui_ket_qua_ra_soat[[#This Row],[Mã điểm bán]])</f>
        <v>1</v>
      </c>
    </row>
    <row r="2898" spans="1:29" x14ac:dyDescent="0.45">
      <c r="A2898" t="s">
        <v>9088</v>
      </c>
      <c r="B2898">
        <v>2958</v>
      </c>
      <c r="C2898" t="s">
        <v>10254</v>
      </c>
      <c r="D2898" t="s">
        <v>2585</v>
      </c>
      <c r="E2898" t="s">
        <v>2282</v>
      </c>
      <c r="F2898" t="s">
        <v>10255</v>
      </c>
      <c r="G2898" t="s">
        <v>34</v>
      </c>
      <c r="H2898" t="s">
        <v>54</v>
      </c>
      <c r="I2898" t="s">
        <v>10256</v>
      </c>
      <c r="J2898" t="s">
        <v>37</v>
      </c>
      <c r="K2898" t="s">
        <v>38</v>
      </c>
      <c r="L2898" t="s">
        <v>40</v>
      </c>
      <c r="M2898" t="s">
        <v>38</v>
      </c>
      <c r="N2898" t="s">
        <v>38</v>
      </c>
      <c r="O2898" t="s">
        <v>39</v>
      </c>
      <c r="P2898" t="s">
        <v>38</v>
      </c>
      <c r="Q2898" t="s">
        <v>38</v>
      </c>
      <c r="R2898" t="s">
        <v>40</v>
      </c>
      <c r="S2898" t="s">
        <v>41</v>
      </c>
      <c r="T2898" t="s">
        <v>9142</v>
      </c>
      <c r="U2898" t="s">
        <v>9143</v>
      </c>
      <c r="V2898" t="s">
        <v>9093</v>
      </c>
      <c r="W2898" t="s">
        <v>2978</v>
      </c>
      <c r="Z2898" t="s">
        <v>46</v>
      </c>
      <c r="AA2898" t="s">
        <v>9095</v>
      </c>
      <c r="AB2898" t="s">
        <v>117</v>
      </c>
      <c r="AC2898">
        <f>COUNTIF(C:C,QLKV_gui_ket_qua_ra_soat[[#This Row],[Mã điểm bán]])</f>
        <v>1</v>
      </c>
    </row>
    <row r="2899" spans="1:29" x14ac:dyDescent="0.45">
      <c r="A2899" t="s">
        <v>9088</v>
      </c>
      <c r="B2899">
        <v>2963</v>
      </c>
      <c r="C2899" t="s">
        <v>10257</v>
      </c>
      <c r="D2899" t="s">
        <v>10258</v>
      </c>
      <c r="E2899" t="s">
        <v>113</v>
      </c>
      <c r="F2899" t="s">
        <v>53</v>
      </c>
      <c r="G2899" t="s">
        <v>177</v>
      </c>
      <c r="H2899" t="s">
        <v>214</v>
      </c>
      <c r="I2899" t="s">
        <v>8348</v>
      </c>
      <c r="J2899" t="s">
        <v>38</v>
      </c>
      <c r="K2899" t="s">
        <v>37</v>
      </c>
      <c r="L2899" t="s">
        <v>39</v>
      </c>
      <c r="M2899" t="s">
        <v>38</v>
      </c>
      <c r="N2899" t="s">
        <v>38</v>
      </c>
      <c r="O2899" t="s">
        <v>40</v>
      </c>
      <c r="P2899" t="s">
        <v>38</v>
      </c>
      <c r="Q2899" t="s">
        <v>38</v>
      </c>
      <c r="R2899" t="s">
        <v>40</v>
      </c>
      <c r="S2899" t="s">
        <v>10259</v>
      </c>
      <c r="T2899" t="s">
        <v>9129</v>
      </c>
      <c r="U2899" t="s">
        <v>9130</v>
      </c>
      <c r="V2899" t="s">
        <v>9093</v>
      </c>
      <c r="W2899" t="s">
        <v>9131</v>
      </c>
      <c r="X2899" t="s">
        <v>46</v>
      </c>
      <c r="AC2899">
        <f>COUNTIF(C:C,QLKV_gui_ket_qua_ra_soat[[#This Row],[Mã điểm bán]])</f>
        <v>1</v>
      </c>
    </row>
    <row r="2900" spans="1:29" x14ac:dyDescent="0.45">
      <c r="A2900" t="s">
        <v>9088</v>
      </c>
      <c r="B2900">
        <v>2965</v>
      </c>
      <c r="C2900" t="s">
        <v>10260</v>
      </c>
      <c r="D2900" t="s">
        <v>10261</v>
      </c>
      <c r="E2900" t="s">
        <v>10262</v>
      </c>
      <c r="F2900" t="s">
        <v>53</v>
      </c>
      <c r="G2900" t="s">
        <v>177</v>
      </c>
      <c r="H2900" t="s">
        <v>1280</v>
      </c>
      <c r="I2900" t="s">
        <v>10263</v>
      </c>
      <c r="J2900" t="s">
        <v>38</v>
      </c>
      <c r="K2900" t="s">
        <v>38</v>
      </c>
      <c r="L2900" t="s">
        <v>39</v>
      </c>
      <c r="M2900" t="s">
        <v>37</v>
      </c>
      <c r="N2900" t="s">
        <v>38</v>
      </c>
      <c r="O2900" t="s">
        <v>39</v>
      </c>
      <c r="P2900" t="s">
        <v>38</v>
      </c>
      <c r="Q2900" t="s">
        <v>38</v>
      </c>
      <c r="R2900" t="s">
        <v>40</v>
      </c>
      <c r="S2900" t="s">
        <v>2992</v>
      </c>
      <c r="T2900" t="s">
        <v>9648</v>
      </c>
      <c r="U2900" t="s">
        <v>9649</v>
      </c>
      <c r="V2900" t="s">
        <v>9093</v>
      </c>
      <c r="W2900" t="s">
        <v>9101</v>
      </c>
      <c r="Z2900" t="s">
        <v>46</v>
      </c>
      <c r="AA2900" t="s">
        <v>9095</v>
      </c>
      <c r="AC2900">
        <f>COUNTIF(C:C,QLKV_gui_ket_qua_ra_soat[[#This Row],[Mã điểm bán]])</f>
        <v>1</v>
      </c>
    </row>
    <row r="2901" spans="1:29" x14ac:dyDescent="0.45">
      <c r="A2901" t="s">
        <v>9088</v>
      </c>
      <c r="B2901">
        <v>2967</v>
      </c>
      <c r="C2901" t="s">
        <v>10264</v>
      </c>
      <c r="D2901" t="s">
        <v>10265</v>
      </c>
      <c r="E2901" t="s">
        <v>10266</v>
      </c>
      <c r="F2901" t="s">
        <v>53</v>
      </c>
      <c r="G2901" t="s">
        <v>34</v>
      </c>
      <c r="H2901" t="s">
        <v>54</v>
      </c>
      <c r="I2901" t="s">
        <v>10267</v>
      </c>
      <c r="J2901" t="s">
        <v>38</v>
      </c>
      <c r="K2901" t="s">
        <v>38</v>
      </c>
      <c r="L2901" t="s">
        <v>40</v>
      </c>
      <c r="M2901" t="s">
        <v>38</v>
      </c>
      <c r="N2901" t="s">
        <v>38</v>
      </c>
      <c r="O2901" t="s">
        <v>40</v>
      </c>
      <c r="P2901" t="s">
        <v>38</v>
      </c>
      <c r="Q2901" t="s">
        <v>38</v>
      </c>
      <c r="R2901" t="s">
        <v>40</v>
      </c>
      <c r="S2901" t="s">
        <v>10268</v>
      </c>
      <c r="T2901" t="s">
        <v>9298</v>
      </c>
      <c r="U2901" t="s">
        <v>9299</v>
      </c>
      <c r="V2901" t="s">
        <v>9093</v>
      </c>
      <c r="W2901" t="s">
        <v>2978</v>
      </c>
      <c r="Z2901" t="s">
        <v>46</v>
      </c>
      <c r="AA2901" t="s">
        <v>9160</v>
      </c>
      <c r="AC2901">
        <f>COUNTIF(C:C,QLKV_gui_ket_qua_ra_soat[[#This Row],[Mã điểm bán]])</f>
        <v>1</v>
      </c>
    </row>
    <row r="2902" spans="1:29" x14ac:dyDescent="0.45">
      <c r="A2902" t="s">
        <v>9088</v>
      </c>
      <c r="B2902">
        <v>2969</v>
      </c>
      <c r="C2902" t="s">
        <v>10269</v>
      </c>
      <c r="D2902" t="s">
        <v>10270</v>
      </c>
      <c r="E2902" t="s">
        <v>7000</v>
      </c>
      <c r="F2902" t="s">
        <v>417</v>
      </c>
      <c r="G2902" t="s">
        <v>34</v>
      </c>
      <c r="H2902" t="s">
        <v>54</v>
      </c>
      <c r="I2902" t="s">
        <v>10000</v>
      </c>
      <c r="J2902" t="s">
        <v>38</v>
      </c>
      <c r="K2902" t="s">
        <v>37</v>
      </c>
      <c r="L2902" t="s">
        <v>39</v>
      </c>
      <c r="M2902" t="s">
        <v>38</v>
      </c>
      <c r="N2902" t="s">
        <v>38</v>
      </c>
      <c r="O2902" t="s">
        <v>39</v>
      </c>
      <c r="P2902" t="s">
        <v>38</v>
      </c>
      <c r="Q2902" t="s">
        <v>38</v>
      </c>
      <c r="R2902" t="s">
        <v>39</v>
      </c>
      <c r="S2902" t="s">
        <v>10271</v>
      </c>
      <c r="T2902" t="s">
        <v>9129</v>
      </c>
      <c r="U2902" t="s">
        <v>9130</v>
      </c>
      <c r="V2902" t="s">
        <v>9093</v>
      </c>
      <c r="W2902" t="s">
        <v>9131</v>
      </c>
      <c r="X2902" t="s">
        <v>46</v>
      </c>
      <c r="AC2902">
        <f>COUNTIF(C:C,QLKV_gui_ket_qua_ra_soat[[#This Row],[Mã điểm bán]])</f>
        <v>1</v>
      </c>
    </row>
    <row r="2903" spans="1:29" x14ac:dyDescent="0.45">
      <c r="A2903" t="s">
        <v>9088</v>
      </c>
      <c r="B2903">
        <v>2971</v>
      </c>
      <c r="C2903" t="s">
        <v>10272</v>
      </c>
      <c r="D2903" t="s">
        <v>10273</v>
      </c>
      <c r="E2903" t="s">
        <v>10274</v>
      </c>
      <c r="F2903" t="s">
        <v>2196</v>
      </c>
      <c r="G2903" t="s">
        <v>177</v>
      </c>
      <c r="H2903" t="s">
        <v>214</v>
      </c>
      <c r="I2903" t="s">
        <v>10275</v>
      </c>
      <c r="J2903" t="s">
        <v>38</v>
      </c>
      <c r="K2903" t="s">
        <v>38</v>
      </c>
      <c r="L2903" t="s">
        <v>40</v>
      </c>
      <c r="M2903" t="s">
        <v>38</v>
      </c>
      <c r="N2903" t="s">
        <v>37</v>
      </c>
      <c r="O2903" t="s">
        <v>39</v>
      </c>
      <c r="P2903" t="s">
        <v>38</v>
      </c>
      <c r="Q2903" t="s">
        <v>38</v>
      </c>
      <c r="R2903" t="s">
        <v>40</v>
      </c>
      <c r="S2903" t="s">
        <v>10276</v>
      </c>
      <c r="T2903" t="s">
        <v>9298</v>
      </c>
      <c r="U2903" t="s">
        <v>9299</v>
      </c>
      <c r="V2903" t="s">
        <v>9093</v>
      </c>
      <c r="W2903" t="s">
        <v>2978</v>
      </c>
      <c r="Z2903" t="s">
        <v>46</v>
      </c>
      <c r="AA2903" t="s">
        <v>9095</v>
      </c>
      <c r="AC2903">
        <f>COUNTIF(C:C,QLKV_gui_ket_qua_ra_soat[[#This Row],[Mã điểm bán]])</f>
        <v>1</v>
      </c>
    </row>
    <row r="2904" spans="1:29" x14ac:dyDescent="0.45">
      <c r="A2904" t="s">
        <v>9088</v>
      </c>
      <c r="B2904">
        <v>3000</v>
      </c>
      <c r="C2904" t="s">
        <v>10277</v>
      </c>
      <c r="D2904" t="s">
        <v>10278</v>
      </c>
      <c r="E2904" t="s">
        <v>269</v>
      </c>
      <c r="F2904" t="s">
        <v>53</v>
      </c>
      <c r="G2904" t="s">
        <v>177</v>
      </c>
      <c r="H2904" t="s">
        <v>54</v>
      </c>
      <c r="I2904" t="s">
        <v>4639</v>
      </c>
      <c r="J2904" t="s">
        <v>38</v>
      </c>
      <c r="K2904" t="s">
        <v>38</v>
      </c>
      <c r="L2904" t="s">
        <v>40</v>
      </c>
      <c r="M2904" t="s">
        <v>38</v>
      </c>
      <c r="N2904" t="s">
        <v>38</v>
      </c>
      <c r="O2904" t="s">
        <v>40</v>
      </c>
      <c r="P2904" t="s">
        <v>38</v>
      </c>
      <c r="Q2904" t="s">
        <v>38</v>
      </c>
      <c r="R2904" t="s">
        <v>40</v>
      </c>
      <c r="S2904" t="s">
        <v>5662</v>
      </c>
      <c r="T2904" t="s">
        <v>9158</v>
      </c>
      <c r="U2904" t="s">
        <v>9159</v>
      </c>
      <c r="V2904" t="s">
        <v>9093</v>
      </c>
      <c r="W2904" t="s">
        <v>2978</v>
      </c>
      <c r="X2904" t="s">
        <v>46</v>
      </c>
      <c r="AC2904">
        <f>COUNTIF(C:C,QLKV_gui_ket_qua_ra_soat[[#This Row],[Mã điểm bán]])</f>
        <v>1</v>
      </c>
    </row>
    <row r="2905" spans="1:29" x14ac:dyDescent="0.45">
      <c r="A2905" t="s">
        <v>9088</v>
      </c>
      <c r="B2905">
        <v>3009</v>
      </c>
      <c r="C2905" t="s">
        <v>10279</v>
      </c>
      <c r="D2905" t="s">
        <v>7462</v>
      </c>
      <c r="E2905" t="s">
        <v>2876</v>
      </c>
      <c r="F2905" t="s">
        <v>1871</v>
      </c>
      <c r="G2905" t="s">
        <v>34</v>
      </c>
      <c r="H2905" t="s">
        <v>54</v>
      </c>
      <c r="I2905" t="s">
        <v>10280</v>
      </c>
      <c r="J2905" t="s">
        <v>38</v>
      </c>
      <c r="K2905" t="s">
        <v>38</v>
      </c>
      <c r="L2905" t="s">
        <v>40</v>
      </c>
      <c r="M2905" t="s">
        <v>38</v>
      </c>
      <c r="N2905" t="s">
        <v>38</v>
      </c>
      <c r="O2905" t="s">
        <v>40</v>
      </c>
      <c r="P2905" t="s">
        <v>38</v>
      </c>
      <c r="Q2905" t="s">
        <v>38</v>
      </c>
      <c r="R2905" t="s">
        <v>40</v>
      </c>
      <c r="S2905" t="s">
        <v>41</v>
      </c>
      <c r="T2905" t="s">
        <v>9158</v>
      </c>
      <c r="U2905" t="s">
        <v>9159</v>
      </c>
      <c r="V2905" t="s">
        <v>9093</v>
      </c>
      <c r="W2905" t="s">
        <v>2978</v>
      </c>
      <c r="Z2905" t="s">
        <v>46</v>
      </c>
      <c r="AA2905" t="s">
        <v>9160</v>
      </c>
      <c r="AB2905" t="s">
        <v>3012</v>
      </c>
      <c r="AC2905">
        <f>COUNTIF(C:C,QLKV_gui_ket_qua_ra_soat[[#This Row],[Mã điểm bán]])</f>
        <v>1</v>
      </c>
    </row>
    <row r="2906" spans="1:29" x14ac:dyDescent="0.45">
      <c r="A2906" t="s">
        <v>9088</v>
      </c>
      <c r="B2906">
        <v>3017</v>
      </c>
      <c r="C2906" t="s">
        <v>10281</v>
      </c>
      <c r="D2906" t="s">
        <v>10282</v>
      </c>
      <c r="E2906" t="s">
        <v>10283</v>
      </c>
      <c r="F2906" t="s">
        <v>2432</v>
      </c>
      <c r="G2906" t="s">
        <v>177</v>
      </c>
      <c r="H2906" t="s">
        <v>214</v>
      </c>
      <c r="I2906" t="s">
        <v>10284</v>
      </c>
      <c r="J2906" t="s">
        <v>38</v>
      </c>
      <c r="K2906" t="s">
        <v>38</v>
      </c>
      <c r="L2906" t="s">
        <v>40</v>
      </c>
      <c r="M2906" t="s">
        <v>38</v>
      </c>
      <c r="N2906" t="s">
        <v>38</v>
      </c>
      <c r="O2906" t="s">
        <v>40</v>
      </c>
      <c r="P2906" t="s">
        <v>38</v>
      </c>
      <c r="Q2906" t="s">
        <v>38</v>
      </c>
      <c r="R2906" t="s">
        <v>40</v>
      </c>
      <c r="S2906" t="s">
        <v>10285</v>
      </c>
      <c r="T2906" t="s">
        <v>9298</v>
      </c>
      <c r="U2906" t="s">
        <v>9299</v>
      </c>
      <c r="V2906" t="s">
        <v>9093</v>
      </c>
      <c r="W2906" t="s">
        <v>2978</v>
      </c>
      <c r="Z2906" t="s">
        <v>46</v>
      </c>
      <c r="AA2906" t="s">
        <v>9160</v>
      </c>
      <c r="AC2906">
        <f>COUNTIF(C:C,QLKV_gui_ket_qua_ra_soat[[#This Row],[Mã điểm bán]])</f>
        <v>1</v>
      </c>
    </row>
    <row r="2907" spans="1:29" x14ac:dyDescent="0.45">
      <c r="A2907" t="s">
        <v>9088</v>
      </c>
      <c r="B2907">
        <v>3021</v>
      </c>
      <c r="C2907" t="s">
        <v>10286</v>
      </c>
      <c r="D2907" t="s">
        <v>10287</v>
      </c>
      <c r="E2907" t="s">
        <v>9617</v>
      </c>
      <c r="F2907" t="s">
        <v>53</v>
      </c>
      <c r="G2907" t="s">
        <v>177</v>
      </c>
      <c r="H2907" t="s">
        <v>54</v>
      </c>
      <c r="I2907" t="s">
        <v>9839</v>
      </c>
      <c r="J2907" t="s">
        <v>38</v>
      </c>
      <c r="K2907" t="s">
        <v>38</v>
      </c>
      <c r="L2907" t="s">
        <v>40</v>
      </c>
      <c r="M2907" t="s">
        <v>38</v>
      </c>
      <c r="N2907" t="s">
        <v>38</v>
      </c>
      <c r="O2907" t="s">
        <v>40</v>
      </c>
      <c r="P2907" t="s">
        <v>38</v>
      </c>
      <c r="Q2907" t="s">
        <v>38</v>
      </c>
      <c r="R2907" t="s">
        <v>40</v>
      </c>
      <c r="S2907" t="s">
        <v>5662</v>
      </c>
      <c r="T2907" t="s">
        <v>9158</v>
      </c>
      <c r="U2907" t="s">
        <v>9159</v>
      </c>
      <c r="V2907" t="s">
        <v>9093</v>
      </c>
      <c r="W2907" t="s">
        <v>2978</v>
      </c>
      <c r="X2907" t="s">
        <v>46</v>
      </c>
      <c r="AC2907">
        <f>COUNTIF(C:C,QLKV_gui_ket_qua_ra_soat[[#This Row],[Mã điểm bán]])</f>
        <v>1</v>
      </c>
    </row>
    <row r="2908" spans="1:29" x14ac:dyDescent="0.45">
      <c r="A2908" t="s">
        <v>9088</v>
      </c>
      <c r="B2908">
        <v>3031</v>
      </c>
      <c r="C2908" t="s">
        <v>10288</v>
      </c>
      <c r="D2908" t="s">
        <v>10289</v>
      </c>
      <c r="E2908" t="s">
        <v>10290</v>
      </c>
      <c r="F2908" t="s">
        <v>10291</v>
      </c>
      <c r="G2908" t="s">
        <v>34</v>
      </c>
      <c r="H2908" t="s">
        <v>214</v>
      </c>
      <c r="I2908" t="s">
        <v>10292</v>
      </c>
      <c r="J2908" t="s">
        <v>38</v>
      </c>
      <c r="K2908" t="s">
        <v>38</v>
      </c>
      <c r="L2908" t="s">
        <v>40</v>
      </c>
      <c r="M2908" t="s">
        <v>38</v>
      </c>
      <c r="N2908" t="s">
        <v>38</v>
      </c>
      <c r="O2908" t="s">
        <v>40</v>
      </c>
      <c r="P2908" t="s">
        <v>38</v>
      </c>
      <c r="Q2908" t="s">
        <v>38</v>
      </c>
      <c r="R2908" t="s">
        <v>40</v>
      </c>
      <c r="S2908" t="s">
        <v>10293</v>
      </c>
      <c r="T2908" t="s">
        <v>9298</v>
      </c>
      <c r="U2908" t="s">
        <v>9299</v>
      </c>
      <c r="V2908" t="s">
        <v>9093</v>
      </c>
      <c r="W2908" t="s">
        <v>2978</v>
      </c>
      <c r="Z2908" t="s">
        <v>46</v>
      </c>
      <c r="AA2908" t="s">
        <v>9263</v>
      </c>
      <c r="AC2908">
        <f>COUNTIF(C:C,QLKV_gui_ket_qua_ra_soat[[#This Row],[Mã điểm bán]])</f>
        <v>1</v>
      </c>
    </row>
    <row r="2909" spans="1:29" x14ac:dyDescent="0.45">
      <c r="A2909" t="s">
        <v>9088</v>
      </c>
      <c r="B2909">
        <v>3034</v>
      </c>
      <c r="C2909" t="s">
        <v>10294</v>
      </c>
      <c r="D2909" t="s">
        <v>10295</v>
      </c>
      <c r="E2909" t="s">
        <v>9908</v>
      </c>
      <c r="F2909" t="s">
        <v>53</v>
      </c>
      <c r="G2909" t="s">
        <v>34</v>
      </c>
      <c r="H2909" t="s">
        <v>54</v>
      </c>
      <c r="I2909" t="s">
        <v>4639</v>
      </c>
      <c r="J2909" t="s">
        <v>38</v>
      </c>
      <c r="K2909" t="s">
        <v>38</v>
      </c>
      <c r="L2909" t="s">
        <v>40</v>
      </c>
      <c r="M2909" t="s">
        <v>38</v>
      </c>
      <c r="N2909" t="s">
        <v>38</v>
      </c>
      <c r="O2909" t="s">
        <v>40</v>
      </c>
      <c r="P2909" t="s">
        <v>38</v>
      </c>
      <c r="Q2909" t="s">
        <v>38</v>
      </c>
      <c r="R2909" t="s">
        <v>40</v>
      </c>
      <c r="S2909" t="s">
        <v>41</v>
      </c>
      <c r="T2909" t="s">
        <v>9158</v>
      </c>
      <c r="U2909" t="s">
        <v>9159</v>
      </c>
      <c r="V2909" t="s">
        <v>9093</v>
      </c>
      <c r="W2909" t="s">
        <v>2978</v>
      </c>
      <c r="X2909" t="s">
        <v>46</v>
      </c>
      <c r="AC2909">
        <f>COUNTIF(C:C,QLKV_gui_ket_qua_ra_soat[[#This Row],[Mã điểm bán]])</f>
        <v>1</v>
      </c>
    </row>
    <row r="2910" spans="1:29" x14ac:dyDescent="0.45">
      <c r="A2910" t="s">
        <v>9088</v>
      </c>
      <c r="B2910">
        <v>3042</v>
      </c>
      <c r="C2910" t="s">
        <v>10296</v>
      </c>
      <c r="D2910" t="s">
        <v>10297</v>
      </c>
      <c r="E2910" t="s">
        <v>296</v>
      </c>
      <c r="F2910" t="s">
        <v>53</v>
      </c>
      <c r="G2910" t="s">
        <v>34</v>
      </c>
      <c r="H2910" t="s">
        <v>214</v>
      </c>
      <c r="I2910" t="s">
        <v>10298</v>
      </c>
      <c r="J2910" t="s">
        <v>38</v>
      </c>
      <c r="K2910" t="s">
        <v>38</v>
      </c>
      <c r="L2910" t="s">
        <v>40</v>
      </c>
      <c r="M2910" t="s">
        <v>38</v>
      </c>
      <c r="N2910" t="s">
        <v>38</v>
      </c>
      <c r="O2910" t="s">
        <v>40</v>
      </c>
      <c r="P2910" t="s">
        <v>38</v>
      </c>
      <c r="Q2910" t="s">
        <v>38</v>
      </c>
      <c r="R2910" t="s">
        <v>40</v>
      </c>
      <c r="S2910" t="s">
        <v>41</v>
      </c>
      <c r="T2910" t="s">
        <v>9158</v>
      </c>
      <c r="U2910" t="s">
        <v>9159</v>
      </c>
      <c r="V2910" t="s">
        <v>9093</v>
      </c>
      <c r="W2910" t="s">
        <v>2978</v>
      </c>
      <c r="Z2910" t="s">
        <v>46</v>
      </c>
      <c r="AA2910" t="s">
        <v>9160</v>
      </c>
      <c r="AC2910">
        <f>COUNTIF(C:C,QLKV_gui_ket_qua_ra_soat[[#This Row],[Mã điểm bán]])</f>
        <v>1</v>
      </c>
    </row>
    <row r="2911" spans="1:29" x14ac:dyDescent="0.45">
      <c r="A2911" t="s">
        <v>9088</v>
      </c>
      <c r="B2911">
        <v>3045</v>
      </c>
      <c r="C2911" t="s">
        <v>10299</v>
      </c>
      <c r="D2911" t="s">
        <v>10300</v>
      </c>
      <c r="E2911" t="s">
        <v>5884</v>
      </c>
      <c r="F2911" t="s">
        <v>3264</v>
      </c>
      <c r="G2911" t="s">
        <v>34</v>
      </c>
      <c r="H2911" t="s">
        <v>5951</v>
      </c>
      <c r="I2911" t="s">
        <v>10301</v>
      </c>
      <c r="J2911" t="s">
        <v>37</v>
      </c>
      <c r="K2911" t="s">
        <v>37</v>
      </c>
      <c r="L2911" t="s">
        <v>39</v>
      </c>
      <c r="M2911" t="s">
        <v>38</v>
      </c>
      <c r="N2911" t="s">
        <v>37</v>
      </c>
      <c r="O2911" t="s">
        <v>39</v>
      </c>
      <c r="P2911" t="s">
        <v>38</v>
      </c>
      <c r="Q2911" t="s">
        <v>38</v>
      </c>
      <c r="R2911" t="s">
        <v>40</v>
      </c>
      <c r="S2911" t="s">
        <v>41</v>
      </c>
      <c r="T2911" t="s">
        <v>9147</v>
      </c>
      <c r="U2911" t="s">
        <v>9148</v>
      </c>
      <c r="V2911" t="s">
        <v>9093</v>
      </c>
      <c r="W2911" t="s">
        <v>9094</v>
      </c>
      <c r="Z2911" t="s">
        <v>46</v>
      </c>
      <c r="AA2911" t="s">
        <v>9263</v>
      </c>
      <c r="AC2911">
        <f>COUNTIF(C:C,QLKV_gui_ket_qua_ra_soat[[#This Row],[Mã điểm bán]])</f>
        <v>1</v>
      </c>
    </row>
    <row r="2912" spans="1:29" x14ac:dyDescent="0.45">
      <c r="A2912" t="s">
        <v>9088</v>
      </c>
      <c r="B2912">
        <v>3063</v>
      </c>
      <c r="C2912" t="s">
        <v>10302</v>
      </c>
      <c r="D2912" t="s">
        <v>10303</v>
      </c>
      <c r="E2912" t="s">
        <v>10304</v>
      </c>
      <c r="F2912" t="s">
        <v>10305</v>
      </c>
      <c r="G2912" t="s">
        <v>34</v>
      </c>
      <c r="H2912" t="s">
        <v>214</v>
      </c>
      <c r="I2912" t="s">
        <v>10306</v>
      </c>
      <c r="J2912" t="s">
        <v>38</v>
      </c>
      <c r="K2912" t="s">
        <v>38</v>
      </c>
      <c r="L2912" t="s">
        <v>40</v>
      </c>
      <c r="M2912" t="s">
        <v>38</v>
      </c>
      <c r="N2912" t="s">
        <v>38</v>
      </c>
      <c r="O2912" t="s">
        <v>39</v>
      </c>
      <c r="P2912" t="s">
        <v>38</v>
      </c>
      <c r="Q2912" t="s">
        <v>38</v>
      </c>
      <c r="R2912" t="s">
        <v>40</v>
      </c>
      <c r="S2912" t="s">
        <v>10307</v>
      </c>
      <c r="T2912" t="s">
        <v>9298</v>
      </c>
      <c r="U2912" t="s">
        <v>9299</v>
      </c>
      <c r="V2912" t="s">
        <v>9093</v>
      </c>
      <c r="W2912" t="s">
        <v>2978</v>
      </c>
      <c r="Z2912" t="s">
        <v>46</v>
      </c>
      <c r="AA2912" t="s">
        <v>9160</v>
      </c>
      <c r="AC2912">
        <f>COUNTIF(C:C,QLKV_gui_ket_qua_ra_soat[[#This Row],[Mã điểm bán]])</f>
        <v>1</v>
      </c>
    </row>
    <row r="2913" spans="1:29" x14ac:dyDescent="0.45">
      <c r="A2913" t="s">
        <v>9088</v>
      </c>
      <c r="B2913">
        <v>3079</v>
      </c>
      <c r="C2913" t="s">
        <v>10308</v>
      </c>
      <c r="D2913" t="s">
        <v>7802</v>
      </c>
      <c r="E2913" t="s">
        <v>92</v>
      </c>
      <c r="F2913" t="s">
        <v>53</v>
      </c>
      <c r="G2913" t="s">
        <v>34</v>
      </c>
      <c r="H2913" t="s">
        <v>54</v>
      </c>
      <c r="I2913" t="s">
        <v>489</v>
      </c>
      <c r="J2913" t="s">
        <v>38</v>
      </c>
      <c r="K2913" t="s">
        <v>37</v>
      </c>
      <c r="L2913" t="s">
        <v>39</v>
      </c>
      <c r="M2913" t="s">
        <v>38</v>
      </c>
      <c r="N2913" t="s">
        <v>37</v>
      </c>
      <c r="O2913" t="s">
        <v>39</v>
      </c>
      <c r="P2913" t="s">
        <v>38</v>
      </c>
      <c r="Q2913" t="s">
        <v>38</v>
      </c>
      <c r="R2913" t="s">
        <v>40</v>
      </c>
      <c r="S2913" t="s">
        <v>41</v>
      </c>
      <c r="T2913" t="s">
        <v>9147</v>
      </c>
      <c r="U2913" t="s">
        <v>9148</v>
      </c>
      <c r="V2913" t="s">
        <v>9093</v>
      </c>
      <c r="W2913" t="s">
        <v>9094</v>
      </c>
      <c r="X2913" t="s">
        <v>46</v>
      </c>
      <c r="AC2913">
        <f>COUNTIF(C:C,QLKV_gui_ket_qua_ra_soat[[#This Row],[Mã điểm bán]])</f>
        <v>1</v>
      </c>
    </row>
    <row r="2914" spans="1:29" x14ac:dyDescent="0.45">
      <c r="A2914" t="s">
        <v>9088</v>
      </c>
      <c r="B2914">
        <v>3113</v>
      </c>
      <c r="C2914" t="s">
        <v>10309</v>
      </c>
      <c r="D2914" t="s">
        <v>10310</v>
      </c>
      <c r="E2914" t="s">
        <v>967</v>
      </c>
      <c r="F2914" t="s">
        <v>930</v>
      </c>
      <c r="G2914" t="s">
        <v>34</v>
      </c>
      <c r="H2914" t="s">
        <v>54</v>
      </c>
      <c r="I2914" t="s">
        <v>10311</v>
      </c>
      <c r="J2914" t="s">
        <v>38</v>
      </c>
      <c r="K2914" t="s">
        <v>38</v>
      </c>
      <c r="L2914" t="s">
        <v>40</v>
      </c>
      <c r="M2914" t="s">
        <v>38</v>
      </c>
      <c r="N2914" t="s">
        <v>38</v>
      </c>
      <c r="O2914" t="s">
        <v>40</v>
      </c>
      <c r="P2914" t="s">
        <v>38</v>
      </c>
      <c r="Q2914" t="s">
        <v>38</v>
      </c>
      <c r="R2914" t="s">
        <v>40</v>
      </c>
      <c r="S2914" t="s">
        <v>10312</v>
      </c>
      <c r="T2914" t="s">
        <v>9298</v>
      </c>
      <c r="U2914" t="s">
        <v>9299</v>
      </c>
      <c r="V2914" t="s">
        <v>9093</v>
      </c>
      <c r="W2914" t="s">
        <v>2978</v>
      </c>
      <c r="Z2914" t="s">
        <v>46</v>
      </c>
      <c r="AA2914" t="s">
        <v>9160</v>
      </c>
      <c r="AC2914">
        <f>COUNTIF(C:C,QLKV_gui_ket_qua_ra_soat[[#This Row],[Mã điểm bán]])</f>
        <v>1</v>
      </c>
    </row>
    <row r="2915" spans="1:29" x14ac:dyDescent="0.45">
      <c r="A2915" t="s">
        <v>9088</v>
      </c>
      <c r="B2915">
        <v>3120</v>
      </c>
      <c r="C2915" t="s">
        <v>10313</v>
      </c>
      <c r="D2915" t="s">
        <v>10314</v>
      </c>
      <c r="E2915" t="s">
        <v>10315</v>
      </c>
      <c r="F2915" t="s">
        <v>934</v>
      </c>
      <c r="G2915" t="s">
        <v>177</v>
      </c>
      <c r="H2915" t="s">
        <v>356</v>
      </c>
      <c r="I2915" t="s">
        <v>10316</v>
      </c>
      <c r="J2915" t="s">
        <v>38</v>
      </c>
      <c r="K2915" t="s">
        <v>38</v>
      </c>
      <c r="L2915" t="s">
        <v>40</v>
      </c>
      <c r="M2915" t="s">
        <v>38</v>
      </c>
      <c r="N2915" t="s">
        <v>37</v>
      </c>
      <c r="O2915" t="s">
        <v>39</v>
      </c>
      <c r="P2915" t="s">
        <v>38</v>
      </c>
      <c r="Q2915" t="s">
        <v>38</v>
      </c>
      <c r="R2915" t="s">
        <v>40</v>
      </c>
      <c r="S2915" t="s">
        <v>10317</v>
      </c>
      <c r="T2915" t="s">
        <v>9298</v>
      </c>
      <c r="U2915" t="s">
        <v>9299</v>
      </c>
      <c r="V2915" t="s">
        <v>9093</v>
      </c>
      <c r="W2915" t="s">
        <v>2978</v>
      </c>
      <c r="Z2915" t="s">
        <v>46</v>
      </c>
      <c r="AA2915" t="s">
        <v>9160</v>
      </c>
      <c r="AC2915">
        <f>COUNTIF(C:C,QLKV_gui_ket_qua_ra_soat[[#This Row],[Mã điểm bán]])</f>
        <v>1</v>
      </c>
    </row>
    <row r="2916" spans="1:29" x14ac:dyDescent="0.45">
      <c r="A2916" t="s">
        <v>9088</v>
      </c>
      <c r="B2916">
        <v>3156</v>
      </c>
      <c r="C2916" t="s">
        <v>10318</v>
      </c>
      <c r="D2916" t="s">
        <v>10319</v>
      </c>
      <c r="E2916" t="s">
        <v>10320</v>
      </c>
      <c r="F2916" t="s">
        <v>417</v>
      </c>
      <c r="G2916" t="s">
        <v>177</v>
      </c>
      <c r="H2916" t="s">
        <v>546</v>
      </c>
      <c r="I2916" t="s">
        <v>10321</v>
      </c>
      <c r="J2916" t="s">
        <v>38</v>
      </c>
      <c r="K2916" t="s">
        <v>38</v>
      </c>
      <c r="L2916" t="s">
        <v>40</v>
      </c>
      <c r="M2916" t="s">
        <v>38</v>
      </c>
      <c r="N2916" t="s">
        <v>38</v>
      </c>
      <c r="O2916" t="s">
        <v>39</v>
      </c>
      <c r="P2916" t="s">
        <v>38</v>
      </c>
      <c r="Q2916" t="s">
        <v>38</v>
      </c>
      <c r="R2916" t="s">
        <v>39</v>
      </c>
      <c r="S2916" t="s">
        <v>10322</v>
      </c>
      <c r="T2916" t="s">
        <v>9298</v>
      </c>
      <c r="U2916" t="s">
        <v>9299</v>
      </c>
      <c r="V2916" t="s">
        <v>9093</v>
      </c>
      <c r="W2916" t="s">
        <v>2978</v>
      </c>
      <c r="Z2916" t="s">
        <v>46</v>
      </c>
      <c r="AA2916" t="s">
        <v>9160</v>
      </c>
      <c r="AC2916">
        <f>COUNTIF(C:C,QLKV_gui_ket_qua_ra_soat[[#This Row],[Mã điểm bán]])</f>
        <v>1</v>
      </c>
    </row>
    <row r="2917" spans="1:29" x14ac:dyDescent="0.45">
      <c r="A2917" t="s">
        <v>9088</v>
      </c>
      <c r="B2917">
        <v>3159</v>
      </c>
      <c r="C2917" t="s">
        <v>10323</v>
      </c>
      <c r="D2917" t="s">
        <v>10324</v>
      </c>
      <c r="E2917" t="s">
        <v>563</v>
      </c>
      <c r="F2917" t="s">
        <v>3932</v>
      </c>
      <c r="G2917" t="s">
        <v>34</v>
      </c>
      <c r="H2917" t="s">
        <v>1052</v>
      </c>
      <c r="I2917" t="s">
        <v>10325</v>
      </c>
      <c r="J2917" t="s">
        <v>37</v>
      </c>
      <c r="K2917" t="s">
        <v>37</v>
      </c>
      <c r="L2917" t="s">
        <v>39</v>
      </c>
      <c r="M2917" t="s">
        <v>38</v>
      </c>
      <c r="N2917" t="s">
        <v>38</v>
      </c>
      <c r="O2917" t="s">
        <v>39</v>
      </c>
      <c r="P2917" t="s">
        <v>38</v>
      </c>
      <c r="Q2917" t="s">
        <v>37</v>
      </c>
      <c r="R2917" t="s">
        <v>40</v>
      </c>
      <c r="S2917" t="s">
        <v>41</v>
      </c>
      <c r="T2917" t="s">
        <v>9147</v>
      </c>
      <c r="U2917" t="s">
        <v>9148</v>
      </c>
      <c r="V2917" t="s">
        <v>9093</v>
      </c>
      <c r="W2917" t="s">
        <v>9094</v>
      </c>
      <c r="X2917" t="s">
        <v>46</v>
      </c>
      <c r="AC2917">
        <f>COUNTIF(C:C,QLKV_gui_ket_qua_ra_soat[[#This Row],[Mã điểm bán]])</f>
        <v>1</v>
      </c>
    </row>
    <row r="2918" spans="1:29" x14ac:dyDescent="0.45">
      <c r="A2918" t="s">
        <v>9088</v>
      </c>
      <c r="B2918">
        <v>3165</v>
      </c>
      <c r="C2918" t="s">
        <v>10326</v>
      </c>
      <c r="D2918" t="s">
        <v>10327</v>
      </c>
      <c r="E2918" t="s">
        <v>98</v>
      </c>
      <c r="F2918" t="s">
        <v>3932</v>
      </c>
      <c r="G2918" t="s">
        <v>150</v>
      </c>
      <c r="H2918" t="s">
        <v>1177</v>
      </c>
      <c r="I2918" t="s">
        <v>10328</v>
      </c>
      <c r="J2918" t="s">
        <v>38</v>
      </c>
      <c r="K2918" t="s">
        <v>37</v>
      </c>
      <c r="L2918" t="s">
        <v>39</v>
      </c>
      <c r="M2918" t="s">
        <v>38</v>
      </c>
      <c r="N2918" t="s">
        <v>37</v>
      </c>
      <c r="O2918" t="s">
        <v>39</v>
      </c>
      <c r="P2918" t="s">
        <v>38</v>
      </c>
      <c r="Q2918" t="s">
        <v>38</v>
      </c>
      <c r="R2918" t="s">
        <v>40</v>
      </c>
      <c r="S2918" t="s">
        <v>41</v>
      </c>
      <c r="T2918" t="s">
        <v>9147</v>
      </c>
      <c r="U2918" t="s">
        <v>9148</v>
      </c>
      <c r="V2918" t="s">
        <v>9093</v>
      </c>
      <c r="W2918" t="s">
        <v>9094</v>
      </c>
      <c r="Z2918" t="s">
        <v>46</v>
      </c>
      <c r="AA2918" t="s">
        <v>9263</v>
      </c>
      <c r="AC2918">
        <f>COUNTIF(C:C,QLKV_gui_ket_qua_ra_soat[[#This Row],[Mã điểm bán]])</f>
        <v>1</v>
      </c>
    </row>
    <row r="2919" spans="1:29" x14ac:dyDescent="0.45">
      <c r="A2919" t="s">
        <v>9088</v>
      </c>
      <c r="B2919">
        <v>3193</v>
      </c>
      <c r="C2919" t="s">
        <v>10329</v>
      </c>
      <c r="D2919" t="s">
        <v>10330</v>
      </c>
      <c r="E2919" t="s">
        <v>10331</v>
      </c>
      <c r="F2919" t="s">
        <v>2365</v>
      </c>
      <c r="G2919" t="s">
        <v>177</v>
      </c>
      <c r="H2919" t="s">
        <v>697</v>
      </c>
      <c r="I2919" t="s">
        <v>10332</v>
      </c>
      <c r="J2919" t="s">
        <v>38</v>
      </c>
      <c r="K2919" t="s">
        <v>38</v>
      </c>
      <c r="L2919" t="s">
        <v>40</v>
      </c>
      <c r="M2919" t="s">
        <v>38</v>
      </c>
      <c r="N2919" t="s">
        <v>38</v>
      </c>
      <c r="O2919" t="s">
        <v>40</v>
      </c>
      <c r="P2919" t="s">
        <v>38</v>
      </c>
      <c r="Q2919" t="s">
        <v>38</v>
      </c>
      <c r="R2919" t="s">
        <v>40</v>
      </c>
      <c r="S2919" t="s">
        <v>10333</v>
      </c>
      <c r="T2919" t="s">
        <v>9298</v>
      </c>
      <c r="U2919" t="s">
        <v>9299</v>
      </c>
      <c r="V2919" t="s">
        <v>9093</v>
      </c>
      <c r="W2919" t="s">
        <v>2978</v>
      </c>
      <c r="X2919" t="s">
        <v>46</v>
      </c>
      <c r="AC2919">
        <f>COUNTIF(C:C,QLKV_gui_ket_qua_ra_soat[[#This Row],[Mã điểm bán]])</f>
        <v>1</v>
      </c>
    </row>
    <row r="2920" spans="1:29" x14ac:dyDescent="0.45">
      <c r="A2920" t="s">
        <v>9088</v>
      </c>
      <c r="B2920">
        <v>3200</v>
      </c>
      <c r="C2920" t="s">
        <v>10334</v>
      </c>
      <c r="D2920" t="s">
        <v>10335</v>
      </c>
      <c r="E2920" t="s">
        <v>10336</v>
      </c>
      <c r="F2920" t="s">
        <v>3522</v>
      </c>
      <c r="G2920" t="s">
        <v>34</v>
      </c>
      <c r="H2920" t="s">
        <v>1877</v>
      </c>
      <c r="I2920" t="s">
        <v>10337</v>
      </c>
      <c r="J2920" t="s">
        <v>38</v>
      </c>
      <c r="K2920" t="s">
        <v>38</v>
      </c>
      <c r="L2920" t="s">
        <v>40</v>
      </c>
      <c r="M2920" t="s">
        <v>38</v>
      </c>
      <c r="N2920" t="s">
        <v>38</v>
      </c>
      <c r="O2920" t="s">
        <v>39</v>
      </c>
      <c r="P2920" t="s">
        <v>38</v>
      </c>
      <c r="Q2920" t="s">
        <v>38</v>
      </c>
      <c r="R2920" t="s">
        <v>40</v>
      </c>
      <c r="S2920" t="s">
        <v>10338</v>
      </c>
      <c r="T2920" t="s">
        <v>9298</v>
      </c>
      <c r="U2920" t="s">
        <v>9299</v>
      </c>
      <c r="V2920" t="s">
        <v>9093</v>
      </c>
      <c r="W2920" t="s">
        <v>2978</v>
      </c>
      <c r="X2920" t="s">
        <v>46</v>
      </c>
      <c r="AC2920">
        <f>COUNTIF(C:C,QLKV_gui_ket_qua_ra_soat[[#This Row],[Mã điểm bán]])</f>
        <v>1</v>
      </c>
    </row>
    <row r="2921" spans="1:29" x14ac:dyDescent="0.45">
      <c r="A2921" t="s">
        <v>9088</v>
      </c>
      <c r="B2921">
        <v>3213</v>
      </c>
      <c r="C2921" t="s">
        <v>10339</v>
      </c>
      <c r="D2921" t="s">
        <v>10340</v>
      </c>
      <c r="E2921" t="s">
        <v>10341</v>
      </c>
      <c r="F2921" t="s">
        <v>5040</v>
      </c>
      <c r="G2921" t="s">
        <v>34</v>
      </c>
      <c r="H2921" t="s">
        <v>54</v>
      </c>
      <c r="I2921" t="s">
        <v>10342</v>
      </c>
      <c r="J2921" t="s">
        <v>38</v>
      </c>
      <c r="K2921" t="s">
        <v>38</v>
      </c>
      <c r="L2921" t="s">
        <v>40</v>
      </c>
      <c r="M2921" t="s">
        <v>38</v>
      </c>
      <c r="N2921" t="s">
        <v>38</v>
      </c>
      <c r="O2921" t="s">
        <v>40</v>
      </c>
      <c r="P2921" t="s">
        <v>38</v>
      </c>
      <c r="Q2921" t="s">
        <v>38</v>
      </c>
      <c r="R2921" t="s">
        <v>40</v>
      </c>
      <c r="S2921" t="s">
        <v>10343</v>
      </c>
      <c r="T2921" t="s">
        <v>9298</v>
      </c>
      <c r="U2921" t="s">
        <v>9299</v>
      </c>
      <c r="V2921" t="s">
        <v>9093</v>
      </c>
      <c r="W2921" t="s">
        <v>2978</v>
      </c>
      <c r="X2921" t="s">
        <v>46</v>
      </c>
      <c r="AC2921">
        <f>COUNTIF(C:C,QLKV_gui_ket_qua_ra_soat[[#This Row],[Mã điểm bán]])</f>
        <v>1</v>
      </c>
    </row>
    <row r="2922" spans="1:29" x14ac:dyDescent="0.45">
      <c r="A2922" t="s">
        <v>9088</v>
      </c>
      <c r="B2922">
        <v>3234</v>
      </c>
      <c r="C2922" t="s">
        <v>10344</v>
      </c>
      <c r="D2922" t="s">
        <v>10345</v>
      </c>
      <c r="E2922" t="s">
        <v>69</v>
      </c>
      <c r="F2922" t="s">
        <v>456</v>
      </c>
      <c r="G2922" t="s">
        <v>34</v>
      </c>
      <c r="H2922" t="s">
        <v>1177</v>
      </c>
      <c r="I2922" t="s">
        <v>10346</v>
      </c>
      <c r="J2922" t="s">
        <v>38</v>
      </c>
      <c r="K2922" t="s">
        <v>37</v>
      </c>
      <c r="L2922" t="s">
        <v>40</v>
      </c>
      <c r="M2922" t="s">
        <v>37</v>
      </c>
      <c r="N2922" t="s">
        <v>37</v>
      </c>
      <c r="O2922" t="s">
        <v>39</v>
      </c>
      <c r="P2922" t="s">
        <v>38</v>
      </c>
      <c r="Q2922" t="s">
        <v>38</v>
      </c>
      <c r="R2922" t="s">
        <v>40</v>
      </c>
      <c r="S2922" t="s">
        <v>41</v>
      </c>
      <c r="T2922" t="s">
        <v>9147</v>
      </c>
      <c r="U2922" t="s">
        <v>9148</v>
      </c>
      <c r="V2922" t="s">
        <v>9093</v>
      </c>
      <c r="W2922" t="s">
        <v>9094</v>
      </c>
      <c r="Z2922" t="s">
        <v>46</v>
      </c>
      <c r="AA2922" t="s">
        <v>9235</v>
      </c>
      <c r="AC2922">
        <f>COUNTIF(C:C,QLKV_gui_ket_qua_ra_soat[[#This Row],[Mã điểm bán]])</f>
        <v>1</v>
      </c>
    </row>
    <row r="2923" spans="1:29" x14ac:dyDescent="0.45">
      <c r="A2923" t="s">
        <v>9088</v>
      </c>
      <c r="B2923">
        <v>3236</v>
      </c>
      <c r="C2923" t="s">
        <v>10347</v>
      </c>
      <c r="D2923" t="s">
        <v>10348</v>
      </c>
      <c r="E2923" t="s">
        <v>291</v>
      </c>
      <c r="F2923" t="s">
        <v>5582</v>
      </c>
      <c r="G2923" t="s">
        <v>34</v>
      </c>
      <c r="H2923" t="s">
        <v>1788</v>
      </c>
      <c r="I2923" t="s">
        <v>10349</v>
      </c>
      <c r="J2923" t="s">
        <v>38</v>
      </c>
      <c r="K2923" t="s">
        <v>37</v>
      </c>
      <c r="L2923" t="s">
        <v>40</v>
      </c>
      <c r="M2923" t="s">
        <v>38</v>
      </c>
      <c r="N2923" t="s">
        <v>38</v>
      </c>
      <c r="O2923" t="s">
        <v>39</v>
      </c>
      <c r="P2923" t="s">
        <v>38</v>
      </c>
      <c r="Q2923" t="s">
        <v>38</v>
      </c>
      <c r="R2923" t="s">
        <v>40</v>
      </c>
      <c r="S2923" t="s">
        <v>41</v>
      </c>
      <c r="T2923" t="s">
        <v>9147</v>
      </c>
      <c r="U2923" t="s">
        <v>9148</v>
      </c>
      <c r="V2923" t="s">
        <v>9093</v>
      </c>
      <c r="W2923" t="s">
        <v>9094</v>
      </c>
      <c r="X2923" t="s">
        <v>46</v>
      </c>
      <c r="AC2923">
        <f>COUNTIF(C:C,QLKV_gui_ket_qua_ra_soat[[#This Row],[Mã điểm bán]])</f>
        <v>1</v>
      </c>
    </row>
    <row r="2924" spans="1:29" x14ac:dyDescent="0.45">
      <c r="A2924" t="s">
        <v>9088</v>
      </c>
      <c r="B2924">
        <v>3272</v>
      </c>
      <c r="C2924" t="s">
        <v>10350</v>
      </c>
      <c r="D2924" t="s">
        <v>10351</v>
      </c>
      <c r="E2924" t="s">
        <v>10352</v>
      </c>
      <c r="F2924" t="s">
        <v>1471</v>
      </c>
      <c r="G2924" t="s">
        <v>34</v>
      </c>
      <c r="H2924" t="s">
        <v>708</v>
      </c>
      <c r="I2924" t="s">
        <v>10353</v>
      </c>
      <c r="J2924" t="s">
        <v>38</v>
      </c>
      <c r="K2924" t="s">
        <v>38</v>
      </c>
      <c r="L2924" t="s">
        <v>40</v>
      </c>
      <c r="M2924" t="s">
        <v>38</v>
      </c>
      <c r="N2924" t="s">
        <v>38</v>
      </c>
      <c r="O2924" t="s">
        <v>39</v>
      </c>
      <c r="P2924" t="s">
        <v>38</v>
      </c>
      <c r="Q2924" t="s">
        <v>38</v>
      </c>
      <c r="R2924" t="s">
        <v>40</v>
      </c>
      <c r="S2924" t="s">
        <v>10354</v>
      </c>
      <c r="T2924" t="s">
        <v>9298</v>
      </c>
      <c r="U2924" t="s">
        <v>9299</v>
      </c>
      <c r="V2924" t="s">
        <v>9093</v>
      </c>
      <c r="W2924" t="s">
        <v>2978</v>
      </c>
      <c r="X2924" t="s">
        <v>46</v>
      </c>
      <c r="AC2924">
        <f>COUNTIF(C:C,QLKV_gui_ket_qua_ra_soat[[#This Row],[Mã điểm bán]])</f>
        <v>1</v>
      </c>
    </row>
    <row r="2925" spans="1:29" x14ac:dyDescent="0.45">
      <c r="A2925" t="s">
        <v>9088</v>
      </c>
      <c r="B2925">
        <v>3277</v>
      </c>
      <c r="C2925" t="s">
        <v>10355</v>
      </c>
      <c r="D2925" t="s">
        <v>10356</v>
      </c>
      <c r="E2925" t="s">
        <v>10357</v>
      </c>
      <c r="F2925" t="s">
        <v>2365</v>
      </c>
      <c r="G2925" t="s">
        <v>177</v>
      </c>
      <c r="H2925" t="s">
        <v>54</v>
      </c>
      <c r="I2925" t="s">
        <v>10358</v>
      </c>
      <c r="J2925" t="s">
        <v>38</v>
      </c>
      <c r="K2925" t="s">
        <v>38</v>
      </c>
      <c r="L2925" t="s">
        <v>40</v>
      </c>
      <c r="M2925" t="s">
        <v>38</v>
      </c>
      <c r="N2925" t="s">
        <v>38</v>
      </c>
      <c r="O2925" t="s">
        <v>40</v>
      </c>
      <c r="P2925" t="s">
        <v>38</v>
      </c>
      <c r="Q2925" t="s">
        <v>38</v>
      </c>
      <c r="R2925" t="s">
        <v>40</v>
      </c>
      <c r="S2925" t="s">
        <v>10359</v>
      </c>
      <c r="T2925" t="s">
        <v>9298</v>
      </c>
      <c r="U2925" t="s">
        <v>9299</v>
      </c>
      <c r="V2925" t="s">
        <v>9093</v>
      </c>
      <c r="W2925" t="s">
        <v>2978</v>
      </c>
      <c r="X2925" t="s">
        <v>46</v>
      </c>
      <c r="AC2925">
        <f>COUNTIF(C:C,QLKV_gui_ket_qua_ra_soat[[#This Row],[Mã điểm bán]])</f>
        <v>1</v>
      </c>
    </row>
    <row r="2926" spans="1:29" x14ac:dyDescent="0.45">
      <c r="A2926" t="s">
        <v>9088</v>
      </c>
      <c r="B2926">
        <v>3293</v>
      </c>
      <c r="C2926" t="s">
        <v>10360</v>
      </c>
      <c r="D2926" t="s">
        <v>10361</v>
      </c>
      <c r="E2926" t="s">
        <v>3429</v>
      </c>
      <c r="F2926" t="s">
        <v>53</v>
      </c>
      <c r="G2926" t="s">
        <v>34</v>
      </c>
      <c r="H2926" t="s">
        <v>54</v>
      </c>
      <c r="I2926" t="s">
        <v>6059</v>
      </c>
      <c r="J2926" t="s">
        <v>38</v>
      </c>
      <c r="K2926" t="s">
        <v>38</v>
      </c>
      <c r="L2926" t="s">
        <v>39</v>
      </c>
      <c r="M2926" t="s">
        <v>56</v>
      </c>
      <c r="N2926" t="s">
        <v>37</v>
      </c>
      <c r="O2926" t="s">
        <v>39</v>
      </c>
      <c r="P2926" t="s">
        <v>1034</v>
      </c>
      <c r="Q2926" t="s">
        <v>1034</v>
      </c>
      <c r="R2926" t="s">
        <v>121</v>
      </c>
      <c r="S2926" t="s">
        <v>10362</v>
      </c>
      <c r="T2926" t="s">
        <v>9298</v>
      </c>
      <c r="U2926" t="s">
        <v>9299</v>
      </c>
      <c r="V2926" t="s">
        <v>9093</v>
      </c>
      <c r="W2926" t="s">
        <v>2978</v>
      </c>
      <c r="X2926" t="s">
        <v>46</v>
      </c>
      <c r="AC2926">
        <f>COUNTIF(C:C,QLKV_gui_ket_qua_ra_soat[[#This Row],[Mã điểm bán]])</f>
        <v>1</v>
      </c>
    </row>
    <row r="2927" spans="1:29" x14ac:dyDescent="0.45">
      <c r="A2927" t="s">
        <v>10363</v>
      </c>
      <c r="B2927">
        <v>9</v>
      </c>
      <c r="C2927" t="s">
        <v>10364</v>
      </c>
      <c r="D2927" t="s">
        <v>10365</v>
      </c>
      <c r="E2927" t="s">
        <v>2148</v>
      </c>
      <c r="F2927" t="s">
        <v>1623</v>
      </c>
      <c r="G2927" t="s">
        <v>34</v>
      </c>
      <c r="H2927" t="s">
        <v>1750</v>
      </c>
      <c r="I2927" t="s">
        <v>10366</v>
      </c>
      <c r="J2927" t="s">
        <v>37</v>
      </c>
      <c r="K2927" t="s">
        <v>37</v>
      </c>
      <c r="L2927" t="s">
        <v>39</v>
      </c>
      <c r="M2927" t="s">
        <v>37</v>
      </c>
      <c r="N2927" t="s">
        <v>37</v>
      </c>
      <c r="O2927" t="s">
        <v>39</v>
      </c>
      <c r="P2927" t="s">
        <v>37</v>
      </c>
      <c r="Q2927" t="s">
        <v>37</v>
      </c>
      <c r="R2927" t="s">
        <v>39</v>
      </c>
      <c r="S2927" t="s">
        <v>41</v>
      </c>
      <c r="T2927" t="s">
        <v>10367</v>
      </c>
      <c r="U2927" t="s">
        <v>10368</v>
      </c>
      <c r="V2927" t="s">
        <v>10369</v>
      </c>
      <c r="W2927" t="s">
        <v>10370</v>
      </c>
      <c r="X2927" t="s">
        <v>46</v>
      </c>
      <c r="AC2927">
        <f>COUNTIF(C:C,QLKV_gui_ket_qua_ra_soat[[#This Row],[Mã điểm bán]])</f>
        <v>1</v>
      </c>
    </row>
    <row r="2928" spans="1:29" x14ac:dyDescent="0.45">
      <c r="A2928" t="s">
        <v>10363</v>
      </c>
      <c r="B2928">
        <v>21</v>
      </c>
      <c r="C2928" t="s">
        <v>10371</v>
      </c>
      <c r="D2928" t="s">
        <v>10372</v>
      </c>
      <c r="E2928" t="s">
        <v>97</v>
      </c>
      <c r="F2928" t="s">
        <v>53</v>
      </c>
      <c r="G2928" t="s">
        <v>34</v>
      </c>
      <c r="H2928" t="s">
        <v>54</v>
      </c>
      <c r="I2928" t="s">
        <v>7201</v>
      </c>
      <c r="J2928" t="s">
        <v>38</v>
      </c>
      <c r="K2928" t="s">
        <v>38</v>
      </c>
      <c r="L2928" t="s">
        <v>40</v>
      </c>
      <c r="M2928" t="s">
        <v>56</v>
      </c>
      <c r="N2928" t="s">
        <v>56</v>
      </c>
      <c r="O2928" t="s">
        <v>39</v>
      </c>
      <c r="P2928" t="s">
        <v>38</v>
      </c>
      <c r="Q2928" t="s">
        <v>38</v>
      </c>
      <c r="R2928" t="s">
        <v>40</v>
      </c>
      <c r="S2928" t="s">
        <v>10373</v>
      </c>
      <c r="T2928" t="s">
        <v>10374</v>
      </c>
      <c r="U2928" t="s">
        <v>10368</v>
      </c>
      <c r="V2928" t="s">
        <v>10369</v>
      </c>
      <c r="W2928" t="s">
        <v>10370</v>
      </c>
      <c r="X2928" t="s">
        <v>46</v>
      </c>
      <c r="AC2928">
        <f>COUNTIF(C:C,QLKV_gui_ket_qua_ra_soat[[#This Row],[Mã điểm bán]])</f>
        <v>1</v>
      </c>
    </row>
    <row r="2929" spans="1:29" x14ac:dyDescent="0.45">
      <c r="A2929" t="s">
        <v>10363</v>
      </c>
      <c r="B2929">
        <v>22</v>
      </c>
      <c r="C2929" t="s">
        <v>10375</v>
      </c>
      <c r="D2929" t="s">
        <v>10376</v>
      </c>
      <c r="E2929" t="s">
        <v>6877</v>
      </c>
      <c r="F2929" t="s">
        <v>325</v>
      </c>
      <c r="G2929" t="s">
        <v>1624</v>
      </c>
      <c r="H2929" t="s">
        <v>4115</v>
      </c>
      <c r="I2929" t="s">
        <v>10377</v>
      </c>
      <c r="J2929" t="s">
        <v>37</v>
      </c>
      <c r="K2929" t="s">
        <v>37</v>
      </c>
      <c r="L2929" t="s">
        <v>40</v>
      </c>
      <c r="M2929" t="s">
        <v>56</v>
      </c>
      <c r="N2929" t="s">
        <v>56</v>
      </c>
      <c r="O2929" t="s">
        <v>39</v>
      </c>
      <c r="P2929" t="s">
        <v>38</v>
      </c>
      <c r="Q2929" t="s">
        <v>38</v>
      </c>
      <c r="R2929" t="s">
        <v>40</v>
      </c>
      <c r="S2929" t="s">
        <v>10378</v>
      </c>
      <c r="T2929" t="s">
        <v>10374</v>
      </c>
      <c r="U2929" t="s">
        <v>10368</v>
      </c>
      <c r="V2929" t="s">
        <v>10369</v>
      </c>
      <c r="W2929" t="s">
        <v>10370</v>
      </c>
      <c r="X2929" t="s">
        <v>46</v>
      </c>
      <c r="AC2929">
        <f>COUNTIF(C:C,QLKV_gui_ket_qua_ra_soat[[#This Row],[Mã điểm bán]])</f>
        <v>1</v>
      </c>
    </row>
    <row r="2930" spans="1:29" x14ac:dyDescent="0.45">
      <c r="A2930" t="s">
        <v>10363</v>
      </c>
      <c r="B2930">
        <v>23</v>
      </c>
      <c r="C2930" t="s">
        <v>10379</v>
      </c>
      <c r="D2930" t="s">
        <v>10380</v>
      </c>
      <c r="E2930" t="s">
        <v>6330</v>
      </c>
      <c r="F2930" t="s">
        <v>1871</v>
      </c>
      <c r="G2930" t="s">
        <v>34</v>
      </c>
      <c r="H2930" t="s">
        <v>54</v>
      </c>
      <c r="I2930" t="s">
        <v>2061</v>
      </c>
      <c r="J2930" t="s">
        <v>37</v>
      </c>
      <c r="K2930" t="s">
        <v>37</v>
      </c>
      <c r="L2930" t="s">
        <v>39</v>
      </c>
      <c r="M2930" t="s">
        <v>37</v>
      </c>
      <c r="N2930" t="s">
        <v>37</v>
      </c>
      <c r="O2930" t="s">
        <v>39</v>
      </c>
      <c r="P2930" t="s">
        <v>38</v>
      </c>
      <c r="Q2930" t="s">
        <v>38</v>
      </c>
      <c r="R2930" t="s">
        <v>40</v>
      </c>
      <c r="S2930" t="s">
        <v>10381</v>
      </c>
      <c r="T2930" t="s">
        <v>10367</v>
      </c>
      <c r="U2930" t="s">
        <v>10368</v>
      </c>
      <c r="V2930" t="s">
        <v>10369</v>
      </c>
      <c r="W2930" t="s">
        <v>10370</v>
      </c>
      <c r="X2930" t="s">
        <v>46</v>
      </c>
      <c r="AC2930">
        <f>COUNTIF(C:C,QLKV_gui_ket_qua_ra_soat[[#This Row],[Mã điểm bán]])</f>
        <v>1</v>
      </c>
    </row>
    <row r="2931" spans="1:29" x14ac:dyDescent="0.45">
      <c r="A2931" t="s">
        <v>10363</v>
      </c>
      <c r="B2931">
        <v>24</v>
      </c>
      <c r="C2931" t="s">
        <v>10382</v>
      </c>
      <c r="D2931" t="s">
        <v>10383</v>
      </c>
      <c r="E2931" t="s">
        <v>823</v>
      </c>
      <c r="F2931" t="s">
        <v>9637</v>
      </c>
      <c r="G2931" t="s">
        <v>150</v>
      </c>
      <c r="H2931" t="s">
        <v>1188</v>
      </c>
      <c r="I2931" t="s">
        <v>10384</v>
      </c>
      <c r="J2931" t="s">
        <v>38</v>
      </c>
      <c r="K2931" t="s">
        <v>38</v>
      </c>
      <c r="L2931" t="s">
        <v>40</v>
      </c>
      <c r="M2931" t="s">
        <v>37</v>
      </c>
      <c r="N2931" t="s">
        <v>37</v>
      </c>
      <c r="O2931" t="s">
        <v>39</v>
      </c>
      <c r="P2931" t="s">
        <v>38</v>
      </c>
      <c r="Q2931" t="s">
        <v>38</v>
      </c>
      <c r="R2931" t="s">
        <v>40</v>
      </c>
      <c r="S2931" t="s">
        <v>10385</v>
      </c>
      <c r="T2931" t="s">
        <v>10367</v>
      </c>
      <c r="U2931" t="s">
        <v>10368</v>
      </c>
      <c r="V2931" t="s">
        <v>10369</v>
      </c>
      <c r="W2931" t="s">
        <v>10370</v>
      </c>
      <c r="X2931" t="s">
        <v>46</v>
      </c>
      <c r="AC2931">
        <f>COUNTIF(C:C,QLKV_gui_ket_qua_ra_soat[[#This Row],[Mã điểm bán]])</f>
        <v>1</v>
      </c>
    </row>
    <row r="2932" spans="1:29" x14ac:dyDescent="0.45">
      <c r="A2932" t="s">
        <v>10363</v>
      </c>
      <c r="B2932">
        <v>26</v>
      </c>
      <c r="C2932" t="s">
        <v>10386</v>
      </c>
      <c r="D2932" t="s">
        <v>10387</v>
      </c>
      <c r="E2932" t="s">
        <v>8163</v>
      </c>
      <c r="F2932" t="s">
        <v>53</v>
      </c>
      <c r="G2932" t="s">
        <v>1624</v>
      </c>
      <c r="H2932" t="s">
        <v>214</v>
      </c>
      <c r="I2932" t="s">
        <v>10388</v>
      </c>
      <c r="J2932" t="s">
        <v>38</v>
      </c>
      <c r="K2932" t="s">
        <v>38</v>
      </c>
      <c r="L2932" t="s">
        <v>40</v>
      </c>
      <c r="M2932" t="s">
        <v>38</v>
      </c>
      <c r="N2932" t="s">
        <v>38</v>
      </c>
      <c r="O2932" t="s">
        <v>40</v>
      </c>
      <c r="P2932" t="s">
        <v>38</v>
      </c>
      <c r="Q2932" t="s">
        <v>38</v>
      </c>
      <c r="R2932" t="s">
        <v>40</v>
      </c>
      <c r="S2932" t="s">
        <v>10389</v>
      </c>
      <c r="T2932" t="s">
        <v>10374</v>
      </c>
      <c r="U2932" t="s">
        <v>10368</v>
      </c>
      <c r="V2932" t="s">
        <v>10369</v>
      </c>
      <c r="W2932" t="s">
        <v>10370</v>
      </c>
      <c r="Z2932" t="s">
        <v>46</v>
      </c>
      <c r="AA2932" t="s">
        <v>10390</v>
      </c>
      <c r="AB2932" t="s">
        <v>2999</v>
      </c>
      <c r="AC2932">
        <f>COUNTIF(C:C,QLKV_gui_ket_qua_ra_soat[[#This Row],[Mã điểm bán]])</f>
        <v>1</v>
      </c>
    </row>
    <row r="2933" spans="1:29" x14ac:dyDescent="0.45">
      <c r="A2933" t="s">
        <v>10363</v>
      </c>
      <c r="B2933">
        <v>27</v>
      </c>
      <c r="C2933" t="s">
        <v>10391</v>
      </c>
      <c r="D2933" t="s">
        <v>10392</v>
      </c>
      <c r="E2933" t="s">
        <v>212</v>
      </c>
      <c r="F2933" t="s">
        <v>2365</v>
      </c>
      <c r="G2933" t="s">
        <v>34</v>
      </c>
      <c r="H2933" t="s">
        <v>54</v>
      </c>
      <c r="I2933" t="s">
        <v>9978</v>
      </c>
      <c r="J2933" t="s">
        <v>38</v>
      </c>
      <c r="K2933" t="s">
        <v>38</v>
      </c>
      <c r="L2933" t="s">
        <v>40</v>
      </c>
      <c r="M2933" t="s">
        <v>56</v>
      </c>
      <c r="N2933" t="s">
        <v>56</v>
      </c>
      <c r="O2933" t="s">
        <v>39</v>
      </c>
      <c r="P2933" t="s">
        <v>38</v>
      </c>
      <c r="Q2933" t="s">
        <v>38</v>
      </c>
      <c r="R2933" t="s">
        <v>40</v>
      </c>
      <c r="S2933" t="s">
        <v>10393</v>
      </c>
      <c r="T2933" t="s">
        <v>10367</v>
      </c>
      <c r="U2933" t="s">
        <v>10368</v>
      </c>
      <c r="V2933" t="s">
        <v>10369</v>
      </c>
      <c r="W2933" t="s">
        <v>10370</v>
      </c>
      <c r="X2933" t="s">
        <v>46</v>
      </c>
      <c r="AC2933">
        <f>COUNTIF(C:C,QLKV_gui_ket_qua_ra_soat[[#This Row],[Mã điểm bán]])</f>
        <v>1</v>
      </c>
    </row>
    <row r="2934" spans="1:29" x14ac:dyDescent="0.45">
      <c r="A2934" t="s">
        <v>10363</v>
      </c>
      <c r="B2934">
        <v>35</v>
      </c>
      <c r="C2934" t="s">
        <v>10394</v>
      </c>
      <c r="D2934" t="s">
        <v>10395</v>
      </c>
      <c r="E2934" t="s">
        <v>2326</v>
      </c>
      <c r="F2934" t="s">
        <v>10396</v>
      </c>
      <c r="G2934" t="s">
        <v>34</v>
      </c>
      <c r="H2934" t="s">
        <v>54</v>
      </c>
      <c r="I2934" t="s">
        <v>10397</v>
      </c>
      <c r="J2934" t="s">
        <v>38</v>
      </c>
      <c r="K2934" t="s">
        <v>38</v>
      </c>
      <c r="L2934" t="s">
        <v>40</v>
      </c>
      <c r="M2934" t="s">
        <v>38</v>
      </c>
      <c r="N2934" t="s">
        <v>37</v>
      </c>
      <c r="O2934" t="s">
        <v>39</v>
      </c>
      <c r="P2934" t="s">
        <v>38</v>
      </c>
      <c r="Q2934" t="s">
        <v>38</v>
      </c>
      <c r="R2934" t="s">
        <v>40</v>
      </c>
      <c r="S2934" t="s">
        <v>10398</v>
      </c>
      <c r="T2934" t="s">
        <v>10367</v>
      </c>
      <c r="U2934" t="s">
        <v>10368</v>
      </c>
      <c r="V2934" t="s">
        <v>10369</v>
      </c>
      <c r="W2934" t="s">
        <v>10399</v>
      </c>
      <c r="Z2934" t="s">
        <v>46</v>
      </c>
      <c r="AA2934" t="s">
        <v>10390</v>
      </c>
      <c r="AB2934" t="s">
        <v>2999</v>
      </c>
      <c r="AC2934">
        <f>COUNTIF(C:C,QLKV_gui_ket_qua_ra_soat[[#This Row],[Mã điểm bán]])</f>
        <v>1</v>
      </c>
    </row>
    <row r="2935" spans="1:29" x14ac:dyDescent="0.45">
      <c r="A2935" t="s">
        <v>10363</v>
      </c>
      <c r="B2935">
        <v>37</v>
      </c>
      <c r="C2935" t="s">
        <v>10400</v>
      </c>
      <c r="D2935" t="s">
        <v>10401</v>
      </c>
      <c r="E2935" t="s">
        <v>10402</v>
      </c>
      <c r="F2935" t="s">
        <v>10403</v>
      </c>
      <c r="G2935" t="s">
        <v>34</v>
      </c>
      <c r="H2935" t="s">
        <v>402</v>
      </c>
      <c r="I2935" t="s">
        <v>10404</v>
      </c>
      <c r="J2935" t="s">
        <v>38</v>
      </c>
      <c r="K2935" t="s">
        <v>38</v>
      </c>
      <c r="L2935" t="s">
        <v>40</v>
      </c>
      <c r="M2935" t="s">
        <v>37</v>
      </c>
      <c r="N2935" t="s">
        <v>37</v>
      </c>
      <c r="O2935" t="s">
        <v>39</v>
      </c>
      <c r="P2935" t="s">
        <v>38</v>
      </c>
      <c r="Q2935" t="s">
        <v>38</v>
      </c>
      <c r="R2935" t="s">
        <v>40</v>
      </c>
      <c r="S2935" t="s">
        <v>10405</v>
      </c>
      <c r="T2935" t="s">
        <v>10367</v>
      </c>
      <c r="U2935" t="s">
        <v>10368</v>
      </c>
      <c r="V2935" t="s">
        <v>10369</v>
      </c>
      <c r="W2935" t="s">
        <v>10399</v>
      </c>
      <c r="Z2935" t="s">
        <v>46</v>
      </c>
      <c r="AA2935" t="s">
        <v>10390</v>
      </c>
      <c r="AB2935" t="s">
        <v>2999</v>
      </c>
      <c r="AC2935">
        <f>COUNTIF(C:C,QLKV_gui_ket_qua_ra_soat[[#This Row],[Mã điểm bán]])</f>
        <v>1</v>
      </c>
    </row>
    <row r="2936" spans="1:29" x14ac:dyDescent="0.45">
      <c r="A2936" t="s">
        <v>10363</v>
      </c>
      <c r="B2936">
        <v>45</v>
      </c>
      <c r="C2936" t="s">
        <v>10406</v>
      </c>
      <c r="D2936" t="s">
        <v>10407</v>
      </c>
      <c r="E2936" t="s">
        <v>2035</v>
      </c>
      <c r="F2936" t="s">
        <v>2365</v>
      </c>
      <c r="G2936" t="s">
        <v>34</v>
      </c>
      <c r="H2936" t="s">
        <v>214</v>
      </c>
      <c r="I2936" t="s">
        <v>10408</v>
      </c>
      <c r="J2936" t="s">
        <v>38</v>
      </c>
      <c r="K2936" t="s">
        <v>38</v>
      </c>
      <c r="L2936" t="s">
        <v>40</v>
      </c>
      <c r="M2936" t="s">
        <v>37</v>
      </c>
      <c r="N2936" t="s">
        <v>37</v>
      </c>
      <c r="O2936" t="s">
        <v>39</v>
      </c>
      <c r="P2936" t="s">
        <v>38</v>
      </c>
      <c r="Q2936" t="s">
        <v>37</v>
      </c>
      <c r="R2936" t="s">
        <v>39</v>
      </c>
      <c r="S2936" t="s">
        <v>10409</v>
      </c>
      <c r="T2936" t="s">
        <v>10374</v>
      </c>
      <c r="U2936" t="s">
        <v>10368</v>
      </c>
      <c r="V2936" t="s">
        <v>10369</v>
      </c>
      <c r="W2936" t="s">
        <v>10399</v>
      </c>
      <c r="Z2936" t="s">
        <v>46</v>
      </c>
      <c r="AA2936" t="s">
        <v>10390</v>
      </c>
      <c r="AB2936" t="s">
        <v>117</v>
      </c>
      <c r="AC2936">
        <f>COUNTIF(C:C,QLKV_gui_ket_qua_ra_soat[[#This Row],[Mã điểm bán]])</f>
        <v>1</v>
      </c>
    </row>
    <row r="2937" spans="1:29" x14ac:dyDescent="0.45">
      <c r="A2937" t="s">
        <v>10363</v>
      </c>
      <c r="B2937">
        <v>63</v>
      </c>
      <c r="C2937" t="s">
        <v>10410</v>
      </c>
      <c r="D2937" t="s">
        <v>10411</v>
      </c>
      <c r="E2937" t="s">
        <v>1865</v>
      </c>
      <c r="F2937" t="s">
        <v>829</v>
      </c>
      <c r="G2937" t="s">
        <v>34</v>
      </c>
      <c r="H2937" t="s">
        <v>1263</v>
      </c>
      <c r="I2937" t="s">
        <v>10412</v>
      </c>
      <c r="J2937" t="s">
        <v>56</v>
      </c>
      <c r="K2937" t="s">
        <v>37</v>
      </c>
      <c r="L2937" t="s">
        <v>39</v>
      </c>
      <c r="M2937" t="s">
        <v>56</v>
      </c>
      <c r="N2937" t="s">
        <v>56</v>
      </c>
      <c r="O2937" t="s">
        <v>39</v>
      </c>
      <c r="P2937" t="s">
        <v>37</v>
      </c>
      <c r="Q2937" t="s">
        <v>37</v>
      </c>
      <c r="R2937" t="s">
        <v>39</v>
      </c>
      <c r="S2937" t="s">
        <v>10413</v>
      </c>
      <c r="T2937" t="s">
        <v>10367</v>
      </c>
      <c r="U2937" t="s">
        <v>10368</v>
      </c>
      <c r="V2937" t="s">
        <v>10369</v>
      </c>
      <c r="W2937" t="s">
        <v>10399</v>
      </c>
      <c r="Z2937" t="s">
        <v>46</v>
      </c>
      <c r="AA2937" t="s">
        <v>10390</v>
      </c>
      <c r="AB2937" t="s">
        <v>117</v>
      </c>
      <c r="AC2937">
        <f>COUNTIF(C:C,QLKV_gui_ket_qua_ra_soat[[#This Row],[Mã điểm bán]])</f>
        <v>1</v>
      </c>
    </row>
    <row r="2938" spans="1:29" x14ac:dyDescent="0.45">
      <c r="A2938" t="s">
        <v>10363</v>
      </c>
      <c r="B2938">
        <v>66</v>
      </c>
      <c r="C2938" t="s">
        <v>10414</v>
      </c>
      <c r="D2938" t="s">
        <v>10415</v>
      </c>
      <c r="E2938" t="s">
        <v>1802</v>
      </c>
      <c r="F2938" t="s">
        <v>2365</v>
      </c>
      <c r="G2938" t="s">
        <v>34</v>
      </c>
      <c r="H2938" t="s">
        <v>54</v>
      </c>
      <c r="I2938" t="s">
        <v>10408</v>
      </c>
      <c r="J2938" t="s">
        <v>56</v>
      </c>
      <c r="K2938" t="s">
        <v>56</v>
      </c>
      <c r="L2938" t="s">
        <v>39</v>
      </c>
      <c r="M2938" t="s">
        <v>56</v>
      </c>
      <c r="N2938" t="s">
        <v>56</v>
      </c>
      <c r="O2938" t="s">
        <v>39</v>
      </c>
      <c r="P2938" t="s">
        <v>38</v>
      </c>
      <c r="Q2938" t="s">
        <v>37</v>
      </c>
      <c r="R2938" t="s">
        <v>40</v>
      </c>
      <c r="S2938" t="s">
        <v>41</v>
      </c>
      <c r="T2938" t="s">
        <v>10367</v>
      </c>
      <c r="U2938" t="s">
        <v>10368</v>
      </c>
      <c r="V2938" t="s">
        <v>10369</v>
      </c>
      <c r="W2938" t="s">
        <v>10399</v>
      </c>
      <c r="Z2938" t="s">
        <v>46</v>
      </c>
      <c r="AA2938" t="s">
        <v>10390</v>
      </c>
      <c r="AB2938" t="s">
        <v>117</v>
      </c>
      <c r="AC2938">
        <f>COUNTIF(C:C,QLKV_gui_ket_qua_ra_soat[[#This Row],[Mã điểm bán]])</f>
        <v>1</v>
      </c>
    </row>
    <row r="2939" spans="1:29" x14ac:dyDescent="0.45">
      <c r="A2939" t="s">
        <v>10363</v>
      </c>
      <c r="B2939">
        <v>85</v>
      </c>
      <c r="C2939" t="s">
        <v>10416</v>
      </c>
      <c r="D2939" t="s">
        <v>10417</v>
      </c>
      <c r="E2939" t="s">
        <v>1657</v>
      </c>
      <c r="F2939" t="s">
        <v>115</v>
      </c>
      <c r="G2939" t="s">
        <v>177</v>
      </c>
      <c r="H2939" t="s">
        <v>171</v>
      </c>
      <c r="I2939" t="s">
        <v>10418</v>
      </c>
      <c r="J2939" t="s">
        <v>38</v>
      </c>
      <c r="K2939" t="s">
        <v>38</v>
      </c>
      <c r="L2939" t="s">
        <v>40</v>
      </c>
      <c r="M2939" t="s">
        <v>38</v>
      </c>
      <c r="N2939" t="s">
        <v>38</v>
      </c>
      <c r="O2939" t="s">
        <v>39</v>
      </c>
      <c r="P2939" t="s">
        <v>38</v>
      </c>
      <c r="Q2939" t="s">
        <v>38</v>
      </c>
      <c r="R2939" t="s">
        <v>40</v>
      </c>
      <c r="S2939" t="s">
        <v>41</v>
      </c>
      <c r="T2939" t="s">
        <v>10419</v>
      </c>
      <c r="U2939" t="s">
        <v>10420</v>
      </c>
      <c r="V2939" t="s">
        <v>10369</v>
      </c>
      <c r="W2939" t="s">
        <v>10421</v>
      </c>
      <c r="Z2939" t="s">
        <v>46</v>
      </c>
      <c r="AA2939" t="s">
        <v>10422</v>
      </c>
      <c r="AB2939" t="s">
        <v>117</v>
      </c>
      <c r="AC2939">
        <f>COUNTIF(C:C,QLKV_gui_ket_qua_ra_soat[[#This Row],[Mã điểm bán]])</f>
        <v>1</v>
      </c>
    </row>
    <row r="2940" spans="1:29" x14ac:dyDescent="0.45">
      <c r="A2940" t="s">
        <v>10363</v>
      </c>
      <c r="B2940">
        <v>87</v>
      </c>
      <c r="C2940" t="s">
        <v>10423</v>
      </c>
      <c r="D2940" t="s">
        <v>10424</v>
      </c>
      <c r="E2940" t="s">
        <v>1699</v>
      </c>
      <c r="F2940" t="s">
        <v>1573</v>
      </c>
      <c r="G2940" t="s">
        <v>34</v>
      </c>
      <c r="H2940" t="s">
        <v>332</v>
      </c>
      <c r="I2940" t="s">
        <v>10425</v>
      </c>
      <c r="J2940" t="s">
        <v>38</v>
      </c>
      <c r="K2940" t="s">
        <v>38</v>
      </c>
      <c r="L2940" t="s">
        <v>40</v>
      </c>
      <c r="M2940" t="s">
        <v>38</v>
      </c>
      <c r="N2940" t="s">
        <v>38</v>
      </c>
      <c r="O2940" t="s">
        <v>39</v>
      </c>
      <c r="P2940" t="s">
        <v>38</v>
      </c>
      <c r="Q2940" t="s">
        <v>38</v>
      </c>
      <c r="R2940" t="s">
        <v>40</v>
      </c>
      <c r="S2940" t="s">
        <v>41</v>
      </c>
      <c r="T2940" t="s">
        <v>10426</v>
      </c>
      <c r="U2940" t="s">
        <v>10427</v>
      </c>
      <c r="V2940" t="s">
        <v>10369</v>
      </c>
      <c r="W2940" t="s">
        <v>10421</v>
      </c>
      <c r="X2940" t="s">
        <v>46</v>
      </c>
      <c r="AC2940">
        <f>COUNTIF(C:C,QLKV_gui_ket_qua_ra_soat[[#This Row],[Mã điểm bán]])</f>
        <v>1</v>
      </c>
    </row>
    <row r="2941" spans="1:29" x14ac:dyDescent="0.45">
      <c r="A2941" t="s">
        <v>10363</v>
      </c>
      <c r="B2941">
        <v>92</v>
      </c>
      <c r="C2941" t="s">
        <v>10428</v>
      </c>
      <c r="D2941" t="s">
        <v>10429</v>
      </c>
      <c r="E2941" t="s">
        <v>2148</v>
      </c>
      <c r="F2941" t="s">
        <v>166</v>
      </c>
      <c r="G2941" t="s">
        <v>177</v>
      </c>
      <c r="H2941" t="s">
        <v>54</v>
      </c>
      <c r="I2941" t="s">
        <v>10430</v>
      </c>
      <c r="J2941" t="s">
        <v>38</v>
      </c>
      <c r="K2941" t="s">
        <v>38</v>
      </c>
      <c r="L2941" t="s">
        <v>40</v>
      </c>
      <c r="M2941" t="s">
        <v>38</v>
      </c>
      <c r="N2941" t="s">
        <v>38</v>
      </c>
      <c r="O2941" t="s">
        <v>40</v>
      </c>
      <c r="P2941" t="s">
        <v>38</v>
      </c>
      <c r="Q2941" t="s">
        <v>38</v>
      </c>
      <c r="R2941" t="s">
        <v>40</v>
      </c>
      <c r="S2941" t="s">
        <v>41</v>
      </c>
      <c r="T2941" t="s">
        <v>10431</v>
      </c>
      <c r="U2941" t="s">
        <v>10420</v>
      </c>
      <c r="V2941" t="s">
        <v>10369</v>
      </c>
      <c r="W2941" t="s">
        <v>10421</v>
      </c>
      <c r="X2941" t="s">
        <v>46</v>
      </c>
      <c r="AC2941">
        <f>COUNTIF(C:C,QLKV_gui_ket_qua_ra_soat[[#This Row],[Mã điểm bán]])</f>
        <v>1</v>
      </c>
    </row>
    <row r="2942" spans="1:29" x14ac:dyDescent="0.45">
      <c r="A2942" t="s">
        <v>10363</v>
      </c>
      <c r="B2942">
        <v>121</v>
      </c>
      <c r="C2942" t="s">
        <v>10432</v>
      </c>
      <c r="D2942" t="s">
        <v>10433</v>
      </c>
      <c r="E2942" t="s">
        <v>522</v>
      </c>
      <c r="F2942" t="s">
        <v>325</v>
      </c>
      <c r="G2942" t="s">
        <v>34</v>
      </c>
      <c r="H2942" t="s">
        <v>54</v>
      </c>
      <c r="I2942" t="s">
        <v>10434</v>
      </c>
      <c r="J2942" t="s">
        <v>1034</v>
      </c>
      <c r="K2942" t="s">
        <v>775</v>
      </c>
      <c r="L2942" t="s">
        <v>39</v>
      </c>
      <c r="M2942" t="s">
        <v>38</v>
      </c>
      <c r="N2942" t="s">
        <v>38</v>
      </c>
      <c r="O2942" t="s">
        <v>39</v>
      </c>
      <c r="P2942" t="s">
        <v>37</v>
      </c>
      <c r="Q2942" t="s">
        <v>38</v>
      </c>
      <c r="R2942" t="s">
        <v>40</v>
      </c>
      <c r="S2942" t="s">
        <v>41</v>
      </c>
      <c r="T2942" t="s">
        <v>10367</v>
      </c>
      <c r="U2942" t="s">
        <v>10368</v>
      </c>
      <c r="V2942" t="s">
        <v>10369</v>
      </c>
      <c r="W2942" t="s">
        <v>10370</v>
      </c>
      <c r="Z2942" t="s">
        <v>46</v>
      </c>
      <c r="AA2942" t="s">
        <v>10390</v>
      </c>
      <c r="AB2942" t="s">
        <v>117</v>
      </c>
      <c r="AC2942">
        <f>COUNTIF(C:C,QLKV_gui_ket_qua_ra_soat[[#This Row],[Mã điểm bán]])</f>
        <v>1</v>
      </c>
    </row>
    <row r="2943" spans="1:29" x14ac:dyDescent="0.45">
      <c r="A2943" t="s">
        <v>10363</v>
      </c>
      <c r="B2943">
        <v>138</v>
      </c>
      <c r="C2943" t="s">
        <v>10435</v>
      </c>
      <c r="D2943" t="s">
        <v>10436</v>
      </c>
      <c r="E2943" t="s">
        <v>10437</v>
      </c>
      <c r="F2943" t="s">
        <v>224</v>
      </c>
      <c r="G2943" t="s">
        <v>34</v>
      </c>
      <c r="H2943" t="s">
        <v>8400</v>
      </c>
      <c r="I2943" t="s">
        <v>10438</v>
      </c>
      <c r="J2943" t="s">
        <v>37</v>
      </c>
      <c r="K2943" t="s">
        <v>37</v>
      </c>
      <c r="L2943" t="s">
        <v>40</v>
      </c>
      <c r="M2943" t="s">
        <v>56</v>
      </c>
      <c r="N2943" t="s">
        <v>37</v>
      </c>
      <c r="O2943" t="s">
        <v>39</v>
      </c>
      <c r="P2943" t="s">
        <v>38</v>
      </c>
      <c r="Q2943" t="s">
        <v>38</v>
      </c>
      <c r="R2943" t="s">
        <v>40</v>
      </c>
      <c r="S2943" t="s">
        <v>627</v>
      </c>
      <c r="T2943" t="s">
        <v>10439</v>
      </c>
      <c r="U2943" t="s">
        <v>10368</v>
      </c>
      <c r="V2943" t="s">
        <v>10369</v>
      </c>
      <c r="W2943" t="s">
        <v>10440</v>
      </c>
      <c r="Z2943" t="s">
        <v>46</v>
      </c>
      <c r="AA2943" t="s">
        <v>10441</v>
      </c>
      <c r="AB2943" t="s">
        <v>3012</v>
      </c>
      <c r="AC2943">
        <f>COUNTIF(C:C,QLKV_gui_ket_qua_ra_soat[[#This Row],[Mã điểm bán]])</f>
        <v>1</v>
      </c>
    </row>
    <row r="2944" spans="1:29" x14ac:dyDescent="0.45">
      <c r="A2944" t="s">
        <v>10363</v>
      </c>
      <c r="B2944">
        <v>162</v>
      </c>
      <c r="C2944" t="s">
        <v>10442</v>
      </c>
      <c r="D2944" t="s">
        <v>10443</v>
      </c>
      <c r="E2944" t="s">
        <v>10444</v>
      </c>
      <c r="F2944" t="s">
        <v>10445</v>
      </c>
      <c r="G2944" t="s">
        <v>150</v>
      </c>
      <c r="H2944" t="s">
        <v>54</v>
      </c>
      <c r="I2944" t="s">
        <v>10446</v>
      </c>
      <c r="J2944" t="s">
        <v>38</v>
      </c>
      <c r="K2944" t="s">
        <v>38</v>
      </c>
      <c r="L2944" t="s">
        <v>40</v>
      </c>
      <c r="M2944" t="s">
        <v>56</v>
      </c>
      <c r="N2944" t="s">
        <v>37</v>
      </c>
      <c r="O2944" t="s">
        <v>39</v>
      </c>
      <c r="P2944" t="s">
        <v>38</v>
      </c>
      <c r="Q2944" t="s">
        <v>38</v>
      </c>
      <c r="R2944" t="s">
        <v>40</v>
      </c>
      <c r="S2944" t="s">
        <v>627</v>
      </c>
      <c r="T2944" t="s">
        <v>10439</v>
      </c>
      <c r="U2944" t="s">
        <v>10368</v>
      </c>
      <c r="V2944" t="s">
        <v>10369</v>
      </c>
      <c r="W2944" t="s">
        <v>10440</v>
      </c>
      <c r="X2944" t="s">
        <v>46</v>
      </c>
      <c r="AC2944">
        <f>COUNTIF(C:C,QLKV_gui_ket_qua_ra_soat[[#This Row],[Mã điểm bán]])</f>
        <v>1</v>
      </c>
    </row>
    <row r="2945" spans="1:29" x14ac:dyDescent="0.45">
      <c r="A2945" t="s">
        <v>10363</v>
      </c>
      <c r="B2945">
        <v>195</v>
      </c>
      <c r="C2945" t="s">
        <v>10447</v>
      </c>
      <c r="D2945" t="s">
        <v>10448</v>
      </c>
      <c r="E2945" t="s">
        <v>2389</v>
      </c>
      <c r="F2945" t="s">
        <v>10449</v>
      </c>
      <c r="G2945" t="s">
        <v>34</v>
      </c>
      <c r="H2945" t="s">
        <v>1706</v>
      </c>
      <c r="I2945" t="s">
        <v>10450</v>
      </c>
      <c r="J2945" t="s">
        <v>775</v>
      </c>
      <c r="K2945" t="s">
        <v>775</v>
      </c>
      <c r="L2945" t="s">
        <v>39</v>
      </c>
      <c r="M2945" t="s">
        <v>38</v>
      </c>
      <c r="N2945" t="s">
        <v>38</v>
      </c>
      <c r="O2945" t="s">
        <v>39</v>
      </c>
      <c r="P2945" t="s">
        <v>38</v>
      </c>
      <c r="Q2945" t="s">
        <v>38</v>
      </c>
      <c r="R2945" t="s">
        <v>40</v>
      </c>
      <c r="S2945" t="s">
        <v>41</v>
      </c>
      <c r="T2945" t="s">
        <v>10367</v>
      </c>
      <c r="U2945" t="s">
        <v>10368</v>
      </c>
      <c r="V2945" t="s">
        <v>10369</v>
      </c>
      <c r="W2945" t="s">
        <v>10370</v>
      </c>
      <c r="Z2945" t="s">
        <v>46</v>
      </c>
      <c r="AA2945" t="s">
        <v>9263</v>
      </c>
      <c r="AB2945" t="s">
        <v>3012</v>
      </c>
      <c r="AC2945">
        <f>COUNTIF(C:C,QLKV_gui_ket_qua_ra_soat[[#This Row],[Mã điểm bán]])</f>
        <v>1</v>
      </c>
    </row>
    <row r="2946" spans="1:29" x14ac:dyDescent="0.45">
      <c r="A2946" t="s">
        <v>10363</v>
      </c>
      <c r="B2946">
        <v>233</v>
      </c>
      <c r="C2946" t="s">
        <v>10451</v>
      </c>
      <c r="D2946" t="s">
        <v>10452</v>
      </c>
      <c r="E2946" t="s">
        <v>10453</v>
      </c>
      <c r="F2946" t="s">
        <v>76</v>
      </c>
      <c r="G2946" t="s">
        <v>177</v>
      </c>
      <c r="H2946" t="s">
        <v>54</v>
      </c>
      <c r="I2946" t="s">
        <v>10454</v>
      </c>
      <c r="J2946" t="s">
        <v>38</v>
      </c>
      <c r="K2946" t="s">
        <v>38</v>
      </c>
      <c r="L2946" t="s">
        <v>40</v>
      </c>
      <c r="M2946" t="s">
        <v>38</v>
      </c>
      <c r="N2946" t="s">
        <v>38</v>
      </c>
      <c r="O2946" t="s">
        <v>40</v>
      </c>
      <c r="P2946" t="s">
        <v>38</v>
      </c>
      <c r="Q2946" t="s">
        <v>38</v>
      </c>
      <c r="R2946" t="s">
        <v>40</v>
      </c>
      <c r="S2946" t="s">
        <v>41</v>
      </c>
      <c r="T2946" t="s">
        <v>10431</v>
      </c>
      <c r="U2946" t="s">
        <v>10420</v>
      </c>
      <c r="V2946" t="s">
        <v>10369</v>
      </c>
      <c r="W2946" t="s">
        <v>10421</v>
      </c>
      <c r="Z2946" t="s">
        <v>46</v>
      </c>
      <c r="AA2946" t="s">
        <v>10390</v>
      </c>
      <c r="AB2946" t="s">
        <v>2999</v>
      </c>
      <c r="AC2946">
        <f>COUNTIF(C:C,QLKV_gui_ket_qua_ra_soat[[#This Row],[Mã điểm bán]])</f>
        <v>1</v>
      </c>
    </row>
    <row r="2947" spans="1:29" x14ac:dyDescent="0.45">
      <c r="A2947" t="s">
        <v>10363</v>
      </c>
      <c r="B2947">
        <v>286</v>
      </c>
      <c r="C2947" t="s">
        <v>10455</v>
      </c>
      <c r="D2947" t="s">
        <v>10456</v>
      </c>
      <c r="E2947" t="s">
        <v>2478</v>
      </c>
      <c r="F2947" t="s">
        <v>2425</v>
      </c>
      <c r="G2947" t="s">
        <v>177</v>
      </c>
      <c r="H2947" t="s">
        <v>697</v>
      </c>
      <c r="I2947" t="s">
        <v>10457</v>
      </c>
      <c r="J2947" t="s">
        <v>41</v>
      </c>
      <c r="K2947" t="s">
        <v>41</v>
      </c>
      <c r="L2947" t="s">
        <v>41</v>
      </c>
      <c r="M2947" t="s">
        <v>41</v>
      </c>
      <c r="N2947" t="s">
        <v>41</v>
      </c>
      <c r="O2947" t="s">
        <v>41</v>
      </c>
      <c r="P2947" t="s">
        <v>41</v>
      </c>
      <c r="Q2947" t="s">
        <v>41</v>
      </c>
      <c r="R2947" t="s">
        <v>41</v>
      </c>
      <c r="S2947" t="s">
        <v>41</v>
      </c>
      <c r="T2947" t="s">
        <v>10431</v>
      </c>
      <c r="U2947" t="s">
        <v>10420</v>
      </c>
      <c r="V2947" t="s">
        <v>10369</v>
      </c>
      <c r="W2947" t="s">
        <v>10421</v>
      </c>
      <c r="Y2947" t="s">
        <v>46</v>
      </c>
      <c r="AB2947" t="s">
        <v>117</v>
      </c>
      <c r="AC2947">
        <f>COUNTIF(C:C,QLKV_gui_ket_qua_ra_soat[[#This Row],[Mã điểm bán]])</f>
        <v>1</v>
      </c>
    </row>
    <row r="2948" spans="1:29" x14ac:dyDescent="0.45">
      <c r="A2948" t="s">
        <v>10363</v>
      </c>
      <c r="B2948">
        <v>299</v>
      </c>
      <c r="C2948" t="s">
        <v>10458</v>
      </c>
      <c r="D2948" t="s">
        <v>10459</v>
      </c>
      <c r="E2948" t="s">
        <v>7286</v>
      </c>
      <c r="F2948" t="s">
        <v>3619</v>
      </c>
      <c r="G2948" t="s">
        <v>177</v>
      </c>
      <c r="H2948" t="s">
        <v>54</v>
      </c>
      <c r="I2948" t="s">
        <v>10460</v>
      </c>
      <c r="J2948" t="s">
        <v>38</v>
      </c>
      <c r="K2948" t="s">
        <v>38</v>
      </c>
      <c r="L2948" t="s">
        <v>40</v>
      </c>
      <c r="M2948" t="s">
        <v>38</v>
      </c>
      <c r="N2948" t="s">
        <v>38</v>
      </c>
      <c r="O2948" t="s">
        <v>40</v>
      </c>
      <c r="P2948" t="s">
        <v>38</v>
      </c>
      <c r="Q2948" t="s">
        <v>38</v>
      </c>
      <c r="R2948" t="s">
        <v>40</v>
      </c>
      <c r="S2948" t="s">
        <v>41</v>
      </c>
      <c r="T2948" t="s">
        <v>10431</v>
      </c>
      <c r="U2948" t="s">
        <v>10420</v>
      </c>
      <c r="V2948" t="s">
        <v>10369</v>
      </c>
      <c r="W2948" t="s">
        <v>10421</v>
      </c>
      <c r="X2948" t="s">
        <v>46</v>
      </c>
      <c r="AC2948">
        <f>COUNTIF(C:C,QLKV_gui_ket_qua_ra_soat[[#This Row],[Mã điểm bán]])</f>
        <v>1</v>
      </c>
    </row>
    <row r="2949" spans="1:29" x14ac:dyDescent="0.45">
      <c r="A2949" t="s">
        <v>10363</v>
      </c>
      <c r="B2949">
        <v>339</v>
      </c>
      <c r="C2949" t="s">
        <v>10461</v>
      </c>
      <c r="D2949" t="s">
        <v>10462</v>
      </c>
      <c r="E2949" t="s">
        <v>10463</v>
      </c>
      <c r="F2949" t="s">
        <v>331</v>
      </c>
      <c r="G2949" t="s">
        <v>177</v>
      </c>
      <c r="H2949" t="s">
        <v>3620</v>
      </c>
      <c r="I2949" t="s">
        <v>10464</v>
      </c>
      <c r="J2949" t="s">
        <v>38</v>
      </c>
      <c r="K2949" t="s">
        <v>38</v>
      </c>
      <c r="L2949" t="s">
        <v>40</v>
      </c>
      <c r="M2949" t="s">
        <v>38</v>
      </c>
      <c r="N2949" t="s">
        <v>38</v>
      </c>
      <c r="O2949" t="s">
        <v>40</v>
      </c>
      <c r="P2949" t="s">
        <v>38</v>
      </c>
      <c r="Q2949" t="s">
        <v>38</v>
      </c>
      <c r="R2949" t="s">
        <v>40</v>
      </c>
      <c r="S2949" t="s">
        <v>41</v>
      </c>
      <c r="T2949" t="s">
        <v>10419</v>
      </c>
      <c r="U2949" t="s">
        <v>10420</v>
      </c>
      <c r="V2949" t="s">
        <v>10369</v>
      </c>
      <c r="W2949" t="s">
        <v>10421</v>
      </c>
      <c r="Z2949" t="s">
        <v>46</v>
      </c>
      <c r="AA2949" t="s">
        <v>10390</v>
      </c>
      <c r="AB2949" t="s">
        <v>2999</v>
      </c>
      <c r="AC2949">
        <f>COUNTIF(C:C,QLKV_gui_ket_qua_ra_soat[[#This Row],[Mã điểm bán]])</f>
        <v>1</v>
      </c>
    </row>
    <row r="2950" spans="1:29" x14ac:dyDescent="0.45">
      <c r="A2950" t="s">
        <v>10363</v>
      </c>
      <c r="B2950">
        <v>343</v>
      </c>
      <c r="C2950" t="s">
        <v>10465</v>
      </c>
      <c r="D2950" t="s">
        <v>4154</v>
      </c>
      <c r="E2950" t="s">
        <v>10466</v>
      </c>
      <c r="F2950" t="s">
        <v>115</v>
      </c>
      <c r="G2950" t="s">
        <v>177</v>
      </c>
      <c r="H2950" t="s">
        <v>171</v>
      </c>
      <c r="I2950" t="s">
        <v>1899</v>
      </c>
      <c r="J2950" t="s">
        <v>38</v>
      </c>
      <c r="K2950" t="s">
        <v>38</v>
      </c>
      <c r="L2950" t="s">
        <v>40</v>
      </c>
      <c r="M2950" t="s">
        <v>38</v>
      </c>
      <c r="N2950" t="s">
        <v>38</v>
      </c>
      <c r="O2950" t="s">
        <v>40</v>
      </c>
      <c r="P2950" t="s">
        <v>38</v>
      </c>
      <c r="Q2950" t="s">
        <v>38</v>
      </c>
      <c r="R2950" t="s">
        <v>40</v>
      </c>
      <c r="S2950" t="s">
        <v>41</v>
      </c>
      <c r="T2950" t="s">
        <v>10419</v>
      </c>
      <c r="U2950" t="s">
        <v>10420</v>
      </c>
      <c r="V2950" t="s">
        <v>10369</v>
      </c>
      <c r="W2950" t="s">
        <v>10421</v>
      </c>
      <c r="X2950" t="s">
        <v>46</v>
      </c>
      <c r="AB2950" t="s">
        <v>3012</v>
      </c>
      <c r="AC2950">
        <f>COUNTIF(C:C,QLKV_gui_ket_qua_ra_soat[[#This Row],[Mã điểm bán]])</f>
        <v>1</v>
      </c>
    </row>
    <row r="2951" spans="1:29" x14ac:dyDescent="0.45">
      <c r="A2951" t="s">
        <v>10363</v>
      </c>
      <c r="B2951">
        <v>349</v>
      </c>
      <c r="C2951" t="s">
        <v>10467</v>
      </c>
      <c r="D2951" t="s">
        <v>10468</v>
      </c>
      <c r="E2951" t="s">
        <v>1492</v>
      </c>
      <c r="F2951" t="s">
        <v>166</v>
      </c>
      <c r="G2951" t="s">
        <v>34</v>
      </c>
      <c r="H2951" t="s">
        <v>171</v>
      </c>
      <c r="I2951" t="s">
        <v>10469</v>
      </c>
      <c r="J2951" t="s">
        <v>38</v>
      </c>
      <c r="K2951" t="s">
        <v>38</v>
      </c>
      <c r="L2951" t="s">
        <v>40</v>
      </c>
      <c r="M2951" t="s">
        <v>38</v>
      </c>
      <c r="N2951" t="s">
        <v>38</v>
      </c>
      <c r="O2951" t="s">
        <v>40</v>
      </c>
      <c r="P2951" t="s">
        <v>38</v>
      </c>
      <c r="Q2951" t="s">
        <v>38</v>
      </c>
      <c r="R2951" t="s">
        <v>40</v>
      </c>
      <c r="S2951" t="s">
        <v>41</v>
      </c>
      <c r="T2951" t="s">
        <v>10419</v>
      </c>
      <c r="U2951" t="s">
        <v>10420</v>
      </c>
      <c r="V2951" t="s">
        <v>10369</v>
      </c>
      <c r="W2951" t="s">
        <v>10421</v>
      </c>
      <c r="X2951" t="s">
        <v>46</v>
      </c>
      <c r="AC2951">
        <f>COUNTIF(C:C,QLKV_gui_ket_qua_ra_soat[[#This Row],[Mã điểm bán]])</f>
        <v>1</v>
      </c>
    </row>
    <row r="2952" spans="1:29" x14ac:dyDescent="0.45">
      <c r="A2952" t="s">
        <v>10363</v>
      </c>
      <c r="B2952">
        <v>378</v>
      </c>
      <c r="C2952" t="s">
        <v>10470</v>
      </c>
      <c r="D2952" t="s">
        <v>3807</v>
      </c>
      <c r="E2952" t="s">
        <v>3918</v>
      </c>
      <c r="F2952" t="s">
        <v>166</v>
      </c>
      <c r="G2952" t="s">
        <v>34</v>
      </c>
      <c r="H2952" t="s">
        <v>214</v>
      </c>
      <c r="I2952" t="s">
        <v>10471</v>
      </c>
      <c r="J2952" t="s">
        <v>38</v>
      </c>
      <c r="K2952" t="s">
        <v>38</v>
      </c>
      <c r="L2952" t="s">
        <v>40</v>
      </c>
      <c r="M2952" t="s">
        <v>37</v>
      </c>
      <c r="N2952" t="s">
        <v>56</v>
      </c>
      <c r="O2952" t="s">
        <v>39</v>
      </c>
      <c r="P2952" t="s">
        <v>38</v>
      </c>
      <c r="Q2952" t="s">
        <v>38</v>
      </c>
      <c r="R2952" t="s">
        <v>40</v>
      </c>
      <c r="S2952" t="s">
        <v>41</v>
      </c>
      <c r="T2952" t="s">
        <v>10472</v>
      </c>
      <c r="U2952" t="s">
        <v>10473</v>
      </c>
      <c r="V2952" t="s">
        <v>10369</v>
      </c>
      <c r="W2952" t="s">
        <v>10474</v>
      </c>
      <c r="Z2952" t="s">
        <v>46</v>
      </c>
      <c r="AA2952" t="s">
        <v>10390</v>
      </c>
      <c r="AB2952" t="s">
        <v>2999</v>
      </c>
      <c r="AC2952">
        <f>COUNTIF(C:C,QLKV_gui_ket_qua_ra_soat[[#This Row],[Mã điểm bán]])</f>
        <v>1</v>
      </c>
    </row>
    <row r="2953" spans="1:29" x14ac:dyDescent="0.45">
      <c r="A2953" t="s">
        <v>10363</v>
      </c>
      <c r="B2953">
        <v>439</v>
      </c>
      <c r="C2953" t="s">
        <v>10475</v>
      </c>
      <c r="D2953" t="s">
        <v>10476</v>
      </c>
      <c r="E2953" t="s">
        <v>2812</v>
      </c>
      <c r="F2953" t="s">
        <v>325</v>
      </c>
      <c r="G2953" t="s">
        <v>34</v>
      </c>
      <c r="H2953" t="s">
        <v>842</v>
      </c>
      <c r="I2953" t="s">
        <v>10477</v>
      </c>
      <c r="J2953" t="s">
        <v>38</v>
      </c>
      <c r="K2953" t="s">
        <v>38</v>
      </c>
      <c r="L2953" t="s">
        <v>40</v>
      </c>
      <c r="M2953" t="s">
        <v>37</v>
      </c>
      <c r="N2953" t="s">
        <v>37</v>
      </c>
      <c r="O2953" t="s">
        <v>39</v>
      </c>
      <c r="P2953" t="s">
        <v>38</v>
      </c>
      <c r="Q2953" t="s">
        <v>38</v>
      </c>
      <c r="R2953" t="s">
        <v>40</v>
      </c>
      <c r="S2953" t="s">
        <v>10478</v>
      </c>
      <c r="T2953" t="s">
        <v>10472</v>
      </c>
      <c r="U2953" t="s">
        <v>10473</v>
      </c>
      <c r="V2953" t="s">
        <v>10369</v>
      </c>
      <c r="W2953" t="s">
        <v>10474</v>
      </c>
      <c r="X2953" t="s">
        <v>46</v>
      </c>
      <c r="AC2953">
        <f>COUNTIF(C:C,QLKV_gui_ket_qua_ra_soat[[#This Row],[Mã điểm bán]])</f>
        <v>1</v>
      </c>
    </row>
    <row r="2954" spans="1:29" x14ac:dyDescent="0.45">
      <c r="A2954" t="s">
        <v>10363</v>
      </c>
      <c r="B2954">
        <v>501</v>
      </c>
      <c r="C2954" t="s">
        <v>10479</v>
      </c>
      <c r="D2954" t="s">
        <v>10480</v>
      </c>
      <c r="E2954" t="s">
        <v>10481</v>
      </c>
      <c r="F2954" t="s">
        <v>10482</v>
      </c>
      <c r="G2954" t="s">
        <v>177</v>
      </c>
      <c r="H2954" t="s">
        <v>54</v>
      </c>
      <c r="I2954" t="s">
        <v>10483</v>
      </c>
      <c r="J2954" t="s">
        <v>38</v>
      </c>
      <c r="K2954" t="s">
        <v>38</v>
      </c>
      <c r="L2954" t="s">
        <v>40</v>
      </c>
      <c r="M2954" t="s">
        <v>38</v>
      </c>
      <c r="N2954" t="s">
        <v>38</v>
      </c>
      <c r="O2954" t="s">
        <v>40</v>
      </c>
      <c r="P2954" t="s">
        <v>38</v>
      </c>
      <c r="Q2954" t="s">
        <v>38</v>
      </c>
      <c r="R2954" t="s">
        <v>40</v>
      </c>
      <c r="S2954" t="s">
        <v>41</v>
      </c>
      <c r="T2954" t="s">
        <v>10431</v>
      </c>
      <c r="U2954" t="s">
        <v>10420</v>
      </c>
      <c r="V2954" t="s">
        <v>10369</v>
      </c>
      <c r="W2954" t="s">
        <v>10421</v>
      </c>
      <c r="X2954" t="s">
        <v>46</v>
      </c>
      <c r="AB2954" t="s">
        <v>117</v>
      </c>
      <c r="AC2954">
        <f>COUNTIF(C:C,QLKV_gui_ket_qua_ra_soat[[#This Row],[Mã điểm bán]])</f>
        <v>1</v>
      </c>
    </row>
    <row r="2955" spans="1:29" x14ac:dyDescent="0.45">
      <c r="A2955" t="s">
        <v>10363</v>
      </c>
      <c r="B2955">
        <v>504</v>
      </c>
      <c r="C2955" t="s">
        <v>10484</v>
      </c>
      <c r="D2955" t="s">
        <v>10485</v>
      </c>
      <c r="E2955" t="s">
        <v>1735</v>
      </c>
      <c r="F2955" t="s">
        <v>53</v>
      </c>
      <c r="G2955" t="s">
        <v>34</v>
      </c>
      <c r="H2955" t="s">
        <v>917</v>
      </c>
      <c r="I2955" t="s">
        <v>10486</v>
      </c>
      <c r="J2955" t="s">
        <v>38</v>
      </c>
      <c r="K2955" t="s">
        <v>37</v>
      </c>
      <c r="L2955" t="s">
        <v>39</v>
      </c>
      <c r="M2955" t="s">
        <v>37</v>
      </c>
      <c r="N2955" t="s">
        <v>37</v>
      </c>
      <c r="O2955" t="s">
        <v>40</v>
      </c>
      <c r="P2955" t="s">
        <v>38</v>
      </c>
      <c r="Q2955" t="s">
        <v>38</v>
      </c>
      <c r="R2955" t="s">
        <v>40</v>
      </c>
      <c r="S2955" t="s">
        <v>41</v>
      </c>
      <c r="T2955" t="s">
        <v>10472</v>
      </c>
      <c r="U2955" t="s">
        <v>10473</v>
      </c>
      <c r="V2955" t="s">
        <v>10369</v>
      </c>
      <c r="W2955" t="s">
        <v>10474</v>
      </c>
      <c r="X2955" t="s">
        <v>46</v>
      </c>
      <c r="AB2955" t="s">
        <v>117</v>
      </c>
      <c r="AC2955">
        <f>COUNTIF(C:C,QLKV_gui_ket_qua_ra_soat[[#This Row],[Mã điểm bán]])</f>
        <v>1</v>
      </c>
    </row>
    <row r="2956" spans="1:29" x14ac:dyDescent="0.45">
      <c r="A2956" t="s">
        <v>10363</v>
      </c>
      <c r="B2956">
        <v>573</v>
      </c>
      <c r="C2956" t="s">
        <v>10487</v>
      </c>
      <c r="D2956" t="s">
        <v>10488</v>
      </c>
      <c r="E2956" t="s">
        <v>2741</v>
      </c>
      <c r="F2956" t="s">
        <v>1471</v>
      </c>
      <c r="G2956" t="s">
        <v>177</v>
      </c>
      <c r="H2956" t="s">
        <v>54</v>
      </c>
      <c r="I2956" t="s">
        <v>10489</v>
      </c>
      <c r="J2956" t="s">
        <v>38</v>
      </c>
      <c r="K2956" t="s">
        <v>38</v>
      </c>
      <c r="L2956" t="s">
        <v>40</v>
      </c>
      <c r="M2956" t="s">
        <v>56</v>
      </c>
      <c r="N2956" t="s">
        <v>38</v>
      </c>
      <c r="O2956" t="s">
        <v>40</v>
      </c>
      <c r="P2956" t="s">
        <v>38</v>
      </c>
      <c r="Q2956" t="s">
        <v>38</v>
      </c>
      <c r="R2956" t="s">
        <v>40</v>
      </c>
      <c r="S2956" t="s">
        <v>41</v>
      </c>
      <c r="T2956" t="s">
        <v>10431</v>
      </c>
      <c r="U2956" t="s">
        <v>10420</v>
      </c>
      <c r="V2956" t="s">
        <v>10369</v>
      </c>
      <c r="W2956" t="s">
        <v>10421</v>
      </c>
      <c r="X2956" t="s">
        <v>46</v>
      </c>
      <c r="AC2956">
        <f>COUNTIF(C:C,QLKV_gui_ket_qua_ra_soat[[#This Row],[Mã điểm bán]])</f>
        <v>1</v>
      </c>
    </row>
    <row r="2957" spans="1:29" x14ac:dyDescent="0.45">
      <c r="A2957" t="s">
        <v>10363</v>
      </c>
      <c r="B2957">
        <v>793</v>
      </c>
      <c r="C2957" t="s">
        <v>10490</v>
      </c>
      <c r="D2957" t="s">
        <v>10491</v>
      </c>
      <c r="E2957" t="s">
        <v>128</v>
      </c>
      <c r="F2957" t="s">
        <v>325</v>
      </c>
      <c r="G2957" t="s">
        <v>34</v>
      </c>
      <c r="H2957" t="s">
        <v>834</v>
      </c>
      <c r="I2957" t="s">
        <v>10492</v>
      </c>
      <c r="J2957" t="s">
        <v>38</v>
      </c>
      <c r="K2957" t="s">
        <v>38</v>
      </c>
      <c r="L2957" t="s">
        <v>40</v>
      </c>
      <c r="M2957" t="s">
        <v>38</v>
      </c>
      <c r="N2957" t="s">
        <v>38</v>
      </c>
      <c r="O2957" t="s">
        <v>40</v>
      </c>
      <c r="P2957" t="s">
        <v>1034</v>
      </c>
      <c r="Q2957" t="s">
        <v>38</v>
      </c>
      <c r="R2957" t="s">
        <v>39</v>
      </c>
      <c r="S2957" t="s">
        <v>41</v>
      </c>
      <c r="T2957" t="s">
        <v>10493</v>
      </c>
      <c r="U2957" t="s">
        <v>10494</v>
      </c>
      <c r="V2957" t="s">
        <v>10369</v>
      </c>
      <c r="W2957" t="s">
        <v>10495</v>
      </c>
      <c r="X2957" t="s">
        <v>46</v>
      </c>
      <c r="AC2957">
        <f>COUNTIF(C:C,QLKV_gui_ket_qua_ra_soat[[#This Row],[Mã điểm bán]])</f>
        <v>1</v>
      </c>
    </row>
    <row r="2958" spans="1:29" x14ac:dyDescent="0.45">
      <c r="A2958" t="s">
        <v>10363</v>
      </c>
      <c r="B2958">
        <v>1038</v>
      </c>
      <c r="C2958" t="s">
        <v>10496</v>
      </c>
      <c r="D2958" t="s">
        <v>10497</v>
      </c>
      <c r="E2958" t="s">
        <v>219</v>
      </c>
      <c r="F2958" t="s">
        <v>53</v>
      </c>
      <c r="G2958" t="s">
        <v>34</v>
      </c>
      <c r="H2958" t="s">
        <v>685</v>
      </c>
      <c r="I2958" t="s">
        <v>10498</v>
      </c>
      <c r="J2958" t="s">
        <v>38</v>
      </c>
      <c r="K2958" t="s">
        <v>38</v>
      </c>
      <c r="L2958" t="s">
        <v>40</v>
      </c>
      <c r="M2958" t="s">
        <v>38</v>
      </c>
      <c r="N2958" t="s">
        <v>38</v>
      </c>
      <c r="O2958" t="s">
        <v>40</v>
      </c>
      <c r="P2958" t="s">
        <v>38</v>
      </c>
      <c r="Q2958" t="s">
        <v>38</v>
      </c>
      <c r="R2958" t="s">
        <v>40</v>
      </c>
      <c r="S2958" t="s">
        <v>41</v>
      </c>
      <c r="T2958" t="s">
        <v>10499</v>
      </c>
      <c r="U2958" t="s">
        <v>10500</v>
      </c>
      <c r="V2958" t="s">
        <v>10369</v>
      </c>
      <c r="W2958" t="s">
        <v>10440</v>
      </c>
      <c r="Z2958" t="s">
        <v>46</v>
      </c>
      <c r="AA2958" t="s">
        <v>10422</v>
      </c>
      <c r="AB2958" t="s">
        <v>117</v>
      </c>
      <c r="AC2958">
        <f>COUNTIF(C:C,QLKV_gui_ket_qua_ra_soat[[#This Row],[Mã điểm bán]])</f>
        <v>1</v>
      </c>
    </row>
    <row r="2959" spans="1:29" x14ac:dyDescent="0.45">
      <c r="A2959" t="s">
        <v>10363</v>
      </c>
      <c r="B2959">
        <v>1086</v>
      </c>
      <c r="C2959" t="s">
        <v>10501</v>
      </c>
      <c r="D2959" t="s">
        <v>10502</v>
      </c>
      <c r="E2959" t="s">
        <v>261</v>
      </c>
      <c r="F2959" t="s">
        <v>3522</v>
      </c>
      <c r="G2959" t="s">
        <v>177</v>
      </c>
      <c r="H2959" t="s">
        <v>685</v>
      </c>
      <c r="I2959" t="s">
        <v>10503</v>
      </c>
      <c r="J2959" t="s">
        <v>38</v>
      </c>
      <c r="K2959" t="s">
        <v>38</v>
      </c>
      <c r="L2959" t="s">
        <v>40</v>
      </c>
      <c r="M2959" t="s">
        <v>38</v>
      </c>
      <c r="N2959" t="s">
        <v>38</v>
      </c>
      <c r="O2959" t="s">
        <v>40</v>
      </c>
      <c r="P2959" t="s">
        <v>38</v>
      </c>
      <c r="Q2959" t="s">
        <v>38</v>
      </c>
      <c r="R2959" t="s">
        <v>40</v>
      </c>
      <c r="S2959" t="s">
        <v>10504</v>
      </c>
      <c r="T2959" t="s">
        <v>10505</v>
      </c>
      <c r="U2959" t="s">
        <v>10506</v>
      </c>
      <c r="V2959" t="s">
        <v>10369</v>
      </c>
      <c r="W2959" t="s">
        <v>10474</v>
      </c>
      <c r="X2959" t="s">
        <v>46</v>
      </c>
      <c r="AB2959" t="s">
        <v>117</v>
      </c>
      <c r="AC2959">
        <f>COUNTIF(C:C,QLKV_gui_ket_qua_ra_soat[[#This Row],[Mã điểm bán]])</f>
        <v>1</v>
      </c>
    </row>
    <row r="2960" spans="1:29" x14ac:dyDescent="0.45">
      <c r="A2960" t="s">
        <v>10363</v>
      </c>
      <c r="B2960">
        <v>1094</v>
      </c>
      <c r="C2960" t="s">
        <v>10507</v>
      </c>
      <c r="D2960" t="s">
        <v>10508</v>
      </c>
      <c r="E2960" t="s">
        <v>32</v>
      </c>
      <c r="F2960" t="s">
        <v>10509</v>
      </c>
      <c r="G2960" t="s">
        <v>177</v>
      </c>
      <c r="H2960" t="s">
        <v>1177</v>
      </c>
      <c r="I2960" t="s">
        <v>10510</v>
      </c>
      <c r="J2960" t="s">
        <v>38</v>
      </c>
      <c r="K2960" t="s">
        <v>38</v>
      </c>
      <c r="L2960" t="s">
        <v>40</v>
      </c>
      <c r="M2960" t="s">
        <v>38</v>
      </c>
      <c r="N2960" t="s">
        <v>38</v>
      </c>
      <c r="O2960" t="s">
        <v>40</v>
      </c>
      <c r="P2960" t="s">
        <v>38</v>
      </c>
      <c r="Q2960" t="s">
        <v>38</v>
      </c>
      <c r="R2960" t="s">
        <v>40</v>
      </c>
      <c r="S2960" t="s">
        <v>41</v>
      </c>
      <c r="T2960" t="s">
        <v>10499</v>
      </c>
      <c r="U2960" t="s">
        <v>10500</v>
      </c>
      <c r="V2960" t="s">
        <v>10369</v>
      </c>
      <c r="W2960" t="s">
        <v>10440</v>
      </c>
      <c r="X2960" t="s">
        <v>46</v>
      </c>
      <c r="AC2960">
        <f>COUNTIF(C:C,QLKV_gui_ket_qua_ra_soat[[#This Row],[Mã điểm bán]])</f>
        <v>1</v>
      </c>
    </row>
    <row r="2961" spans="1:29" x14ac:dyDescent="0.45">
      <c r="A2961" t="s">
        <v>10363</v>
      </c>
      <c r="B2961">
        <v>1099</v>
      </c>
      <c r="C2961" t="s">
        <v>10511</v>
      </c>
      <c r="D2961" t="s">
        <v>10512</v>
      </c>
      <c r="E2961" t="s">
        <v>682</v>
      </c>
      <c r="F2961" t="s">
        <v>5453</v>
      </c>
      <c r="G2961" t="s">
        <v>177</v>
      </c>
      <c r="H2961" t="s">
        <v>319</v>
      </c>
      <c r="I2961" t="s">
        <v>10513</v>
      </c>
      <c r="J2961" t="s">
        <v>38</v>
      </c>
      <c r="K2961" t="s">
        <v>38</v>
      </c>
      <c r="L2961" t="s">
        <v>40</v>
      </c>
      <c r="M2961" t="s">
        <v>38</v>
      </c>
      <c r="N2961" t="s">
        <v>38</v>
      </c>
      <c r="O2961" t="s">
        <v>40</v>
      </c>
      <c r="P2961" t="s">
        <v>38</v>
      </c>
      <c r="Q2961" t="s">
        <v>38</v>
      </c>
      <c r="R2961" t="s">
        <v>40</v>
      </c>
      <c r="S2961" t="s">
        <v>10514</v>
      </c>
      <c r="T2961" t="s">
        <v>10505</v>
      </c>
      <c r="U2961" t="s">
        <v>10506</v>
      </c>
      <c r="V2961" t="s">
        <v>10369</v>
      </c>
      <c r="W2961" t="s">
        <v>10474</v>
      </c>
      <c r="X2961" t="s">
        <v>46</v>
      </c>
      <c r="AC2961">
        <f>COUNTIF(C:C,QLKV_gui_ket_qua_ra_soat[[#This Row],[Mã điểm bán]])</f>
        <v>1</v>
      </c>
    </row>
    <row r="2962" spans="1:29" x14ac:dyDescent="0.45">
      <c r="A2962" t="s">
        <v>10363</v>
      </c>
      <c r="B2962">
        <v>1103</v>
      </c>
      <c r="C2962" t="s">
        <v>10515</v>
      </c>
      <c r="D2962" t="s">
        <v>10516</v>
      </c>
      <c r="E2962" t="s">
        <v>143</v>
      </c>
      <c r="F2962" t="s">
        <v>934</v>
      </c>
      <c r="G2962" t="s">
        <v>34</v>
      </c>
      <c r="H2962" t="s">
        <v>35</v>
      </c>
      <c r="I2962" t="s">
        <v>10517</v>
      </c>
      <c r="J2962" t="s">
        <v>38</v>
      </c>
      <c r="K2962" t="s">
        <v>38</v>
      </c>
      <c r="L2962" t="s">
        <v>39</v>
      </c>
      <c r="M2962" t="s">
        <v>38</v>
      </c>
      <c r="N2962" t="s">
        <v>38</v>
      </c>
      <c r="O2962" t="s">
        <v>39</v>
      </c>
      <c r="P2962" t="s">
        <v>38</v>
      </c>
      <c r="Q2962" t="s">
        <v>38</v>
      </c>
      <c r="R2962" t="s">
        <v>39</v>
      </c>
      <c r="S2962" t="s">
        <v>627</v>
      </c>
      <c r="T2962" t="s">
        <v>10518</v>
      </c>
      <c r="U2962" t="s">
        <v>10519</v>
      </c>
      <c r="V2962" t="s">
        <v>10369</v>
      </c>
      <c r="W2962" t="s">
        <v>10370</v>
      </c>
      <c r="Z2962" t="s">
        <v>46</v>
      </c>
      <c r="AA2962" t="s">
        <v>10520</v>
      </c>
      <c r="AB2962" t="s">
        <v>117</v>
      </c>
      <c r="AC2962">
        <f>COUNTIF(C:C,QLKV_gui_ket_qua_ra_soat[[#This Row],[Mã điểm bán]])</f>
        <v>1</v>
      </c>
    </row>
    <row r="2963" spans="1:29" x14ac:dyDescent="0.45">
      <c r="A2963" t="s">
        <v>10363</v>
      </c>
      <c r="B2963">
        <v>1155</v>
      </c>
      <c r="C2963" t="s">
        <v>10521</v>
      </c>
      <c r="D2963" t="s">
        <v>10522</v>
      </c>
      <c r="E2963" t="s">
        <v>128</v>
      </c>
      <c r="F2963" t="s">
        <v>70</v>
      </c>
      <c r="G2963" t="s">
        <v>34</v>
      </c>
      <c r="H2963" t="s">
        <v>171</v>
      </c>
      <c r="I2963" t="s">
        <v>10523</v>
      </c>
      <c r="J2963" t="s">
        <v>38</v>
      </c>
      <c r="K2963" t="s">
        <v>38</v>
      </c>
      <c r="L2963" t="s">
        <v>40</v>
      </c>
      <c r="M2963" t="s">
        <v>38</v>
      </c>
      <c r="N2963" t="s">
        <v>38</v>
      </c>
      <c r="O2963" t="s">
        <v>39</v>
      </c>
      <c r="P2963" t="s">
        <v>38</v>
      </c>
      <c r="Q2963" t="s">
        <v>38</v>
      </c>
      <c r="R2963" t="s">
        <v>40</v>
      </c>
      <c r="S2963" t="s">
        <v>10524</v>
      </c>
      <c r="T2963" t="s">
        <v>10525</v>
      </c>
      <c r="U2963" t="s">
        <v>10519</v>
      </c>
      <c r="V2963" t="s">
        <v>10369</v>
      </c>
      <c r="W2963" t="s">
        <v>10399</v>
      </c>
      <c r="X2963" t="s">
        <v>46</v>
      </c>
      <c r="AB2963" t="s">
        <v>117</v>
      </c>
      <c r="AC2963">
        <f>COUNTIF(C:C,QLKV_gui_ket_qua_ra_soat[[#This Row],[Mã điểm bán]])</f>
        <v>1</v>
      </c>
    </row>
    <row r="2964" spans="1:29" x14ac:dyDescent="0.45">
      <c r="A2964" t="s">
        <v>10363</v>
      </c>
      <c r="B2964">
        <v>1159</v>
      </c>
      <c r="C2964" t="s">
        <v>10526</v>
      </c>
      <c r="D2964" t="s">
        <v>10527</v>
      </c>
      <c r="E2964" t="s">
        <v>223</v>
      </c>
      <c r="F2964" t="s">
        <v>2196</v>
      </c>
      <c r="G2964" t="s">
        <v>34</v>
      </c>
      <c r="H2964" t="s">
        <v>171</v>
      </c>
      <c r="I2964" t="s">
        <v>10528</v>
      </c>
      <c r="J2964" t="s">
        <v>38</v>
      </c>
      <c r="K2964" t="s">
        <v>38</v>
      </c>
      <c r="L2964" t="s">
        <v>40</v>
      </c>
      <c r="M2964" t="s">
        <v>38</v>
      </c>
      <c r="N2964" t="s">
        <v>37</v>
      </c>
      <c r="O2964" t="s">
        <v>39</v>
      </c>
      <c r="P2964" t="s">
        <v>38</v>
      </c>
      <c r="Q2964" t="s">
        <v>38</v>
      </c>
      <c r="R2964" t="s">
        <v>39</v>
      </c>
      <c r="S2964" t="s">
        <v>41</v>
      </c>
      <c r="T2964" t="s">
        <v>10426</v>
      </c>
      <c r="U2964" t="s">
        <v>10427</v>
      </c>
      <c r="V2964" t="s">
        <v>10369</v>
      </c>
      <c r="W2964" t="s">
        <v>10421</v>
      </c>
      <c r="X2964" t="s">
        <v>46</v>
      </c>
      <c r="AC2964">
        <f>COUNTIF(C:C,QLKV_gui_ket_qua_ra_soat[[#This Row],[Mã điểm bán]])</f>
        <v>1</v>
      </c>
    </row>
    <row r="2965" spans="1:29" x14ac:dyDescent="0.45">
      <c r="A2965" t="s">
        <v>10363</v>
      </c>
      <c r="B2965">
        <v>1167</v>
      </c>
      <c r="C2965" t="s">
        <v>10529</v>
      </c>
      <c r="D2965" t="s">
        <v>10530</v>
      </c>
      <c r="E2965" t="s">
        <v>330</v>
      </c>
      <c r="F2965" t="s">
        <v>292</v>
      </c>
      <c r="G2965" t="s">
        <v>34</v>
      </c>
      <c r="H2965" t="s">
        <v>1263</v>
      </c>
      <c r="I2965" t="s">
        <v>10531</v>
      </c>
      <c r="J2965" t="s">
        <v>38</v>
      </c>
      <c r="K2965" t="s">
        <v>38</v>
      </c>
      <c r="L2965" t="s">
        <v>39</v>
      </c>
      <c r="M2965" t="s">
        <v>38</v>
      </c>
      <c r="N2965" t="s">
        <v>38</v>
      </c>
      <c r="O2965" t="s">
        <v>40</v>
      </c>
      <c r="P2965" t="s">
        <v>38</v>
      </c>
      <c r="Q2965" t="s">
        <v>38</v>
      </c>
      <c r="R2965" t="s">
        <v>40</v>
      </c>
      <c r="S2965" t="s">
        <v>41</v>
      </c>
      <c r="T2965" t="s">
        <v>10499</v>
      </c>
      <c r="U2965" t="s">
        <v>10500</v>
      </c>
      <c r="V2965" t="s">
        <v>10369</v>
      </c>
      <c r="W2965" t="s">
        <v>10440</v>
      </c>
      <c r="Z2965" t="s">
        <v>46</v>
      </c>
      <c r="AA2965" t="s">
        <v>10390</v>
      </c>
      <c r="AB2965" t="s">
        <v>2999</v>
      </c>
      <c r="AC2965">
        <f>COUNTIF(C:C,QLKV_gui_ket_qua_ra_soat[[#This Row],[Mã điểm bán]])</f>
        <v>1</v>
      </c>
    </row>
    <row r="2966" spans="1:29" x14ac:dyDescent="0.45">
      <c r="A2966" t="s">
        <v>10363</v>
      </c>
      <c r="B2966">
        <v>1168</v>
      </c>
      <c r="C2966" t="s">
        <v>10532</v>
      </c>
      <c r="D2966" t="s">
        <v>10533</v>
      </c>
      <c r="E2966" t="s">
        <v>128</v>
      </c>
      <c r="F2966" t="s">
        <v>4431</v>
      </c>
      <c r="G2966" t="s">
        <v>177</v>
      </c>
      <c r="H2966" t="s">
        <v>1263</v>
      </c>
      <c r="I2966" t="s">
        <v>10534</v>
      </c>
      <c r="J2966" t="s">
        <v>38</v>
      </c>
      <c r="K2966" t="s">
        <v>38</v>
      </c>
      <c r="L2966" t="s">
        <v>40</v>
      </c>
      <c r="M2966" t="s">
        <v>38</v>
      </c>
      <c r="N2966" t="s">
        <v>38</v>
      </c>
      <c r="O2966" t="s">
        <v>40</v>
      </c>
      <c r="P2966" t="s">
        <v>38</v>
      </c>
      <c r="Q2966" t="s">
        <v>38</v>
      </c>
      <c r="R2966" t="s">
        <v>40</v>
      </c>
      <c r="S2966" t="s">
        <v>41</v>
      </c>
      <c r="T2966" t="s">
        <v>10499</v>
      </c>
      <c r="U2966" t="s">
        <v>10500</v>
      </c>
      <c r="V2966" t="s">
        <v>10369</v>
      </c>
      <c r="W2966" t="s">
        <v>10440</v>
      </c>
      <c r="Z2966" t="s">
        <v>46</v>
      </c>
      <c r="AA2966" t="s">
        <v>10390</v>
      </c>
      <c r="AB2966" t="s">
        <v>2999</v>
      </c>
      <c r="AC2966">
        <f>COUNTIF(C:C,QLKV_gui_ket_qua_ra_soat[[#This Row],[Mã điểm bán]])</f>
        <v>1</v>
      </c>
    </row>
    <row r="2967" spans="1:29" x14ac:dyDescent="0.45">
      <c r="A2967" t="s">
        <v>10363</v>
      </c>
      <c r="B2967">
        <v>1170</v>
      </c>
      <c r="C2967" t="s">
        <v>10535</v>
      </c>
      <c r="D2967" t="s">
        <v>10536</v>
      </c>
      <c r="E2967" t="s">
        <v>127</v>
      </c>
      <c r="F2967" t="s">
        <v>280</v>
      </c>
      <c r="G2967" t="s">
        <v>150</v>
      </c>
      <c r="H2967" t="s">
        <v>192</v>
      </c>
      <c r="I2967" t="s">
        <v>10537</v>
      </c>
      <c r="J2967" t="s">
        <v>38</v>
      </c>
      <c r="K2967" t="s">
        <v>38</v>
      </c>
      <c r="L2967" t="s">
        <v>40</v>
      </c>
      <c r="M2967" t="s">
        <v>38</v>
      </c>
      <c r="N2967" t="s">
        <v>38</v>
      </c>
      <c r="O2967" t="s">
        <v>40</v>
      </c>
      <c r="P2967" t="s">
        <v>38</v>
      </c>
      <c r="Q2967" t="s">
        <v>38</v>
      </c>
      <c r="R2967" t="s">
        <v>40</v>
      </c>
      <c r="S2967" t="s">
        <v>10538</v>
      </c>
      <c r="T2967" t="s">
        <v>10499</v>
      </c>
      <c r="U2967" t="s">
        <v>10500</v>
      </c>
      <c r="V2967" t="s">
        <v>10369</v>
      </c>
      <c r="W2967" t="s">
        <v>10440</v>
      </c>
      <c r="Z2967" t="s">
        <v>46</v>
      </c>
      <c r="AA2967" t="s">
        <v>10390</v>
      </c>
      <c r="AB2967" t="s">
        <v>2999</v>
      </c>
      <c r="AC2967">
        <f>COUNTIF(C:C,QLKV_gui_ket_qua_ra_soat[[#This Row],[Mã điểm bán]])</f>
        <v>1</v>
      </c>
    </row>
    <row r="2968" spans="1:29" x14ac:dyDescent="0.45">
      <c r="A2968" t="s">
        <v>10363</v>
      </c>
      <c r="B2968">
        <v>1182</v>
      </c>
      <c r="C2968" t="s">
        <v>10539</v>
      </c>
      <c r="D2968" t="s">
        <v>10540</v>
      </c>
      <c r="E2968" t="s">
        <v>10541</v>
      </c>
      <c r="F2968" t="s">
        <v>10542</v>
      </c>
      <c r="G2968" t="s">
        <v>34</v>
      </c>
      <c r="H2968" t="s">
        <v>54</v>
      </c>
      <c r="I2968" t="s">
        <v>10543</v>
      </c>
      <c r="J2968" t="s">
        <v>38</v>
      </c>
      <c r="K2968" t="s">
        <v>38</v>
      </c>
      <c r="L2968" t="s">
        <v>40</v>
      </c>
      <c r="M2968" t="s">
        <v>38</v>
      </c>
      <c r="N2968" t="s">
        <v>38</v>
      </c>
      <c r="O2968" t="s">
        <v>39</v>
      </c>
      <c r="P2968" t="s">
        <v>38</v>
      </c>
      <c r="Q2968" t="s">
        <v>38</v>
      </c>
      <c r="R2968" t="s">
        <v>40</v>
      </c>
      <c r="S2968" t="s">
        <v>10544</v>
      </c>
      <c r="T2968" t="s">
        <v>10525</v>
      </c>
      <c r="U2968" t="s">
        <v>10519</v>
      </c>
      <c r="V2968" t="s">
        <v>10369</v>
      </c>
      <c r="W2968" t="s">
        <v>10370</v>
      </c>
      <c r="X2968" t="s">
        <v>46</v>
      </c>
      <c r="AC2968">
        <f>COUNTIF(C:C,QLKV_gui_ket_qua_ra_soat[[#This Row],[Mã điểm bán]])</f>
        <v>1</v>
      </c>
    </row>
    <row r="2969" spans="1:29" x14ac:dyDescent="0.45">
      <c r="A2969" t="s">
        <v>10363</v>
      </c>
      <c r="B2969">
        <v>1198</v>
      </c>
      <c r="C2969" t="s">
        <v>10545</v>
      </c>
      <c r="D2969" t="s">
        <v>10546</v>
      </c>
      <c r="E2969" t="s">
        <v>290</v>
      </c>
      <c r="F2969" t="s">
        <v>115</v>
      </c>
      <c r="G2969" t="s">
        <v>34</v>
      </c>
      <c r="H2969" t="s">
        <v>54</v>
      </c>
      <c r="I2969" t="s">
        <v>10547</v>
      </c>
      <c r="J2969" t="s">
        <v>38</v>
      </c>
      <c r="K2969" t="s">
        <v>38</v>
      </c>
      <c r="L2969" t="s">
        <v>40</v>
      </c>
      <c r="M2969" t="s">
        <v>38</v>
      </c>
      <c r="N2969" t="s">
        <v>38</v>
      </c>
      <c r="O2969" t="s">
        <v>39</v>
      </c>
      <c r="P2969" t="s">
        <v>38</v>
      </c>
      <c r="Q2969" t="s">
        <v>38</v>
      </c>
      <c r="R2969" t="s">
        <v>40</v>
      </c>
      <c r="S2969" t="s">
        <v>5363</v>
      </c>
      <c r="T2969" t="s">
        <v>10525</v>
      </c>
      <c r="U2969" t="s">
        <v>10519</v>
      </c>
      <c r="V2969" t="s">
        <v>10369</v>
      </c>
      <c r="W2969" t="s">
        <v>10370</v>
      </c>
      <c r="X2969" t="s">
        <v>46</v>
      </c>
      <c r="AC2969">
        <f>COUNTIF(C:C,QLKV_gui_ket_qua_ra_soat[[#This Row],[Mã điểm bán]])</f>
        <v>1</v>
      </c>
    </row>
    <row r="2970" spans="1:29" x14ac:dyDescent="0.45">
      <c r="A2970" t="s">
        <v>10363</v>
      </c>
      <c r="B2970">
        <v>1215</v>
      </c>
      <c r="C2970" t="s">
        <v>10548</v>
      </c>
      <c r="D2970" t="s">
        <v>10549</v>
      </c>
      <c r="E2970" t="s">
        <v>10550</v>
      </c>
      <c r="F2970" t="s">
        <v>2432</v>
      </c>
      <c r="G2970" t="s">
        <v>150</v>
      </c>
      <c r="H2970" t="s">
        <v>54</v>
      </c>
      <c r="I2970" t="s">
        <v>10551</v>
      </c>
      <c r="J2970" t="s">
        <v>38</v>
      </c>
      <c r="K2970" t="s">
        <v>38</v>
      </c>
      <c r="L2970" t="s">
        <v>40</v>
      </c>
      <c r="M2970" t="s">
        <v>38</v>
      </c>
      <c r="N2970" t="s">
        <v>38</v>
      </c>
      <c r="O2970" t="s">
        <v>39</v>
      </c>
      <c r="P2970" t="s">
        <v>38</v>
      </c>
      <c r="Q2970" t="s">
        <v>38</v>
      </c>
      <c r="R2970" t="s">
        <v>40</v>
      </c>
      <c r="S2970" t="s">
        <v>5363</v>
      </c>
      <c r="T2970" t="s">
        <v>10525</v>
      </c>
      <c r="U2970" t="s">
        <v>10519</v>
      </c>
      <c r="V2970" t="s">
        <v>10369</v>
      </c>
      <c r="W2970" t="s">
        <v>10399</v>
      </c>
      <c r="X2970" t="s">
        <v>46</v>
      </c>
      <c r="AB2970" t="s">
        <v>117</v>
      </c>
      <c r="AC2970">
        <f>COUNTIF(C:C,QLKV_gui_ket_qua_ra_soat[[#This Row],[Mã điểm bán]])</f>
        <v>1</v>
      </c>
    </row>
    <row r="2971" spans="1:29" x14ac:dyDescent="0.45">
      <c r="A2971" t="s">
        <v>10363</v>
      </c>
      <c r="B2971">
        <v>1223</v>
      </c>
      <c r="C2971" t="s">
        <v>10552</v>
      </c>
      <c r="D2971" t="s">
        <v>10553</v>
      </c>
      <c r="E2971" t="s">
        <v>10554</v>
      </c>
      <c r="F2971" t="s">
        <v>53</v>
      </c>
      <c r="G2971" t="s">
        <v>34</v>
      </c>
      <c r="H2971" t="s">
        <v>54</v>
      </c>
      <c r="I2971" t="s">
        <v>10555</v>
      </c>
      <c r="J2971" t="s">
        <v>38</v>
      </c>
      <c r="K2971" t="s">
        <v>38</v>
      </c>
      <c r="L2971" t="s">
        <v>40</v>
      </c>
      <c r="M2971" t="s">
        <v>38</v>
      </c>
      <c r="N2971" t="s">
        <v>38</v>
      </c>
      <c r="O2971" t="s">
        <v>39</v>
      </c>
      <c r="P2971" t="s">
        <v>38</v>
      </c>
      <c r="Q2971" t="s">
        <v>38</v>
      </c>
      <c r="R2971" t="s">
        <v>40</v>
      </c>
      <c r="S2971" t="s">
        <v>10556</v>
      </c>
      <c r="T2971" t="s">
        <v>10525</v>
      </c>
      <c r="U2971" t="s">
        <v>10519</v>
      </c>
      <c r="V2971" t="s">
        <v>10369</v>
      </c>
      <c r="W2971" t="s">
        <v>10399</v>
      </c>
      <c r="X2971" t="s">
        <v>46</v>
      </c>
      <c r="AB2971" t="s">
        <v>117</v>
      </c>
      <c r="AC2971">
        <f>COUNTIF(C:C,QLKV_gui_ket_qua_ra_soat[[#This Row],[Mã điểm bán]])</f>
        <v>1</v>
      </c>
    </row>
    <row r="2972" spans="1:29" x14ac:dyDescent="0.45">
      <c r="A2972" t="s">
        <v>10363</v>
      </c>
      <c r="B2972">
        <v>1241</v>
      </c>
      <c r="C2972" t="s">
        <v>10557</v>
      </c>
      <c r="D2972" t="s">
        <v>3415</v>
      </c>
      <c r="E2972" t="s">
        <v>742</v>
      </c>
      <c r="F2972" t="s">
        <v>115</v>
      </c>
      <c r="G2972" t="s">
        <v>34</v>
      </c>
      <c r="H2972" t="s">
        <v>685</v>
      </c>
      <c r="I2972" t="s">
        <v>10558</v>
      </c>
      <c r="J2972" t="s">
        <v>38</v>
      </c>
      <c r="K2972" t="s">
        <v>38</v>
      </c>
      <c r="L2972" t="s">
        <v>40</v>
      </c>
      <c r="M2972" t="s">
        <v>38</v>
      </c>
      <c r="N2972" t="s">
        <v>38</v>
      </c>
      <c r="O2972" t="s">
        <v>40</v>
      </c>
      <c r="P2972" t="s">
        <v>38</v>
      </c>
      <c r="Q2972" t="s">
        <v>38</v>
      </c>
      <c r="R2972" t="s">
        <v>40</v>
      </c>
      <c r="S2972" t="s">
        <v>41</v>
      </c>
      <c r="T2972" t="s">
        <v>10499</v>
      </c>
      <c r="U2972" t="s">
        <v>10500</v>
      </c>
      <c r="V2972" t="s">
        <v>10369</v>
      </c>
      <c r="W2972" t="s">
        <v>10440</v>
      </c>
      <c r="X2972" t="s">
        <v>46</v>
      </c>
      <c r="AB2972" t="s">
        <v>2999</v>
      </c>
      <c r="AC2972">
        <f>COUNTIF(C:C,QLKV_gui_ket_qua_ra_soat[[#This Row],[Mã điểm bán]])</f>
        <v>1</v>
      </c>
    </row>
    <row r="2973" spans="1:29" x14ac:dyDescent="0.45">
      <c r="A2973" t="s">
        <v>10363</v>
      </c>
      <c r="B2973">
        <v>1343</v>
      </c>
      <c r="C2973" t="s">
        <v>10559</v>
      </c>
      <c r="D2973" t="s">
        <v>10560</v>
      </c>
      <c r="E2973" t="s">
        <v>674</v>
      </c>
      <c r="F2973" t="s">
        <v>1827</v>
      </c>
      <c r="G2973" t="s">
        <v>34</v>
      </c>
      <c r="H2973" t="s">
        <v>54</v>
      </c>
      <c r="I2973" t="s">
        <v>10561</v>
      </c>
      <c r="J2973" t="s">
        <v>38</v>
      </c>
      <c r="K2973" t="s">
        <v>38</v>
      </c>
      <c r="L2973" t="s">
        <v>40</v>
      </c>
      <c r="M2973" t="s">
        <v>38</v>
      </c>
      <c r="N2973" t="s">
        <v>38</v>
      </c>
      <c r="O2973" t="s">
        <v>40</v>
      </c>
      <c r="P2973" t="s">
        <v>38</v>
      </c>
      <c r="Q2973" t="s">
        <v>38</v>
      </c>
      <c r="R2973" t="s">
        <v>40</v>
      </c>
      <c r="S2973" t="s">
        <v>41</v>
      </c>
      <c r="T2973" t="s">
        <v>10499</v>
      </c>
      <c r="U2973" t="s">
        <v>10500</v>
      </c>
      <c r="V2973" t="s">
        <v>10369</v>
      </c>
      <c r="W2973" t="s">
        <v>10440</v>
      </c>
      <c r="X2973" t="s">
        <v>46</v>
      </c>
      <c r="AC2973">
        <f>COUNTIF(C:C,QLKV_gui_ket_qua_ra_soat[[#This Row],[Mã điểm bán]])</f>
        <v>1</v>
      </c>
    </row>
    <row r="2974" spans="1:29" x14ac:dyDescent="0.45">
      <c r="A2974" t="s">
        <v>10363</v>
      </c>
      <c r="B2974">
        <v>1350</v>
      </c>
      <c r="C2974" t="s">
        <v>10562</v>
      </c>
      <c r="D2974" t="s">
        <v>10563</v>
      </c>
      <c r="E2974" t="s">
        <v>10564</v>
      </c>
      <c r="F2974" t="s">
        <v>286</v>
      </c>
      <c r="G2974" t="s">
        <v>34</v>
      </c>
      <c r="H2974" t="s">
        <v>2426</v>
      </c>
      <c r="I2974" t="s">
        <v>10565</v>
      </c>
      <c r="J2974" t="s">
        <v>38</v>
      </c>
      <c r="K2974" t="s">
        <v>38</v>
      </c>
      <c r="L2974" t="s">
        <v>39</v>
      </c>
      <c r="M2974" t="s">
        <v>38</v>
      </c>
      <c r="N2974" t="s">
        <v>38</v>
      </c>
      <c r="O2974" t="s">
        <v>39</v>
      </c>
      <c r="P2974" t="s">
        <v>38</v>
      </c>
      <c r="Q2974" t="s">
        <v>38</v>
      </c>
      <c r="R2974" t="s">
        <v>39</v>
      </c>
      <c r="S2974" t="s">
        <v>4783</v>
      </c>
      <c r="T2974" t="s">
        <v>10518</v>
      </c>
      <c r="U2974" t="s">
        <v>10519</v>
      </c>
      <c r="V2974" t="s">
        <v>10369</v>
      </c>
      <c r="W2974" t="s">
        <v>10370</v>
      </c>
      <c r="Z2974" t="s">
        <v>46</v>
      </c>
      <c r="AA2974" t="s">
        <v>10520</v>
      </c>
      <c r="AB2974" t="s">
        <v>117</v>
      </c>
      <c r="AC2974">
        <f>COUNTIF(C:C,QLKV_gui_ket_qua_ra_soat[[#This Row],[Mã điểm bán]])</f>
        <v>1</v>
      </c>
    </row>
    <row r="2975" spans="1:29" x14ac:dyDescent="0.45">
      <c r="A2975" t="s">
        <v>10363</v>
      </c>
      <c r="B2975">
        <v>1356</v>
      </c>
      <c r="C2975" t="s">
        <v>10566</v>
      </c>
      <c r="D2975" t="s">
        <v>10567</v>
      </c>
      <c r="E2975" t="s">
        <v>10568</v>
      </c>
      <c r="F2975" t="s">
        <v>653</v>
      </c>
      <c r="G2975" t="s">
        <v>34</v>
      </c>
      <c r="H2975" t="s">
        <v>54</v>
      </c>
      <c r="I2975" t="s">
        <v>10569</v>
      </c>
      <c r="J2975" t="s">
        <v>38</v>
      </c>
      <c r="K2975" t="s">
        <v>38</v>
      </c>
      <c r="L2975" t="s">
        <v>39</v>
      </c>
      <c r="M2975" t="s">
        <v>38</v>
      </c>
      <c r="N2975" t="s">
        <v>38</v>
      </c>
      <c r="O2975" t="s">
        <v>39</v>
      </c>
      <c r="P2975" t="s">
        <v>38</v>
      </c>
      <c r="Q2975" t="s">
        <v>38</v>
      </c>
      <c r="R2975" t="s">
        <v>39</v>
      </c>
      <c r="S2975" t="s">
        <v>4783</v>
      </c>
      <c r="T2975" t="s">
        <v>10518</v>
      </c>
      <c r="U2975" t="s">
        <v>10519</v>
      </c>
      <c r="V2975" t="s">
        <v>10369</v>
      </c>
      <c r="W2975" t="s">
        <v>10370</v>
      </c>
      <c r="X2975" t="s">
        <v>46</v>
      </c>
      <c r="AC2975">
        <f>COUNTIF(C:C,QLKV_gui_ket_qua_ra_soat[[#This Row],[Mã điểm bán]])</f>
        <v>1</v>
      </c>
    </row>
    <row r="2976" spans="1:29" x14ac:dyDescent="0.45">
      <c r="A2976" t="s">
        <v>10363</v>
      </c>
      <c r="B2976">
        <v>1368</v>
      </c>
      <c r="C2976" t="s">
        <v>10570</v>
      </c>
      <c r="D2976" t="s">
        <v>10571</v>
      </c>
      <c r="E2976" t="s">
        <v>307</v>
      </c>
      <c r="F2976" t="s">
        <v>115</v>
      </c>
      <c r="G2976" t="s">
        <v>34</v>
      </c>
      <c r="H2976" t="s">
        <v>685</v>
      </c>
      <c r="I2976" t="s">
        <v>10572</v>
      </c>
      <c r="J2976" t="s">
        <v>38</v>
      </c>
      <c r="K2976" t="s">
        <v>38</v>
      </c>
      <c r="L2976" t="s">
        <v>40</v>
      </c>
      <c r="M2976" t="s">
        <v>38</v>
      </c>
      <c r="N2976" t="s">
        <v>38</v>
      </c>
      <c r="O2976" t="s">
        <v>40</v>
      </c>
      <c r="P2976" t="s">
        <v>38</v>
      </c>
      <c r="Q2976" t="s">
        <v>38</v>
      </c>
      <c r="R2976" t="s">
        <v>40</v>
      </c>
      <c r="S2976" t="s">
        <v>41</v>
      </c>
      <c r="T2976" t="s">
        <v>10499</v>
      </c>
      <c r="U2976" t="s">
        <v>10500</v>
      </c>
      <c r="V2976" t="s">
        <v>10369</v>
      </c>
      <c r="W2976" t="s">
        <v>10440</v>
      </c>
      <c r="X2976" t="s">
        <v>46</v>
      </c>
      <c r="AC2976">
        <f>COUNTIF(C:C,QLKV_gui_ket_qua_ra_soat[[#This Row],[Mã điểm bán]])</f>
        <v>1</v>
      </c>
    </row>
    <row r="2977" spans="1:29" x14ac:dyDescent="0.45">
      <c r="A2977" t="s">
        <v>10363</v>
      </c>
      <c r="B2977">
        <v>1376</v>
      </c>
      <c r="C2977" t="s">
        <v>10573</v>
      </c>
      <c r="D2977" t="s">
        <v>10574</v>
      </c>
      <c r="E2977" t="s">
        <v>128</v>
      </c>
      <c r="F2977" t="s">
        <v>1887</v>
      </c>
      <c r="G2977" t="s">
        <v>34</v>
      </c>
      <c r="H2977" t="s">
        <v>54</v>
      </c>
      <c r="I2977" t="s">
        <v>10575</v>
      </c>
      <c r="J2977" t="s">
        <v>38</v>
      </c>
      <c r="K2977" t="s">
        <v>38</v>
      </c>
      <c r="L2977" t="s">
        <v>40</v>
      </c>
      <c r="M2977" t="s">
        <v>38</v>
      </c>
      <c r="N2977" t="s">
        <v>38</v>
      </c>
      <c r="O2977" t="s">
        <v>40</v>
      </c>
      <c r="P2977" t="s">
        <v>38</v>
      </c>
      <c r="Q2977" t="s">
        <v>37</v>
      </c>
      <c r="R2977" t="s">
        <v>40</v>
      </c>
      <c r="S2977" t="s">
        <v>41</v>
      </c>
      <c r="T2977" t="s">
        <v>10499</v>
      </c>
      <c r="U2977" t="s">
        <v>10500</v>
      </c>
      <c r="V2977" t="s">
        <v>10369</v>
      </c>
      <c r="W2977" t="s">
        <v>10440</v>
      </c>
      <c r="X2977" t="s">
        <v>46</v>
      </c>
      <c r="AB2977" t="s">
        <v>117</v>
      </c>
      <c r="AC2977">
        <f>COUNTIF(C:C,QLKV_gui_ket_qua_ra_soat[[#This Row],[Mã điểm bán]])</f>
        <v>1</v>
      </c>
    </row>
    <row r="2978" spans="1:29" x14ac:dyDescent="0.45">
      <c r="A2978" t="s">
        <v>10363</v>
      </c>
      <c r="B2978">
        <v>1382</v>
      </c>
      <c r="C2978" t="s">
        <v>10576</v>
      </c>
      <c r="D2978" t="s">
        <v>10577</v>
      </c>
      <c r="E2978" t="s">
        <v>10578</v>
      </c>
      <c r="F2978" t="s">
        <v>166</v>
      </c>
      <c r="G2978" t="s">
        <v>34</v>
      </c>
      <c r="H2978" t="s">
        <v>402</v>
      </c>
      <c r="I2978" t="s">
        <v>10579</v>
      </c>
      <c r="J2978" t="s">
        <v>38</v>
      </c>
      <c r="K2978" t="s">
        <v>38</v>
      </c>
      <c r="L2978" t="s">
        <v>39</v>
      </c>
      <c r="M2978" t="s">
        <v>38</v>
      </c>
      <c r="N2978" t="s">
        <v>38</v>
      </c>
      <c r="O2978" t="s">
        <v>39</v>
      </c>
      <c r="P2978" t="s">
        <v>38</v>
      </c>
      <c r="Q2978" t="s">
        <v>38</v>
      </c>
      <c r="R2978" t="s">
        <v>39</v>
      </c>
      <c r="S2978" t="s">
        <v>4783</v>
      </c>
      <c r="T2978" t="s">
        <v>10518</v>
      </c>
      <c r="U2978" t="s">
        <v>10519</v>
      </c>
      <c r="V2978" t="s">
        <v>10369</v>
      </c>
      <c r="W2978" t="s">
        <v>10370</v>
      </c>
      <c r="Z2978" t="s">
        <v>46</v>
      </c>
      <c r="AA2978" t="s">
        <v>10520</v>
      </c>
      <c r="AB2978" t="s">
        <v>2999</v>
      </c>
      <c r="AC2978">
        <f>COUNTIF(C:C,QLKV_gui_ket_qua_ra_soat[[#This Row],[Mã điểm bán]])</f>
        <v>1</v>
      </c>
    </row>
    <row r="2979" spans="1:29" x14ac:dyDescent="0.45">
      <c r="A2979" t="s">
        <v>10363</v>
      </c>
      <c r="B2979">
        <v>1390</v>
      </c>
      <c r="C2979" t="s">
        <v>10580</v>
      </c>
      <c r="D2979" t="s">
        <v>10581</v>
      </c>
      <c r="E2979" t="s">
        <v>10582</v>
      </c>
      <c r="F2979" t="s">
        <v>224</v>
      </c>
      <c r="G2979" t="s">
        <v>150</v>
      </c>
      <c r="H2979" t="s">
        <v>697</v>
      </c>
      <c r="I2979" t="s">
        <v>10583</v>
      </c>
      <c r="J2979" t="s">
        <v>38</v>
      </c>
      <c r="K2979" t="s">
        <v>38</v>
      </c>
      <c r="L2979" t="s">
        <v>39</v>
      </c>
      <c r="M2979" t="s">
        <v>38</v>
      </c>
      <c r="N2979" t="s">
        <v>38</v>
      </c>
      <c r="O2979" t="s">
        <v>39</v>
      </c>
      <c r="P2979" t="s">
        <v>38</v>
      </c>
      <c r="Q2979" t="s">
        <v>38</v>
      </c>
      <c r="R2979" t="s">
        <v>39</v>
      </c>
      <c r="S2979" t="s">
        <v>4783</v>
      </c>
      <c r="T2979" t="s">
        <v>10518</v>
      </c>
      <c r="U2979" t="s">
        <v>10519</v>
      </c>
      <c r="V2979" t="s">
        <v>10369</v>
      </c>
      <c r="W2979" t="s">
        <v>10370</v>
      </c>
      <c r="Z2979" t="s">
        <v>46</v>
      </c>
      <c r="AA2979" t="s">
        <v>10520</v>
      </c>
      <c r="AB2979" t="s">
        <v>2999</v>
      </c>
      <c r="AC2979">
        <f>COUNTIF(C:C,QLKV_gui_ket_qua_ra_soat[[#This Row],[Mã điểm bán]])</f>
        <v>1</v>
      </c>
    </row>
    <row r="2980" spans="1:29" x14ac:dyDescent="0.45">
      <c r="A2980" t="s">
        <v>10363</v>
      </c>
      <c r="B2980">
        <v>1409</v>
      </c>
      <c r="C2980" t="s">
        <v>10584</v>
      </c>
      <c r="D2980" t="s">
        <v>10585</v>
      </c>
      <c r="E2980" t="s">
        <v>4284</v>
      </c>
      <c r="F2980" t="s">
        <v>33</v>
      </c>
      <c r="G2980" t="s">
        <v>34</v>
      </c>
      <c r="H2980" t="s">
        <v>54</v>
      </c>
      <c r="I2980" t="s">
        <v>10586</v>
      </c>
      <c r="J2980" t="s">
        <v>38</v>
      </c>
      <c r="K2980" t="s">
        <v>38</v>
      </c>
      <c r="L2980" t="s">
        <v>40</v>
      </c>
      <c r="M2980" t="s">
        <v>38</v>
      </c>
      <c r="N2980" t="s">
        <v>38</v>
      </c>
      <c r="O2980" t="s">
        <v>39</v>
      </c>
      <c r="P2980" t="s">
        <v>38</v>
      </c>
      <c r="Q2980" t="s">
        <v>38</v>
      </c>
      <c r="R2980" t="s">
        <v>40</v>
      </c>
      <c r="S2980" t="s">
        <v>10524</v>
      </c>
      <c r="T2980" t="s">
        <v>10525</v>
      </c>
      <c r="U2980" t="s">
        <v>10519</v>
      </c>
      <c r="V2980" t="s">
        <v>10369</v>
      </c>
      <c r="W2980" t="s">
        <v>10370</v>
      </c>
      <c r="X2980" t="s">
        <v>46</v>
      </c>
      <c r="AC2980">
        <f>COUNTIF(C:C,QLKV_gui_ket_qua_ra_soat[[#This Row],[Mã điểm bán]])</f>
        <v>1</v>
      </c>
    </row>
    <row r="2981" spans="1:29" x14ac:dyDescent="0.45">
      <c r="A2981" t="s">
        <v>10363</v>
      </c>
      <c r="B2981">
        <v>1414</v>
      </c>
      <c r="C2981" t="s">
        <v>10587</v>
      </c>
      <c r="D2981" t="s">
        <v>10588</v>
      </c>
      <c r="E2981" t="s">
        <v>10589</v>
      </c>
      <c r="F2981" t="s">
        <v>441</v>
      </c>
      <c r="G2981" t="s">
        <v>34</v>
      </c>
      <c r="H2981" t="s">
        <v>1280</v>
      </c>
      <c r="I2981" t="s">
        <v>10590</v>
      </c>
      <c r="J2981" t="s">
        <v>38</v>
      </c>
      <c r="K2981" t="s">
        <v>38</v>
      </c>
      <c r="L2981" t="s">
        <v>39</v>
      </c>
      <c r="M2981" t="s">
        <v>38</v>
      </c>
      <c r="N2981" t="s">
        <v>38</v>
      </c>
      <c r="O2981" t="s">
        <v>39</v>
      </c>
      <c r="P2981" t="s">
        <v>38</v>
      </c>
      <c r="Q2981" t="s">
        <v>38</v>
      </c>
      <c r="R2981" t="s">
        <v>39</v>
      </c>
      <c r="S2981" t="s">
        <v>1291</v>
      </c>
      <c r="T2981" t="s">
        <v>10518</v>
      </c>
      <c r="U2981" t="s">
        <v>10519</v>
      </c>
      <c r="V2981" t="s">
        <v>10369</v>
      </c>
      <c r="W2981" t="s">
        <v>10370</v>
      </c>
      <c r="X2981" t="s">
        <v>46</v>
      </c>
      <c r="AC2981">
        <f>COUNTIF(C:C,QLKV_gui_ket_qua_ra_soat[[#This Row],[Mã điểm bán]])</f>
        <v>1</v>
      </c>
    </row>
    <row r="2982" spans="1:29" x14ac:dyDescent="0.45">
      <c r="A2982" t="s">
        <v>10363</v>
      </c>
      <c r="B2982">
        <v>1432</v>
      </c>
      <c r="C2982" t="s">
        <v>10591</v>
      </c>
      <c r="D2982" t="s">
        <v>3330</v>
      </c>
      <c r="E2982" t="s">
        <v>148</v>
      </c>
      <c r="F2982" t="s">
        <v>53</v>
      </c>
      <c r="G2982" t="s">
        <v>34</v>
      </c>
      <c r="H2982" t="s">
        <v>54</v>
      </c>
      <c r="I2982" t="s">
        <v>10592</v>
      </c>
      <c r="J2982" t="s">
        <v>38</v>
      </c>
      <c r="K2982" t="s">
        <v>38</v>
      </c>
      <c r="L2982" t="s">
        <v>40</v>
      </c>
      <c r="M2982" t="s">
        <v>38</v>
      </c>
      <c r="N2982" t="s">
        <v>38</v>
      </c>
      <c r="O2982" t="s">
        <v>40</v>
      </c>
      <c r="P2982" t="s">
        <v>38</v>
      </c>
      <c r="Q2982" t="s">
        <v>38</v>
      </c>
      <c r="R2982" t="s">
        <v>40</v>
      </c>
      <c r="S2982" t="s">
        <v>41</v>
      </c>
      <c r="T2982" t="s">
        <v>10499</v>
      </c>
      <c r="U2982" t="s">
        <v>10500</v>
      </c>
      <c r="V2982" t="s">
        <v>10369</v>
      </c>
      <c r="W2982" t="s">
        <v>10440</v>
      </c>
      <c r="Z2982" t="s">
        <v>46</v>
      </c>
      <c r="AA2982" t="s">
        <v>10422</v>
      </c>
      <c r="AB2982" t="s">
        <v>2999</v>
      </c>
      <c r="AC2982">
        <f>COUNTIF(C:C,QLKV_gui_ket_qua_ra_soat[[#This Row],[Mã điểm bán]])</f>
        <v>1</v>
      </c>
    </row>
    <row r="2983" spans="1:29" x14ac:dyDescent="0.45">
      <c r="A2983" t="s">
        <v>10363</v>
      </c>
      <c r="B2983">
        <v>1439</v>
      </c>
      <c r="C2983" t="s">
        <v>10593</v>
      </c>
      <c r="D2983" t="s">
        <v>10594</v>
      </c>
      <c r="E2983" t="s">
        <v>529</v>
      </c>
      <c r="F2983" t="s">
        <v>426</v>
      </c>
      <c r="G2983" t="s">
        <v>177</v>
      </c>
      <c r="H2983" t="s">
        <v>685</v>
      </c>
      <c r="I2983" t="s">
        <v>10595</v>
      </c>
      <c r="J2983" t="s">
        <v>38</v>
      </c>
      <c r="K2983" t="s">
        <v>38</v>
      </c>
      <c r="L2983" t="s">
        <v>40</v>
      </c>
      <c r="M2983" t="s">
        <v>38</v>
      </c>
      <c r="N2983" t="s">
        <v>38</v>
      </c>
      <c r="O2983" t="s">
        <v>39</v>
      </c>
      <c r="P2983" t="s">
        <v>38</v>
      </c>
      <c r="Q2983" t="s">
        <v>38</v>
      </c>
      <c r="R2983" t="s">
        <v>40</v>
      </c>
      <c r="S2983" t="s">
        <v>41</v>
      </c>
      <c r="T2983" t="s">
        <v>10499</v>
      </c>
      <c r="U2983" t="s">
        <v>10500</v>
      </c>
      <c r="V2983" t="s">
        <v>10369</v>
      </c>
      <c r="W2983" t="s">
        <v>10440</v>
      </c>
      <c r="Z2983" t="s">
        <v>46</v>
      </c>
      <c r="AA2983" t="s">
        <v>10422</v>
      </c>
      <c r="AB2983" t="s">
        <v>117</v>
      </c>
      <c r="AC2983">
        <f>COUNTIF(C:C,QLKV_gui_ket_qua_ra_soat[[#This Row],[Mã điểm bán]])</f>
        <v>1</v>
      </c>
    </row>
    <row r="2984" spans="1:29" x14ac:dyDescent="0.45">
      <c r="A2984" t="s">
        <v>10363</v>
      </c>
      <c r="B2984">
        <v>1503</v>
      </c>
      <c r="C2984" t="s">
        <v>10596</v>
      </c>
      <c r="D2984" t="s">
        <v>10597</v>
      </c>
      <c r="E2984" t="s">
        <v>1699</v>
      </c>
      <c r="F2984" t="s">
        <v>1611</v>
      </c>
      <c r="G2984" t="s">
        <v>34</v>
      </c>
      <c r="H2984" t="s">
        <v>546</v>
      </c>
      <c r="I2984" t="s">
        <v>10598</v>
      </c>
      <c r="J2984" t="s">
        <v>38</v>
      </c>
      <c r="K2984" t="s">
        <v>38</v>
      </c>
      <c r="L2984" t="s">
        <v>40</v>
      </c>
      <c r="M2984" t="s">
        <v>38</v>
      </c>
      <c r="N2984" t="s">
        <v>38</v>
      </c>
      <c r="O2984" t="s">
        <v>40</v>
      </c>
      <c r="P2984" t="s">
        <v>38</v>
      </c>
      <c r="Q2984" t="s">
        <v>38</v>
      </c>
      <c r="R2984" t="s">
        <v>40</v>
      </c>
      <c r="S2984" t="s">
        <v>41</v>
      </c>
      <c r="T2984" t="s">
        <v>10493</v>
      </c>
      <c r="U2984" t="s">
        <v>10494</v>
      </c>
      <c r="V2984" t="s">
        <v>10369</v>
      </c>
      <c r="W2984" t="s">
        <v>10495</v>
      </c>
      <c r="Z2984" t="s">
        <v>46</v>
      </c>
      <c r="AA2984" t="s">
        <v>10599</v>
      </c>
      <c r="AB2984" t="s">
        <v>117</v>
      </c>
      <c r="AC2984">
        <f>COUNTIF(C:C,QLKV_gui_ket_qua_ra_soat[[#This Row],[Mã điểm bán]])</f>
        <v>1</v>
      </c>
    </row>
    <row r="2985" spans="1:29" x14ac:dyDescent="0.45">
      <c r="A2985" t="s">
        <v>10363</v>
      </c>
      <c r="B2985">
        <v>1552</v>
      </c>
      <c r="C2985" t="s">
        <v>10600</v>
      </c>
      <c r="D2985" t="s">
        <v>10601</v>
      </c>
      <c r="E2985" t="s">
        <v>529</v>
      </c>
      <c r="F2985" t="s">
        <v>53</v>
      </c>
      <c r="G2985" t="s">
        <v>34</v>
      </c>
      <c r="H2985" t="s">
        <v>54</v>
      </c>
      <c r="I2985" t="s">
        <v>2049</v>
      </c>
      <c r="J2985" t="s">
        <v>38</v>
      </c>
      <c r="K2985" t="s">
        <v>38</v>
      </c>
      <c r="L2985" t="s">
        <v>39</v>
      </c>
      <c r="M2985" t="s">
        <v>38</v>
      </c>
      <c r="N2985" t="s">
        <v>38</v>
      </c>
      <c r="O2985" t="s">
        <v>39</v>
      </c>
      <c r="P2985" t="s">
        <v>38</v>
      </c>
      <c r="Q2985" t="s">
        <v>38</v>
      </c>
      <c r="R2985" t="s">
        <v>39</v>
      </c>
      <c r="S2985" t="s">
        <v>41</v>
      </c>
      <c r="T2985" t="s">
        <v>10426</v>
      </c>
      <c r="U2985" t="s">
        <v>10427</v>
      </c>
      <c r="V2985" t="s">
        <v>10369</v>
      </c>
      <c r="W2985" t="s">
        <v>10421</v>
      </c>
      <c r="X2985" t="s">
        <v>46</v>
      </c>
      <c r="AC2985">
        <f>COUNTIF(C:C,QLKV_gui_ket_qua_ra_soat[[#This Row],[Mã điểm bán]])</f>
        <v>1</v>
      </c>
    </row>
    <row r="2986" spans="1:29" x14ac:dyDescent="0.45">
      <c r="A2986" t="s">
        <v>10363</v>
      </c>
      <c r="B2986">
        <v>1554</v>
      </c>
      <c r="C2986" t="s">
        <v>10602</v>
      </c>
      <c r="D2986" t="s">
        <v>10603</v>
      </c>
      <c r="E2986" t="s">
        <v>529</v>
      </c>
      <c r="F2986" t="s">
        <v>930</v>
      </c>
      <c r="G2986" t="s">
        <v>34</v>
      </c>
      <c r="H2986" t="s">
        <v>1280</v>
      </c>
      <c r="I2986" t="s">
        <v>10604</v>
      </c>
      <c r="J2986" t="s">
        <v>38</v>
      </c>
      <c r="K2986" t="s">
        <v>38</v>
      </c>
      <c r="L2986" t="s">
        <v>40</v>
      </c>
      <c r="M2986" t="s">
        <v>38</v>
      </c>
      <c r="N2986" t="s">
        <v>38</v>
      </c>
      <c r="O2986" t="s">
        <v>40</v>
      </c>
      <c r="P2986" t="s">
        <v>1034</v>
      </c>
      <c r="Q2986" t="s">
        <v>38</v>
      </c>
      <c r="R2986" t="s">
        <v>39</v>
      </c>
      <c r="S2986" t="s">
        <v>41</v>
      </c>
      <c r="T2986" t="s">
        <v>10493</v>
      </c>
      <c r="U2986" t="s">
        <v>10494</v>
      </c>
      <c r="V2986" t="s">
        <v>10369</v>
      </c>
      <c r="W2986" t="s">
        <v>10495</v>
      </c>
      <c r="X2986" t="s">
        <v>46</v>
      </c>
      <c r="AC2986">
        <f>COUNTIF(C:C,QLKV_gui_ket_qua_ra_soat[[#This Row],[Mã điểm bán]])</f>
        <v>1</v>
      </c>
    </row>
    <row r="2987" spans="1:29" x14ac:dyDescent="0.45">
      <c r="A2987" t="s">
        <v>10363</v>
      </c>
      <c r="B2987">
        <v>1619</v>
      </c>
      <c r="C2987" t="s">
        <v>10605</v>
      </c>
      <c r="D2987" t="s">
        <v>10606</v>
      </c>
      <c r="E2987" t="s">
        <v>10607</v>
      </c>
      <c r="F2987" t="s">
        <v>461</v>
      </c>
      <c r="G2987" t="s">
        <v>177</v>
      </c>
      <c r="H2987" t="s">
        <v>3620</v>
      </c>
      <c r="I2987" t="s">
        <v>10608</v>
      </c>
      <c r="J2987" t="s">
        <v>38</v>
      </c>
      <c r="K2987" t="s">
        <v>38</v>
      </c>
      <c r="L2987" t="s">
        <v>40</v>
      </c>
      <c r="M2987" t="s">
        <v>38</v>
      </c>
      <c r="N2987" t="s">
        <v>38</v>
      </c>
      <c r="O2987" t="s">
        <v>39</v>
      </c>
      <c r="P2987" t="s">
        <v>38</v>
      </c>
      <c r="Q2987" t="s">
        <v>38</v>
      </c>
      <c r="R2987" t="s">
        <v>39</v>
      </c>
      <c r="S2987" t="s">
        <v>41</v>
      </c>
      <c r="T2987" t="s">
        <v>10426</v>
      </c>
      <c r="U2987" t="s">
        <v>10427</v>
      </c>
      <c r="V2987" t="s">
        <v>10369</v>
      </c>
      <c r="W2987" t="s">
        <v>10421</v>
      </c>
      <c r="Y2987" t="s">
        <v>46</v>
      </c>
      <c r="AB2987" t="s">
        <v>2999</v>
      </c>
      <c r="AC2987">
        <f>COUNTIF(C:C,QLKV_gui_ket_qua_ra_soat[[#This Row],[Mã điểm bán]])</f>
        <v>1</v>
      </c>
    </row>
    <row r="2988" spans="1:29" x14ac:dyDescent="0.45">
      <c r="A2988" t="s">
        <v>10363</v>
      </c>
      <c r="B2988">
        <v>1623</v>
      </c>
      <c r="C2988" t="s">
        <v>10609</v>
      </c>
      <c r="D2988" t="s">
        <v>10610</v>
      </c>
      <c r="E2988" t="s">
        <v>10611</v>
      </c>
      <c r="F2988" t="s">
        <v>115</v>
      </c>
      <c r="G2988" t="s">
        <v>34</v>
      </c>
      <c r="H2988" t="s">
        <v>54</v>
      </c>
      <c r="I2988" t="s">
        <v>10612</v>
      </c>
      <c r="J2988" t="s">
        <v>38</v>
      </c>
      <c r="K2988" t="s">
        <v>38</v>
      </c>
      <c r="L2988" t="s">
        <v>40</v>
      </c>
      <c r="M2988" t="s">
        <v>38</v>
      </c>
      <c r="N2988" t="s">
        <v>38</v>
      </c>
      <c r="O2988" t="s">
        <v>39</v>
      </c>
      <c r="P2988" t="s">
        <v>38</v>
      </c>
      <c r="Q2988" t="s">
        <v>38</v>
      </c>
      <c r="R2988" t="s">
        <v>40</v>
      </c>
      <c r="S2988" t="s">
        <v>10613</v>
      </c>
      <c r="T2988" t="s">
        <v>10525</v>
      </c>
      <c r="U2988" t="s">
        <v>10519</v>
      </c>
      <c r="V2988" t="s">
        <v>10369</v>
      </c>
      <c r="W2988" t="s">
        <v>10399</v>
      </c>
      <c r="X2988" t="s">
        <v>46</v>
      </c>
      <c r="AB2988" t="s">
        <v>117</v>
      </c>
      <c r="AC2988">
        <f>COUNTIF(C:C,QLKV_gui_ket_qua_ra_soat[[#This Row],[Mã điểm bán]])</f>
        <v>1</v>
      </c>
    </row>
    <row r="2989" spans="1:29" x14ac:dyDescent="0.45">
      <c r="A2989" t="s">
        <v>10363</v>
      </c>
      <c r="B2989">
        <v>1658</v>
      </c>
      <c r="C2989" t="s">
        <v>10614</v>
      </c>
      <c r="D2989" t="s">
        <v>10615</v>
      </c>
      <c r="E2989" t="s">
        <v>674</v>
      </c>
      <c r="F2989" t="s">
        <v>70</v>
      </c>
      <c r="G2989" t="s">
        <v>34</v>
      </c>
      <c r="H2989" t="s">
        <v>1280</v>
      </c>
      <c r="I2989" t="s">
        <v>10616</v>
      </c>
      <c r="J2989" t="s">
        <v>38</v>
      </c>
      <c r="K2989" t="s">
        <v>38</v>
      </c>
      <c r="L2989" t="s">
        <v>39</v>
      </c>
      <c r="M2989" t="s">
        <v>38</v>
      </c>
      <c r="N2989" t="s">
        <v>38</v>
      </c>
      <c r="O2989" t="s">
        <v>39</v>
      </c>
      <c r="P2989" t="s">
        <v>38</v>
      </c>
      <c r="Q2989" t="s">
        <v>38</v>
      </c>
      <c r="R2989" t="s">
        <v>39</v>
      </c>
      <c r="S2989" t="s">
        <v>4783</v>
      </c>
      <c r="T2989" t="s">
        <v>10518</v>
      </c>
      <c r="U2989" t="s">
        <v>10519</v>
      </c>
      <c r="V2989" t="s">
        <v>10369</v>
      </c>
      <c r="W2989" t="s">
        <v>10370</v>
      </c>
      <c r="X2989" t="s">
        <v>46</v>
      </c>
      <c r="AC2989">
        <f>COUNTIF(C:C,QLKV_gui_ket_qua_ra_soat[[#This Row],[Mã điểm bán]])</f>
        <v>1</v>
      </c>
    </row>
    <row r="2990" spans="1:29" x14ac:dyDescent="0.45">
      <c r="A2990" t="s">
        <v>10363</v>
      </c>
      <c r="B2990">
        <v>1659</v>
      </c>
      <c r="C2990" t="s">
        <v>10617</v>
      </c>
      <c r="D2990" t="s">
        <v>10618</v>
      </c>
      <c r="E2990" t="s">
        <v>127</v>
      </c>
      <c r="F2990" t="s">
        <v>10619</v>
      </c>
      <c r="G2990" t="s">
        <v>177</v>
      </c>
      <c r="H2990" t="s">
        <v>1877</v>
      </c>
      <c r="I2990" t="s">
        <v>10620</v>
      </c>
      <c r="J2990" t="s">
        <v>38</v>
      </c>
      <c r="K2990" t="s">
        <v>38</v>
      </c>
      <c r="L2990" t="s">
        <v>40</v>
      </c>
      <c r="M2990" t="s">
        <v>38</v>
      </c>
      <c r="N2990" t="s">
        <v>38</v>
      </c>
      <c r="O2990" t="s">
        <v>40</v>
      </c>
      <c r="P2990" t="s">
        <v>38</v>
      </c>
      <c r="Q2990" t="s">
        <v>38</v>
      </c>
      <c r="R2990" t="s">
        <v>40</v>
      </c>
      <c r="S2990" t="s">
        <v>41</v>
      </c>
      <c r="T2990" t="s">
        <v>10499</v>
      </c>
      <c r="U2990" t="s">
        <v>10500</v>
      </c>
      <c r="V2990" t="s">
        <v>10369</v>
      </c>
      <c r="W2990" t="s">
        <v>10440</v>
      </c>
      <c r="X2990" t="s">
        <v>46</v>
      </c>
      <c r="AB2990" t="s">
        <v>3012</v>
      </c>
      <c r="AC2990">
        <f>COUNTIF(C:C,QLKV_gui_ket_qua_ra_soat[[#This Row],[Mã điểm bán]])</f>
        <v>1</v>
      </c>
    </row>
    <row r="2991" spans="1:29" x14ac:dyDescent="0.45">
      <c r="A2991" t="s">
        <v>10363</v>
      </c>
      <c r="B2991">
        <v>1673</v>
      </c>
      <c r="C2991" t="s">
        <v>10621</v>
      </c>
      <c r="D2991" t="s">
        <v>10622</v>
      </c>
      <c r="E2991" t="s">
        <v>10623</v>
      </c>
      <c r="F2991" t="s">
        <v>53</v>
      </c>
      <c r="G2991" t="s">
        <v>34</v>
      </c>
      <c r="H2991" t="s">
        <v>54</v>
      </c>
      <c r="I2991" t="s">
        <v>10624</v>
      </c>
      <c r="J2991" t="s">
        <v>38</v>
      </c>
      <c r="K2991" t="s">
        <v>38</v>
      </c>
      <c r="L2991" t="s">
        <v>39</v>
      </c>
      <c r="M2991" t="s">
        <v>38</v>
      </c>
      <c r="N2991" t="s">
        <v>38</v>
      </c>
      <c r="O2991" t="s">
        <v>39</v>
      </c>
      <c r="P2991" t="s">
        <v>38</v>
      </c>
      <c r="Q2991" t="s">
        <v>38</v>
      </c>
      <c r="R2991" t="s">
        <v>40</v>
      </c>
      <c r="S2991" t="s">
        <v>4783</v>
      </c>
      <c r="T2991" t="s">
        <v>10518</v>
      </c>
      <c r="U2991" t="s">
        <v>10519</v>
      </c>
      <c r="V2991" t="s">
        <v>10369</v>
      </c>
      <c r="W2991" t="s">
        <v>10370</v>
      </c>
      <c r="Z2991" t="s">
        <v>46</v>
      </c>
      <c r="AA2991" t="s">
        <v>10520</v>
      </c>
      <c r="AC2991">
        <f>COUNTIF(C:C,QLKV_gui_ket_qua_ra_soat[[#This Row],[Mã điểm bán]])</f>
        <v>1</v>
      </c>
    </row>
    <row r="2992" spans="1:29" x14ac:dyDescent="0.45">
      <c r="A2992" t="s">
        <v>10363</v>
      </c>
      <c r="B2992">
        <v>1767</v>
      </c>
      <c r="C2992" t="s">
        <v>10625</v>
      </c>
      <c r="D2992" t="s">
        <v>10626</v>
      </c>
      <c r="E2992" t="s">
        <v>10627</v>
      </c>
      <c r="F2992" t="s">
        <v>4705</v>
      </c>
      <c r="G2992" t="s">
        <v>34</v>
      </c>
      <c r="H2992" t="s">
        <v>54</v>
      </c>
      <c r="I2992" t="s">
        <v>10628</v>
      </c>
      <c r="J2992" t="s">
        <v>38</v>
      </c>
      <c r="K2992" t="s">
        <v>38</v>
      </c>
      <c r="L2992" t="s">
        <v>40</v>
      </c>
      <c r="M2992" t="s">
        <v>38</v>
      </c>
      <c r="N2992" t="s">
        <v>38</v>
      </c>
      <c r="O2992" t="s">
        <v>39</v>
      </c>
      <c r="P2992" t="s">
        <v>38</v>
      </c>
      <c r="Q2992" t="s">
        <v>38</v>
      </c>
      <c r="R2992" t="s">
        <v>40</v>
      </c>
      <c r="S2992" t="s">
        <v>10524</v>
      </c>
      <c r="T2992" t="s">
        <v>10525</v>
      </c>
      <c r="U2992" t="s">
        <v>10519</v>
      </c>
      <c r="V2992" t="s">
        <v>10369</v>
      </c>
      <c r="W2992" t="s">
        <v>10399</v>
      </c>
      <c r="Z2992" t="s">
        <v>46</v>
      </c>
      <c r="AA2992" t="s">
        <v>10520</v>
      </c>
      <c r="AC2992">
        <f>COUNTIF(C:C,QLKV_gui_ket_qua_ra_soat[[#This Row],[Mã điểm bán]])</f>
        <v>1</v>
      </c>
    </row>
    <row r="2993" spans="1:29" x14ac:dyDescent="0.45">
      <c r="A2993" t="s">
        <v>10363</v>
      </c>
      <c r="B2993">
        <v>1772</v>
      </c>
      <c r="C2993" t="s">
        <v>10629</v>
      </c>
      <c r="D2993" t="s">
        <v>10630</v>
      </c>
      <c r="E2993" t="s">
        <v>128</v>
      </c>
      <c r="F2993" t="s">
        <v>4241</v>
      </c>
      <c r="G2993" t="s">
        <v>177</v>
      </c>
      <c r="H2993" t="s">
        <v>356</v>
      </c>
      <c r="I2993" t="s">
        <v>10631</v>
      </c>
      <c r="J2993" t="s">
        <v>38</v>
      </c>
      <c r="K2993" t="s">
        <v>38</v>
      </c>
      <c r="L2993" t="s">
        <v>40</v>
      </c>
      <c r="M2993" t="s">
        <v>38</v>
      </c>
      <c r="N2993" t="s">
        <v>38</v>
      </c>
      <c r="O2993" t="s">
        <v>39</v>
      </c>
      <c r="P2993" t="s">
        <v>38</v>
      </c>
      <c r="Q2993" t="s">
        <v>38</v>
      </c>
      <c r="R2993" t="s">
        <v>40</v>
      </c>
      <c r="S2993" t="s">
        <v>41</v>
      </c>
      <c r="T2993" t="s">
        <v>10499</v>
      </c>
      <c r="U2993" t="s">
        <v>10500</v>
      </c>
      <c r="V2993" t="s">
        <v>10369</v>
      </c>
      <c r="W2993" t="s">
        <v>10440</v>
      </c>
      <c r="Z2993" t="s">
        <v>46</v>
      </c>
      <c r="AA2993" t="s">
        <v>10422</v>
      </c>
      <c r="AB2993" t="s">
        <v>117</v>
      </c>
      <c r="AC2993">
        <f>COUNTIF(C:C,QLKV_gui_ket_qua_ra_soat[[#This Row],[Mã điểm bán]])</f>
        <v>1</v>
      </c>
    </row>
    <row r="2994" spans="1:29" x14ac:dyDescent="0.45">
      <c r="A2994" t="s">
        <v>10363</v>
      </c>
      <c r="B2994">
        <v>1786</v>
      </c>
      <c r="C2994" t="s">
        <v>10632</v>
      </c>
      <c r="D2994" t="s">
        <v>10633</v>
      </c>
      <c r="E2994" t="s">
        <v>1912</v>
      </c>
      <c r="F2994" t="s">
        <v>166</v>
      </c>
      <c r="G2994" t="s">
        <v>34</v>
      </c>
      <c r="H2994" t="s">
        <v>685</v>
      </c>
      <c r="I2994" t="s">
        <v>10634</v>
      </c>
      <c r="J2994" t="s">
        <v>37</v>
      </c>
      <c r="K2994" t="s">
        <v>37</v>
      </c>
      <c r="L2994" t="s">
        <v>39</v>
      </c>
      <c r="M2994" t="s">
        <v>37</v>
      </c>
      <c r="N2994" t="s">
        <v>37</v>
      </c>
      <c r="O2994" t="s">
        <v>39</v>
      </c>
      <c r="P2994" t="s">
        <v>38</v>
      </c>
      <c r="Q2994" t="s">
        <v>38</v>
      </c>
      <c r="R2994" t="s">
        <v>39</v>
      </c>
      <c r="S2994" t="s">
        <v>41</v>
      </c>
      <c r="T2994" t="s">
        <v>10493</v>
      </c>
      <c r="U2994" t="s">
        <v>10494</v>
      </c>
      <c r="V2994" t="s">
        <v>10369</v>
      </c>
      <c r="W2994" t="s">
        <v>10495</v>
      </c>
      <c r="Z2994" t="s">
        <v>46</v>
      </c>
      <c r="AA2994" t="s">
        <v>10599</v>
      </c>
      <c r="AB2994" t="s">
        <v>3101</v>
      </c>
      <c r="AC2994">
        <f>COUNTIF(C:C,QLKV_gui_ket_qua_ra_soat[[#This Row],[Mã điểm bán]])</f>
        <v>1</v>
      </c>
    </row>
    <row r="2995" spans="1:29" x14ac:dyDescent="0.45">
      <c r="A2995" t="s">
        <v>10363</v>
      </c>
      <c r="B2995">
        <v>1787</v>
      </c>
      <c r="C2995" t="s">
        <v>10635</v>
      </c>
      <c r="D2995" t="s">
        <v>10636</v>
      </c>
      <c r="E2995" t="s">
        <v>1155</v>
      </c>
      <c r="F2995" t="s">
        <v>5040</v>
      </c>
      <c r="G2995" t="s">
        <v>34</v>
      </c>
      <c r="H2995" t="s">
        <v>319</v>
      </c>
      <c r="I2995" t="s">
        <v>10637</v>
      </c>
      <c r="J2995" t="s">
        <v>37</v>
      </c>
      <c r="K2995" t="s">
        <v>37</v>
      </c>
      <c r="L2995" t="s">
        <v>39</v>
      </c>
      <c r="M2995" t="s">
        <v>37</v>
      </c>
      <c r="N2995" t="s">
        <v>37</v>
      </c>
      <c r="O2995" t="s">
        <v>39</v>
      </c>
      <c r="P2995" t="s">
        <v>38</v>
      </c>
      <c r="Q2995" t="s">
        <v>38</v>
      </c>
      <c r="R2995" t="s">
        <v>39</v>
      </c>
      <c r="S2995" t="s">
        <v>41</v>
      </c>
      <c r="T2995" t="s">
        <v>10493</v>
      </c>
      <c r="U2995" t="s">
        <v>10494</v>
      </c>
      <c r="V2995" t="s">
        <v>10369</v>
      </c>
      <c r="W2995" t="s">
        <v>10495</v>
      </c>
      <c r="Z2995" t="s">
        <v>46</v>
      </c>
      <c r="AA2995" t="s">
        <v>10599</v>
      </c>
      <c r="AB2995" t="s">
        <v>2999</v>
      </c>
      <c r="AC2995">
        <f>COUNTIF(C:C,QLKV_gui_ket_qua_ra_soat[[#This Row],[Mã điểm bán]])</f>
        <v>1</v>
      </c>
    </row>
    <row r="2996" spans="1:29" x14ac:dyDescent="0.45">
      <c r="A2996" t="s">
        <v>10363</v>
      </c>
      <c r="B2996">
        <v>1788</v>
      </c>
      <c r="C2996" t="s">
        <v>10638</v>
      </c>
      <c r="D2996" t="s">
        <v>10639</v>
      </c>
      <c r="E2996" t="s">
        <v>10640</v>
      </c>
      <c r="F2996" t="s">
        <v>2365</v>
      </c>
      <c r="G2996" t="s">
        <v>34</v>
      </c>
      <c r="H2996" t="s">
        <v>214</v>
      </c>
      <c r="I2996" t="s">
        <v>10641</v>
      </c>
      <c r="J2996" t="s">
        <v>38</v>
      </c>
      <c r="K2996" t="s">
        <v>38</v>
      </c>
      <c r="L2996" t="s">
        <v>39</v>
      </c>
      <c r="M2996" t="s">
        <v>38</v>
      </c>
      <c r="N2996" t="s">
        <v>38</v>
      </c>
      <c r="O2996" t="s">
        <v>39</v>
      </c>
      <c r="P2996" t="s">
        <v>38</v>
      </c>
      <c r="Q2996" t="s">
        <v>38</v>
      </c>
      <c r="R2996" t="s">
        <v>40</v>
      </c>
      <c r="S2996" t="s">
        <v>4783</v>
      </c>
      <c r="T2996" t="s">
        <v>10518</v>
      </c>
      <c r="U2996" t="s">
        <v>10519</v>
      </c>
      <c r="V2996" t="s">
        <v>10369</v>
      </c>
      <c r="W2996" t="s">
        <v>10399</v>
      </c>
      <c r="Z2996" t="s">
        <v>46</v>
      </c>
      <c r="AA2996" t="s">
        <v>10520</v>
      </c>
      <c r="AC2996">
        <f>COUNTIF(C:C,QLKV_gui_ket_qua_ra_soat[[#This Row],[Mã điểm bán]])</f>
        <v>1</v>
      </c>
    </row>
    <row r="2997" spans="1:29" x14ac:dyDescent="0.45">
      <c r="A2997" t="s">
        <v>10363</v>
      </c>
      <c r="B2997">
        <v>1801</v>
      </c>
      <c r="C2997" t="s">
        <v>10642</v>
      </c>
      <c r="D2997" t="s">
        <v>10643</v>
      </c>
      <c r="E2997" t="s">
        <v>10644</v>
      </c>
      <c r="F2997" t="s">
        <v>224</v>
      </c>
      <c r="G2997" t="s">
        <v>34</v>
      </c>
      <c r="H2997" t="s">
        <v>1188</v>
      </c>
      <c r="I2997" t="s">
        <v>10645</v>
      </c>
      <c r="J2997" t="s">
        <v>38</v>
      </c>
      <c r="K2997" t="s">
        <v>38</v>
      </c>
      <c r="L2997" t="s">
        <v>39</v>
      </c>
      <c r="M2997" t="s">
        <v>38</v>
      </c>
      <c r="N2997" t="s">
        <v>38</v>
      </c>
      <c r="O2997" t="s">
        <v>39</v>
      </c>
      <c r="P2997" t="s">
        <v>38</v>
      </c>
      <c r="Q2997" t="s">
        <v>38</v>
      </c>
      <c r="R2997" t="s">
        <v>39</v>
      </c>
      <c r="S2997" t="s">
        <v>4783</v>
      </c>
      <c r="T2997" t="s">
        <v>10518</v>
      </c>
      <c r="U2997" t="s">
        <v>10519</v>
      </c>
      <c r="V2997" t="s">
        <v>10369</v>
      </c>
      <c r="W2997" t="s">
        <v>10399</v>
      </c>
      <c r="X2997" t="s">
        <v>46</v>
      </c>
      <c r="AB2997" t="s">
        <v>3012</v>
      </c>
      <c r="AC2997">
        <f>COUNTIF(C:C,QLKV_gui_ket_qua_ra_soat[[#This Row],[Mã điểm bán]])</f>
        <v>1</v>
      </c>
    </row>
    <row r="2998" spans="1:29" x14ac:dyDescent="0.45">
      <c r="A2998" t="s">
        <v>10363</v>
      </c>
      <c r="B2998">
        <v>1836</v>
      </c>
      <c r="C2998" t="s">
        <v>10646</v>
      </c>
      <c r="D2998" t="s">
        <v>10647</v>
      </c>
      <c r="E2998" t="s">
        <v>138</v>
      </c>
      <c r="F2998" t="s">
        <v>53</v>
      </c>
      <c r="G2998" t="s">
        <v>34</v>
      </c>
      <c r="H2998" t="s">
        <v>54</v>
      </c>
      <c r="I2998" t="s">
        <v>10648</v>
      </c>
      <c r="J2998" t="s">
        <v>38</v>
      </c>
      <c r="K2998" t="s">
        <v>38</v>
      </c>
      <c r="L2998" t="s">
        <v>40</v>
      </c>
      <c r="M2998" t="s">
        <v>38</v>
      </c>
      <c r="N2998" t="s">
        <v>38</v>
      </c>
      <c r="O2998" t="s">
        <v>40</v>
      </c>
      <c r="P2998" t="s">
        <v>1034</v>
      </c>
      <c r="Q2998" t="s">
        <v>38</v>
      </c>
      <c r="R2998" t="s">
        <v>40</v>
      </c>
      <c r="S2998" t="s">
        <v>41</v>
      </c>
      <c r="T2998" t="s">
        <v>10649</v>
      </c>
      <c r="U2998" t="s">
        <v>10650</v>
      </c>
      <c r="V2998" t="s">
        <v>10369</v>
      </c>
      <c r="W2998" t="s">
        <v>10495</v>
      </c>
      <c r="X2998" t="s">
        <v>46</v>
      </c>
      <c r="AC2998">
        <f>COUNTIF(C:C,QLKV_gui_ket_qua_ra_soat[[#This Row],[Mã điểm bán]])</f>
        <v>1</v>
      </c>
    </row>
    <row r="2999" spans="1:29" x14ac:dyDescent="0.45">
      <c r="A2999" t="s">
        <v>10363</v>
      </c>
      <c r="B2999">
        <v>1850</v>
      </c>
      <c r="C2999" t="s">
        <v>10651</v>
      </c>
      <c r="D2999" t="s">
        <v>10652</v>
      </c>
      <c r="E2999" t="s">
        <v>10653</v>
      </c>
      <c r="F2999" t="s">
        <v>53</v>
      </c>
      <c r="G2999" t="s">
        <v>177</v>
      </c>
      <c r="H2999" t="s">
        <v>3620</v>
      </c>
      <c r="I2999" t="s">
        <v>4578</v>
      </c>
      <c r="J2999" t="s">
        <v>37</v>
      </c>
      <c r="K2999" t="s">
        <v>37</v>
      </c>
      <c r="L2999" t="s">
        <v>40</v>
      </c>
      <c r="M2999" t="s">
        <v>38</v>
      </c>
      <c r="N2999" t="s">
        <v>38</v>
      </c>
      <c r="O2999" t="s">
        <v>39</v>
      </c>
      <c r="P2999" t="s">
        <v>38</v>
      </c>
      <c r="Q2999" t="s">
        <v>38</v>
      </c>
      <c r="R2999" t="s">
        <v>40</v>
      </c>
      <c r="S2999" t="s">
        <v>41</v>
      </c>
      <c r="T2999" t="s">
        <v>10426</v>
      </c>
      <c r="U2999" t="s">
        <v>10427</v>
      </c>
      <c r="V2999" t="s">
        <v>10369</v>
      </c>
      <c r="W2999" t="s">
        <v>10421</v>
      </c>
      <c r="Y2999" t="s">
        <v>46</v>
      </c>
      <c r="AB2999" t="s">
        <v>117</v>
      </c>
      <c r="AC2999">
        <f>COUNTIF(C:C,QLKV_gui_ket_qua_ra_soat[[#This Row],[Mã điểm bán]])</f>
        <v>1</v>
      </c>
    </row>
    <row r="3000" spans="1:29" x14ac:dyDescent="0.45">
      <c r="A3000" t="s">
        <v>10363</v>
      </c>
      <c r="B3000">
        <v>1879</v>
      </c>
      <c r="C3000" t="s">
        <v>10654</v>
      </c>
      <c r="D3000" t="s">
        <v>10655</v>
      </c>
      <c r="E3000" t="s">
        <v>10656</v>
      </c>
      <c r="F3000" t="s">
        <v>10657</v>
      </c>
      <c r="G3000" t="s">
        <v>34</v>
      </c>
      <c r="H3000" t="s">
        <v>457</v>
      </c>
      <c r="I3000" t="s">
        <v>10658</v>
      </c>
      <c r="J3000" t="s">
        <v>38</v>
      </c>
      <c r="K3000" t="s">
        <v>38</v>
      </c>
      <c r="L3000" t="s">
        <v>40</v>
      </c>
      <c r="M3000" t="s">
        <v>38</v>
      </c>
      <c r="N3000" t="s">
        <v>38</v>
      </c>
      <c r="O3000" t="s">
        <v>40</v>
      </c>
      <c r="P3000" t="s">
        <v>38</v>
      </c>
      <c r="Q3000" t="s">
        <v>38</v>
      </c>
      <c r="R3000" t="s">
        <v>40</v>
      </c>
      <c r="S3000" t="s">
        <v>41</v>
      </c>
      <c r="T3000" t="s">
        <v>10505</v>
      </c>
      <c r="U3000" t="s">
        <v>10506</v>
      </c>
      <c r="V3000" t="s">
        <v>10369</v>
      </c>
      <c r="W3000" t="s">
        <v>10474</v>
      </c>
      <c r="Z3000" t="s">
        <v>46</v>
      </c>
      <c r="AA3000" t="s">
        <v>10520</v>
      </c>
      <c r="AB3000" t="s">
        <v>2999</v>
      </c>
      <c r="AC3000">
        <f>COUNTIF(C:C,QLKV_gui_ket_qua_ra_soat[[#This Row],[Mã điểm bán]])</f>
        <v>1</v>
      </c>
    </row>
    <row r="3001" spans="1:29" x14ac:dyDescent="0.45">
      <c r="A3001" t="s">
        <v>10363</v>
      </c>
      <c r="B3001">
        <v>1888</v>
      </c>
      <c r="C3001" t="s">
        <v>10659</v>
      </c>
      <c r="D3001" t="s">
        <v>10660</v>
      </c>
      <c r="E3001" t="s">
        <v>376</v>
      </c>
      <c r="F3001" t="s">
        <v>53</v>
      </c>
      <c r="G3001" t="s">
        <v>34</v>
      </c>
      <c r="H3001" t="s">
        <v>54</v>
      </c>
      <c r="I3001" t="s">
        <v>10661</v>
      </c>
      <c r="J3001" t="s">
        <v>38</v>
      </c>
      <c r="K3001" t="s">
        <v>38</v>
      </c>
      <c r="L3001" t="s">
        <v>40</v>
      </c>
      <c r="M3001" t="s">
        <v>38</v>
      </c>
      <c r="N3001" t="s">
        <v>38</v>
      </c>
      <c r="O3001" t="s">
        <v>39</v>
      </c>
      <c r="P3001" t="s">
        <v>38</v>
      </c>
      <c r="Q3001" t="s">
        <v>38</v>
      </c>
      <c r="R3001" t="s">
        <v>40</v>
      </c>
      <c r="S3001" t="s">
        <v>10524</v>
      </c>
      <c r="T3001" t="s">
        <v>10525</v>
      </c>
      <c r="U3001" t="s">
        <v>10519</v>
      </c>
      <c r="V3001" t="s">
        <v>10369</v>
      </c>
      <c r="W3001" t="s">
        <v>10399</v>
      </c>
      <c r="X3001" t="s">
        <v>46</v>
      </c>
      <c r="AB3001" t="s">
        <v>2999</v>
      </c>
      <c r="AC3001">
        <f>COUNTIF(C:C,QLKV_gui_ket_qua_ra_soat[[#This Row],[Mã điểm bán]])</f>
        <v>1</v>
      </c>
    </row>
    <row r="3002" spans="1:29" x14ac:dyDescent="0.45">
      <c r="A3002" t="s">
        <v>10363</v>
      </c>
      <c r="B3002">
        <v>1894</v>
      </c>
      <c r="C3002" t="s">
        <v>10662</v>
      </c>
      <c r="D3002" t="s">
        <v>10663</v>
      </c>
      <c r="E3002" t="s">
        <v>290</v>
      </c>
      <c r="F3002" t="s">
        <v>559</v>
      </c>
      <c r="G3002" t="s">
        <v>177</v>
      </c>
      <c r="H3002" t="s">
        <v>917</v>
      </c>
      <c r="I3002" t="s">
        <v>10664</v>
      </c>
      <c r="J3002" t="s">
        <v>38</v>
      </c>
      <c r="K3002" t="s">
        <v>38</v>
      </c>
      <c r="L3002" t="s">
        <v>40</v>
      </c>
      <c r="M3002" t="s">
        <v>38</v>
      </c>
      <c r="N3002" t="s">
        <v>38</v>
      </c>
      <c r="O3002" t="s">
        <v>40</v>
      </c>
      <c r="P3002" t="s">
        <v>38</v>
      </c>
      <c r="Q3002" t="s">
        <v>38</v>
      </c>
      <c r="R3002" t="s">
        <v>40</v>
      </c>
      <c r="S3002" t="s">
        <v>10665</v>
      </c>
      <c r="T3002" t="s">
        <v>10505</v>
      </c>
      <c r="U3002" t="s">
        <v>10506</v>
      </c>
      <c r="V3002" t="s">
        <v>10369</v>
      </c>
      <c r="W3002" t="s">
        <v>10474</v>
      </c>
      <c r="X3002" t="s">
        <v>46</v>
      </c>
      <c r="AC3002">
        <f>COUNTIF(C:C,QLKV_gui_ket_qua_ra_soat[[#This Row],[Mã điểm bán]])</f>
        <v>1</v>
      </c>
    </row>
    <row r="3003" spans="1:29" x14ac:dyDescent="0.45">
      <c r="A3003" t="s">
        <v>10363</v>
      </c>
      <c r="B3003">
        <v>1900</v>
      </c>
      <c r="C3003" t="s">
        <v>10666</v>
      </c>
      <c r="D3003" t="s">
        <v>10667</v>
      </c>
      <c r="E3003" t="s">
        <v>1267</v>
      </c>
      <c r="F3003" t="s">
        <v>10668</v>
      </c>
      <c r="G3003" t="s">
        <v>177</v>
      </c>
      <c r="H3003" t="s">
        <v>1188</v>
      </c>
      <c r="I3003" t="s">
        <v>10669</v>
      </c>
      <c r="J3003" t="s">
        <v>38</v>
      </c>
      <c r="K3003" t="s">
        <v>38</v>
      </c>
      <c r="L3003" t="s">
        <v>40</v>
      </c>
      <c r="M3003" t="s">
        <v>38</v>
      </c>
      <c r="N3003" t="s">
        <v>38</v>
      </c>
      <c r="O3003" t="s">
        <v>40</v>
      </c>
      <c r="P3003" t="s">
        <v>38</v>
      </c>
      <c r="Q3003" t="s">
        <v>38</v>
      </c>
      <c r="R3003" t="s">
        <v>40</v>
      </c>
      <c r="S3003" t="s">
        <v>10670</v>
      </c>
      <c r="T3003" t="s">
        <v>10505</v>
      </c>
      <c r="U3003" t="s">
        <v>10506</v>
      </c>
      <c r="V3003" t="s">
        <v>10369</v>
      </c>
      <c r="W3003" t="s">
        <v>10474</v>
      </c>
      <c r="Z3003" t="s">
        <v>46</v>
      </c>
      <c r="AA3003" t="s">
        <v>10520</v>
      </c>
      <c r="AB3003" t="s">
        <v>117</v>
      </c>
      <c r="AC3003">
        <f>COUNTIF(C:C,QLKV_gui_ket_qua_ra_soat[[#This Row],[Mã điểm bán]])</f>
        <v>1</v>
      </c>
    </row>
    <row r="3004" spans="1:29" x14ac:dyDescent="0.45">
      <c r="A3004" t="s">
        <v>10363</v>
      </c>
      <c r="B3004">
        <v>1905</v>
      </c>
      <c r="C3004" t="s">
        <v>10671</v>
      </c>
      <c r="D3004" t="s">
        <v>10533</v>
      </c>
      <c r="E3004" t="s">
        <v>290</v>
      </c>
      <c r="F3004" t="s">
        <v>5976</v>
      </c>
      <c r="G3004" t="s">
        <v>34</v>
      </c>
      <c r="H3004" t="s">
        <v>214</v>
      </c>
      <c r="I3004" t="s">
        <v>10672</v>
      </c>
      <c r="J3004" t="s">
        <v>38</v>
      </c>
      <c r="K3004" t="s">
        <v>38</v>
      </c>
      <c r="L3004" t="s">
        <v>40</v>
      </c>
      <c r="M3004" t="s">
        <v>38</v>
      </c>
      <c r="N3004" t="s">
        <v>38</v>
      </c>
      <c r="O3004" t="s">
        <v>39</v>
      </c>
      <c r="P3004" t="s">
        <v>38</v>
      </c>
      <c r="Q3004" t="s">
        <v>38</v>
      </c>
      <c r="R3004" t="s">
        <v>40</v>
      </c>
      <c r="S3004" t="s">
        <v>41</v>
      </c>
      <c r="T3004" t="s">
        <v>10499</v>
      </c>
      <c r="U3004" t="s">
        <v>10500</v>
      </c>
      <c r="V3004" t="s">
        <v>10369</v>
      </c>
      <c r="W3004" t="s">
        <v>10440</v>
      </c>
      <c r="X3004" t="s">
        <v>46</v>
      </c>
      <c r="AC3004">
        <f>COUNTIF(C:C,QLKV_gui_ket_qua_ra_soat[[#This Row],[Mã điểm bán]])</f>
        <v>1</v>
      </c>
    </row>
    <row r="3005" spans="1:29" x14ac:dyDescent="0.45">
      <c r="A3005" t="s">
        <v>10363</v>
      </c>
      <c r="B3005">
        <v>1922</v>
      </c>
      <c r="C3005" t="s">
        <v>10673</v>
      </c>
      <c r="D3005" t="s">
        <v>10674</v>
      </c>
      <c r="E3005" t="s">
        <v>10675</v>
      </c>
      <c r="F3005" t="s">
        <v>10657</v>
      </c>
      <c r="G3005" t="s">
        <v>34</v>
      </c>
      <c r="H3005" t="s">
        <v>1280</v>
      </c>
      <c r="I3005" t="s">
        <v>10676</v>
      </c>
      <c r="J3005" t="s">
        <v>38</v>
      </c>
      <c r="K3005" t="s">
        <v>38</v>
      </c>
      <c r="L3005" t="s">
        <v>40</v>
      </c>
      <c r="M3005" t="s">
        <v>38</v>
      </c>
      <c r="N3005" t="s">
        <v>37</v>
      </c>
      <c r="O3005" t="s">
        <v>40</v>
      </c>
      <c r="P3005" t="s">
        <v>38</v>
      </c>
      <c r="Q3005" t="s">
        <v>38</v>
      </c>
      <c r="R3005" t="s">
        <v>40</v>
      </c>
      <c r="S3005" t="s">
        <v>41</v>
      </c>
      <c r="T3005" t="s">
        <v>10505</v>
      </c>
      <c r="U3005" t="s">
        <v>10506</v>
      </c>
      <c r="V3005" t="s">
        <v>10369</v>
      </c>
      <c r="W3005" t="s">
        <v>10474</v>
      </c>
      <c r="X3005" t="s">
        <v>46</v>
      </c>
      <c r="AC3005">
        <f>COUNTIF(C:C,QLKV_gui_ket_qua_ra_soat[[#This Row],[Mã điểm bán]])</f>
        <v>1</v>
      </c>
    </row>
    <row r="3006" spans="1:29" x14ac:dyDescent="0.45">
      <c r="A3006" t="s">
        <v>10363</v>
      </c>
      <c r="B3006">
        <v>1924</v>
      </c>
      <c r="C3006" t="s">
        <v>10677</v>
      </c>
      <c r="D3006" t="s">
        <v>90</v>
      </c>
      <c r="E3006" t="s">
        <v>307</v>
      </c>
      <c r="F3006" t="s">
        <v>559</v>
      </c>
      <c r="G3006" t="s">
        <v>34</v>
      </c>
      <c r="H3006" t="s">
        <v>1188</v>
      </c>
      <c r="I3006" t="s">
        <v>10678</v>
      </c>
      <c r="J3006" t="s">
        <v>38</v>
      </c>
      <c r="K3006" t="s">
        <v>38</v>
      </c>
      <c r="L3006" t="s">
        <v>40</v>
      </c>
      <c r="M3006" t="s">
        <v>38</v>
      </c>
      <c r="N3006" t="s">
        <v>38</v>
      </c>
      <c r="O3006" t="s">
        <v>39</v>
      </c>
      <c r="P3006" t="s">
        <v>38</v>
      </c>
      <c r="Q3006" t="s">
        <v>38</v>
      </c>
      <c r="R3006" t="s">
        <v>40</v>
      </c>
      <c r="S3006" t="s">
        <v>41</v>
      </c>
      <c r="T3006" t="s">
        <v>10499</v>
      </c>
      <c r="U3006" t="s">
        <v>10500</v>
      </c>
      <c r="V3006" t="s">
        <v>10369</v>
      </c>
      <c r="W3006" t="s">
        <v>10440</v>
      </c>
      <c r="X3006" t="s">
        <v>46</v>
      </c>
      <c r="AB3006" t="s">
        <v>94</v>
      </c>
      <c r="AC3006">
        <f>COUNTIF(C:C,QLKV_gui_ket_qua_ra_soat[[#This Row],[Mã điểm bán]])</f>
        <v>1</v>
      </c>
    </row>
    <row r="3007" spans="1:29" x14ac:dyDescent="0.45">
      <c r="A3007" t="s">
        <v>10363</v>
      </c>
      <c r="B3007">
        <v>1930</v>
      </c>
      <c r="C3007" t="s">
        <v>10679</v>
      </c>
      <c r="D3007" t="s">
        <v>10680</v>
      </c>
      <c r="E3007" t="s">
        <v>32</v>
      </c>
      <c r="F3007" t="s">
        <v>10681</v>
      </c>
      <c r="G3007" t="s">
        <v>34</v>
      </c>
      <c r="H3007" t="s">
        <v>685</v>
      </c>
      <c r="I3007" t="s">
        <v>10682</v>
      </c>
      <c r="J3007" t="s">
        <v>38</v>
      </c>
      <c r="K3007" t="s">
        <v>38</v>
      </c>
      <c r="L3007" t="s">
        <v>40</v>
      </c>
      <c r="M3007" t="s">
        <v>38</v>
      </c>
      <c r="N3007" t="s">
        <v>38</v>
      </c>
      <c r="O3007" t="s">
        <v>39</v>
      </c>
      <c r="P3007" t="s">
        <v>38</v>
      </c>
      <c r="Q3007" t="s">
        <v>38</v>
      </c>
      <c r="R3007" t="s">
        <v>40</v>
      </c>
      <c r="S3007" t="s">
        <v>41</v>
      </c>
      <c r="T3007" t="s">
        <v>10499</v>
      </c>
      <c r="U3007" t="s">
        <v>10500</v>
      </c>
      <c r="V3007" t="s">
        <v>10369</v>
      </c>
      <c r="W3007" t="s">
        <v>10440</v>
      </c>
      <c r="X3007" t="s">
        <v>46</v>
      </c>
      <c r="AC3007">
        <f>COUNTIF(C:C,QLKV_gui_ket_qua_ra_soat[[#This Row],[Mã điểm bán]])</f>
        <v>1</v>
      </c>
    </row>
    <row r="3008" spans="1:29" x14ac:dyDescent="0.45">
      <c r="A3008" t="s">
        <v>10363</v>
      </c>
      <c r="B3008">
        <v>1933</v>
      </c>
      <c r="C3008" t="s">
        <v>10683</v>
      </c>
      <c r="D3008" t="s">
        <v>10684</v>
      </c>
      <c r="E3008" t="s">
        <v>10685</v>
      </c>
      <c r="F3008" t="s">
        <v>10686</v>
      </c>
      <c r="G3008" t="s">
        <v>34</v>
      </c>
      <c r="H3008" t="s">
        <v>214</v>
      </c>
      <c r="I3008" t="s">
        <v>10687</v>
      </c>
      <c r="J3008" t="s">
        <v>38</v>
      </c>
      <c r="K3008" t="s">
        <v>38</v>
      </c>
      <c r="L3008" t="s">
        <v>40</v>
      </c>
      <c r="M3008" t="s">
        <v>38</v>
      </c>
      <c r="N3008" t="s">
        <v>38</v>
      </c>
      <c r="O3008" t="s">
        <v>40</v>
      </c>
      <c r="P3008" t="s">
        <v>38</v>
      </c>
      <c r="Q3008" t="s">
        <v>38</v>
      </c>
      <c r="R3008" t="s">
        <v>40</v>
      </c>
      <c r="S3008" t="s">
        <v>4783</v>
      </c>
      <c r="T3008" t="s">
        <v>10518</v>
      </c>
      <c r="U3008" t="s">
        <v>10519</v>
      </c>
      <c r="V3008" t="s">
        <v>10369</v>
      </c>
      <c r="W3008" t="s">
        <v>10399</v>
      </c>
      <c r="Z3008" t="s">
        <v>46</v>
      </c>
      <c r="AA3008" t="s">
        <v>10520</v>
      </c>
      <c r="AB3008" t="s">
        <v>2999</v>
      </c>
      <c r="AC3008">
        <f>COUNTIF(C:C,QLKV_gui_ket_qua_ra_soat[[#This Row],[Mã điểm bán]])</f>
        <v>1</v>
      </c>
    </row>
    <row r="3009" spans="1:29" x14ac:dyDescent="0.45">
      <c r="A3009" t="s">
        <v>10363</v>
      </c>
      <c r="B3009">
        <v>1990</v>
      </c>
      <c r="C3009" t="s">
        <v>10688</v>
      </c>
      <c r="D3009" t="s">
        <v>10689</v>
      </c>
      <c r="E3009" t="s">
        <v>10690</v>
      </c>
      <c r="F3009" t="s">
        <v>4655</v>
      </c>
      <c r="G3009" t="s">
        <v>34</v>
      </c>
      <c r="H3009" t="s">
        <v>1188</v>
      </c>
      <c r="I3009" t="s">
        <v>10691</v>
      </c>
      <c r="J3009" t="s">
        <v>37</v>
      </c>
      <c r="K3009" t="s">
        <v>38</v>
      </c>
      <c r="L3009" t="s">
        <v>40</v>
      </c>
      <c r="M3009" t="s">
        <v>37</v>
      </c>
      <c r="N3009" t="s">
        <v>56</v>
      </c>
      <c r="O3009" t="s">
        <v>39</v>
      </c>
      <c r="P3009" t="s">
        <v>38</v>
      </c>
      <c r="Q3009" t="s">
        <v>38</v>
      </c>
      <c r="R3009" t="s">
        <v>40</v>
      </c>
      <c r="S3009" t="s">
        <v>10692</v>
      </c>
      <c r="T3009" t="s">
        <v>10472</v>
      </c>
      <c r="U3009" t="s">
        <v>10473</v>
      </c>
      <c r="V3009" t="s">
        <v>10369</v>
      </c>
      <c r="W3009" t="s">
        <v>10474</v>
      </c>
      <c r="X3009" t="s">
        <v>46</v>
      </c>
      <c r="AB3009" t="s">
        <v>4223</v>
      </c>
      <c r="AC3009">
        <f>COUNTIF(C:C,QLKV_gui_ket_qua_ra_soat[[#This Row],[Mã điểm bán]])</f>
        <v>1</v>
      </c>
    </row>
    <row r="3010" spans="1:29" x14ac:dyDescent="0.45">
      <c r="A3010" t="s">
        <v>10363</v>
      </c>
      <c r="B3010">
        <v>2112</v>
      </c>
      <c r="C3010" t="s">
        <v>10693</v>
      </c>
      <c r="D3010" t="s">
        <v>10694</v>
      </c>
      <c r="E3010" t="s">
        <v>8741</v>
      </c>
      <c r="F3010" t="s">
        <v>10695</v>
      </c>
      <c r="G3010" t="s">
        <v>177</v>
      </c>
      <c r="H3010" t="s">
        <v>319</v>
      </c>
      <c r="I3010" t="s">
        <v>10696</v>
      </c>
      <c r="J3010" t="s">
        <v>38</v>
      </c>
      <c r="K3010" t="s">
        <v>38</v>
      </c>
      <c r="L3010" t="s">
        <v>40</v>
      </c>
      <c r="M3010" t="s">
        <v>37</v>
      </c>
      <c r="N3010" t="s">
        <v>37</v>
      </c>
      <c r="O3010" t="s">
        <v>39</v>
      </c>
      <c r="P3010" t="s">
        <v>38</v>
      </c>
      <c r="Q3010" t="s">
        <v>38</v>
      </c>
      <c r="R3010" t="s">
        <v>40</v>
      </c>
      <c r="S3010" t="s">
        <v>10697</v>
      </c>
      <c r="T3010" t="s">
        <v>10505</v>
      </c>
      <c r="U3010" t="s">
        <v>10506</v>
      </c>
      <c r="V3010" t="s">
        <v>10369</v>
      </c>
      <c r="W3010" t="s">
        <v>10474</v>
      </c>
      <c r="Z3010" t="s">
        <v>46</v>
      </c>
      <c r="AA3010" t="s">
        <v>10520</v>
      </c>
      <c r="AB3010" t="s">
        <v>2999</v>
      </c>
      <c r="AC3010">
        <f>COUNTIF(C:C,QLKV_gui_ket_qua_ra_soat[[#This Row],[Mã điểm bán]])</f>
        <v>1</v>
      </c>
    </row>
    <row r="3011" spans="1:29" x14ac:dyDescent="0.45">
      <c r="A3011" t="s">
        <v>10363</v>
      </c>
      <c r="B3011">
        <v>2121</v>
      </c>
      <c r="C3011" t="s">
        <v>10698</v>
      </c>
      <c r="D3011" t="s">
        <v>10699</v>
      </c>
      <c r="E3011" t="s">
        <v>10700</v>
      </c>
      <c r="F3011" t="s">
        <v>3522</v>
      </c>
      <c r="G3011" t="s">
        <v>34</v>
      </c>
      <c r="H3011" t="s">
        <v>402</v>
      </c>
      <c r="I3011" t="s">
        <v>10701</v>
      </c>
      <c r="J3011" t="s">
        <v>38</v>
      </c>
      <c r="K3011" t="s">
        <v>38</v>
      </c>
      <c r="L3011" t="s">
        <v>40</v>
      </c>
      <c r="M3011" t="s">
        <v>38</v>
      </c>
      <c r="N3011" t="s">
        <v>38</v>
      </c>
      <c r="O3011" t="s">
        <v>40</v>
      </c>
      <c r="P3011" t="s">
        <v>38</v>
      </c>
      <c r="Q3011" t="s">
        <v>38</v>
      </c>
      <c r="R3011" t="s">
        <v>40</v>
      </c>
      <c r="S3011" t="s">
        <v>627</v>
      </c>
      <c r="T3011" t="s">
        <v>10518</v>
      </c>
      <c r="U3011" t="s">
        <v>10519</v>
      </c>
      <c r="V3011" t="s">
        <v>10369</v>
      </c>
      <c r="W3011" t="s">
        <v>10370</v>
      </c>
      <c r="X3011" t="s">
        <v>46</v>
      </c>
      <c r="AC3011">
        <f>COUNTIF(C:C,QLKV_gui_ket_qua_ra_soat[[#This Row],[Mã điểm bán]])</f>
        <v>1</v>
      </c>
    </row>
    <row r="3012" spans="1:29" x14ac:dyDescent="0.45">
      <c r="A3012" t="s">
        <v>10363</v>
      </c>
      <c r="B3012">
        <v>2132</v>
      </c>
      <c r="C3012" t="s">
        <v>10702</v>
      </c>
      <c r="D3012" t="s">
        <v>10703</v>
      </c>
      <c r="E3012" t="s">
        <v>261</v>
      </c>
      <c r="F3012" t="s">
        <v>559</v>
      </c>
      <c r="G3012" t="s">
        <v>177</v>
      </c>
      <c r="H3012" t="s">
        <v>1188</v>
      </c>
      <c r="I3012" t="s">
        <v>10704</v>
      </c>
      <c r="J3012" t="s">
        <v>38</v>
      </c>
      <c r="K3012" t="s">
        <v>38</v>
      </c>
      <c r="L3012" t="s">
        <v>40</v>
      </c>
      <c r="M3012" t="s">
        <v>38</v>
      </c>
      <c r="N3012" t="s">
        <v>38</v>
      </c>
      <c r="O3012" t="s">
        <v>39</v>
      </c>
      <c r="P3012" t="s">
        <v>38</v>
      </c>
      <c r="Q3012" t="s">
        <v>38</v>
      </c>
      <c r="R3012" t="s">
        <v>40</v>
      </c>
      <c r="S3012" t="s">
        <v>41</v>
      </c>
      <c r="T3012" t="s">
        <v>10499</v>
      </c>
      <c r="U3012" t="s">
        <v>10500</v>
      </c>
      <c r="V3012" t="s">
        <v>10369</v>
      </c>
      <c r="W3012" t="s">
        <v>10440</v>
      </c>
      <c r="X3012" t="s">
        <v>46</v>
      </c>
      <c r="AC3012">
        <f>COUNTIF(C:C,QLKV_gui_ket_qua_ra_soat[[#This Row],[Mã điểm bán]])</f>
        <v>1</v>
      </c>
    </row>
    <row r="3013" spans="1:29" x14ac:dyDescent="0.45">
      <c r="A3013" t="s">
        <v>10363</v>
      </c>
      <c r="B3013">
        <v>2146</v>
      </c>
      <c r="C3013" t="s">
        <v>10705</v>
      </c>
      <c r="D3013" t="s">
        <v>10706</v>
      </c>
      <c r="E3013" t="s">
        <v>1964</v>
      </c>
      <c r="F3013" t="s">
        <v>166</v>
      </c>
      <c r="G3013" t="s">
        <v>34</v>
      </c>
      <c r="H3013" t="s">
        <v>54</v>
      </c>
      <c r="I3013" t="s">
        <v>10707</v>
      </c>
      <c r="J3013" t="s">
        <v>38</v>
      </c>
      <c r="K3013" t="s">
        <v>38</v>
      </c>
      <c r="L3013" t="s">
        <v>40</v>
      </c>
      <c r="M3013" t="s">
        <v>38</v>
      </c>
      <c r="N3013" t="s">
        <v>38</v>
      </c>
      <c r="O3013" t="s">
        <v>40</v>
      </c>
      <c r="P3013" t="s">
        <v>1034</v>
      </c>
      <c r="Q3013" t="s">
        <v>38</v>
      </c>
      <c r="R3013" t="s">
        <v>40</v>
      </c>
      <c r="S3013" t="s">
        <v>41</v>
      </c>
      <c r="T3013" t="s">
        <v>10649</v>
      </c>
      <c r="U3013" t="s">
        <v>10650</v>
      </c>
      <c r="V3013" t="s">
        <v>10369</v>
      </c>
      <c r="W3013" t="s">
        <v>10495</v>
      </c>
      <c r="X3013" t="s">
        <v>46</v>
      </c>
      <c r="AB3013" t="s">
        <v>117</v>
      </c>
      <c r="AC3013">
        <f>COUNTIF(C:C,QLKV_gui_ket_qua_ra_soat[[#This Row],[Mã điểm bán]])</f>
        <v>1</v>
      </c>
    </row>
    <row r="3014" spans="1:29" x14ac:dyDescent="0.45">
      <c r="A3014" t="s">
        <v>10363</v>
      </c>
      <c r="B3014">
        <v>2153</v>
      </c>
      <c r="C3014" t="s">
        <v>10708</v>
      </c>
      <c r="D3014" t="s">
        <v>10709</v>
      </c>
      <c r="E3014" t="s">
        <v>10710</v>
      </c>
      <c r="F3014" t="s">
        <v>3244</v>
      </c>
      <c r="G3014" t="s">
        <v>34</v>
      </c>
      <c r="H3014" t="s">
        <v>685</v>
      </c>
      <c r="I3014" t="s">
        <v>10711</v>
      </c>
      <c r="J3014" t="s">
        <v>38</v>
      </c>
      <c r="K3014" t="s">
        <v>38</v>
      </c>
      <c r="L3014" t="s">
        <v>40</v>
      </c>
      <c r="M3014" t="s">
        <v>38</v>
      </c>
      <c r="N3014" t="s">
        <v>38</v>
      </c>
      <c r="O3014" t="s">
        <v>40</v>
      </c>
      <c r="P3014" t="s">
        <v>38</v>
      </c>
      <c r="Q3014" t="s">
        <v>38</v>
      </c>
      <c r="R3014" t="s">
        <v>40</v>
      </c>
      <c r="S3014" t="s">
        <v>4783</v>
      </c>
      <c r="T3014" t="s">
        <v>10518</v>
      </c>
      <c r="U3014" t="s">
        <v>10519</v>
      </c>
      <c r="V3014" t="s">
        <v>10369</v>
      </c>
      <c r="W3014" t="s">
        <v>10370</v>
      </c>
      <c r="Z3014" t="s">
        <v>46</v>
      </c>
      <c r="AA3014" t="s">
        <v>10520</v>
      </c>
      <c r="AB3014" t="s">
        <v>117</v>
      </c>
      <c r="AC3014">
        <f>COUNTIF(C:C,QLKV_gui_ket_qua_ra_soat[[#This Row],[Mã điểm bán]])</f>
        <v>1</v>
      </c>
    </row>
    <row r="3015" spans="1:29" x14ac:dyDescent="0.45">
      <c r="A3015" t="s">
        <v>10363</v>
      </c>
      <c r="B3015">
        <v>2223</v>
      </c>
      <c r="C3015" t="s">
        <v>10712</v>
      </c>
      <c r="D3015" t="s">
        <v>10713</v>
      </c>
      <c r="E3015" t="s">
        <v>2580</v>
      </c>
      <c r="F3015" t="s">
        <v>1676</v>
      </c>
      <c r="G3015" t="s">
        <v>34</v>
      </c>
      <c r="H3015" t="s">
        <v>54</v>
      </c>
      <c r="I3015" t="s">
        <v>10714</v>
      </c>
      <c r="J3015" t="s">
        <v>38</v>
      </c>
      <c r="K3015" t="s">
        <v>38</v>
      </c>
      <c r="L3015" t="s">
        <v>40</v>
      </c>
      <c r="M3015" t="s">
        <v>38</v>
      </c>
      <c r="N3015" t="s">
        <v>38</v>
      </c>
      <c r="O3015" t="s">
        <v>40</v>
      </c>
      <c r="P3015" t="s">
        <v>1034</v>
      </c>
      <c r="Q3015" t="s">
        <v>38</v>
      </c>
      <c r="R3015" t="s">
        <v>40</v>
      </c>
      <c r="S3015" t="s">
        <v>41</v>
      </c>
      <c r="T3015" t="s">
        <v>10649</v>
      </c>
      <c r="U3015" t="s">
        <v>10650</v>
      </c>
      <c r="V3015" t="s">
        <v>10369</v>
      </c>
      <c r="W3015" t="s">
        <v>10495</v>
      </c>
      <c r="X3015" t="s">
        <v>46</v>
      </c>
      <c r="AC3015">
        <f>COUNTIF(C:C,QLKV_gui_ket_qua_ra_soat[[#This Row],[Mã điểm bán]])</f>
        <v>1</v>
      </c>
    </row>
    <row r="3016" spans="1:29" x14ac:dyDescent="0.45">
      <c r="A3016" t="s">
        <v>10363</v>
      </c>
      <c r="B3016">
        <v>2332</v>
      </c>
      <c r="C3016" t="s">
        <v>10715</v>
      </c>
      <c r="D3016" t="s">
        <v>10716</v>
      </c>
      <c r="E3016" t="s">
        <v>32</v>
      </c>
      <c r="F3016" t="s">
        <v>653</v>
      </c>
      <c r="G3016" t="s">
        <v>34</v>
      </c>
      <c r="H3016" t="s">
        <v>1542</v>
      </c>
      <c r="I3016" t="s">
        <v>3694</v>
      </c>
      <c r="J3016" t="s">
        <v>38</v>
      </c>
      <c r="K3016" t="s">
        <v>38</v>
      </c>
      <c r="L3016" t="s">
        <v>40</v>
      </c>
      <c r="M3016" t="s">
        <v>38</v>
      </c>
      <c r="N3016" t="s">
        <v>38</v>
      </c>
      <c r="O3016" t="s">
        <v>40</v>
      </c>
      <c r="P3016" t="s">
        <v>38</v>
      </c>
      <c r="Q3016" t="s">
        <v>38</v>
      </c>
      <c r="R3016" t="s">
        <v>40</v>
      </c>
      <c r="S3016" t="s">
        <v>10717</v>
      </c>
      <c r="T3016" t="s">
        <v>10505</v>
      </c>
      <c r="U3016" t="s">
        <v>10506</v>
      </c>
      <c r="V3016" t="s">
        <v>10369</v>
      </c>
      <c r="W3016" t="s">
        <v>10474</v>
      </c>
      <c r="X3016" t="s">
        <v>46</v>
      </c>
      <c r="AC3016">
        <f>COUNTIF(C:C,QLKV_gui_ket_qua_ra_soat[[#This Row],[Mã điểm bán]])</f>
        <v>1</v>
      </c>
    </row>
    <row r="3017" spans="1:29" x14ac:dyDescent="0.45">
      <c r="A3017" t="s">
        <v>10363</v>
      </c>
      <c r="B3017">
        <v>2425</v>
      </c>
      <c r="C3017" t="s">
        <v>10718</v>
      </c>
      <c r="D3017" t="s">
        <v>7738</v>
      </c>
      <c r="E3017" t="s">
        <v>10719</v>
      </c>
      <c r="F3017" t="s">
        <v>325</v>
      </c>
      <c r="G3017" t="s">
        <v>34</v>
      </c>
      <c r="H3017" t="s">
        <v>1188</v>
      </c>
      <c r="I3017" t="s">
        <v>10720</v>
      </c>
      <c r="J3017" t="s">
        <v>38</v>
      </c>
      <c r="K3017" t="s">
        <v>38</v>
      </c>
      <c r="L3017" t="s">
        <v>40</v>
      </c>
      <c r="M3017" t="s">
        <v>38</v>
      </c>
      <c r="N3017" t="s">
        <v>38</v>
      </c>
      <c r="O3017" t="s">
        <v>40</v>
      </c>
      <c r="P3017" t="s">
        <v>38</v>
      </c>
      <c r="Q3017" t="s">
        <v>38</v>
      </c>
      <c r="R3017" t="s">
        <v>40</v>
      </c>
      <c r="S3017" t="s">
        <v>41</v>
      </c>
      <c r="T3017" t="s">
        <v>10499</v>
      </c>
      <c r="U3017" t="s">
        <v>10500</v>
      </c>
      <c r="V3017" t="s">
        <v>10369</v>
      </c>
      <c r="W3017" t="s">
        <v>10440</v>
      </c>
      <c r="X3017" t="s">
        <v>46</v>
      </c>
      <c r="AB3017" t="s">
        <v>4223</v>
      </c>
      <c r="AC3017">
        <f>COUNTIF(C:C,QLKV_gui_ket_qua_ra_soat[[#This Row],[Mã điểm bán]])</f>
        <v>1</v>
      </c>
    </row>
    <row r="3018" spans="1:29" x14ac:dyDescent="0.45">
      <c r="A3018" t="s">
        <v>10363</v>
      </c>
      <c r="B3018">
        <v>2515</v>
      </c>
      <c r="C3018" t="s">
        <v>10721</v>
      </c>
      <c r="D3018" t="s">
        <v>10722</v>
      </c>
      <c r="E3018" t="s">
        <v>682</v>
      </c>
      <c r="F3018" t="s">
        <v>10723</v>
      </c>
      <c r="G3018" t="s">
        <v>34</v>
      </c>
      <c r="H3018" t="s">
        <v>35</v>
      </c>
      <c r="I3018" t="s">
        <v>10724</v>
      </c>
      <c r="J3018" t="s">
        <v>38</v>
      </c>
      <c r="K3018" t="s">
        <v>38</v>
      </c>
      <c r="L3018" t="s">
        <v>40</v>
      </c>
      <c r="M3018" t="s">
        <v>38</v>
      </c>
      <c r="N3018" t="s">
        <v>38</v>
      </c>
      <c r="O3018" t="s">
        <v>40</v>
      </c>
      <c r="P3018" t="s">
        <v>38</v>
      </c>
      <c r="Q3018" t="s">
        <v>38</v>
      </c>
      <c r="R3018" t="s">
        <v>40</v>
      </c>
      <c r="S3018" t="s">
        <v>4783</v>
      </c>
      <c r="T3018" t="s">
        <v>10518</v>
      </c>
      <c r="U3018" t="s">
        <v>10519</v>
      </c>
      <c r="V3018" t="s">
        <v>10369</v>
      </c>
      <c r="W3018" t="s">
        <v>10370</v>
      </c>
      <c r="X3018" t="s">
        <v>46</v>
      </c>
      <c r="AC3018">
        <f>COUNTIF(C:C,QLKV_gui_ket_qua_ra_soat[[#This Row],[Mã điểm bán]])</f>
        <v>1</v>
      </c>
    </row>
    <row r="3019" spans="1:29" x14ac:dyDescent="0.45">
      <c r="A3019" t="s">
        <v>10363</v>
      </c>
      <c r="B3019">
        <v>2628</v>
      </c>
      <c r="C3019" t="s">
        <v>10725</v>
      </c>
      <c r="D3019" t="s">
        <v>3790</v>
      </c>
      <c r="E3019" t="s">
        <v>1155</v>
      </c>
      <c r="F3019" t="s">
        <v>4472</v>
      </c>
      <c r="G3019" t="s">
        <v>34</v>
      </c>
      <c r="H3019" t="s">
        <v>1188</v>
      </c>
      <c r="I3019" t="s">
        <v>10726</v>
      </c>
      <c r="J3019" t="s">
        <v>38</v>
      </c>
      <c r="K3019" t="s">
        <v>38</v>
      </c>
      <c r="L3019" t="s">
        <v>40</v>
      </c>
      <c r="M3019" t="s">
        <v>38</v>
      </c>
      <c r="N3019" t="s">
        <v>38</v>
      </c>
      <c r="O3019" t="s">
        <v>39</v>
      </c>
      <c r="P3019" t="s">
        <v>38</v>
      </c>
      <c r="Q3019" t="s">
        <v>38</v>
      </c>
      <c r="R3019" t="s">
        <v>40</v>
      </c>
      <c r="S3019" t="s">
        <v>41</v>
      </c>
      <c r="T3019" t="s">
        <v>10499</v>
      </c>
      <c r="U3019" t="s">
        <v>10500</v>
      </c>
      <c r="V3019" t="s">
        <v>10369</v>
      </c>
      <c r="W3019" t="s">
        <v>10440</v>
      </c>
      <c r="X3019" t="s">
        <v>46</v>
      </c>
      <c r="AB3019" t="s">
        <v>5658</v>
      </c>
      <c r="AC3019">
        <f>COUNTIF(C:C,QLKV_gui_ket_qua_ra_soat[[#This Row],[Mã điểm bán]])</f>
        <v>1</v>
      </c>
    </row>
    <row r="3020" spans="1:29" x14ac:dyDescent="0.45">
      <c r="A3020" t="s">
        <v>10363</v>
      </c>
      <c r="B3020">
        <v>2665</v>
      </c>
      <c r="C3020" t="s">
        <v>10727</v>
      </c>
      <c r="D3020" t="s">
        <v>10728</v>
      </c>
      <c r="E3020" t="s">
        <v>1610</v>
      </c>
      <c r="F3020" t="s">
        <v>339</v>
      </c>
      <c r="G3020" t="s">
        <v>34</v>
      </c>
      <c r="H3020" t="s">
        <v>214</v>
      </c>
      <c r="I3020" t="s">
        <v>10729</v>
      </c>
      <c r="J3020" t="s">
        <v>38</v>
      </c>
      <c r="K3020" t="s">
        <v>38</v>
      </c>
      <c r="L3020" t="s">
        <v>40</v>
      </c>
      <c r="M3020" t="s">
        <v>38</v>
      </c>
      <c r="N3020" t="s">
        <v>38</v>
      </c>
      <c r="O3020" t="s">
        <v>40</v>
      </c>
      <c r="P3020" t="s">
        <v>38</v>
      </c>
      <c r="Q3020" t="s">
        <v>38</v>
      </c>
      <c r="R3020" t="s">
        <v>40</v>
      </c>
      <c r="S3020" t="s">
        <v>627</v>
      </c>
      <c r="T3020" t="s">
        <v>10518</v>
      </c>
      <c r="U3020" t="s">
        <v>10519</v>
      </c>
      <c r="V3020" t="s">
        <v>10369</v>
      </c>
      <c r="W3020" t="s">
        <v>10370</v>
      </c>
      <c r="Z3020" t="s">
        <v>46</v>
      </c>
      <c r="AA3020" t="s">
        <v>10520</v>
      </c>
      <c r="AC3020">
        <f>COUNTIF(C:C,QLKV_gui_ket_qua_ra_soat[[#This Row],[Mã điểm bán]])</f>
        <v>1</v>
      </c>
    </row>
    <row r="3021" spans="1:29" x14ac:dyDescent="0.45">
      <c r="A3021" t="s">
        <v>10363</v>
      </c>
      <c r="B3021">
        <v>2675</v>
      </c>
      <c r="C3021" t="s">
        <v>10730</v>
      </c>
      <c r="D3021" t="s">
        <v>10731</v>
      </c>
      <c r="E3021" t="s">
        <v>1172</v>
      </c>
      <c r="F3021" t="s">
        <v>10732</v>
      </c>
      <c r="G3021" t="s">
        <v>34</v>
      </c>
      <c r="H3021" t="s">
        <v>35</v>
      </c>
      <c r="I3021" t="s">
        <v>10733</v>
      </c>
      <c r="J3021" t="s">
        <v>38</v>
      </c>
      <c r="K3021" t="s">
        <v>38</v>
      </c>
      <c r="L3021" t="s">
        <v>40</v>
      </c>
      <c r="M3021" t="s">
        <v>38</v>
      </c>
      <c r="N3021" t="s">
        <v>38</v>
      </c>
      <c r="O3021" t="s">
        <v>40</v>
      </c>
      <c r="P3021" t="s">
        <v>38</v>
      </c>
      <c r="Q3021" t="s">
        <v>38</v>
      </c>
      <c r="R3021" t="s">
        <v>40</v>
      </c>
      <c r="S3021" t="s">
        <v>4783</v>
      </c>
      <c r="T3021" t="s">
        <v>10518</v>
      </c>
      <c r="U3021" t="s">
        <v>10519</v>
      </c>
      <c r="V3021" t="s">
        <v>10369</v>
      </c>
      <c r="W3021" t="s">
        <v>10370</v>
      </c>
      <c r="X3021" t="s">
        <v>46</v>
      </c>
      <c r="AB3021" t="s">
        <v>117</v>
      </c>
      <c r="AC3021">
        <f>COUNTIF(C:C,QLKV_gui_ket_qua_ra_soat[[#This Row],[Mã điểm bán]])</f>
        <v>1</v>
      </c>
    </row>
    <row r="3022" spans="1:29" x14ac:dyDescent="0.45">
      <c r="A3022" t="s">
        <v>10363</v>
      </c>
      <c r="B3022">
        <v>2678</v>
      </c>
      <c r="C3022" t="s">
        <v>10734</v>
      </c>
      <c r="D3022" t="s">
        <v>10735</v>
      </c>
      <c r="E3022" t="s">
        <v>7160</v>
      </c>
      <c r="F3022" t="s">
        <v>1471</v>
      </c>
      <c r="G3022" t="s">
        <v>34</v>
      </c>
      <c r="H3022" t="s">
        <v>54</v>
      </c>
      <c r="I3022" t="s">
        <v>10736</v>
      </c>
      <c r="J3022" t="s">
        <v>38</v>
      </c>
      <c r="K3022" t="s">
        <v>38</v>
      </c>
      <c r="L3022" t="s">
        <v>40</v>
      </c>
      <c r="M3022" t="s">
        <v>38</v>
      </c>
      <c r="N3022" t="s">
        <v>38</v>
      </c>
      <c r="O3022" t="s">
        <v>39</v>
      </c>
      <c r="P3022" t="s">
        <v>38</v>
      </c>
      <c r="Q3022" t="s">
        <v>38</v>
      </c>
      <c r="R3022" t="s">
        <v>40</v>
      </c>
      <c r="S3022" t="s">
        <v>4783</v>
      </c>
      <c r="T3022" t="s">
        <v>10525</v>
      </c>
      <c r="U3022" t="s">
        <v>10519</v>
      </c>
      <c r="V3022" t="s">
        <v>10369</v>
      </c>
      <c r="W3022" t="s">
        <v>10370</v>
      </c>
      <c r="Z3022" t="s">
        <v>46</v>
      </c>
      <c r="AA3022" t="s">
        <v>10520</v>
      </c>
      <c r="AB3022" t="s">
        <v>2999</v>
      </c>
      <c r="AC3022">
        <f>COUNTIF(C:C,QLKV_gui_ket_qua_ra_soat[[#This Row],[Mã điểm bán]])</f>
        <v>1</v>
      </c>
    </row>
    <row r="3023" spans="1:29" x14ac:dyDescent="0.45">
      <c r="A3023" t="s">
        <v>10363</v>
      </c>
      <c r="B3023">
        <v>2695</v>
      </c>
      <c r="C3023" t="s">
        <v>10737</v>
      </c>
      <c r="D3023" t="s">
        <v>10738</v>
      </c>
      <c r="E3023" t="s">
        <v>1360</v>
      </c>
      <c r="F3023" t="s">
        <v>10739</v>
      </c>
      <c r="G3023" t="s">
        <v>34</v>
      </c>
      <c r="H3023" t="s">
        <v>1025</v>
      </c>
      <c r="I3023" t="s">
        <v>10740</v>
      </c>
      <c r="J3023" t="s">
        <v>38</v>
      </c>
      <c r="K3023" t="s">
        <v>38</v>
      </c>
      <c r="L3023" t="s">
        <v>40</v>
      </c>
      <c r="M3023" t="s">
        <v>38</v>
      </c>
      <c r="N3023" t="s">
        <v>38</v>
      </c>
      <c r="O3023" t="s">
        <v>40</v>
      </c>
      <c r="P3023" t="s">
        <v>38</v>
      </c>
      <c r="Q3023" t="s">
        <v>38</v>
      </c>
      <c r="R3023" t="s">
        <v>40</v>
      </c>
      <c r="S3023" t="s">
        <v>4783</v>
      </c>
      <c r="T3023" t="s">
        <v>10518</v>
      </c>
      <c r="U3023" t="s">
        <v>10519</v>
      </c>
      <c r="V3023" t="s">
        <v>10369</v>
      </c>
      <c r="W3023" t="s">
        <v>10370</v>
      </c>
      <c r="Z3023" t="s">
        <v>46</v>
      </c>
      <c r="AA3023" t="s">
        <v>10520</v>
      </c>
      <c r="AB3023" t="s">
        <v>117</v>
      </c>
      <c r="AC3023">
        <f>COUNTIF(C:C,QLKV_gui_ket_qua_ra_soat[[#This Row],[Mã điểm bán]])</f>
        <v>1</v>
      </c>
    </row>
    <row r="3024" spans="1:29" x14ac:dyDescent="0.45">
      <c r="A3024" t="s">
        <v>10363</v>
      </c>
      <c r="B3024">
        <v>2703</v>
      </c>
      <c r="C3024" t="s">
        <v>10741</v>
      </c>
      <c r="D3024" t="s">
        <v>10742</v>
      </c>
      <c r="E3024" t="s">
        <v>290</v>
      </c>
      <c r="F3024" t="s">
        <v>280</v>
      </c>
      <c r="G3024" t="s">
        <v>177</v>
      </c>
      <c r="H3024" t="s">
        <v>685</v>
      </c>
      <c r="I3024" t="s">
        <v>10743</v>
      </c>
      <c r="J3024" t="s">
        <v>38</v>
      </c>
      <c r="K3024" t="s">
        <v>38</v>
      </c>
      <c r="L3024" t="s">
        <v>40</v>
      </c>
      <c r="M3024" t="s">
        <v>38</v>
      </c>
      <c r="N3024" t="s">
        <v>38</v>
      </c>
      <c r="O3024" t="s">
        <v>39</v>
      </c>
      <c r="P3024" t="s">
        <v>38</v>
      </c>
      <c r="Q3024" t="s">
        <v>38</v>
      </c>
      <c r="R3024" t="s">
        <v>40</v>
      </c>
      <c r="S3024" t="s">
        <v>41</v>
      </c>
      <c r="T3024" t="s">
        <v>10499</v>
      </c>
      <c r="U3024" t="s">
        <v>10500</v>
      </c>
      <c r="V3024" t="s">
        <v>10369</v>
      </c>
      <c r="W3024" t="s">
        <v>10440</v>
      </c>
      <c r="X3024" t="s">
        <v>46</v>
      </c>
      <c r="AC3024">
        <f>COUNTIF(C:C,QLKV_gui_ket_qua_ra_soat[[#This Row],[Mã điểm bán]])</f>
        <v>1</v>
      </c>
    </row>
    <row r="3025" spans="1:29" x14ac:dyDescent="0.45">
      <c r="A3025" t="s">
        <v>10363</v>
      </c>
      <c r="B3025">
        <v>2715</v>
      </c>
      <c r="C3025" t="s">
        <v>10744</v>
      </c>
      <c r="D3025" t="s">
        <v>10745</v>
      </c>
      <c r="E3025" t="s">
        <v>455</v>
      </c>
      <c r="F3025" t="s">
        <v>10746</v>
      </c>
      <c r="G3025" t="s">
        <v>34</v>
      </c>
      <c r="H3025" t="s">
        <v>54</v>
      </c>
      <c r="I3025" t="s">
        <v>10747</v>
      </c>
      <c r="J3025" t="s">
        <v>38</v>
      </c>
      <c r="K3025" t="s">
        <v>37</v>
      </c>
      <c r="L3025" t="s">
        <v>40</v>
      </c>
      <c r="M3025" t="s">
        <v>38</v>
      </c>
      <c r="N3025" t="s">
        <v>38</v>
      </c>
      <c r="O3025" t="s">
        <v>39</v>
      </c>
      <c r="P3025" t="s">
        <v>38</v>
      </c>
      <c r="Q3025" t="s">
        <v>38</v>
      </c>
      <c r="R3025" t="s">
        <v>40</v>
      </c>
      <c r="S3025" t="s">
        <v>41</v>
      </c>
      <c r="T3025" t="s">
        <v>10499</v>
      </c>
      <c r="U3025" t="s">
        <v>10500</v>
      </c>
      <c r="V3025" t="s">
        <v>10369</v>
      </c>
      <c r="W3025" t="s">
        <v>10440</v>
      </c>
      <c r="X3025" t="s">
        <v>46</v>
      </c>
      <c r="AC3025">
        <f>COUNTIF(C:C,QLKV_gui_ket_qua_ra_soat[[#This Row],[Mã điểm bán]])</f>
        <v>1</v>
      </c>
    </row>
    <row r="3026" spans="1:29" x14ac:dyDescent="0.45">
      <c r="A3026" t="s">
        <v>10363</v>
      </c>
      <c r="B3026">
        <v>2792</v>
      </c>
      <c r="C3026" t="s">
        <v>10748</v>
      </c>
      <c r="D3026" t="s">
        <v>10448</v>
      </c>
      <c r="E3026" t="s">
        <v>10749</v>
      </c>
      <c r="F3026" t="s">
        <v>819</v>
      </c>
      <c r="G3026" t="s">
        <v>34</v>
      </c>
      <c r="H3026" t="s">
        <v>685</v>
      </c>
      <c r="I3026" t="s">
        <v>10750</v>
      </c>
      <c r="J3026" t="s">
        <v>38</v>
      </c>
      <c r="K3026" t="s">
        <v>38</v>
      </c>
      <c r="L3026" t="s">
        <v>40</v>
      </c>
      <c r="M3026" t="s">
        <v>38</v>
      </c>
      <c r="N3026" t="s">
        <v>38</v>
      </c>
      <c r="O3026" t="s">
        <v>40</v>
      </c>
      <c r="P3026" t="s">
        <v>38</v>
      </c>
      <c r="Q3026" t="s">
        <v>38</v>
      </c>
      <c r="R3026" t="s">
        <v>40</v>
      </c>
      <c r="S3026" t="s">
        <v>4783</v>
      </c>
      <c r="T3026" t="s">
        <v>10518</v>
      </c>
      <c r="U3026" t="s">
        <v>10519</v>
      </c>
      <c r="V3026" t="s">
        <v>10369</v>
      </c>
      <c r="W3026" t="s">
        <v>10370</v>
      </c>
      <c r="X3026" t="s">
        <v>46</v>
      </c>
      <c r="AC3026">
        <f>COUNTIF(C:C,QLKV_gui_ket_qua_ra_soat[[#This Row],[Mã điểm bán]])</f>
        <v>1</v>
      </c>
    </row>
    <row r="3027" spans="1:29" x14ac:dyDescent="0.45">
      <c r="A3027" t="s">
        <v>10363</v>
      </c>
      <c r="B3027">
        <v>2859</v>
      </c>
      <c r="C3027" t="s">
        <v>10751</v>
      </c>
      <c r="D3027" t="s">
        <v>10752</v>
      </c>
      <c r="E3027" t="s">
        <v>10753</v>
      </c>
      <c r="F3027" t="s">
        <v>5040</v>
      </c>
      <c r="G3027" t="s">
        <v>34</v>
      </c>
      <c r="H3027" t="s">
        <v>54</v>
      </c>
      <c r="I3027" t="s">
        <v>10754</v>
      </c>
      <c r="J3027" t="s">
        <v>38</v>
      </c>
      <c r="K3027" t="s">
        <v>38</v>
      </c>
      <c r="L3027" t="s">
        <v>40</v>
      </c>
      <c r="M3027" t="s">
        <v>38</v>
      </c>
      <c r="N3027" t="s">
        <v>38</v>
      </c>
      <c r="O3027" t="s">
        <v>40</v>
      </c>
      <c r="P3027" t="s">
        <v>1034</v>
      </c>
      <c r="Q3027" t="s">
        <v>38</v>
      </c>
      <c r="R3027" t="s">
        <v>40</v>
      </c>
      <c r="S3027" t="s">
        <v>41</v>
      </c>
      <c r="T3027" t="s">
        <v>10649</v>
      </c>
      <c r="U3027" t="s">
        <v>10650</v>
      </c>
      <c r="V3027" t="s">
        <v>10369</v>
      </c>
      <c r="W3027" t="s">
        <v>10495</v>
      </c>
      <c r="X3027" t="s">
        <v>46</v>
      </c>
      <c r="AB3027" t="s">
        <v>2999</v>
      </c>
      <c r="AC3027">
        <f>COUNTIF(C:C,QLKV_gui_ket_qua_ra_soat[[#This Row],[Mã điểm bán]])</f>
        <v>1</v>
      </c>
    </row>
    <row r="3028" spans="1:29" x14ac:dyDescent="0.45">
      <c r="A3028" t="s">
        <v>10363</v>
      </c>
      <c r="B3028">
        <v>2951</v>
      </c>
      <c r="C3028" t="s">
        <v>10755</v>
      </c>
      <c r="D3028" t="s">
        <v>10756</v>
      </c>
      <c r="E3028" t="s">
        <v>32</v>
      </c>
      <c r="F3028" t="s">
        <v>53</v>
      </c>
      <c r="G3028" t="s">
        <v>177</v>
      </c>
      <c r="H3028" t="s">
        <v>54</v>
      </c>
      <c r="I3028" t="s">
        <v>10757</v>
      </c>
      <c r="J3028" t="s">
        <v>38</v>
      </c>
      <c r="K3028" t="s">
        <v>38</v>
      </c>
      <c r="L3028" t="s">
        <v>40</v>
      </c>
      <c r="M3028" t="s">
        <v>56</v>
      </c>
      <c r="N3028" t="s">
        <v>56</v>
      </c>
      <c r="O3028" t="s">
        <v>39</v>
      </c>
      <c r="P3028" t="s">
        <v>38</v>
      </c>
      <c r="Q3028" t="s">
        <v>38</v>
      </c>
      <c r="R3028" t="s">
        <v>40</v>
      </c>
      <c r="S3028" t="s">
        <v>41</v>
      </c>
      <c r="T3028" t="s">
        <v>10499</v>
      </c>
      <c r="U3028" t="s">
        <v>10500</v>
      </c>
      <c r="V3028" t="s">
        <v>10369</v>
      </c>
      <c r="W3028" t="s">
        <v>10440</v>
      </c>
      <c r="X3028" t="s">
        <v>46</v>
      </c>
      <c r="AB3028" t="s">
        <v>117</v>
      </c>
      <c r="AC3028">
        <f>COUNTIF(C:C,QLKV_gui_ket_qua_ra_soat[[#This Row],[Mã điểm bán]])</f>
        <v>1</v>
      </c>
    </row>
    <row r="3029" spans="1:29" x14ac:dyDescent="0.45">
      <c r="A3029" t="s">
        <v>10363</v>
      </c>
      <c r="B3029">
        <v>2953</v>
      </c>
      <c r="C3029" t="s">
        <v>10758</v>
      </c>
      <c r="D3029" t="s">
        <v>10759</v>
      </c>
      <c r="E3029" t="s">
        <v>296</v>
      </c>
      <c r="F3029" t="s">
        <v>10760</v>
      </c>
      <c r="G3029" t="s">
        <v>177</v>
      </c>
      <c r="H3029" t="s">
        <v>685</v>
      </c>
      <c r="I3029" t="s">
        <v>10761</v>
      </c>
      <c r="J3029" t="s">
        <v>38</v>
      </c>
      <c r="K3029" t="s">
        <v>38</v>
      </c>
      <c r="L3029" t="s">
        <v>40</v>
      </c>
      <c r="M3029" t="s">
        <v>38</v>
      </c>
      <c r="N3029" t="s">
        <v>38</v>
      </c>
      <c r="O3029" t="s">
        <v>39</v>
      </c>
      <c r="P3029" t="s">
        <v>38</v>
      </c>
      <c r="Q3029" t="s">
        <v>38</v>
      </c>
      <c r="R3029" t="s">
        <v>40</v>
      </c>
      <c r="S3029" t="s">
        <v>41</v>
      </c>
      <c r="T3029" t="s">
        <v>10499</v>
      </c>
      <c r="U3029" t="s">
        <v>10500</v>
      </c>
      <c r="V3029" t="s">
        <v>10369</v>
      </c>
      <c r="W3029" t="s">
        <v>10440</v>
      </c>
      <c r="X3029" t="s">
        <v>46</v>
      </c>
      <c r="AC3029">
        <f>COUNTIF(C:C,QLKV_gui_ket_qua_ra_soat[[#This Row],[Mã điểm bán]])</f>
        <v>1</v>
      </c>
    </row>
    <row r="3030" spans="1:29" x14ac:dyDescent="0.45">
      <c r="A3030" t="s">
        <v>10363</v>
      </c>
      <c r="B3030">
        <v>3053</v>
      </c>
      <c r="C3030" t="s">
        <v>10762</v>
      </c>
      <c r="D3030" t="s">
        <v>10763</v>
      </c>
      <c r="E3030" t="s">
        <v>261</v>
      </c>
      <c r="F3030" t="s">
        <v>99</v>
      </c>
      <c r="G3030" t="s">
        <v>150</v>
      </c>
      <c r="H3030" t="s">
        <v>1188</v>
      </c>
      <c r="I3030" t="s">
        <v>10764</v>
      </c>
      <c r="J3030" t="s">
        <v>38</v>
      </c>
      <c r="K3030" t="s">
        <v>38</v>
      </c>
      <c r="L3030" t="s">
        <v>40</v>
      </c>
      <c r="M3030" t="s">
        <v>37</v>
      </c>
      <c r="N3030" t="s">
        <v>38</v>
      </c>
      <c r="O3030" t="s">
        <v>39</v>
      </c>
      <c r="P3030" t="s">
        <v>38</v>
      </c>
      <c r="Q3030" t="s">
        <v>38</v>
      </c>
      <c r="R3030" t="s">
        <v>40</v>
      </c>
      <c r="S3030" t="s">
        <v>10765</v>
      </c>
      <c r="T3030" t="s">
        <v>10499</v>
      </c>
      <c r="U3030" t="s">
        <v>10500</v>
      </c>
      <c r="V3030" t="s">
        <v>10369</v>
      </c>
      <c r="W3030" t="s">
        <v>10440</v>
      </c>
      <c r="Z3030" t="s">
        <v>46</v>
      </c>
      <c r="AA3030" t="s">
        <v>10422</v>
      </c>
      <c r="AB3030" t="s">
        <v>117</v>
      </c>
      <c r="AC3030">
        <f>COUNTIF(C:C,QLKV_gui_ket_qua_ra_soat[[#This Row],[Mã điểm bán]])</f>
        <v>1</v>
      </c>
    </row>
    <row r="3031" spans="1:29" x14ac:dyDescent="0.45">
      <c r="A3031" t="s">
        <v>10363</v>
      </c>
      <c r="B3031">
        <v>3148</v>
      </c>
      <c r="C3031" t="s">
        <v>10766</v>
      </c>
      <c r="D3031" t="s">
        <v>10767</v>
      </c>
      <c r="E3031" t="s">
        <v>10768</v>
      </c>
      <c r="F3031" t="s">
        <v>461</v>
      </c>
      <c r="G3031" t="s">
        <v>34</v>
      </c>
      <c r="H3031" t="s">
        <v>1280</v>
      </c>
      <c r="I3031" t="s">
        <v>10769</v>
      </c>
      <c r="J3031" t="s">
        <v>38</v>
      </c>
      <c r="K3031" t="s">
        <v>38</v>
      </c>
      <c r="L3031" t="s">
        <v>40</v>
      </c>
      <c r="M3031" t="s">
        <v>38</v>
      </c>
      <c r="N3031" t="s">
        <v>38</v>
      </c>
      <c r="O3031" t="s">
        <v>40</v>
      </c>
      <c r="P3031" t="s">
        <v>38</v>
      </c>
      <c r="Q3031" t="s">
        <v>38</v>
      </c>
      <c r="R3031" t="s">
        <v>40</v>
      </c>
      <c r="S3031" t="s">
        <v>4783</v>
      </c>
      <c r="T3031" t="s">
        <v>10518</v>
      </c>
      <c r="U3031" t="s">
        <v>10519</v>
      </c>
      <c r="V3031" t="s">
        <v>10369</v>
      </c>
      <c r="W3031" t="s">
        <v>10399</v>
      </c>
      <c r="Z3031" t="s">
        <v>46</v>
      </c>
      <c r="AA3031" t="s">
        <v>10520</v>
      </c>
      <c r="AB3031" t="s">
        <v>2999</v>
      </c>
      <c r="AC3031">
        <f>COUNTIF(C:C,QLKV_gui_ket_qua_ra_soat[[#This Row],[Mã điểm bán]])</f>
        <v>1</v>
      </c>
    </row>
    <row r="3032" spans="1:29" x14ac:dyDescent="0.45">
      <c r="A3032" t="s">
        <v>10363</v>
      </c>
      <c r="B3032">
        <v>3171</v>
      </c>
      <c r="C3032" t="s">
        <v>10770</v>
      </c>
      <c r="D3032" t="s">
        <v>10771</v>
      </c>
      <c r="E3032" t="s">
        <v>10772</v>
      </c>
      <c r="F3032" t="s">
        <v>401</v>
      </c>
      <c r="G3032" t="s">
        <v>34</v>
      </c>
      <c r="H3032" t="s">
        <v>54</v>
      </c>
      <c r="I3032" t="s">
        <v>10773</v>
      </c>
      <c r="J3032" t="s">
        <v>38</v>
      </c>
      <c r="K3032" t="s">
        <v>38</v>
      </c>
      <c r="L3032" t="s">
        <v>40</v>
      </c>
      <c r="M3032" t="s">
        <v>56</v>
      </c>
      <c r="N3032" t="s">
        <v>38</v>
      </c>
      <c r="O3032" t="s">
        <v>121</v>
      </c>
      <c r="P3032" t="s">
        <v>38</v>
      </c>
      <c r="Q3032" t="s">
        <v>38</v>
      </c>
      <c r="R3032" t="s">
        <v>40</v>
      </c>
      <c r="S3032" t="s">
        <v>41</v>
      </c>
      <c r="T3032" t="s">
        <v>10499</v>
      </c>
      <c r="U3032" t="s">
        <v>10500</v>
      </c>
      <c r="V3032" t="s">
        <v>10369</v>
      </c>
      <c r="W3032" t="s">
        <v>10440</v>
      </c>
      <c r="X3032" t="s">
        <v>46</v>
      </c>
      <c r="AB3032" t="s">
        <v>2999</v>
      </c>
      <c r="AC3032">
        <f>COUNTIF(C:C,QLKV_gui_ket_qua_ra_soat[[#This Row],[Mã điểm bán]])</f>
        <v>1</v>
      </c>
    </row>
    <row r="3033" spans="1:29" x14ac:dyDescent="0.45">
      <c r="A3033" t="s">
        <v>10363</v>
      </c>
      <c r="B3033">
        <v>3175</v>
      </c>
      <c r="C3033" t="s">
        <v>10774</v>
      </c>
      <c r="D3033" t="s">
        <v>10775</v>
      </c>
      <c r="E3033" t="s">
        <v>10776</v>
      </c>
      <c r="F3033" t="s">
        <v>3619</v>
      </c>
      <c r="G3033" t="s">
        <v>150</v>
      </c>
      <c r="H3033" t="s">
        <v>54</v>
      </c>
      <c r="I3033" t="s">
        <v>10777</v>
      </c>
      <c r="J3033" t="s">
        <v>38</v>
      </c>
      <c r="K3033" t="s">
        <v>38</v>
      </c>
      <c r="L3033" t="s">
        <v>40</v>
      </c>
      <c r="M3033" t="s">
        <v>38</v>
      </c>
      <c r="N3033" t="s">
        <v>38</v>
      </c>
      <c r="O3033" t="s">
        <v>40</v>
      </c>
      <c r="P3033" t="s">
        <v>38</v>
      </c>
      <c r="Q3033" t="s">
        <v>38</v>
      </c>
      <c r="R3033" t="s">
        <v>40</v>
      </c>
      <c r="S3033" t="s">
        <v>10778</v>
      </c>
      <c r="T3033" t="s">
        <v>10525</v>
      </c>
      <c r="U3033" t="s">
        <v>10519</v>
      </c>
      <c r="V3033" t="s">
        <v>10369</v>
      </c>
      <c r="W3033" t="s">
        <v>10399</v>
      </c>
      <c r="X3033" t="s">
        <v>46</v>
      </c>
      <c r="AC3033">
        <f>COUNTIF(C:C,QLKV_gui_ket_qua_ra_soat[[#This Row],[Mã điểm bán]])</f>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204DF-CE73-4609-992E-A7D9F953A00B}">
  <dimension ref="A1:AC107"/>
  <sheetViews>
    <sheetView workbookViewId="0">
      <selection activeCell="E3" sqref="E3"/>
    </sheetView>
  </sheetViews>
  <sheetFormatPr defaultRowHeight="14.25" x14ac:dyDescent="0.45"/>
  <sheetData>
    <row r="1" spans="1:29" x14ac:dyDescent="0.4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3" t="s">
        <v>10784</v>
      </c>
    </row>
    <row r="2" spans="1:29" x14ac:dyDescent="0.45">
      <c r="A2" s="6" t="s">
        <v>10783</v>
      </c>
      <c r="B2" s="5">
        <v>4</v>
      </c>
      <c r="C2" s="5" t="s">
        <v>2410</v>
      </c>
      <c r="D2" s="5" t="s">
        <v>2411</v>
      </c>
      <c r="E2" s="5" t="s">
        <v>742</v>
      </c>
      <c r="F2" s="5" t="s">
        <v>53</v>
      </c>
      <c r="G2" s="5" t="s">
        <v>34</v>
      </c>
      <c r="H2" s="5" t="s">
        <v>54</v>
      </c>
      <c r="I2" s="5" t="s">
        <v>2412</v>
      </c>
      <c r="J2" s="5" t="s">
        <v>38</v>
      </c>
      <c r="K2" s="5" t="s">
        <v>38</v>
      </c>
      <c r="L2" s="5" t="s">
        <v>40</v>
      </c>
      <c r="M2" s="5" t="s">
        <v>38</v>
      </c>
      <c r="N2" s="5" t="s">
        <v>38</v>
      </c>
      <c r="O2" s="5" t="s">
        <v>40</v>
      </c>
      <c r="P2" s="5" t="s">
        <v>38</v>
      </c>
      <c r="Q2" s="5" t="s">
        <v>38</v>
      </c>
      <c r="R2" s="5" t="s">
        <v>40</v>
      </c>
      <c r="S2" s="5" t="s">
        <v>2413</v>
      </c>
      <c r="T2" s="5" t="s">
        <v>2165</v>
      </c>
      <c r="U2" s="5" t="s">
        <v>2166</v>
      </c>
      <c r="V2" s="5" t="s">
        <v>2052</v>
      </c>
      <c r="W2" s="5" t="s">
        <v>2167</v>
      </c>
      <c r="X2" s="5"/>
      <c r="Y2" s="5" t="s">
        <v>46</v>
      </c>
      <c r="Z2" s="5"/>
      <c r="AA2" s="5"/>
      <c r="AB2" s="5"/>
      <c r="AC2" s="7">
        <v>1</v>
      </c>
    </row>
    <row r="3" spans="1:29" x14ac:dyDescent="0.45">
      <c r="A3" s="8" t="s">
        <v>10783</v>
      </c>
      <c r="B3" s="4">
        <v>80</v>
      </c>
      <c r="C3" s="4" t="s">
        <v>548</v>
      </c>
      <c r="D3" s="4" t="s">
        <v>549</v>
      </c>
      <c r="E3" s="4" t="s">
        <v>529</v>
      </c>
      <c r="F3" s="4" t="s">
        <v>53</v>
      </c>
      <c r="G3" s="4" t="s">
        <v>34</v>
      </c>
      <c r="H3" s="4" t="s">
        <v>550</v>
      </c>
      <c r="I3" s="4" t="s">
        <v>551</v>
      </c>
      <c r="J3" s="4" t="s">
        <v>38</v>
      </c>
      <c r="K3" s="4" t="s">
        <v>38</v>
      </c>
      <c r="L3" s="4" t="s">
        <v>40</v>
      </c>
      <c r="M3" s="4" t="s">
        <v>37</v>
      </c>
      <c r="N3" s="4" t="s">
        <v>56</v>
      </c>
      <c r="O3" s="4" t="s">
        <v>39</v>
      </c>
      <c r="P3" s="4" t="s">
        <v>38</v>
      </c>
      <c r="Q3" s="4" t="s">
        <v>38</v>
      </c>
      <c r="R3" s="4" t="s">
        <v>40</v>
      </c>
      <c r="S3" s="4" t="s">
        <v>552</v>
      </c>
      <c r="T3" s="4" t="s">
        <v>518</v>
      </c>
      <c r="U3" s="4" t="s">
        <v>519</v>
      </c>
      <c r="V3" s="4" t="s">
        <v>44</v>
      </c>
      <c r="W3" s="4" t="s">
        <v>452</v>
      </c>
      <c r="X3" s="4"/>
      <c r="Y3" s="4" t="s">
        <v>46</v>
      </c>
      <c r="Z3" s="4"/>
      <c r="AA3" s="4"/>
      <c r="AB3" s="4"/>
      <c r="AC3" s="9">
        <v>1</v>
      </c>
    </row>
    <row r="4" spans="1:29" x14ac:dyDescent="0.45">
      <c r="A4" s="6" t="s">
        <v>10783</v>
      </c>
      <c r="B4" s="5">
        <v>169</v>
      </c>
      <c r="C4" s="5" t="s">
        <v>752</v>
      </c>
      <c r="D4" s="5" t="s">
        <v>753</v>
      </c>
      <c r="E4" s="5" t="s">
        <v>32</v>
      </c>
      <c r="F4" s="5" t="s">
        <v>53</v>
      </c>
      <c r="G4" s="5" t="s">
        <v>34</v>
      </c>
      <c r="H4" s="5" t="s">
        <v>754</v>
      </c>
      <c r="I4" s="5" t="s">
        <v>755</v>
      </c>
      <c r="J4" s="5" t="s">
        <v>38</v>
      </c>
      <c r="K4" s="5" t="s">
        <v>38</v>
      </c>
      <c r="L4" s="5" t="s">
        <v>40</v>
      </c>
      <c r="M4" s="5" t="s">
        <v>38</v>
      </c>
      <c r="N4" s="5" t="s">
        <v>38</v>
      </c>
      <c r="O4" s="5" t="s">
        <v>40</v>
      </c>
      <c r="P4" s="5" t="s">
        <v>38</v>
      </c>
      <c r="Q4" s="5" t="s">
        <v>38</v>
      </c>
      <c r="R4" s="5" t="s">
        <v>40</v>
      </c>
      <c r="S4" s="5" t="s">
        <v>41</v>
      </c>
      <c r="T4" s="5" t="s">
        <v>386</v>
      </c>
      <c r="U4" s="5" t="s">
        <v>233</v>
      </c>
      <c r="V4" s="5" t="s">
        <v>44</v>
      </c>
      <c r="W4" s="5" t="s">
        <v>234</v>
      </c>
      <c r="X4" s="5"/>
      <c r="Y4" s="5" t="s">
        <v>46</v>
      </c>
      <c r="Z4" s="5"/>
      <c r="AA4" s="5"/>
      <c r="AB4" s="5"/>
      <c r="AC4" s="7">
        <v>1</v>
      </c>
    </row>
    <row r="5" spans="1:29" x14ac:dyDescent="0.45">
      <c r="A5" s="8" t="s">
        <v>10783</v>
      </c>
      <c r="B5" s="4">
        <v>204</v>
      </c>
      <c r="C5" s="4" t="s">
        <v>155</v>
      </c>
      <c r="D5" s="4" t="s">
        <v>156</v>
      </c>
      <c r="E5" s="4" t="s">
        <v>157</v>
      </c>
      <c r="F5" s="4" t="s">
        <v>53</v>
      </c>
      <c r="G5" s="4" t="s">
        <v>34</v>
      </c>
      <c r="H5" s="4" t="s">
        <v>54</v>
      </c>
      <c r="I5" s="4" t="s">
        <v>158</v>
      </c>
      <c r="J5" s="4" t="s">
        <v>38</v>
      </c>
      <c r="K5" s="4" t="s">
        <v>38</v>
      </c>
      <c r="L5" s="4" t="s">
        <v>40</v>
      </c>
      <c r="M5" s="4" t="s">
        <v>38</v>
      </c>
      <c r="N5" s="4" t="s">
        <v>38</v>
      </c>
      <c r="O5" s="4" t="s">
        <v>40</v>
      </c>
      <c r="P5" s="4" t="s">
        <v>38</v>
      </c>
      <c r="Q5" s="4" t="s">
        <v>38</v>
      </c>
      <c r="R5" s="4" t="s">
        <v>40</v>
      </c>
      <c r="S5" s="4" t="s">
        <v>41</v>
      </c>
      <c r="T5" s="4" t="s">
        <v>153</v>
      </c>
      <c r="U5" s="4" t="s">
        <v>59</v>
      </c>
      <c r="V5" s="4" t="s">
        <v>44</v>
      </c>
      <c r="W5" s="4" t="s">
        <v>154</v>
      </c>
      <c r="X5" s="4"/>
      <c r="Y5" s="4" t="s">
        <v>46</v>
      </c>
      <c r="Z5" s="4"/>
      <c r="AA5" s="4"/>
      <c r="AB5" s="4" t="s">
        <v>159</v>
      </c>
      <c r="AC5" s="9">
        <v>1</v>
      </c>
    </row>
    <row r="6" spans="1:29" x14ac:dyDescent="0.45">
      <c r="A6" s="6" t="s">
        <v>10783</v>
      </c>
      <c r="B6" s="5">
        <v>331</v>
      </c>
      <c r="C6" s="5" t="s">
        <v>2387</v>
      </c>
      <c r="D6" s="5" t="s">
        <v>2388</v>
      </c>
      <c r="E6" s="5" t="s">
        <v>2390</v>
      </c>
      <c r="F6" s="5" t="s">
        <v>2391</v>
      </c>
      <c r="G6" s="5" t="s">
        <v>34</v>
      </c>
      <c r="H6" s="5" t="s">
        <v>214</v>
      </c>
      <c r="I6" s="5" t="s">
        <v>2392</v>
      </c>
      <c r="J6" s="5" t="s">
        <v>38</v>
      </c>
      <c r="K6" s="5" t="s">
        <v>38</v>
      </c>
      <c r="L6" s="5" t="s">
        <v>40</v>
      </c>
      <c r="M6" s="5" t="s">
        <v>37</v>
      </c>
      <c r="N6" s="5" t="s">
        <v>37</v>
      </c>
      <c r="O6" s="5" t="s">
        <v>39</v>
      </c>
      <c r="P6" s="5" t="s">
        <v>37</v>
      </c>
      <c r="Q6" s="5" t="s">
        <v>37</v>
      </c>
      <c r="R6" s="5" t="s">
        <v>39</v>
      </c>
      <c r="S6" s="5" t="s">
        <v>41</v>
      </c>
      <c r="T6" s="5" t="s">
        <v>2356</v>
      </c>
      <c r="U6" s="5" t="s">
        <v>2357</v>
      </c>
      <c r="V6" s="5" t="s">
        <v>2052</v>
      </c>
      <c r="W6" s="5" t="s">
        <v>234</v>
      </c>
      <c r="X6" s="5"/>
      <c r="Y6" s="5" t="s">
        <v>46</v>
      </c>
      <c r="Z6" s="5"/>
      <c r="AA6" s="5"/>
      <c r="AB6" s="5"/>
      <c r="AC6" s="7">
        <v>1</v>
      </c>
    </row>
    <row r="7" spans="1:29" x14ac:dyDescent="0.45">
      <c r="A7" s="8" t="s">
        <v>10783</v>
      </c>
      <c r="B7" s="4">
        <v>332</v>
      </c>
      <c r="C7" s="4" t="s">
        <v>2399</v>
      </c>
      <c r="D7" s="4" t="s">
        <v>2400</v>
      </c>
      <c r="E7" s="4" t="s">
        <v>323</v>
      </c>
      <c r="F7" s="4" t="s">
        <v>2401</v>
      </c>
      <c r="G7" s="4" t="s">
        <v>150</v>
      </c>
      <c r="H7" s="4" t="s">
        <v>402</v>
      </c>
      <c r="I7" s="4" t="s">
        <v>2402</v>
      </c>
      <c r="J7" s="4" t="s">
        <v>38</v>
      </c>
      <c r="K7" s="4" t="s">
        <v>38</v>
      </c>
      <c r="L7" s="4" t="s">
        <v>40</v>
      </c>
      <c r="M7" s="4" t="s">
        <v>38</v>
      </c>
      <c r="N7" s="4" t="s">
        <v>38</v>
      </c>
      <c r="O7" s="4" t="s">
        <v>40</v>
      </c>
      <c r="P7" s="4" t="s">
        <v>37</v>
      </c>
      <c r="Q7" s="4" t="s">
        <v>37</v>
      </c>
      <c r="R7" s="4" t="s">
        <v>39</v>
      </c>
      <c r="S7" s="4" t="s">
        <v>41</v>
      </c>
      <c r="T7" s="4" t="s">
        <v>2356</v>
      </c>
      <c r="U7" s="4" t="s">
        <v>2357</v>
      </c>
      <c r="V7" s="4" t="s">
        <v>2052</v>
      </c>
      <c r="W7" s="4" t="s">
        <v>234</v>
      </c>
      <c r="X7" s="4"/>
      <c r="Y7" s="4" t="s">
        <v>46</v>
      </c>
      <c r="Z7" s="4"/>
      <c r="AA7" s="4"/>
      <c r="AB7" s="4"/>
      <c r="AC7" s="9">
        <v>1</v>
      </c>
    </row>
    <row r="8" spans="1:29" x14ac:dyDescent="0.45">
      <c r="A8" s="6" t="s">
        <v>10783</v>
      </c>
      <c r="B8" s="5">
        <v>446</v>
      </c>
      <c r="C8" s="5" t="s">
        <v>2604</v>
      </c>
      <c r="D8" s="5" t="s">
        <v>2605</v>
      </c>
      <c r="E8" s="5" t="s">
        <v>265</v>
      </c>
      <c r="F8" s="5" t="s">
        <v>53</v>
      </c>
      <c r="G8" s="5" t="s">
        <v>1624</v>
      </c>
      <c r="H8" s="5" t="s">
        <v>54</v>
      </c>
      <c r="I8" s="5" t="s">
        <v>2607</v>
      </c>
      <c r="J8" s="5" t="s">
        <v>37</v>
      </c>
      <c r="K8" s="5" t="s">
        <v>37</v>
      </c>
      <c r="L8" s="5" t="s">
        <v>39</v>
      </c>
      <c r="M8" s="5" t="s">
        <v>37</v>
      </c>
      <c r="N8" s="5" t="s">
        <v>56</v>
      </c>
      <c r="O8" s="5" t="s">
        <v>39</v>
      </c>
      <c r="P8" s="5" t="s">
        <v>38</v>
      </c>
      <c r="Q8" s="5" t="s">
        <v>37</v>
      </c>
      <c r="R8" s="5" t="s">
        <v>39</v>
      </c>
      <c r="S8" s="5" t="s">
        <v>627</v>
      </c>
      <c r="T8" s="5" t="s">
        <v>2375</v>
      </c>
      <c r="U8" s="5" t="s">
        <v>2376</v>
      </c>
      <c r="V8" s="5" t="s">
        <v>2052</v>
      </c>
      <c r="W8" s="5" t="s">
        <v>154</v>
      </c>
      <c r="X8" s="5"/>
      <c r="Y8" s="5" t="s">
        <v>46</v>
      </c>
      <c r="Z8" s="5"/>
      <c r="AA8" s="5"/>
      <c r="AB8" s="5"/>
      <c r="AC8" s="7">
        <v>1</v>
      </c>
    </row>
    <row r="9" spans="1:29" x14ac:dyDescent="0.45">
      <c r="A9" s="8" t="s">
        <v>28</v>
      </c>
      <c r="B9" s="4">
        <v>610</v>
      </c>
      <c r="C9" s="4" t="s">
        <v>179</v>
      </c>
      <c r="D9" s="4" t="s">
        <v>180</v>
      </c>
      <c r="E9" s="4" t="s">
        <v>181</v>
      </c>
      <c r="F9" s="4" t="s">
        <v>53</v>
      </c>
      <c r="G9" s="4" t="s">
        <v>34</v>
      </c>
      <c r="H9" s="4" t="s">
        <v>35</v>
      </c>
      <c r="I9" s="4" t="s">
        <v>182</v>
      </c>
      <c r="J9" s="4" t="s">
        <v>38</v>
      </c>
      <c r="K9" s="4" t="s">
        <v>38</v>
      </c>
      <c r="L9" s="4" t="s">
        <v>40</v>
      </c>
      <c r="M9" s="4" t="s">
        <v>38</v>
      </c>
      <c r="N9" s="4" t="s">
        <v>38</v>
      </c>
      <c r="O9" s="4" t="s">
        <v>40</v>
      </c>
      <c r="P9" s="4" t="s">
        <v>38</v>
      </c>
      <c r="Q9" s="4" t="s">
        <v>38</v>
      </c>
      <c r="R9" s="4" t="s">
        <v>40</v>
      </c>
      <c r="S9" s="4" t="s">
        <v>41</v>
      </c>
      <c r="T9" s="4" t="s">
        <v>42</v>
      </c>
      <c r="U9" s="4" t="s">
        <v>43</v>
      </c>
      <c r="V9" s="4" t="s">
        <v>44</v>
      </c>
      <c r="W9" s="4" t="s">
        <v>45</v>
      </c>
      <c r="X9" s="4"/>
      <c r="Y9" s="4" t="s">
        <v>46</v>
      </c>
      <c r="Z9" s="4"/>
      <c r="AA9" s="4"/>
      <c r="AB9" s="4" t="s">
        <v>159</v>
      </c>
      <c r="AC9" s="9">
        <v>1</v>
      </c>
    </row>
    <row r="10" spans="1:29" x14ac:dyDescent="0.45">
      <c r="A10" s="6" t="s">
        <v>28</v>
      </c>
      <c r="B10" s="5">
        <v>1005</v>
      </c>
      <c r="C10" s="5" t="s">
        <v>271</v>
      </c>
      <c r="D10" s="5" t="s">
        <v>272</v>
      </c>
      <c r="E10" s="5" t="s">
        <v>273</v>
      </c>
      <c r="F10" s="5" t="s">
        <v>53</v>
      </c>
      <c r="G10" s="5" t="s">
        <v>177</v>
      </c>
      <c r="H10" s="5" t="s">
        <v>274</v>
      </c>
      <c r="I10" s="5" t="s">
        <v>275</v>
      </c>
      <c r="J10" s="5" t="s">
        <v>38</v>
      </c>
      <c r="K10" s="5" t="s">
        <v>38</v>
      </c>
      <c r="L10" s="5" t="s">
        <v>40</v>
      </c>
      <c r="M10" s="5" t="s">
        <v>38</v>
      </c>
      <c r="N10" s="5" t="s">
        <v>38</v>
      </c>
      <c r="O10" s="5" t="s">
        <v>40</v>
      </c>
      <c r="P10" s="5" t="s">
        <v>38</v>
      </c>
      <c r="Q10" s="5" t="s">
        <v>38</v>
      </c>
      <c r="R10" s="5" t="s">
        <v>40</v>
      </c>
      <c r="S10" s="5" t="s">
        <v>276</v>
      </c>
      <c r="T10" s="5" t="s">
        <v>244</v>
      </c>
      <c r="U10" s="5" t="s">
        <v>245</v>
      </c>
      <c r="V10" s="5" t="s">
        <v>44</v>
      </c>
      <c r="W10" s="5" t="s">
        <v>246</v>
      </c>
      <c r="X10" s="5"/>
      <c r="Y10" s="5" t="s">
        <v>46</v>
      </c>
      <c r="Z10" s="5"/>
      <c r="AA10" s="5"/>
      <c r="AB10" s="5"/>
      <c r="AC10" s="7">
        <v>1</v>
      </c>
    </row>
    <row r="11" spans="1:29" x14ac:dyDescent="0.45">
      <c r="A11" s="8" t="s">
        <v>28</v>
      </c>
      <c r="B11" s="4">
        <v>1899</v>
      </c>
      <c r="C11" s="4" t="s">
        <v>527</v>
      </c>
      <c r="D11" s="4" t="s">
        <v>528</v>
      </c>
      <c r="E11" s="4" t="s">
        <v>529</v>
      </c>
      <c r="F11" s="4" t="s">
        <v>53</v>
      </c>
      <c r="G11" s="4" t="s">
        <v>34</v>
      </c>
      <c r="H11" s="4" t="s">
        <v>530</v>
      </c>
      <c r="I11" s="4" t="s">
        <v>531</v>
      </c>
      <c r="J11" s="4" t="s">
        <v>38</v>
      </c>
      <c r="K11" s="4" t="s">
        <v>38</v>
      </c>
      <c r="L11" s="4" t="s">
        <v>40</v>
      </c>
      <c r="M11" s="4" t="s">
        <v>38</v>
      </c>
      <c r="N11" s="4" t="s">
        <v>38</v>
      </c>
      <c r="O11" s="4" t="s">
        <v>40</v>
      </c>
      <c r="P11" s="4" t="s">
        <v>38</v>
      </c>
      <c r="Q11" s="4" t="s">
        <v>38</v>
      </c>
      <c r="R11" s="4" t="s">
        <v>40</v>
      </c>
      <c r="S11" s="4" t="s">
        <v>41</v>
      </c>
      <c r="T11" s="4" t="s">
        <v>309</v>
      </c>
      <c r="U11" s="4" t="s">
        <v>245</v>
      </c>
      <c r="V11" s="4" t="s">
        <v>44</v>
      </c>
      <c r="W11" s="4" t="s">
        <v>246</v>
      </c>
      <c r="X11" s="4"/>
      <c r="Y11" s="4" t="s">
        <v>46</v>
      </c>
      <c r="Z11" s="4"/>
      <c r="AA11" s="4"/>
      <c r="AB11" s="4"/>
      <c r="AC11" s="9">
        <v>1</v>
      </c>
    </row>
    <row r="12" spans="1:29" x14ac:dyDescent="0.45">
      <c r="A12" s="6" t="s">
        <v>1593</v>
      </c>
      <c r="B12" s="5">
        <v>1799</v>
      </c>
      <c r="C12" s="5" t="s">
        <v>1917</v>
      </c>
      <c r="D12" s="5" t="s">
        <v>1918</v>
      </c>
      <c r="E12" s="5" t="s">
        <v>1919</v>
      </c>
      <c r="F12" s="5" t="s">
        <v>1920</v>
      </c>
      <c r="G12" s="5" t="s">
        <v>34</v>
      </c>
      <c r="H12" s="5" t="s">
        <v>685</v>
      </c>
      <c r="I12" s="5" t="s">
        <v>1921</v>
      </c>
      <c r="J12" s="5" t="s">
        <v>56</v>
      </c>
      <c r="K12" s="5" t="s">
        <v>38</v>
      </c>
      <c r="L12" s="5" t="s">
        <v>39</v>
      </c>
      <c r="M12" s="5" t="s">
        <v>1034</v>
      </c>
      <c r="N12" s="5" t="s">
        <v>1034</v>
      </c>
      <c r="O12" s="5" t="s">
        <v>121</v>
      </c>
      <c r="P12" s="5" t="s">
        <v>38</v>
      </c>
      <c r="Q12" s="5" t="s">
        <v>38</v>
      </c>
      <c r="R12" s="5" t="s">
        <v>40</v>
      </c>
      <c r="S12" s="5" t="s">
        <v>41</v>
      </c>
      <c r="T12" s="5" t="s">
        <v>1617</v>
      </c>
      <c r="U12" s="5" t="s">
        <v>1618</v>
      </c>
      <c r="V12" s="5" t="s">
        <v>1602</v>
      </c>
      <c r="W12" s="5" t="s">
        <v>246</v>
      </c>
      <c r="X12" s="5"/>
      <c r="Y12" s="5" t="s">
        <v>46</v>
      </c>
      <c r="Z12" s="5"/>
      <c r="AA12" s="5"/>
      <c r="AB12" s="5" t="s">
        <v>159</v>
      </c>
      <c r="AC12" s="7">
        <v>1</v>
      </c>
    </row>
    <row r="13" spans="1:29" x14ac:dyDescent="0.45">
      <c r="A13" s="8" t="s">
        <v>2046</v>
      </c>
      <c r="B13" s="4">
        <v>70</v>
      </c>
      <c r="C13" s="4" t="s">
        <v>2064</v>
      </c>
      <c r="D13" s="4" t="s">
        <v>2065</v>
      </c>
      <c r="E13" s="4" t="s">
        <v>2066</v>
      </c>
      <c r="F13" s="4" t="s">
        <v>53</v>
      </c>
      <c r="G13" s="4" t="s">
        <v>34</v>
      </c>
      <c r="H13" s="4" t="s">
        <v>54</v>
      </c>
      <c r="I13" s="4" t="s">
        <v>2067</v>
      </c>
      <c r="J13" s="4" t="s">
        <v>775</v>
      </c>
      <c r="K13" s="4" t="s">
        <v>775</v>
      </c>
      <c r="L13" s="4" t="s">
        <v>40</v>
      </c>
      <c r="M13" s="4" t="s">
        <v>56</v>
      </c>
      <c r="N13" s="4" t="s">
        <v>775</v>
      </c>
      <c r="O13" s="4" t="s">
        <v>39</v>
      </c>
      <c r="P13" s="4" t="s">
        <v>775</v>
      </c>
      <c r="Q13" s="4" t="s">
        <v>775</v>
      </c>
      <c r="R13" s="4" t="s">
        <v>40</v>
      </c>
      <c r="S13" s="4" t="s">
        <v>41</v>
      </c>
      <c r="T13" s="4" t="s">
        <v>2062</v>
      </c>
      <c r="U13" s="4" t="s">
        <v>2063</v>
      </c>
      <c r="V13" s="4" t="s">
        <v>2052</v>
      </c>
      <c r="W13" s="4" t="s">
        <v>2053</v>
      </c>
      <c r="X13" s="4"/>
      <c r="Y13" s="4" t="s">
        <v>46</v>
      </c>
      <c r="Z13" s="4"/>
      <c r="AA13" s="4"/>
      <c r="AB13" s="4"/>
      <c r="AC13" s="9">
        <v>1</v>
      </c>
    </row>
    <row r="14" spans="1:29" x14ac:dyDescent="0.45">
      <c r="A14" s="6" t="s">
        <v>2046</v>
      </c>
      <c r="B14" s="5">
        <v>197</v>
      </c>
      <c r="C14" s="5" t="s">
        <v>2125</v>
      </c>
      <c r="D14" s="5" t="s">
        <v>2126</v>
      </c>
      <c r="E14" s="5" t="s">
        <v>742</v>
      </c>
      <c r="F14" s="5" t="s">
        <v>166</v>
      </c>
      <c r="G14" s="5" t="s">
        <v>177</v>
      </c>
      <c r="H14" s="5" t="s">
        <v>214</v>
      </c>
      <c r="I14" s="5" t="s">
        <v>2075</v>
      </c>
      <c r="J14" s="5" t="s">
        <v>38</v>
      </c>
      <c r="K14" s="5" t="s">
        <v>37</v>
      </c>
      <c r="L14" s="5" t="s">
        <v>40</v>
      </c>
      <c r="M14" s="5" t="s">
        <v>38</v>
      </c>
      <c r="N14" s="5" t="s">
        <v>38</v>
      </c>
      <c r="O14" s="5" t="s">
        <v>40</v>
      </c>
      <c r="P14" s="5" t="s">
        <v>37</v>
      </c>
      <c r="Q14" s="5" t="s">
        <v>56</v>
      </c>
      <c r="R14" s="5" t="s">
        <v>39</v>
      </c>
      <c r="S14" s="5" t="s">
        <v>2127</v>
      </c>
      <c r="T14" s="5" t="s">
        <v>2076</v>
      </c>
      <c r="U14" s="5" t="s">
        <v>2077</v>
      </c>
      <c r="V14" s="5" t="s">
        <v>2052</v>
      </c>
      <c r="W14" s="5" t="s">
        <v>2053</v>
      </c>
      <c r="X14" s="5"/>
      <c r="Y14" s="5" t="s">
        <v>46</v>
      </c>
      <c r="Z14" s="5"/>
      <c r="AA14" s="5"/>
      <c r="AB14" s="5"/>
      <c r="AC14" s="7">
        <v>1</v>
      </c>
    </row>
    <row r="15" spans="1:29" x14ac:dyDescent="0.45">
      <c r="A15" s="8" t="s">
        <v>2046</v>
      </c>
      <c r="B15" s="4">
        <v>262</v>
      </c>
      <c r="C15" s="4" t="s">
        <v>2192</v>
      </c>
      <c r="D15" s="4" t="s">
        <v>2193</v>
      </c>
      <c r="E15" s="4" t="s">
        <v>628</v>
      </c>
      <c r="F15" s="4" t="s">
        <v>53</v>
      </c>
      <c r="G15" s="4" t="s">
        <v>34</v>
      </c>
      <c r="H15" s="4" t="s">
        <v>54</v>
      </c>
      <c r="I15" s="4"/>
      <c r="J15" s="4" t="s">
        <v>38</v>
      </c>
      <c r="K15" s="4" t="s">
        <v>38</v>
      </c>
      <c r="L15" s="4" t="s">
        <v>40</v>
      </c>
      <c r="M15" s="4" t="s">
        <v>37</v>
      </c>
      <c r="N15" s="4" t="s">
        <v>37</v>
      </c>
      <c r="O15" s="4" t="s">
        <v>39</v>
      </c>
      <c r="P15" s="4" t="s">
        <v>38</v>
      </c>
      <c r="Q15" s="4" t="s">
        <v>38</v>
      </c>
      <c r="R15" s="4" t="s">
        <v>40</v>
      </c>
      <c r="S15" s="4" t="s">
        <v>41</v>
      </c>
      <c r="T15" s="4" t="s">
        <v>2114</v>
      </c>
      <c r="U15" s="4" t="s">
        <v>2115</v>
      </c>
      <c r="V15" s="4" t="s">
        <v>2052</v>
      </c>
      <c r="W15" s="4" t="s">
        <v>2053</v>
      </c>
      <c r="X15" s="4"/>
      <c r="Y15" s="4" t="s">
        <v>46</v>
      </c>
      <c r="Z15" s="4"/>
      <c r="AA15" s="4"/>
      <c r="AB15" s="4"/>
      <c r="AC15" s="9">
        <v>1</v>
      </c>
    </row>
    <row r="16" spans="1:29" x14ac:dyDescent="0.45">
      <c r="A16" s="6" t="s">
        <v>2046</v>
      </c>
      <c r="B16" s="5">
        <v>264</v>
      </c>
      <c r="C16" s="5" t="s">
        <v>2200</v>
      </c>
      <c r="D16" s="5" t="s">
        <v>2201</v>
      </c>
      <c r="E16" s="5" t="s">
        <v>304</v>
      </c>
      <c r="F16" s="5" t="s">
        <v>53</v>
      </c>
      <c r="G16" s="5" t="s">
        <v>34</v>
      </c>
      <c r="H16" s="5" t="s">
        <v>54</v>
      </c>
      <c r="I16" s="5"/>
      <c r="J16" s="5" t="s">
        <v>37</v>
      </c>
      <c r="K16" s="5" t="s">
        <v>37</v>
      </c>
      <c r="L16" s="5" t="s">
        <v>39</v>
      </c>
      <c r="M16" s="5" t="s">
        <v>37</v>
      </c>
      <c r="N16" s="5" t="s">
        <v>37</v>
      </c>
      <c r="O16" s="5" t="s">
        <v>39</v>
      </c>
      <c r="P16" s="5" t="s">
        <v>38</v>
      </c>
      <c r="Q16" s="5" t="s">
        <v>38</v>
      </c>
      <c r="R16" s="5" t="s">
        <v>40</v>
      </c>
      <c r="S16" s="5" t="s">
        <v>41</v>
      </c>
      <c r="T16" s="5" t="s">
        <v>2114</v>
      </c>
      <c r="U16" s="5" t="s">
        <v>2115</v>
      </c>
      <c r="V16" s="5" t="s">
        <v>2052</v>
      </c>
      <c r="W16" s="5" t="s">
        <v>2053</v>
      </c>
      <c r="X16" s="5"/>
      <c r="Y16" s="5" t="s">
        <v>46</v>
      </c>
      <c r="Z16" s="5"/>
      <c r="AA16" s="5"/>
      <c r="AB16" s="5"/>
      <c r="AC16" s="7">
        <v>1</v>
      </c>
    </row>
    <row r="17" spans="1:29" x14ac:dyDescent="0.45">
      <c r="A17" s="8" t="s">
        <v>2046</v>
      </c>
      <c r="B17" s="4">
        <v>426</v>
      </c>
      <c r="C17" s="4" t="s">
        <v>2248</v>
      </c>
      <c r="D17" s="4" t="s">
        <v>2249</v>
      </c>
      <c r="E17" s="4" t="s">
        <v>2250</v>
      </c>
      <c r="F17" s="4" t="s">
        <v>53</v>
      </c>
      <c r="G17" s="4" t="s">
        <v>1624</v>
      </c>
      <c r="H17" s="4" t="s">
        <v>2251</v>
      </c>
      <c r="I17" s="4" t="s">
        <v>2110</v>
      </c>
      <c r="J17" s="4" t="s">
        <v>38</v>
      </c>
      <c r="K17" s="4" t="s">
        <v>38</v>
      </c>
      <c r="L17" s="4" t="s">
        <v>40</v>
      </c>
      <c r="M17" s="4" t="s">
        <v>38</v>
      </c>
      <c r="N17" s="4" t="s">
        <v>38</v>
      </c>
      <c r="O17" s="4" t="s">
        <v>40</v>
      </c>
      <c r="P17" s="4" t="s">
        <v>38</v>
      </c>
      <c r="Q17" s="4" t="s">
        <v>38</v>
      </c>
      <c r="R17" s="4" t="s">
        <v>40</v>
      </c>
      <c r="S17" s="4" t="s">
        <v>2252</v>
      </c>
      <c r="T17" s="4" t="s">
        <v>2096</v>
      </c>
      <c r="U17" s="4" t="s">
        <v>2097</v>
      </c>
      <c r="V17" s="4" t="s">
        <v>2052</v>
      </c>
      <c r="W17" s="4" t="s">
        <v>2053</v>
      </c>
      <c r="X17" s="4"/>
      <c r="Y17" s="4" t="s">
        <v>46</v>
      </c>
      <c r="Z17" s="4"/>
      <c r="AA17" s="4"/>
      <c r="AB17" s="4"/>
      <c r="AC17" s="9">
        <v>1</v>
      </c>
    </row>
    <row r="18" spans="1:29" x14ac:dyDescent="0.45">
      <c r="A18" s="6" t="s">
        <v>2046</v>
      </c>
      <c r="B18" s="5">
        <v>430</v>
      </c>
      <c r="C18" s="5" t="s">
        <v>2253</v>
      </c>
      <c r="D18" s="5" t="s">
        <v>2254</v>
      </c>
      <c r="E18" s="5" t="s">
        <v>2255</v>
      </c>
      <c r="F18" s="5" t="s">
        <v>166</v>
      </c>
      <c r="G18" s="5" t="s">
        <v>1624</v>
      </c>
      <c r="H18" s="5" t="s">
        <v>2256</v>
      </c>
      <c r="I18" s="5" t="s">
        <v>2257</v>
      </c>
      <c r="J18" s="5" t="s">
        <v>38</v>
      </c>
      <c r="K18" s="5" t="s">
        <v>38</v>
      </c>
      <c r="L18" s="5" t="s">
        <v>40</v>
      </c>
      <c r="M18" s="5" t="s">
        <v>37</v>
      </c>
      <c r="N18" s="5" t="s">
        <v>37</v>
      </c>
      <c r="O18" s="5" t="s">
        <v>39</v>
      </c>
      <c r="P18" s="5" t="s">
        <v>38</v>
      </c>
      <c r="Q18" s="5" t="s">
        <v>38</v>
      </c>
      <c r="R18" s="5" t="s">
        <v>40</v>
      </c>
      <c r="S18" s="5" t="s">
        <v>2258</v>
      </c>
      <c r="T18" s="5" t="s">
        <v>2096</v>
      </c>
      <c r="U18" s="5" t="s">
        <v>2097</v>
      </c>
      <c r="V18" s="5" t="s">
        <v>2052</v>
      </c>
      <c r="W18" s="5" t="s">
        <v>2053</v>
      </c>
      <c r="X18" s="5"/>
      <c r="Y18" s="5" t="s">
        <v>46</v>
      </c>
      <c r="Z18" s="5"/>
      <c r="AA18" s="5"/>
      <c r="AB18" s="5"/>
      <c r="AC18" s="7">
        <v>1</v>
      </c>
    </row>
    <row r="19" spans="1:29" x14ac:dyDescent="0.45">
      <c r="A19" s="8" t="s">
        <v>2046</v>
      </c>
      <c r="B19" s="4">
        <v>1327</v>
      </c>
      <c r="C19" s="4" t="s">
        <v>2422</v>
      </c>
      <c r="D19" s="4" t="s">
        <v>2423</v>
      </c>
      <c r="E19" s="4" t="s">
        <v>2424</v>
      </c>
      <c r="F19" s="4" t="s">
        <v>2425</v>
      </c>
      <c r="G19" s="4" t="s">
        <v>150</v>
      </c>
      <c r="H19" s="4" t="s">
        <v>2426</v>
      </c>
      <c r="I19" s="4" t="s">
        <v>2427</v>
      </c>
      <c r="J19" s="4" t="s">
        <v>38</v>
      </c>
      <c r="K19" s="4" t="s">
        <v>38</v>
      </c>
      <c r="L19" s="4" t="s">
        <v>39</v>
      </c>
      <c r="M19" s="4" t="s">
        <v>1034</v>
      </c>
      <c r="N19" s="4" t="s">
        <v>37</v>
      </c>
      <c r="O19" s="4" t="s">
        <v>121</v>
      </c>
      <c r="P19" s="4" t="s">
        <v>38</v>
      </c>
      <c r="Q19" s="4" t="s">
        <v>38</v>
      </c>
      <c r="R19" s="4" t="s">
        <v>39</v>
      </c>
      <c r="S19" s="4" t="s">
        <v>2428</v>
      </c>
      <c r="T19" s="4" t="s">
        <v>2190</v>
      </c>
      <c r="U19" s="4" t="s">
        <v>2191</v>
      </c>
      <c r="V19" s="4" t="s">
        <v>2052</v>
      </c>
      <c r="W19" s="4" t="s">
        <v>81</v>
      </c>
      <c r="X19" s="4"/>
      <c r="Y19" s="4" t="s">
        <v>46</v>
      </c>
      <c r="Z19" s="4"/>
      <c r="AA19" s="4"/>
      <c r="AB19" s="4"/>
      <c r="AC19" s="9">
        <v>1</v>
      </c>
    </row>
    <row r="20" spans="1:29" x14ac:dyDescent="0.45">
      <c r="A20" s="6" t="s">
        <v>2046</v>
      </c>
      <c r="B20" s="5">
        <v>1384</v>
      </c>
      <c r="C20" s="5" t="s">
        <v>2442</v>
      </c>
      <c r="D20" s="5" t="s">
        <v>2443</v>
      </c>
      <c r="E20" s="5" t="s">
        <v>2444</v>
      </c>
      <c r="F20" s="5" t="s">
        <v>2445</v>
      </c>
      <c r="G20" s="5" t="s">
        <v>150</v>
      </c>
      <c r="H20" s="5" t="s">
        <v>402</v>
      </c>
      <c r="I20" s="5" t="s">
        <v>2446</v>
      </c>
      <c r="J20" s="5" t="s">
        <v>38</v>
      </c>
      <c r="K20" s="5" t="s">
        <v>38</v>
      </c>
      <c r="L20" s="5" t="s">
        <v>40</v>
      </c>
      <c r="M20" s="5" t="s">
        <v>1034</v>
      </c>
      <c r="N20" s="5" t="s">
        <v>37</v>
      </c>
      <c r="O20" s="5" t="s">
        <v>121</v>
      </c>
      <c r="P20" s="5" t="s">
        <v>38</v>
      </c>
      <c r="Q20" s="5" t="s">
        <v>38</v>
      </c>
      <c r="R20" s="5" t="s">
        <v>40</v>
      </c>
      <c r="S20" s="5" t="s">
        <v>2447</v>
      </c>
      <c r="T20" s="5" t="s">
        <v>2190</v>
      </c>
      <c r="U20" s="5" t="s">
        <v>2191</v>
      </c>
      <c r="V20" s="5" t="s">
        <v>2052</v>
      </c>
      <c r="W20" s="5" t="s">
        <v>81</v>
      </c>
      <c r="X20" s="5"/>
      <c r="Y20" s="5" t="s">
        <v>46</v>
      </c>
      <c r="Z20" s="5"/>
      <c r="AA20" s="5"/>
      <c r="AB20" s="5"/>
      <c r="AC20" s="7">
        <v>1</v>
      </c>
    </row>
    <row r="21" spans="1:29" x14ac:dyDescent="0.45">
      <c r="A21" s="8" t="s">
        <v>2046</v>
      </c>
      <c r="B21" s="4">
        <v>2779</v>
      </c>
      <c r="C21" s="4" t="s">
        <v>2880</v>
      </c>
      <c r="D21" s="4" t="s">
        <v>2881</v>
      </c>
      <c r="E21" s="4" t="s">
        <v>1492</v>
      </c>
      <c r="F21" s="4" t="s">
        <v>76</v>
      </c>
      <c r="G21" s="4" t="s">
        <v>34</v>
      </c>
      <c r="H21" s="4" t="s">
        <v>54</v>
      </c>
      <c r="I21" s="4" t="s">
        <v>2882</v>
      </c>
      <c r="J21" s="4" t="s">
        <v>775</v>
      </c>
      <c r="K21" s="4" t="s">
        <v>775</v>
      </c>
      <c r="L21" s="4" t="s">
        <v>40</v>
      </c>
      <c r="M21" s="4" t="s">
        <v>56</v>
      </c>
      <c r="N21" s="4" t="s">
        <v>56</v>
      </c>
      <c r="O21" s="4" t="s">
        <v>39</v>
      </c>
      <c r="P21" s="4" t="s">
        <v>1034</v>
      </c>
      <c r="Q21" s="4" t="s">
        <v>775</v>
      </c>
      <c r="R21" s="4" t="s">
        <v>40</v>
      </c>
      <c r="S21" s="4" t="s">
        <v>41</v>
      </c>
      <c r="T21" s="4" t="s">
        <v>2062</v>
      </c>
      <c r="U21" s="4" t="s">
        <v>2063</v>
      </c>
      <c r="V21" s="4" t="s">
        <v>2052</v>
      </c>
      <c r="W21" s="4" t="s">
        <v>2053</v>
      </c>
      <c r="X21" s="4"/>
      <c r="Y21" s="4" t="s">
        <v>46</v>
      </c>
      <c r="Z21" s="4"/>
      <c r="AA21" s="4"/>
      <c r="AB21" s="4"/>
      <c r="AC21" s="9">
        <v>1</v>
      </c>
    </row>
    <row r="22" spans="1:29" x14ac:dyDescent="0.45">
      <c r="A22" s="6" t="s">
        <v>2965</v>
      </c>
      <c r="B22" s="5">
        <v>953</v>
      </c>
      <c r="C22" s="5" t="s">
        <v>3059</v>
      </c>
      <c r="D22" s="5" t="s">
        <v>3060</v>
      </c>
      <c r="E22" s="5" t="s">
        <v>297</v>
      </c>
      <c r="F22" s="5" t="s">
        <v>3061</v>
      </c>
      <c r="G22" s="5" t="s">
        <v>34</v>
      </c>
      <c r="H22" s="5" t="s">
        <v>54</v>
      </c>
      <c r="I22" s="5" t="s">
        <v>3062</v>
      </c>
      <c r="J22" s="5" t="s">
        <v>41</v>
      </c>
      <c r="K22" s="5" t="s">
        <v>41</v>
      </c>
      <c r="L22" s="5" t="s">
        <v>41</v>
      </c>
      <c r="M22" s="5" t="s">
        <v>41</v>
      </c>
      <c r="N22" s="5" t="s">
        <v>41</v>
      </c>
      <c r="O22" s="5" t="s">
        <v>41</v>
      </c>
      <c r="P22" s="5" t="s">
        <v>41</v>
      </c>
      <c r="Q22" s="5" t="s">
        <v>41</v>
      </c>
      <c r="R22" s="5" t="s">
        <v>41</v>
      </c>
      <c r="S22" s="5" t="s">
        <v>41</v>
      </c>
      <c r="T22" s="5" t="s">
        <v>3035</v>
      </c>
      <c r="U22" s="5" t="s">
        <v>2998</v>
      </c>
      <c r="V22" s="5" t="s">
        <v>2971</v>
      </c>
      <c r="W22" s="5" t="s">
        <v>2972</v>
      </c>
      <c r="X22" s="5"/>
      <c r="Y22" s="5" t="s">
        <v>46</v>
      </c>
      <c r="Z22" s="5"/>
      <c r="AA22" s="5"/>
      <c r="AB22" s="5"/>
      <c r="AC22" s="7">
        <v>1</v>
      </c>
    </row>
    <row r="23" spans="1:29" x14ac:dyDescent="0.45">
      <c r="A23" s="8" t="s">
        <v>2965</v>
      </c>
      <c r="B23" s="4">
        <v>1062</v>
      </c>
      <c r="C23" s="4" t="s">
        <v>3125</v>
      </c>
      <c r="D23" s="4" t="s">
        <v>3126</v>
      </c>
      <c r="E23" s="4" t="s">
        <v>113</v>
      </c>
      <c r="F23" s="4" t="s">
        <v>3127</v>
      </c>
      <c r="G23" s="4" t="s">
        <v>34</v>
      </c>
      <c r="H23" s="4" t="s">
        <v>54</v>
      </c>
      <c r="I23" s="4" t="s">
        <v>3128</v>
      </c>
      <c r="J23" s="4" t="s">
        <v>41</v>
      </c>
      <c r="K23" s="4" t="s">
        <v>41</v>
      </c>
      <c r="L23" s="4" t="s">
        <v>41</v>
      </c>
      <c r="M23" s="4" t="s">
        <v>41</v>
      </c>
      <c r="N23" s="4" t="s">
        <v>41</v>
      </c>
      <c r="O23" s="4" t="s">
        <v>41</v>
      </c>
      <c r="P23" s="4" t="s">
        <v>41</v>
      </c>
      <c r="Q23" s="4" t="s">
        <v>41</v>
      </c>
      <c r="R23" s="4" t="s">
        <v>41</v>
      </c>
      <c r="S23" s="4" t="s">
        <v>41</v>
      </c>
      <c r="T23" s="4" t="s">
        <v>3035</v>
      </c>
      <c r="U23" s="4" t="s">
        <v>2998</v>
      </c>
      <c r="V23" s="4" t="s">
        <v>2971</v>
      </c>
      <c r="W23" s="4" t="s">
        <v>2978</v>
      </c>
      <c r="X23" s="4"/>
      <c r="Y23" s="4" t="s">
        <v>46</v>
      </c>
      <c r="Z23" s="4"/>
      <c r="AA23" s="4"/>
      <c r="AB23" s="4"/>
      <c r="AC23" s="9">
        <v>1</v>
      </c>
    </row>
    <row r="24" spans="1:29" x14ac:dyDescent="0.45">
      <c r="A24" s="6" t="s">
        <v>2965</v>
      </c>
      <c r="B24" s="5">
        <v>1279</v>
      </c>
      <c r="C24" s="5" t="s">
        <v>3235</v>
      </c>
      <c r="D24" s="5" t="s">
        <v>3236</v>
      </c>
      <c r="E24" s="5" t="s">
        <v>206</v>
      </c>
      <c r="F24" s="5" t="s">
        <v>3237</v>
      </c>
      <c r="G24" s="5" t="s">
        <v>177</v>
      </c>
      <c r="H24" s="5" t="s">
        <v>708</v>
      </c>
      <c r="I24" s="5" t="s">
        <v>3238</v>
      </c>
      <c r="J24" s="5" t="s">
        <v>38</v>
      </c>
      <c r="K24" s="5" t="s">
        <v>38</v>
      </c>
      <c r="L24" s="5" t="s">
        <v>39</v>
      </c>
      <c r="M24" s="5" t="s">
        <v>38</v>
      </c>
      <c r="N24" s="5" t="s">
        <v>38</v>
      </c>
      <c r="O24" s="5" t="s">
        <v>39</v>
      </c>
      <c r="P24" s="5" t="s">
        <v>38</v>
      </c>
      <c r="Q24" s="5" t="s">
        <v>38</v>
      </c>
      <c r="R24" s="5" t="s">
        <v>39</v>
      </c>
      <c r="S24" s="5" t="s">
        <v>41</v>
      </c>
      <c r="T24" s="5" t="s">
        <v>3045</v>
      </c>
      <c r="U24" s="5" t="s">
        <v>3046</v>
      </c>
      <c r="V24" s="5" t="s">
        <v>2971</v>
      </c>
      <c r="W24" s="5" t="s">
        <v>2972</v>
      </c>
      <c r="X24" s="5"/>
      <c r="Y24" s="5" t="s">
        <v>46</v>
      </c>
      <c r="Z24" s="5"/>
      <c r="AA24" s="5"/>
      <c r="AB24" s="5"/>
      <c r="AC24" s="7">
        <v>1</v>
      </c>
    </row>
    <row r="25" spans="1:29" x14ac:dyDescent="0.45">
      <c r="A25" s="8" t="s">
        <v>2965</v>
      </c>
      <c r="B25" s="4">
        <v>1678</v>
      </c>
      <c r="C25" s="4" t="s">
        <v>3496</v>
      </c>
      <c r="D25" s="4" t="s">
        <v>3497</v>
      </c>
      <c r="E25" s="4" t="s">
        <v>51</v>
      </c>
      <c r="F25" s="4" t="s">
        <v>53</v>
      </c>
      <c r="G25" s="4" t="s">
        <v>34</v>
      </c>
      <c r="H25" s="4" t="s">
        <v>54</v>
      </c>
      <c r="I25" s="4" t="s">
        <v>3498</v>
      </c>
      <c r="J25" s="4" t="s">
        <v>38</v>
      </c>
      <c r="K25" s="4" t="s">
        <v>38</v>
      </c>
      <c r="L25" s="4" t="s">
        <v>39</v>
      </c>
      <c r="M25" s="4" t="s">
        <v>37</v>
      </c>
      <c r="N25" s="4" t="s">
        <v>37</v>
      </c>
      <c r="O25" s="4" t="s">
        <v>39</v>
      </c>
      <c r="P25" s="4" t="s">
        <v>38</v>
      </c>
      <c r="Q25" s="4" t="s">
        <v>38</v>
      </c>
      <c r="R25" s="4" t="s">
        <v>39</v>
      </c>
      <c r="S25" s="4" t="s">
        <v>41</v>
      </c>
      <c r="T25" s="4" t="s">
        <v>3057</v>
      </c>
      <c r="U25" s="4" t="s">
        <v>2970</v>
      </c>
      <c r="V25" s="4" t="s">
        <v>2971</v>
      </c>
      <c r="W25" s="4" t="s">
        <v>2972</v>
      </c>
      <c r="X25" s="4"/>
      <c r="Y25" s="4" t="s">
        <v>46</v>
      </c>
      <c r="Z25" s="4"/>
      <c r="AA25" s="4"/>
      <c r="AB25" s="4"/>
      <c r="AC25" s="9">
        <v>1</v>
      </c>
    </row>
    <row r="26" spans="1:29" x14ac:dyDescent="0.45">
      <c r="A26" s="6" t="s">
        <v>2965</v>
      </c>
      <c r="B26" s="5">
        <v>2844</v>
      </c>
      <c r="C26" s="5" t="s">
        <v>4036</v>
      </c>
      <c r="D26" s="5" t="s">
        <v>4037</v>
      </c>
      <c r="E26" s="5" t="s">
        <v>69</v>
      </c>
      <c r="F26" s="5" t="s">
        <v>3061</v>
      </c>
      <c r="G26" s="5" t="s">
        <v>34</v>
      </c>
      <c r="H26" s="5" t="s">
        <v>620</v>
      </c>
      <c r="I26" s="5" t="s">
        <v>4038</v>
      </c>
      <c r="J26" s="5" t="s">
        <v>38</v>
      </c>
      <c r="K26" s="5" t="s">
        <v>38</v>
      </c>
      <c r="L26" s="5" t="s">
        <v>39</v>
      </c>
      <c r="M26" s="5" t="s">
        <v>56</v>
      </c>
      <c r="N26" s="5" t="s">
        <v>56</v>
      </c>
      <c r="O26" s="5" t="s">
        <v>39</v>
      </c>
      <c r="P26" s="5" t="s">
        <v>38</v>
      </c>
      <c r="Q26" s="5" t="s">
        <v>37</v>
      </c>
      <c r="R26" s="5" t="s">
        <v>39</v>
      </c>
      <c r="S26" s="5" t="s">
        <v>4039</v>
      </c>
      <c r="T26" s="5" t="s">
        <v>3045</v>
      </c>
      <c r="U26" s="5" t="s">
        <v>3046</v>
      </c>
      <c r="V26" s="5" t="s">
        <v>2971</v>
      </c>
      <c r="W26" s="5" t="s">
        <v>2972</v>
      </c>
      <c r="X26" s="5"/>
      <c r="Y26" s="5" t="s">
        <v>46</v>
      </c>
      <c r="Z26" s="5"/>
      <c r="AA26" s="5"/>
      <c r="AB26" s="5"/>
      <c r="AC26" s="7">
        <v>1</v>
      </c>
    </row>
    <row r="27" spans="1:29" x14ac:dyDescent="0.45">
      <c r="A27" s="8" t="s">
        <v>4224</v>
      </c>
      <c r="B27" s="4">
        <v>1142</v>
      </c>
      <c r="C27" s="4" t="s">
        <v>4329</v>
      </c>
      <c r="D27" s="4" t="s">
        <v>640</v>
      </c>
      <c r="E27" s="4" t="s">
        <v>4330</v>
      </c>
      <c r="F27" s="4" t="s">
        <v>4331</v>
      </c>
      <c r="G27" s="4" t="s">
        <v>177</v>
      </c>
      <c r="H27" s="4" t="s">
        <v>697</v>
      </c>
      <c r="I27" s="4" t="s">
        <v>4332</v>
      </c>
      <c r="J27" s="4" t="s">
        <v>41</v>
      </c>
      <c r="K27" s="4" t="s">
        <v>41</v>
      </c>
      <c r="L27" s="4" t="s">
        <v>41</v>
      </c>
      <c r="M27" s="4" t="s">
        <v>41</v>
      </c>
      <c r="N27" s="4" t="s">
        <v>41</v>
      </c>
      <c r="O27" s="4" t="s">
        <v>41</v>
      </c>
      <c r="P27" s="4" t="s">
        <v>41</v>
      </c>
      <c r="Q27" s="4" t="s">
        <v>41</v>
      </c>
      <c r="R27" s="4" t="s">
        <v>41</v>
      </c>
      <c r="S27" s="4" t="s">
        <v>41</v>
      </c>
      <c r="T27" s="4" t="s">
        <v>4306</v>
      </c>
      <c r="U27" s="4" t="s">
        <v>3227</v>
      </c>
      <c r="V27" s="4" t="s">
        <v>4230</v>
      </c>
      <c r="W27" s="4" t="s">
        <v>2972</v>
      </c>
      <c r="X27" s="4"/>
      <c r="Y27" s="4" t="s">
        <v>46</v>
      </c>
      <c r="Z27" s="4"/>
      <c r="AA27" s="4"/>
      <c r="AB27" s="4"/>
      <c r="AC27" s="9">
        <v>1</v>
      </c>
    </row>
    <row r="28" spans="1:29" x14ac:dyDescent="0.45">
      <c r="A28" s="6" t="s">
        <v>4224</v>
      </c>
      <c r="B28" s="5">
        <v>1297</v>
      </c>
      <c r="C28" s="5" t="s">
        <v>4347</v>
      </c>
      <c r="D28" s="5" t="s">
        <v>4348</v>
      </c>
      <c r="E28" s="5" t="s">
        <v>2337</v>
      </c>
      <c r="F28" s="5" t="s">
        <v>4349</v>
      </c>
      <c r="G28" s="5" t="s">
        <v>177</v>
      </c>
      <c r="H28" s="5" t="s">
        <v>214</v>
      </c>
      <c r="I28" s="5" t="s">
        <v>4350</v>
      </c>
      <c r="J28" s="5" t="s">
        <v>37</v>
      </c>
      <c r="K28" s="5" t="s">
        <v>37</v>
      </c>
      <c r="L28" s="5" t="s">
        <v>40</v>
      </c>
      <c r="M28" s="5" t="s">
        <v>37</v>
      </c>
      <c r="N28" s="5" t="s">
        <v>56</v>
      </c>
      <c r="O28" s="5" t="s">
        <v>40</v>
      </c>
      <c r="P28" s="5" t="s">
        <v>37</v>
      </c>
      <c r="Q28" s="5" t="s">
        <v>37</v>
      </c>
      <c r="R28" s="5" t="s">
        <v>40</v>
      </c>
      <c r="S28" s="5" t="s">
        <v>4351</v>
      </c>
      <c r="T28" s="5" t="s">
        <v>4318</v>
      </c>
      <c r="U28" s="5" t="s">
        <v>3227</v>
      </c>
      <c r="V28" s="5" t="s">
        <v>4230</v>
      </c>
      <c r="W28" s="5" t="s">
        <v>2972</v>
      </c>
      <c r="X28" s="5"/>
      <c r="Y28" s="5" t="s">
        <v>46</v>
      </c>
      <c r="Z28" s="5"/>
      <c r="AA28" s="5"/>
      <c r="AB28" s="5"/>
      <c r="AC28" s="7">
        <v>1</v>
      </c>
    </row>
    <row r="29" spans="1:29" x14ac:dyDescent="0.45">
      <c r="A29" s="8" t="s">
        <v>4224</v>
      </c>
      <c r="B29" s="4">
        <v>1848</v>
      </c>
      <c r="C29" s="4" t="s">
        <v>4396</v>
      </c>
      <c r="D29" s="4" t="s">
        <v>4397</v>
      </c>
      <c r="E29" s="4" t="s">
        <v>4398</v>
      </c>
      <c r="F29" s="4" t="s">
        <v>2650</v>
      </c>
      <c r="G29" s="4" t="s">
        <v>34</v>
      </c>
      <c r="H29" s="4" t="s">
        <v>697</v>
      </c>
      <c r="I29" s="4" t="s">
        <v>4399</v>
      </c>
      <c r="J29" s="4" t="s">
        <v>37</v>
      </c>
      <c r="K29" s="4" t="s">
        <v>37</v>
      </c>
      <c r="L29" s="4" t="s">
        <v>39</v>
      </c>
      <c r="M29" s="4" t="s">
        <v>37</v>
      </c>
      <c r="N29" s="4" t="s">
        <v>37</v>
      </c>
      <c r="O29" s="4" t="s">
        <v>39</v>
      </c>
      <c r="P29" s="4" t="s">
        <v>38</v>
      </c>
      <c r="Q29" s="4" t="s">
        <v>38</v>
      </c>
      <c r="R29" s="4" t="s">
        <v>40</v>
      </c>
      <c r="S29" s="4" t="s">
        <v>41</v>
      </c>
      <c r="T29" s="4" t="s">
        <v>4295</v>
      </c>
      <c r="U29" s="4" t="s">
        <v>2977</v>
      </c>
      <c r="V29" s="4" t="s">
        <v>4230</v>
      </c>
      <c r="W29" s="4" t="s">
        <v>2972</v>
      </c>
      <c r="X29" s="4"/>
      <c r="Y29" s="4" t="s">
        <v>46</v>
      </c>
      <c r="Z29" s="4"/>
      <c r="AA29" s="4"/>
      <c r="AB29" s="4"/>
      <c r="AC29" s="9">
        <v>1</v>
      </c>
    </row>
    <row r="30" spans="1:29" x14ac:dyDescent="0.45">
      <c r="A30" s="6" t="s">
        <v>4224</v>
      </c>
      <c r="B30" s="5">
        <v>1950</v>
      </c>
      <c r="C30" s="5" t="s">
        <v>4403</v>
      </c>
      <c r="D30" s="5" t="s">
        <v>4404</v>
      </c>
      <c r="E30" s="5" t="s">
        <v>4405</v>
      </c>
      <c r="F30" s="5" t="s">
        <v>4406</v>
      </c>
      <c r="G30" s="5" t="s">
        <v>34</v>
      </c>
      <c r="H30" s="5" t="s">
        <v>214</v>
      </c>
      <c r="I30" s="5" t="s">
        <v>4407</v>
      </c>
      <c r="J30" s="5" t="s">
        <v>37</v>
      </c>
      <c r="K30" s="5" t="s">
        <v>37</v>
      </c>
      <c r="L30" s="5" t="s">
        <v>40</v>
      </c>
      <c r="M30" s="5" t="s">
        <v>56</v>
      </c>
      <c r="N30" s="5" t="s">
        <v>56</v>
      </c>
      <c r="O30" s="5" t="s">
        <v>40</v>
      </c>
      <c r="P30" s="5" t="s">
        <v>37</v>
      </c>
      <c r="Q30" s="5" t="s">
        <v>37</v>
      </c>
      <c r="R30" s="5" t="s">
        <v>40</v>
      </c>
      <c r="S30" s="5" t="s">
        <v>41</v>
      </c>
      <c r="T30" s="5" t="s">
        <v>4318</v>
      </c>
      <c r="U30" s="5" t="s">
        <v>3227</v>
      </c>
      <c r="V30" s="5" t="s">
        <v>4230</v>
      </c>
      <c r="W30" s="5" t="s">
        <v>2972</v>
      </c>
      <c r="X30" s="5"/>
      <c r="Y30" s="5" t="s">
        <v>46</v>
      </c>
      <c r="Z30" s="5"/>
      <c r="AA30" s="5"/>
      <c r="AB30" s="5"/>
      <c r="AC30" s="7">
        <v>1</v>
      </c>
    </row>
    <row r="31" spans="1:29" x14ac:dyDescent="0.45">
      <c r="A31" s="8" t="s">
        <v>4550</v>
      </c>
      <c r="B31" s="4">
        <v>165</v>
      </c>
      <c r="C31" s="4" t="s">
        <v>5101</v>
      </c>
      <c r="D31" s="4" t="s">
        <v>5102</v>
      </c>
      <c r="E31" s="4"/>
      <c r="F31" s="4" t="s">
        <v>581</v>
      </c>
      <c r="G31" s="4" t="s">
        <v>34</v>
      </c>
      <c r="H31" s="4" t="s">
        <v>402</v>
      </c>
      <c r="I31" s="4" t="s">
        <v>5103</v>
      </c>
      <c r="J31" s="4" t="s">
        <v>37</v>
      </c>
      <c r="K31" s="4" t="s">
        <v>37</v>
      </c>
      <c r="L31" s="4" t="s">
        <v>39</v>
      </c>
      <c r="M31" s="4" t="s">
        <v>37</v>
      </c>
      <c r="N31" s="4" t="s">
        <v>37</v>
      </c>
      <c r="O31" s="4" t="s">
        <v>39</v>
      </c>
      <c r="P31" s="4" t="s">
        <v>37</v>
      </c>
      <c r="Q31" s="4" t="s">
        <v>37</v>
      </c>
      <c r="R31" s="4" t="s">
        <v>39</v>
      </c>
      <c r="S31" s="4" t="s">
        <v>41</v>
      </c>
      <c r="T31" s="4" t="s">
        <v>4737</v>
      </c>
      <c r="U31" s="4" t="s">
        <v>4738</v>
      </c>
      <c r="V31" s="4" t="s">
        <v>4556</v>
      </c>
      <c r="W31" s="4" t="s">
        <v>1457</v>
      </c>
      <c r="X31" s="4"/>
      <c r="Y31" s="4" t="s">
        <v>46</v>
      </c>
      <c r="Z31" s="4"/>
      <c r="AA31" s="4"/>
      <c r="AB31" s="4"/>
      <c r="AC31" s="9">
        <v>1</v>
      </c>
    </row>
    <row r="32" spans="1:29" x14ac:dyDescent="0.45">
      <c r="A32" s="6" t="s">
        <v>5578</v>
      </c>
      <c r="B32" s="5">
        <v>69</v>
      </c>
      <c r="C32" s="5" t="s">
        <v>5626</v>
      </c>
      <c r="D32" s="5" t="s">
        <v>5627</v>
      </c>
      <c r="E32" s="5" t="s">
        <v>5629</v>
      </c>
      <c r="F32" s="5" t="s">
        <v>5630</v>
      </c>
      <c r="G32" s="5" t="s">
        <v>177</v>
      </c>
      <c r="H32" s="5" t="s">
        <v>1924</v>
      </c>
      <c r="I32" s="5" t="s">
        <v>5631</v>
      </c>
      <c r="J32" s="5" t="s">
        <v>56</v>
      </c>
      <c r="K32" s="5" t="s">
        <v>37</v>
      </c>
      <c r="L32" s="5" t="s">
        <v>39</v>
      </c>
      <c r="M32" s="5" t="s">
        <v>37</v>
      </c>
      <c r="N32" s="5" t="s">
        <v>56</v>
      </c>
      <c r="O32" s="5" t="s">
        <v>39</v>
      </c>
      <c r="P32" s="5" t="s">
        <v>56</v>
      </c>
      <c r="Q32" s="5" t="s">
        <v>56</v>
      </c>
      <c r="R32" s="5" t="s">
        <v>40</v>
      </c>
      <c r="S32" s="5" t="s">
        <v>5632</v>
      </c>
      <c r="T32" s="5" t="s">
        <v>5633</v>
      </c>
      <c r="U32" s="5" t="s">
        <v>5620</v>
      </c>
      <c r="V32" s="5" t="s">
        <v>5586</v>
      </c>
      <c r="W32" s="5" t="s">
        <v>5621</v>
      </c>
      <c r="X32" s="5"/>
      <c r="Y32" s="5" t="s">
        <v>46</v>
      </c>
      <c r="Z32" s="5"/>
      <c r="AA32" s="5"/>
      <c r="AB32" s="5" t="s">
        <v>4223</v>
      </c>
      <c r="AC32" s="7">
        <v>1</v>
      </c>
    </row>
    <row r="33" spans="1:29" x14ac:dyDescent="0.45">
      <c r="A33" s="8" t="s">
        <v>5578</v>
      </c>
      <c r="B33" s="4">
        <v>3118</v>
      </c>
      <c r="C33" s="4" t="s">
        <v>6413</v>
      </c>
      <c r="D33" s="4" t="s">
        <v>6414</v>
      </c>
      <c r="E33" s="4" t="s">
        <v>97</v>
      </c>
      <c r="F33" s="4" t="s">
        <v>53</v>
      </c>
      <c r="G33" s="4" t="s">
        <v>177</v>
      </c>
      <c r="H33" s="4" t="s">
        <v>1574</v>
      </c>
      <c r="I33" s="4" t="s">
        <v>4697</v>
      </c>
      <c r="J33" s="4" t="s">
        <v>37</v>
      </c>
      <c r="K33" s="4" t="s">
        <v>37</v>
      </c>
      <c r="L33" s="4" t="s">
        <v>40</v>
      </c>
      <c r="M33" s="4" t="s">
        <v>38</v>
      </c>
      <c r="N33" s="4" t="s">
        <v>37</v>
      </c>
      <c r="O33" s="4" t="s">
        <v>39</v>
      </c>
      <c r="P33" s="4" t="s">
        <v>37</v>
      </c>
      <c r="Q33" s="4" t="s">
        <v>37</v>
      </c>
      <c r="R33" s="4" t="s">
        <v>39</v>
      </c>
      <c r="S33" s="4" t="s">
        <v>6415</v>
      </c>
      <c r="T33" s="4" t="s">
        <v>5633</v>
      </c>
      <c r="U33" s="4" t="s">
        <v>5620</v>
      </c>
      <c r="V33" s="4" t="s">
        <v>5586</v>
      </c>
      <c r="W33" s="4" t="s">
        <v>5621</v>
      </c>
      <c r="X33" s="4"/>
      <c r="Y33" s="4" t="s">
        <v>46</v>
      </c>
      <c r="Z33" s="4"/>
      <c r="AA33" s="4"/>
      <c r="AB33" s="4" t="s">
        <v>4223</v>
      </c>
      <c r="AC33" s="9">
        <v>1</v>
      </c>
    </row>
    <row r="34" spans="1:29" x14ac:dyDescent="0.45">
      <c r="A34" s="6" t="s">
        <v>6444</v>
      </c>
      <c r="B34" s="5">
        <v>33</v>
      </c>
      <c r="C34" s="5" t="s">
        <v>6539</v>
      </c>
      <c r="D34" s="5" t="s">
        <v>6540</v>
      </c>
      <c r="E34" s="5" t="s">
        <v>6541</v>
      </c>
      <c r="F34" s="5" t="s">
        <v>426</v>
      </c>
      <c r="G34" s="5" t="s">
        <v>34</v>
      </c>
      <c r="H34" s="5" t="s">
        <v>54</v>
      </c>
      <c r="I34" s="5" t="s">
        <v>2460</v>
      </c>
      <c r="J34" s="5" t="s">
        <v>38</v>
      </c>
      <c r="K34" s="5" t="s">
        <v>38</v>
      </c>
      <c r="L34" s="5" t="s">
        <v>39</v>
      </c>
      <c r="M34" s="5" t="s">
        <v>38</v>
      </c>
      <c r="N34" s="5" t="s">
        <v>38</v>
      </c>
      <c r="O34" s="5" t="s">
        <v>39</v>
      </c>
      <c r="P34" s="5" t="s">
        <v>38</v>
      </c>
      <c r="Q34" s="5" t="s">
        <v>38</v>
      </c>
      <c r="R34" s="5" t="s">
        <v>40</v>
      </c>
      <c r="S34" s="5" t="s">
        <v>41</v>
      </c>
      <c r="T34" s="5" t="s">
        <v>6468</v>
      </c>
      <c r="U34" s="5" t="s">
        <v>6469</v>
      </c>
      <c r="V34" s="5" t="s">
        <v>6450</v>
      </c>
      <c r="W34" s="5" t="s">
        <v>6451</v>
      </c>
      <c r="X34" s="5"/>
      <c r="Y34" s="5" t="s">
        <v>46</v>
      </c>
      <c r="Z34" s="5"/>
      <c r="AA34" s="5"/>
      <c r="AB34" s="5" t="s">
        <v>4223</v>
      </c>
      <c r="AC34" s="7">
        <v>1</v>
      </c>
    </row>
    <row r="35" spans="1:29" x14ac:dyDescent="0.45">
      <c r="A35" s="8" t="s">
        <v>6444</v>
      </c>
      <c r="B35" s="4">
        <v>47</v>
      </c>
      <c r="C35" s="4" t="s">
        <v>6583</v>
      </c>
      <c r="D35" s="4" t="s">
        <v>6584</v>
      </c>
      <c r="E35" s="4" t="s">
        <v>97</v>
      </c>
      <c r="F35" s="4" t="s">
        <v>53</v>
      </c>
      <c r="G35" s="4" t="s">
        <v>150</v>
      </c>
      <c r="H35" s="4" t="s">
        <v>685</v>
      </c>
      <c r="I35" s="4" t="s">
        <v>6585</v>
      </c>
      <c r="J35" s="4" t="s">
        <v>38</v>
      </c>
      <c r="K35" s="4" t="s">
        <v>38</v>
      </c>
      <c r="L35" s="4" t="s">
        <v>40</v>
      </c>
      <c r="M35" s="4" t="s">
        <v>38</v>
      </c>
      <c r="N35" s="4" t="s">
        <v>38</v>
      </c>
      <c r="O35" s="4" t="s">
        <v>40</v>
      </c>
      <c r="P35" s="4" t="s">
        <v>38</v>
      </c>
      <c r="Q35" s="4" t="s">
        <v>38</v>
      </c>
      <c r="R35" s="4" t="s">
        <v>40</v>
      </c>
      <c r="S35" s="4" t="s">
        <v>41</v>
      </c>
      <c r="T35" s="4" t="s">
        <v>6456</v>
      </c>
      <c r="U35" s="4" t="s">
        <v>6449</v>
      </c>
      <c r="V35" s="4" t="s">
        <v>6450</v>
      </c>
      <c r="W35" s="4" t="s">
        <v>6451</v>
      </c>
      <c r="X35" s="4"/>
      <c r="Y35" s="4" t="s">
        <v>46</v>
      </c>
      <c r="Z35" s="4"/>
      <c r="AA35" s="4"/>
      <c r="AB35" s="4" t="s">
        <v>4223</v>
      </c>
      <c r="AC35" s="9">
        <v>1</v>
      </c>
    </row>
    <row r="36" spans="1:29" x14ac:dyDescent="0.45">
      <c r="A36" s="6" t="s">
        <v>6444</v>
      </c>
      <c r="B36" s="5">
        <v>153</v>
      </c>
      <c r="C36" s="5" t="s">
        <v>6917</v>
      </c>
      <c r="D36" s="5" t="s">
        <v>6918</v>
      </c>
      <c r="E36" s="5" t="s">
        <v>6919</v>
      </c>
      <c r="F36" s="5" t="s">
        <v>53</v>
      </c>
      <c r="G36" s="5" t="s">
        <v>34</v>
      </c>
      <c r="H36" s="5" t="s">
        <v>697</v>
      </c>
      <c r="I36" s="5" t="s">
        <v>6920</v>
      </c>
      <c r="J36" s="5" t="s">
        <v>37</v>
      </c>
      <c r="K36" s="5" t="s">
        <v>37</v>
      </c>
      <c r="L36" s="5" t="s">
        <v>40</v>
      </c>
      <c r="M36" s="5" t="s">
        <v>37</v>
      </c>
      <c r="N36" s="5" t="s">
        <v>37</v>
      </c>
      <c r="O36" s="5" t="s">
        <v>40</v>
      </c>
      <c r="P36" s="5" t="s">
        <v>37</v>
      </c>
      <c r="Q36" s="5" t="s">
        <v>37</v>
      </c>
      <c r="R36" s="5" t="s">
        <v>40</v>
      </c>
      <c r="S36" s="5" t="s">
        <v>6921</v>
      </c>
      <c r="T36" s="5" t="s">
        <v>6833</v>
      </c>
      <c r="U36" s="5" t="s">
        <v>6834</v>
      </c>
      <c r="V36" s="5" t="s">
        <v>6450</v>
      </c>
      <c r="W36" s="5" t="s">
        <v>6835</v>
      </c>
      <c r="X36" s="5"/>
      <c r="Y36" s="5" t="s">
        <v>46</v>
      </c>
      <c r="Z36" s="5"/>
      <c r="AA36" s="5"/>
      <c r="AB36" s="5" t="s">
        <v>3109</v>
      </c>
      <c r="AC36" s="7">
        <v>1</v>
      </c>
    </row>
    <row r="37" spans="1:29" x14ac:dyDescent="0.45">
      <c r="A37" s="8" t="s">
        <v>6444</v>
      </c>
      <c r="B37" s="4">
        <v>176</v>
      </c>
      <c r="C37" s="4" t="s">
        <v>6986</v>
      </c>
      <c r="D37" s="4" t="s">
        <v>6987</v>
      </c>
      <c r="E37" s="4" t="s">
        <v>51</v>
      </c>
      <c r="F37" s="4" t="s">
        <v>426</v>
      </c>
      <c r="G37" s="4" t="s">
        <v>177</v>
      </c>
      <c r="H37" s="4" t="s">
        <v>1184</v>
      </c>
      <c r="I37" s="4" t="s">
        <v>6935</v>
      </c>
      <c r="J37" s="4" t="s">
        <v>56</v>
      </c>
      <c r="K37" s="4" t="s">
        <v>56</v>
      </c>
      <c r="L37" s="4" t="s">
        <v>39</v>
      </c>
      <c r="M37" s="4" t="s">
        <v>38</v>
      </c>
      <c r="N37" s="4" t="s">
        <v>38</v>
      </c>
      <c r="O37" s="4" t="s">
        <v>39</v>
      </c>
      <c r="P37" s="4" t="s">
        <v>38</v>
      </c>
      <c r="Q37" s="4" t="s">
        <v>38</v>
      </c>
      <c r="R37" s="4" t="s">
        <v>39</v>
      </c>
      <c r="S37" s="4" t="s">
        <v>41</v>
      </c>
      <c r="T37" s="4" t="s">
        <v>6930</v>
      </c>
      <c r="U37" s="4" t="s">
        <v>6931</v>
      </c>
      <c r="V37" s="4" t="s">
        <v>6450</v>
      </c>
      <c r="W37" s="4" t="s">
        <v>6932</v>
      </c>
      <c r="X37" s="4"/>
      <c r="Y37" s="4" t="s">
        <v>46</v>
      </c>
      <c r="Z37" s="4"/>
      <c r="AA37" s="4"/>
      <c r="AB37" s="4"/>
      <c r="AC37" s="9">
        <v>1</v>
      </c>
    </row>
    <row r="38" spans="1:29" x14ac:dyDescent="0.45">
      <c r="A38" s="6" t="s">
        <v>6444</v>
      </c>
      <c r="B38" s="5">
        <v>179</v>
      </c>
      <c r="C38" s="5" t="s">
        <v>6993</v>
      </c>
      <c r="D38" s="5" t="s">
        <v>6994</v>
      </c>
      <c r="E38" s="5" t="s">
        <v>6995</v>
      </c>
      <c r="F38" s="5" t="s">
        <v>581</v>
      </c>
      <c r="G38" s="5" t="s">
        <v>34</v>
      </c>
      <c r="H38" s="5" t="s">
        <v>1929</v>
      </c>
      <c r="I38" s="5"/>
      <c r="J38" s="5" t="s">
        <v>56</v>
      </c>
      <c r="K38" s="5" t="s">
        <v>56</v>
      </c>
      <c r="L38" s="5" t="s">
        <v>39</v>
      </c>
      <c r="M38" s="5" t="s">
        <v>56</v>
      </c>
      <c r="N38" s="5" t="s">
        <v>56</v>
      </c>
      <c r="O38" s="5" t="s">
        <v>39</v>
      </c>
      <c r="P38" s="5" t="s">
        <v>37</v>
      </c>
      <c r="Q38" s="5" t="s">
        <v>56</v>
      </c>
      <c r="R38" s="5" t="s">
        <v>39</v>
      </c>
      <c r="S38" s="5" t="s">
        <v>41</v>
      </c>
      <c r="T38" s="5" t="s">
        <v>6991</v>
      </c>
      <c r="U38" s="5" t="s">
        <v>6992</v>
      </c>
      <c r="V38" s="5" t="s">
        <v>6450</v>
      </c>
      <c r="W38" s="5" t="s">
        <v>6932</v>
      </c>
      <c r="X38" s="5"/>
      <c r="Y38" s="5" t="s">
        <v>46</v>
      </c>
      <c r="Z38" s="5"/>
      <c r="AA38" s="5"/>
      <c r="AB38" s="5"/>
      <c r="AC38" s="7">
        <v>1</v>
      </c>
    </row>
    <row r="39" spans="1:29" x14ac:dyDescent="0.45">
      <c r="A39" s="8" t="s">
        <v>6444</v>
      </c>
      <c r="B39" s="4">
        <v>185</v>
      </c>
      <c r="C39" s="4" t="s">
        <v>7008</v>
      </c>
      <c r="D39" s="4" t="s">
        <v>7009</v>
      </c>
      <c r="E39" s="4" t="s">
        <v>7000</v>
      </c>
      <c r="F39" s="4" t="s">
        <v>115</v>
      </c>
      <c r="G39" s="4" t="s">
        <v>177</v>
      </c>
      <c r="H39" s="4" t="s">
        <v>171</v>
      </c>
      <c r="I39" s="4" t="s">
        <v>6946</v>
      </c>
      <c r="J39" s="4" t="s">
        <v>56</v>
      </c>
      <c r="K39" s="4" t="s">
        <v>56</v>
      </c>
      <c r="L39" s="4" t="s">
        <v>39</v>
      </c>
      <c r="M39" s="4" t="s">
        <v>38</v>
      </c>
      <c r="N39" s="4" t="s">
        <v>38</v>
      </c>
      <c r="O39" s="4" t="s">
        <v>39</v>
      </c>
      <c r="P39" s="4" t="s">
        <v>38</v>
      </c>
      <c r="Q39" s="4" t="s">
        <v>38</v>
      </c>
      <c r="R39" s="4" t="s">
        <v>39</v>
      </c>
      <c r="S39" s="4" t="s">
        <v>41</v>
      </c>
      <c r="T39" s="4" t="s">
        <v>6930</v>
      </c>
      <c r="U39" s="4" t="s">
        <v>6931</v>
      </c>
      <c r="V39" s="4" t="s">
        <v>6450</v>
      </c>
      <c r="W39" s="4" t="s">
        <v>6932</v>
      </c>
      <c r="X39" s="4"/>
      <c r="Y39" s="4" t="s">
        <v>46</v>
      </c>
      <c r="Z39" s="4"/>
      <c r="AA39" s="4"/>
      <c r="AB39" s="4" t="s">
        <v>4223</v>
      </c>
      <c r="AC39" s="9">
        <v>1</v>
      </c>
    </row>
    <row r="40" spans="1:29" x14ac:dyDescent="0.45">
      <c r="A40" s="6" t="s">
        <v>6444</v>
      </c>
      <c r="B40" s="5">
        <v>188</v>
      </c>
      <c r="C40" s="5" t="s">
        <v>7013</v>
      </c>
      <c r="D40" s="5" t="s">
        <v>7014</v>
      </c>
      <c r="E40" s="5" t="s">
        <v>7000</v>
      </c>
      <c r="F40" s="5" t="s">
        <v>401</v>
      </c>
      <c r="G40" s="5" t="s">
        <v>177</v>
      </c>
      <c r="H40" s="5" t="s">
        <v>100</v>
      </c>
      <c r="I40" s="5" t="s">
        <v>6946</v>
      </c>
      <c r="J40" s="5" t="s">
        <v>56</v>
      </c>
      <c r="K40" s="5" t="s">
        <v>56</v>
      </c>
      <c r="L40" s="5" t="s">
        <v>39</v>
      </c>
      <c r="M40" s="5" t="s">
        <v>38</v>
      </c>
      <c r="N40" s="5" t="s">
        <v>38</v>
      </c>
      <c r="O40" s="5" t="s">
        <v>39</v>
      </c>
      <c r="P40" s="5" t="s">
        <v>38</v>
      </c>
      <c r="Q40" s="5" t="s">
        <v>38</v>
      </c>
      <c r="R40" s="5" t="s">
        <v>39</v>
      </c>
      <c r="S40" s="5" t="s">
        <v>41</v>
      </c>
      <c r="T40" s="5" t="s">
        <v>6930</v>
      </c>
      <c r="U40" s="5" t="s">
        <v>6931</v>
      </c>
      <c r="V40" s="5" t="s">
        <v>6450</v>
      </c>
      <c r="W40" s="5" t="s">
        <v>6932</v>
      </c>
      <c r="X40" s="5"/>
      <c r="Y40" s="5" t="s">
        <v>46</v>
      </c>
      <c r="Z40" s="5"/>
      <c r="AA40" s="5"/>
      <c r="AB40" s="5"/>
      <c r="AC40" s="7">
        <v>1</v>
      </c>
    </row>
    <row r="41" spans="1:29" x14ac:dyDescent="0.45">
      <c r="A41" s="8" t="s">
        <v>6444</v>
      </c>
      <c r="B41" s="4">
        <v>206</v>
      </c>
      <c r="C41" s="4" t="s">
        <v>7058</v>
      </c>
      <c r="D41" s="4" t="s">
        <v>7059</v>
      </c>
      <c r="E41" s="4" t="s">
        <v>87</v>
      </c>
      <c r="F41" s="4" t="s">
        <v>401</v>
      </c>
      <c r="G41" s="4" t="s">
        <v>177</v>
      </c>
      <c r="H41" s="4" t="s">
        <v>54</v>
      </c>
      <c r="I41" s="4" t="s">
        <v>6929</v>
      </c>
      <c r="J41" s="4" t="s">
        <v>775</v>
      </c>
      <c r="K41" s="4" t="s">
        <v>56</v>
      </c>
      <c r="L41" s="4" t="s">
        <v>39</v>
      </c>
      <c r="M41" s="4" t="s">
        <v>38</v>
      </c>
      <c r="N41" s="4" t="s">
        <v>38</v>
      </c>
      <c r="O41" s="4" t="s">
        <v>39</v>
      </c>
      <c r="P41" s="4" t="s">
        <v>38</v>
      </c>
      <c r="Q41" s="4" t="s">
        <v>37</v>
      </c>
      <c r="R41" s="4" t="s">
        <v>39</v>
      </c>
      <c r="S41" s="4" t="s">
        <v>41</v>
      </c>
      <c r="T41" s="4" t="s">
        <v>6930</v>
      </c>
      <c r="U41" s="4" t="s">
        <v>6931</v>
      </c>
      <c r="V41" s="4" t="s">
        <v>6450</v>
      </c>
      <c r="W41" s="4" t="s">
        <v>6932</v>
      </c>
      <c r="X41" s="4"/>
      <c r="Y41" s="4" t="s">
        <v>46</v>
      </c>
      <c r="Z41" s="4"/>
      <c r="AA41" s="4"/>
      <c r="AB41" s="4"/>
      <c r="AC41" s="9">
        <v>1</v>
      </c>
    </row>
    <row r="42" spans="1:29" x14ac:dyDescent="0.45">
      <c r="A42" s="6" t="s">
        <v>6444</v>
      </c>
      <c r="B42" s="5">
        <v>251</v>
      </c>
      <c r="C42" s="5" t="s">
        <v>7202</v>
      </c>
      <c r="D42" s="5" t="s">
        <v>7203</v>
      </c>
      <c r="E42" s="5" t="s">
        <v>742</v>
      </c>
      <c r="F42" s="5" t="s">
        <v>53</v>
      </c>
      <c r="G42" s="5" t="s">
        <v>150</v>
      </c>
      <c r="H42" s="5" t="s">
        <v>4689</v>
      </c>
      <c r="I42" s="5" t="s">
        <v>7204</v>
      </c>
      <c r="J42" s="5" t="s">
        <v>38</v>
      </c>
      <c r="K42" s="5" t="s">
        <v>38</v>
      </c>
      <c r="L42" s="5" t="s">
        <v>40</v>
      </c>
      <c r="M42" s="5" t="s">
        <v>38</v>
      </c>
      <c r="N42" s="5" t="s">
        <v>38</v>
      </c>
      <c r="O42" s="5" t="s">
        <v>40</v>
      </c>
      <c r="P42" s="5" t="s">
        <v>38</v>
      </c>
      <c r="Q42" s="5" t="s">
        <v>38</v>
      </c>
      <c r="R42" s="5" t="s">
        <v>40</v>
      </c>
      <c r="S42" s="5" t="s">
        <v>41</v>
      </c>
      <c r="T42" s="5" t="s">
        <v>7183</v>
      </c>
      <c r="U42" s="5" t="s">
        <v>7184</v>
      </c>
      <c r="V42" s="5" t="s">
        <v>6450</v>
      </c>
      <c r="W42" s="5" t="s">
        <v>7100</v>
      </c>
      <c r="X42" s="5"/>
      <c r="Y42" s="5" t="s">
        <v>46</v>
      </c>
      <c r="Z42" s="5"/>
      <c r="AA42" s="5"/>
      <c r="AB42" s="5" t="s">
        <v>3109</v>
      </c>
      <c r="AC42" s="7">
        <v>1</v>
      </c>
    </row>
    <row r="43" spans="1:29" x14ac:dyDescent="0.45">
      <c r="A43" s="8" t="s">
        <v>6444</v>
      </c>
      <c r="B43" s="4">
        <v>286</v>
      </c>
      <c r="C43" s="4" t="s">
        <v>7309</v>
      </c>
      <c r="D43" s="4" t="s">
        <v>4103</v>
      </c>
      <c r="E43" s="4" t="s">
        <v>3429</v>
      </c>
      <c r="F43" s="4" t="s">
        <v>401</v>
      </c>
      <c r="G43" s="4" t="s">
        <v>177</v>
      </c>
      <c r="H43" s="4" t="s">
        <v>54</v>
      </c>
      <c r="I43" s="4" t="s">
        <v>6268</v>
      </c>
      <c r="J43" s="4" t="s">
        <v>56</v>
      </c>
      <c r="K43" s="4" t="s">
        <v>56</v>
      </c>
      <c r="L43" s="4" t="s">
        <v>39</v>
      </c>
      <c r="M43" s="4" t="s">
        <v>56</v>
      </c>
      <c r="N43" s="4" t="s">
        <v>56</v>
      </c>
      <c r="O43" s="4" t="s">
        <v>39</v>
      </c>
      <c r="P43" s="4" t="s">
        <v>56</v>
      </c>
      <c r="Q43" s="4" t="s">
        <v>56</v>
      </c>
      <c r="R43" s="4" t="s">
        <v>39</v>
      </c>
      <c r="S43" s="4" t="s">
        <v>41</v>
      </c>
      <c r="T43" s="4" t="s">
        <v>7310</v>
      </c>
      <c r="U43" s="4" t="s">
        <v>7311</v>
      </c>
      <c r="V43" s="4" t="s">
        <v>6450</v>
      </c>
      <c r="W43" s="4" t="s">
        <v>7312</v>
      </c>
      <c r="X43" s="4"/>
      <c r="Y43" s="4" t="s">
        <v>46</v>
      </c>
      <c r="Z43" s="4"/>
      <c r="AA43" s="4"/>
      <c r="AB43" s="4"/>
      <c r="AC43" s="9">
        <v>1</v>
      </c>
    </row>
    <row r="44" spans="1:29" x14ac:dyDescent="0.45">
      <c r="A44" s="6" t="s">
        <v>6444</v>
      </c>
      <c r="B44" s="5">
        <v>287</v>
      </c>
      <c r="C44" s="5" t="s">
        <v>7313</v>
      </c>
      <c r="D44" s="5" t="s">
        <v>7314</v>
      </c>
      <c r="E44" s="5" t="s">
        <v>882</v>
      </c>
      <c r="F44" s="5" t="s">
        <v>53</v>
      </c>
      <c r="G44" s="5" t="s">
        <v>177</v>
      </c>
      <c r="H44" s="5" t="s">
        <v>54</v>
      </c>
      <c r="I44" s="5" t="s">
        <v>7315</v>
      </c>
      <c r="J44" s="5" t="s">
        <v>56</v>
      </c>
      <c r="K44" s="5" t="s">
        <v>56</v>
      </c>
      <c r="L44" s="5" t="s">
        <v>39</v>
      </c>
      <c r="M44" s="5" t="s">
        <v>56</v>
      </c>
      <c r="N44" s="5" t="s">
        <v>56</v>
      </c>
      <c r="O44" s="5" t="s">
        <v>39</v>
      </c>
      <c r="P44" s="5" t="s">
        <v>56</v>
      </c>
      <c r="Q44" s="5" t="s">
        <v>56</v>
      </c>
      <c r="R44" s="5" t="s">
        <v>39</v>
      </c>
      <c r="S44" s="5" t="s">
        <v>41</v>
      </c>
      <c r="T44" s="5" t="s">
        <v>7310</v>
      </c>
      <c r="U44" s="5" t="s">
        <v>7311</v>
      </c>
      <c r="V44" s="5" t="s">
        <v>6450</v>
      </c>
      <c r="W44" s="5" t="s">
        <v>7312</v>
      </c>
      <c r="X44" s="5"/>
      <c r="Y44" s="5" t="s">
        <v>46</v>
      </c>
      <c r="Z44" s="5"/>
      <c r="AA44" s="5"/>
      <c r="AB44" s="5"/>
      <c r="AC44" s="7">
        <v>1</v>
      </c>
    </row>
    <row r="45" spans="1:29" x14ac:dyDescent="0.45">
      <c r="A45" s="8" t="s">
        <v>6444</v>
      </c>
      <c r="B45" s="4">
        <v>288</v>
      </c>
      <c r="C45" s="4" t="s">
        <v>7316</v>
      </c>
      <c r="D45" s="4" t="s">
        <v>7317</v>
      </c>
      <c r="E45" s="4" t="s">
        <v>1043</v>
      </c>
      <c r="F45" s="4" t="s">
        <v>53</v>
      </c>
      <c r="G45" s="4" t="s">
        <v>177</v>
      </c>
      <c r="H45" s="4" t="s">
        <v>54</v>
      </c>
      <c r="I45" s="4" t="s">
        <v>7318</v>
      </c>
      <c r="J45" s="4" t="s">
        <v>37</v>
      </c>
      <c r="K45" s="4" t="s">
        <v>38</v>
      </c>
      <c r="L45" s="4" t="s">
        <v>39</v>
      </c>
      <c r="M45" s="4" t="s">
        <v>38</v>
      </c>
      <c r="N45" s="4" t="s">
        <v>38</v>
      </c>
      <c r="O45" s="4" t="s">
        <v>39</v>
      </c>
      <c r="P45" s="4" t="s">
        <v>38</v>
      </c>
      <c r="Q45" s="4" t="s">
        <v>38</v>
      </c>
      <c r="R45" s="4" t="s">
        <v>39</v>
      </c>
      <c r="S45" s="4" t="s">
        <v>5625</v>
      </c>
      <c r="T45" s="4" t="s">
        <v>7319</v>
      </c>
      <c r="U45" s="4" t="s">
        <v>7311</v>
      </c>
      <c r="V45" s="4" t="s">
        <v>6450</v>
      </c>
      <c r="W45" s="4" t="s">
        <v>5607</v>
      </c>
      <c r="X45" s="4"/>
      <c r="Y45" s="4" t="s">
        <v>46</v>
      </c>
      <c r="Z45" s="4"/>
      <c r="AA45" s="4"/>
      <c r="AB45" s="4"/>
      <c r="AC45" s="9">
        <v>1</v>
      </c>
    </row>
    <row r="46" spans="1:29" x14ac:dyDescent="0.45">
      <c r="A46" s="6" t="s">
        <v>6444</v>
      </c>
      <c r="B46" s="5">
        <v>289</v>
      </c>
      <c r="C46" s="5" t="s">
        <v>7320</v>
      </c>
      <c r="D46" s="5" t="s">
        <v>7321</v>
      </c>
      <c r="E46" s="5" t="s">
        <v>882</v>
      </c>
      <c r="F46" s="5" t="s">
        <v>53</v>
      </c>
      <c r="G46" s="5" t="s">
        <v>177</v>
      </c>
      <c r="H46" s="5" t="s">
        <v>620</v>
      </c>
      <c r="I46" s="5" t="s">
        <v>7322</v>
      </c>
      <c r="J46" s="5" t="s">
        <v>56</v>
      </c>
      <c r="K46" s="5" t="s">
        <v>56</v>
      </c>
      <c r="L46" s="5" t="s">
        <v>39</v>
      </c>
      <c r="M46" s="5" t="s">
        <v>56</v>
      </c>
      <c r="N46" s="5" t="s">
        <v>56</v>
      </c>
      <c r="O46" s="5" t="s">
        <v>39</v>
      </c>
      <c r="P46" s="5" t="s">
        <v>37</v>
      </c>
      <c r="Q46" s="5" t="s">
        <v>37</v>
      </c>
      <c r="R46" s="5" t="s">
        <v>39</v>
      </c>
      <c r="S46" s="5" t="s">
        <v>41</v>
      </c>
      <c r="T46" s="5" t="s">
        <v>7310</v>
      </c>
      <c r="U46" s="5" t="s">
        <v>7311</v>
      </c>
      <c r="V46" s="5" t="s">
        <v>6450</v>
      </c>
      <c r="W46" s="5" t="s">
        <v>5607</v>
      </c>
      <c r="X46" s="5"/>
      <c r="Y46" s="5" t="s">
        <v>46</v>
      </c>
      <c r="Z46" s="5"/>
      <c r="AA46" s="5"/>
      <c r="AB46" s="5"/>
      <c r="AC46" s="7">
        <v>1</v>
      </c>
    </row>
    <row r="47" spans="1:29" x14ac:dyDescent="0.45">
      <c r="A47" s="8" t="s">
        <v>6444</v>
      </c>
      <c r="B47" s="4">
        <v>290</v>
      </c>
      <c r="C47" s="4" t="s">
        <v>7323</v>
      </c>
      <c r="D47" s="4" t="s">
        <v>7324</v>
      </c>
      <c r="E47" s="4" t="s">
        <v>7325</v>
      </c>
      <c r="F47" s="4" t="s">
        <v>53</v>
      </c>
      <c r="G47" s="4" t="s">
        <v>34</v>
      </c>
      <c r="H47" s="4" t="s">
        <v>54</v>
      </c>
      <c r="I47" s="4" t="s">
        <v>7326</v>
      </c>
      <c r="J47" s="4" t="s">
        <v>56</v>
      </c>
      <c r="K47" s="4" t="s">
        <v>56</v>
      </c>
      <c r="L47" s="4" t="s">
        <v>39</v>
      </c>
      <c r="M47" s="4" t="s">
        <v>37</v>
      </c>
      <c r="N47" s="4" t="s">
        <v>37</v>
      </c>
      <c r="O47" s="4" t="s">
        <v>39</v>
      </c>
      <c r="P47" s="4" t="s">
        <v>38</v>
      </c>
      <c r="Q47" s="4" t="s">
        <v>38</v>
      </c>
      <c r="R47" s="4" t="s">
        <v>39</v>
      </c>
      <c r="S47" s="4" t="s">
        <v>1291</v>
      </c>
      <c r="T47" s="4" t="s">
        <v>7327</v>
      </c>
      <c r="U47" s="4" t="s">
        <v>7311</v>
      </c>
      <c r="V47" s="4" t="s">
        <v>6450</v>
      </c>
      <c r="W47" s="4" t="s">
        <v>7312</v>
      </c>
      <c r="X47" s="4"/>
      <c r="Y47" s="4" t="s">
        <v>46</v>
      </c>
      <c r="Z47" s="4"/>
      <c r="AA47" s="4"/>
      <c r="AB47" s="4"/>
      <c r="AC47" s="9">
        <v>1</v>
      </c>
    </row>
    <row r="48" spans="1:29" x14ac:dyDescent="0.45">
      <c r="A48" s="6" t="s">
        <v>6444</v>
      </c>
      <c r="B48" s="5">
        <v>291</v>
      </c>
      <c r="C48" s="5" t="s">
        <v>7328</v>
      </c>
      <c r="D48" s="5" t="s">
        <v>7329</v>
      </c>
      <c r="E48" s="5" t="s">
        <v>64</v>
      </c>
      <c r="F48" s="5" t="s">
        <v>829</v>
      </c>
      <c r="G48" s="5" t="s">
        <v>34</v>
      </c>
      <c r="H48" s="5" t="s">
        <v>54</v>
      </c>
      <c r="I48" s="5" t="s">
        <v>7330</v>
      </c>
      <c r="J48" s="5" t="s">
        <v>37</v>
      </c>
      <c r="K48" s="5" t="s">
        <v>56</v>
      </c>
      <c r="L48" s="5" t="s">
        <v>39</v>
      </c>
      <c r="M48" s="5" t="s">
        <v>37</v>
      </c>
      <c r="N48" s="5" t="s">
        <v>37</v>
      </c>
      <c r="O48" s="5" t="s">
        <v>39</v>
      </c>
      <c r="P48" s="5" t="s">
        <v>38</v>
      </c>
      <c r="Q48" s="5" t="s">
        <v>38</v>
      </c>
      <c r="R48" s="5" t="s">
        <v>39</v>
      </c>
      <c r="S48" s="5" t="s">
        <v>1291</v>
      </c>
      <c r="T48" s="5" t="s">
        <v>7327</v>
      </c>
      <c r="U48" s="5" t="s">
        <v>7311</v>
      </c>
      <c r="V48" s="5" t="s">
        <v>6450</v>
      </c>
      <c r="W48" s="5" t="s">
        <v>7312</v>
      </c>
      <c r="X48" s="5"/>
      <c r="Y48" s="5" t="s">
        <v>46</v>
      </c>
      <c r="Z48" s="5"/>
      <c r="AA48" s="5"/>
      <c r="AB48" s="5"/>
      <c r="AC48" s="7">
        <v>1</v>
      </c>
    </row>
    <row r="49" spans="1:29" x14ac:dyDescent="0.45">
      <c r="A49" s="8" t="s">
        <v>6444</v>
      </c>
      <c r="B49" s="4">
        <v>292</v>
      </c>
      <c r="C49" s="4" t="s">
        <v>7331</v>
      </c>
      <c r="D49" s="4" t="s">
        <v>7332</v>
      </c>
      <c r="E49" s="4" t="s">
        <v>109</v>
      </c>
      <c r="F49" s="4" t="s">
        <v>1827</v>
      </c>
      <c r="G49" s="4" t="s">
        <v>34</v>
      </c>
      <c r="H49" s="4" t="s">
        <v>54</v>
      </c>
      <c r="I49" s="4" t="s">
        <v>7333</v>
      </c>
      <c r="J49" s="4" t="s">
        <v>56</v>
      </c>
      <c r="K49" s="4" t="s">
        <v>56</v>
      </c>
      <c r="L49" s="4" t="s">
        <v>39</v>
      </c>
      <c r="M49" s="4" t="s">
        <v>37</v>
      </c>
      <c r="N49" s="4" t="s">
        <v>37</v>
      </c>
      <c r="O49" s="4" t="s">
        <v>39</v>
      </c>
      <c r="P49" s="4" t="s">
        <v>38</v>
      </c>
      <c r="Q49" s="4" t="s">
        <v>38</v>
      </c>
      <c r="R49" s="4" t="s">
        <v>39</v>
      </c>
      <c r="S49" s="4" t="s">
        <v>7334</v>
      </c>
      <c r="T49" s="4" t="s">
        <v>7327</v>
      </c>
      <c r="U49" s="4" t="s">
        <v>7311</v>
      </c>
      <c r="V49" s="4" t="s">
        <v>6450</v>
      </c>
      <c r="W49" s="4" t="s">
        <v>7312</v>
      </c>
      <c r="X49" s="4"/>
      <c r="Y49" s="4" t="s">
        <v>46</v>
      </c>
      <c r="Z49" s="4"/>
      <c r="AA49" s="4"/>
      <c r="AB49" s="4"/>
      <c r="AC49" s="9">
        <v>1</v>
      </c>
    </row>
    <row r="50" spans="1:29" x14ac:dyDescent="0.45">
      <c r="A50" s="6" t="s">
        <v>6444</v>
      </c>
      <c r="B50" s="5">
        <v>293</v>
      </c>
      <c r="C50" s="5" t="s">
        <v>7335</v>
      </c>
      <c r="D50" s="5" t="s">
        <v>5273</v>
      </c>
      <c r="E50" s="5" t="s">
        <v>772</v>
      </c>
      <c r="F50" s="5" t="s">
        <v>467</v>
      </c>
      <c r="G50" s="5" t="s">
        <v>177</v>
      </c>
      <c r="H50" s="5" t="s">
        <v>54</v>
      </c>
      <c r="I50" s="5" t="s">
        <v>7336</v>
      </c>
      <c r="J50" s="5" t="s">
        <v>56</v>
      </c>
      <c r="K50" s="5" t="s">
        <v>37</v>
      </c>
      <c r="L50" s="5" t="s">
        <v>39</v>
      </c>
      <c r="M50" s="5" t="s">
        <v>56</v>
      </c>
      <c r="N50" s="5" t="s">
        <v>56</v>
      </c>
      <c r="O50" s="5" t="s">
        <v>39</v>
      </c>
      <c r="P50" s="5" t="s">
        <v>37</v>
      </c>
      <c r="Q50" s="5" t="s">
        <v>37</v>
      </c>
      <c r="R50" s="5" t="s">
        <v>39</v>
      </c>
      <c r="S50" s="5" t="s">
        <v>7337</v>
      </c>
      <c r="T50" s="5" t="s">
        <v>7310</v>
      </c>
      <c r="U50" s="5" t="s">
        <v>7311</v>
      </c>
      <c r="V50" s="5" t="s">
        <v>6450</v>
      </c>
      <c r="W50" s="5" t="s">
        <v>7312</v>
      </c>
      <c r="X50" s="5"/>
      <c r="Y50" s="5" t="s">
        <v>46</v>
      </c>
      <c r="Z50" s="5"/>
      <c r="AA50" s="5"/>
      <c r="AB50" s="5"/>
      <c r="AC50" s="7">
        <v>1</v>
      </c>
    </row>
    <row r="51" spans="1:29" x14ac:dyDescent="0.45">
      <c r="A51" s="8" t="s">
        <v>6444</v>
      </c>
      <c r="B51" s="4">
        <v>294</v>
      </c>
      <c r="C51" s="4" t="s">
        <v>7338</v>
      </c>
      <c r="D51" s="4" t="s">
        <v>7339</v>
      </c>
      <c r="E51" s="4" t="s">
        <v>304</v>
      </c>
      <c r="F51" s="4" t="s">
        <v>53</v>
      </c>
      <c r="G51" s="4" t="s">
        <v>177</v>
      </c>
      <c r="H51" s="4" t="s">
        <v>54</v>
      </c>
      <c r="I51" s="4" t="s">
        <v>7315</v>
      </c>
      <c r="J51" s="4" t="s">
        <v>56</v>
      </c>
      <c r="K51" s="4" t="s">
        <v>56</v>
      </c>
      <c r="L51" s="4" t="s">
        <v>39</v>
      </c>
      <c r="M51" s="4" t="s">
        <v>56</v>
      </c>
      <c r="N51" s="4" t="s">
        <v>56</v>
      </c>
      <c r="O51" s="4" t="s">
        <v>39</v>
      </c>
      <c r="P51" s="4" t="s">
        <v>37</v>
      </c>
      <c r="Q51" s="4" t="s">
        <v>37</v>
      </c>
      <c r="R51" s="4" t="s">
        <v>40</v>
      </c>
      <c r="S51" s="4" t="s">
        <v>41</v>
      </c>
      <c r="T51" s="4" t="s">
        <v>7310</v>
      </c>
      <c r="U51" s="4" t="s">
        <v>7311</v>
      </c>
      <c r="V51" s="4" t="s">
        <v>6450</v>
      </c>
      <c r="W51" s="4" t="s">
        <v>5607</v>
      </c>
      <c r="X51" s="4"/>
      <c r="Y51" s="4" t="s">
        <v>46</v>
      </c>
      <c r="Z51" s="4"/>
      <c r="AA51" s="4"/>
      <c r="AB51" s="4"/>
      <c r="AC51" s="9">
        <v>1</v>
      </c>
    </row>
    <row r="52" spans="1:29" x14ac:dyDescent="0.45">
      <c r="A52" s="6" t="s">
        <v>6444</v>
      </c>
      <c r="B52" s="5">
        <v>295</v>
      </c>
      <c r="C52" s="5" t="s">
        <v>7340</v>
      </c>
      <c r="D52" s="5" t="s">
        <v>7341</v>
      </c>
      <c r="E52" s="5" t="s">
        <v>3538</v>
      </c>
      <c r="F52" s="5" t="s">
        <v>1573</v>
      </c>
      <c r="G52" s="5" t="s">
        <v>177</v>
      </c>
      <c r="H52" s="5" t="s">
        <v>54</v>
      </c>
      <c r="I52" s="5" t="s">
        <v>7342</v>
      </c>
      <c r="J52" s="5" t="s">
        <v>37</v>
      </c>
      <c r="K52" s="5" t="s">
        <v>37</v>
      </c>
      <c r="L52" s="5" t="s">
        <v>39</v>
      </c>
      <c r="M52" s="5" t="s">
        <v>56</v>
      </c>
      <c r="N52" s="5" t="s">
        <v>37</v>
      </c>
      <c r="O52" s="5" t="s">
        <v>121</v>
      </c>
      <c r="P52" s="5" t="s">
        <v>37</v>
      </c>
      <c r="Q52" s="5" t="s">
        <v>37</v>
      </c>
      <c r="R52" s="5" t="s">
        <v>39</v>
      </c>
      <c r="S52" s="5" t="s">
        <v>5363</v>
      </c>
      <c r="T52" s="5" t="s">
        <v>7319</v>
      </c>
      <c r="U52" s="5" t="s">
        <v>7311</v>
      </c>
      <c r="V52" s="5" t="s">
        <v>6450</v>
      </c>
      <c r="W52" s="5" t="s">
        <v>7312</v>
      </c>
      <c r="X52" s="5"/>
      <c r="Y52" s="5" t="s">
        <v>46</v>
      </c>
      <c r="Z52" s="5"/>
      <c r="AA52" s="5"/>
      <c r="AB52" s="5"/>
      <c r="AC52" s="7">
        <v>1</v>
      </c>
    </row>
    <row r="53" spans="1:29" x14ac:dyDescent="0.45">
      <c r="A53" s="8" t="s">
        <v>6444</v>
      </c>
      <c r="B53" s="4">
        <v>296</v>
      </c>
      <c r="C53" s="4" t="s">
        <v>7343</v>
      </c>
      <c r="D53" s="4" t="s">
        <v>7344</v>
      </c>
      <c r="E53" s="4" t="s">
        <v>857</v>
      </c>
      <c r="F53" s="4" t="s">
        <v>53</v>
      </c>
      <c r="G53" s="4" t="s">
        <v>34</v>
      </c>
      <c r="H53" s="4" t="s">
        <v>54</v>
      </c>
      <c r="I53" s="4" t="s">
        <v>7345</v>
      </c>
      <c r="J53" s="4" t="s">
        <v>56</v>
      </c>
      <c r="K53" s="4" t="s">
        <v>56</v>
      </c>
      <c r="L53" s="4" t="s">
        <v>39</v>
      </c>
      <c r="M53" s="4" t="s">
        <v>37</v>
      </c>
      <c r="N53" s="4" t="s">
        <v>37</v>
      </c>
      <c r="O53" s="4" t="s">
        <v>39</v>
      </c>
      <c r="P53" s="4" t="s">
        <v>38</v>
      </c>
      <c r="Q53" s="4" t="s">
        <v>38</v>
      </c>
      <c r="R53" s="4" t="s">
        <v>39</v>
      </c>
      <c r="S53" s="4" t="s">
        <v>1291</v>
      </c>
      <c r="T53" s="4" t="s">
        <v>7327</v>
      </c>
      <c r="U53" s="4" t="s">
        <v>7311</v>
      </c>
      <c r="V53" s="4" t="s">
        <v>6450</v>
      </c>
      <c r="W53" s="4" t="s">
        <v>5607</v>
      </c>
      <c r="X53" s="4"/>
      <c r="Y53" s="4" t="s">
        <v>46</v>
      </c>
      <c r="Z53" s="4"/>
      <c r="AA53" s="4"/>
      <c r="AB53" s="4"/>
      <c r="AC53" s="9">
        <v>1</v>
      </c>
    </row>
    <row r="54" spans="1:29" x14ac:dyDescent="0.45">
      <c r="A54" s="6" t="s">
        <v>6444</v>
      </c>
      <c r="B54" s="5">
        <v>297</v>
      </c>
      <c r="C54" s="5" t="s">
        <v>7346</v>
      </c>
      <c r="D54" s="5" t="s">
        <v>7347</v>
      </c>
      <c r="E54" s="5" t="s">
        <v>304</v>
      </c>
      <c r="F54" s="5" t="s">
        <v>53</v>
      </c>
      <c r="G54" s="5" t="s">
        <v>34</v>
      </c>
      <c r="H54" s="5" t="s">
        <v>54</v>
      </c>
      <c r="I54" s="5" t="s">
        <v>7345</v>
      </c>
      <c r="J54" s="5" t="s">
        <v>37</v>
      </c>
      <c r="K54" s="5" t="s">
        <v>56</v>
      </c>
      <c r="L54" s="5" t="s">
        <v>39</v>
      </c>
      <c r="M54" s="5" t="s">
        <v>37</v>
      </c>
      <c r="N54" s="5" t="s">
        <v>37</v>
      </c>
      <c r="O54" s="5" t="s">
        <v>39</v>
      </c>
      <c r="P54" s="5" t="s">
        <v>38</v>
      </c>
      <c r="Q54" s="5" t="s">
        <v>38</v>
      </c>
      <c r="R54" s="5" t="s">
        <v>39</v>
      </c>
      <c r="S54" s="5" t="s">
        <v>1291</v>
      </c>
      <c r="T54" s="5" t="s">
        <v>7327</v>
      </c>
      <c r="U54" s="5" t="s">
        <v>7311</v>
      </c>
      <c r="V54" s="5" t="s">
        <v>6450</v>
      </c>
      <c r="W54" s="5" t="s">
        <v>7312</v>
      </c>
      <c r="X54" s="5"/>
      <c r="Y54" s="5" t="s">
        <v>46</v>
      </c>
      <c r="Z54" s="5"/>
      <c r="AA54" s="5"/>
      <c r="AB54" s="5"/>
      <c r="AC54" s="7">
        <v>1</v>
      </c>
    </row>
    <row r="55" spans="1:29" x14ac:dyDescent="0.45">
      <c r="A55" s="8" t="s">
        <v>6444</v>
      </c>
      <c r="B55" s="4">
        <v>298</v>
      </c>
      <c r="C55" s="4" t="s">
        <v>7348</v>
      </c>
      <c r="D55" s="4" t="s">
        <v>7349</v>
      </c>
      <c r="E55" s="4" t="s">
        <v>7350</v>
      </c>
      <c r="F55" s="4" t="s">
        <v>7351</v>
      </c>
      <c r="G55" s="4" t="s">
        <v>177</v>
      </c>
      <c r="H55" s="4" t="s">
        <v>54</v>
      </c>
      <c r="I55" s="4" t="s">
        <v>7352</v>
      </c>
      <c r="J55" s="4" t="s">
        <v>37</v>
      </c>
      <c r="K55" s="4" t="s">
        <v>37</v>
      </c>
      <c r="L55" s="4" t="s">
        <v>39</v>
      </c>
      <c r="M55" s="4" t="s">
        <v>56</v>
      </c>
      <c r="N55" s="4" t="s">
        <v>56</v>
      </c>
      <c r="O55" s="4" t="s">
        <v>121</v>
      </c>
      <c r="P55" s="4" t="s">
        <v>37</v>
      </c>
      <c r="Q55" s="4" t="s">
        <v>37</v>
      </c>
      <c r="R55" s="4" t="s">
        <v>39</v>
      </c>
      <c r="S55" s="4" t="s">
        <v>5363</v>
      </c>
      <c r="T55" s="4" t="s">
        <v>7319</v>
      </c>
      <c r="U55" s="4" t="s">
        <v>7311</v>
      </c>
      <c r="V55" s="4" t="s">
        <v>6450</v>
      </c>
      <c r="W55" s="4" t="s">
        <v>7312</v>
      </c>
      <c r="X55" s="4"/>
      <c r="Y55" s="4" t="s">
        <v>46</v>
      </c>
      <c r="Z55" s="4"/>
      <c r="AA55" s="4"/>
      <c r="AB55" s="4"/>
      <c r="AC55" s="9">
        <v>1</v>
      </c>
    </row>
    <row r="56" spans="1:29" x14ac:dyDescent="0.45">
      <c r="A56" s="6" t="s">
        <v>6444</v>
      </c>
      <c r="B56" s="5">
        <v>299</v>
      </c>
      <c r="C56" s="5" t="s">
        <v>7353</v>
      </c>
      <c r="D56" s="5" t="s">
        <v>7354</v>
      </c>
      <c r="E56" s="5" t="s">
        <v>665</v>
      </c>
      <c r="F56" s="5" t="s">
        <v>53</v>
      </c>
      <c r="G56" s="5" t="s">
        <v>177</v>
      </c>
      <c r="H56" s="5" t="s">
        <v>54</v>
      </c>
      <c r="I56" s="5" t="s">
        <v>7355</v>
      </c>
      <c r="J56" s="5" t="s">
        <v>41</v>
      </c>
      <c r="K56" s="5" t="s">
        <v>41</v>
      </c>
      <c r="L56" s="5" t="s">
        <v>41</v>
      </c>
      <c r="M56" s="5" t="s">
        <v>41</v>
      </c>
      <c r="N56" s="5" t="s">
        <v>41</v>
      </c>
      <c r="O56" s="5" t="s">
        <v>41</v>
      </c>
      <c r="P56" s="5" t="s">
        <v>41</v>
      </c>
      <c r="Q56" s="5" t="s">
        <v>41</v>
      </c>
      <c r="R56" s="5" t="s">
        <v>41</v>
      </c>
      <c r="S56" s="5" t="s">
        <v>41</v>
      </c>
      <c r="T56" s="5" t="s">
        <v>7310</v>
      </c>
      <c r="U56" s="5" t="s">
        <v>7311</v>
      </c>
      <c r="V56" s="5" t="s">
        <v>6450</v>
      </c>
      <c r="W56" s="5" t="s">
        <v>7312</v>
      </c>
      <c r="X56" s="5"/>
      <c r="Y56" s="5" t="s">
        <v>46</v>
      </c>
      <c r="Z56" s="5"/>
      <c r="AA56" s="5"/>
      <c r="AB56" s="5"/>
      <c r="AC56" s="7">
        <v>1</v>
      </c>
    </row>
    <row r="57" spans="1:29" x14ac:dyDescent="0.45">
      <c r="A57" s="8" t="s">
        <v>6444</v>
      </c>
      <c r="B57" s="4">
        <v>300</v>
      </c>
      <c r="C57" s="4" t="s">
        <v>7356</v>
      </c>
      <c r="D57" s="4" t="s">
        <v>7357</v>
      </c>
      <c r="E57" s="4" t="s">
        <v>109</v>
      </c>
      <c r="F57" s="4" t="s">
        <v>1024</v>
      </c>
      <c r="G57" s="4" t="s">
        <v>177</v>
      </c>
      <c r="H57" s="4" t="s">
        <v>54</v>
      </c>
      <c r="I57" s="4" t="s">
        <v>7358</v>
      </c>
      <c r="J57" s="4" t="s">
        <v>37</v>
      </c>
      <c r="K57" s="4" t="s">
        <v>37</v>
      </c>
      <c r="L57" s="4" t="s">
        <v>40</v>
      </c>
      <c r="M57" s="4" t="s">
        <v>775</v>
      </c>
      <c r="N57" s="4" t="s">
        <v>775</v>
      </c>
      <c r="O57" s="4" t="s">
        <v>121</v>
      </c>
      <c r="P57" s="4" t="s">
        <v>37</v>
      </c>
      <c r="Q57" s="4" t="s">
        <v>37</v>
      </c>
      <c r="R57" s="4" t="s">
        <v>40</v>
      </c>
      <c r="S57" s="4" t="s">
        <v>7359</v>
      </c>
      <c r="T57" s="4" t="s">
        <v>7310</v>
      </c>
      <c r="U57" s="4" t="s">
        <v>7311</v>
      </c>
      <c r="V57" s="4" t="s">
        <v>6450</v>
      </c>
      <c r="W57" s="4" t="s">
        <v>7312</v>
      </c>
      <c r="X57" s="4"/>
      <c r="Y57" s="4" t="s">
        <v>46</v>
      </c>
      <c r="Z57" s="4"/>
      <c r="AA57" s="4"/>
      <c r="AB57" s="4"/>
      <c r="AC57" s="9">
        <v>1</v>
      </c>
    </row>
    <row r="58" spans="1:29" x14ac:dyDescent="0.45">
      <c r="A58" s="6" t="s">
        <v>6444</v>
      </c>
      <c r="B58" s="5">
        <v>301</v>
      </c>
      <c r="C58" s="5" t="s">
        <v>7360</v>
      </c>
      <c r="D58" s="5" t="s">
        <v>7361</v>
      </c>
      <c r="E58" s="5" t="s">
        <v>269</v>
      </c>
      <c r="F58" s="5" t="s">
        <v>53</v>
      </c>
      <c r="G58" s="5" t="s">
        <v>34</v>
      </c>
      <c r="H58" s="5" t="s">
        <v>54</v>
      </c>
      <c r="I58" s="5" t="s">
        <v>7362</v>
      </c>
      <c r="J58" s="5" t="s">
        <v>56</v>
      </c>
      <c r="K58" s="5" t="s">
        <v>56</v>
      </c>
      <c r="L58" s="5" t="s">
        <v>39</v>
      </c>
      <c r="M58" s="5" t="s">
        <v>37</v>
      </c>
      <c r="N58" s="5" t="s">
        <v>37</v>
      </c>
      <c r="O58" s="5" t="s">
        <v>39</v>
      </c>
      <c r="P58" s="5" t="s">
        <v>38</v>
      </c>
      <c r="Q58" s="5" t="s">
        <v>38</v>
      </c>
      <c r="R58" s="5" t="s">
        <v>40</v>
      </c>
      <c r="S58" s="5" t="s">
        <v>1291</v>
      </c>
      <c r="T58" s="5" t="s">
        <v>7327</v>
      </c>
      <c r="U58" s="5" t="s">
        <v>7311</v>
      </c>
      <c r="V58" s="5" t="s">
        <v>6450</v>
      </c>
      <c r="W58" s="5" t="s">
        <v>5607</v>
      </c>
      <c r="X58" s="5"/>
      <c r="Y58" s="5" t="s">
        <v>46</v>
      </c>
      <c r="Z58" s="5"/>
      <c r="AA58" s="5"/>
      <c r="AB58" s="5"/>
      <c r="AC58" s="7">
        <v>1</v>
      </c>
    </row>
    <row r="59" spans="1:29" x14ac:dyDescent="0.45">
      <c r="A59" s="8" t="s">
        <v>6444</v>
      </c>
      <c r="B59" s="4">
        <v>303</v>
      </c>
      <c r="C59" s="4" t="s">
        <v>7371</v>
      </c>
      <c r="D59" s="4" t="s">
        <v>7372</v>
      </c>
      <c r="E59" s="4" t="s">
        <v>86</v>
      </c>
      <c r="F59" s="4" t="s">
        <v>535</v>
      </c>
      <c r="G59" s="4" t="s">
        <v>177</v>
      </c>
      <c r="H59" s="4" t="s">
        <v>54</v>
      </c>
      <c r="I59" s="4" t="s">
        <v>7373</v>
      </c>
      <c r="J59" s="4" t="s">
        <v>56</v>
      </c>
      <c r="K59" s="4" t="s">
        <v>37</v>
      </c>
      <c r="L59" s="4" t="s">
        <v>40</v>
      </c>
      <c r="M59" s="4" t="s">
        <v>56</v>
      </c>
      <c r="N59" s="4" t="s">
        <v>56</v>
      </c>
      <c r="O59" s="4" t="s">
        <v>39</v>
      </c>
      <c r="P59" s="4" t="s">
        <v>37</v>
      </c>
      <c r="Q59" s="4" t="s">
        <v>37</v>
      </c>
      <c r="R59" s="4" t="s">
        <v>40</v>
      </c>
      <c r="S59" s="4" t="s">
        <v>41</v>
      </c>
      <c r="T59" s="4" t="s">
        <v>7310</v>
      </c>
      <c r="U59" s="4" t="s">
        <v>7311</v>
      </c>
      <c r="V59" s="4" t="s">
        <v>6450</v>
      </c>
      <c r="W59" s="4" t="s">
        <v>5607</v>
      </c>
      <c r="X59" s="4"/>
      <c r="Y59" s="4" t="s">
        <v>46</v>
      </c>
      <c r="Z59" s="4"/>
      <c r="AA59" s="4"/>
      <c r="AB59" s="4"/>
      <c r="AC59" s="9">
        <v>1</v>
      </c>
    </row>
    <row r="60" spans="1:29" x14ac:dyDescent="0.45">
      <c r="A60" s="6" t="s">
        <v>6444</v>
      </c>
      <c r="B60" s="5">
        <v>304</v>
      </c>
      <c r="C60" s="5" t="s">
        <v>7374</v>
      </c>
      <c r="D60" s="5" t="s">
        <v>7375</v>
      </c>
      <c r="E60" s="5" t="s">
        <v>857</v>
      </c>
      <c r="F60" s="5" t="s">
        <v>53</v>
      </c>
      <c r="G60" s="5" t="s">
        <v>34</v>
      </c>
      <c r="H60" s="5" t="s">
        <v>54</v>
      </c>
      <c r="I60" s="5" t="s">
        <v>7376</v>
      </c>
      <c r="J60" s="5" t="s">
        <v>56</v>
      </c>
      <c r="K60" s="5" t="s">
        <v>56</v>
      </c>
      <c r="L60" s="5" t="s">
        <v>39</v>
      </c>
      <c r="M60" s="5" t="s">
        <v>37</v>
      </c>
      <c r="N60" s="5" t="s">
        <v>37</v>
      </c>
      <c r="O60" s="5" t="s">
        <v>39</v>
      </c>
      <c r="P60" s="5" t="s">
        <v>38</v>
      </c>
      <c r="Q60" s="5" t="s">
        <v>38</v>
      </c>
      <c r="R60" s="5" t="s">
        <v>39</v>
      </c>
      <c r="S60" s="5" t="s">
        <v>1291</v>
      </c>
      <c r="T60" s="5" t="s">
        <v>7327</v>
      </c>
      <c r="U60" s="5" t="s">
        <v>7311</v>
      </c>
      <c r="V60" s="5" t="s">
        <v>6450</v>
      </c>
      <c r="W60" s="5" t="s">
        <v>7312</v>
      </c>
      <c r="X60" s="5"/>
      <c r="Y60" s="5" t="s">
        <v>46</v>
      </c>
      <c r="Z60" s="5"/>
      <c r="AA60" s="5"/>
      <c r="AB60" s="5"/>
      <c r="AC60" s="7">
        <v>1</v>
      </c>
    </row>
    <row r="61" spans="1:29" x14ac:dyDescent="0.45">
      <c r="A61" s="8" t="s">
        <v>6444</v>
      </c>
      <c r="B61" s="4">
        <v>305</v>
      </c>
      <c r="C61" s="4" t="s">
        <v>7377</v>
      </c>
      <c r="D61" s="4" t="s">
        <v>7378</v>
      </c>
      <c r="E61" s="4" t="s">
        <v>7379</v>
      </c>
      <c r="F61" s="4" t="s">
        <v>401</v>
      </c>
      <c r="G61" s="4" t="s">
        <v>34</v>
      </c>
      <c r="H61" s="4" t="s">
        <v>54</v>
      </c>
      <c r="I61" s="4" t="s">
        <v>7380</v>
      </c>
      <c r="J61" s="4" t="s">
        <v>56</v>
      </c>
      <c r="K61" s="4" t="s">
        <v>56</v>
      </c>
      <c r="L61" s="4" t="s">
        <v>39</v>
      </c>
      <c r="M61" s="4" t="s">
        <v>37</v>
      </c>
      <c r="N61" s="4" t="s">
        <v>37</v>
      </c>
      <c r="O61" s="4" t="s">
        <v>39</v>
      </c>
      <c r="P61" s="4" t="s">
        <v>38</v>
      </c>
      <c r="Q61" s="4" t="s">
        <v>38</v>
      </c>
      <c r="R61" s="4" t="s">
        <v>39</v>
      </c>
      <c r="S61" s="4" t="s">
        <v>1291</v>
      </c>
      <c r="T61" s="4" t="s">
        <v>7327</v>
      </c>
      <c r="U61" s="4" t="s">
        <v>7311</v>
      </c>
      <c r="V61" s="4" t="s">
        <v>6450</v>
      </c>
      <c r="W61" s="4" t="s">
        <v>5607</v>
      </c>
      <c r="X61" s="4"/>
      <c r="Y61" s="4" t="s">
        <v>46</v>
      </c>
      <c r="Z61" s="4"/>
      <c r="AA61" s="4"/>
      <c r="AB61" s="4"/>
      <c r="AC61" s="9">
        <v>1</v>
      </c>
    </row>
    <row r="62" spans="1:29" x14ac:dyDescent="0.45">
      <c r="A62" s="6" t="s">
        <v>6444</v>
      </c>
      <c r="B62" s="5">
        <v>306</v>
      </c>
      <c r="C62" s="5" t="s">
        <v>7381</v>
      </c>
      <c r="D62" s="5" t="s">
        <v>7382</v>
      </c>
      <c r="E62" s="5" t="s">
        <v>269</v>
      </c>
      <c r="F62" s="5" t="s">
        <v>53</v>
      </c>
      <c r="G62" s="5" t="s">
        <v>34</v>
      </c>
      <c r="H62" s="5" t="s">
        <v>54</v>
      </c>
      <c r="I62" s="5" t="s">
        <v>7326</v>
      </c>
      <c r="J62" s="5" t="s">
        <v>56</v>
      </c>
      <c r="K62" s="5" t="s">
        <v>56</v>
      </c>
      <c r="L62" s="5" t="s">
        <v>39</v>
      </c>
      <c r="M62" s="5" t="s">
        <v>37</v>
      </c>
      <c r="N62" s="5" t="s">
        <v>37</v>
      </c>
      <c r="O62" s="5" t="s">
        <v>39</v>
      </c>
      <c r="P62" s="5" t="s">
        <v>38</v>
      </c>
      <c r="Q62" s="5" t="s">
        <v>38</v>
      </c>
      <c r="R62" s="5" t="s">
        <v>39</v>
      </c>
      <c r="S62" s="5" t="s">
        <v>5460</v>
      </c>
      <c r="T62" s="5" t="s">
        <v>7327</v>
      </c>
      <c r="U62" s="5" t="s">
        <v>7311</v>
      </c>
      <c r="V62" s="5" t="s">
        <v>6450</v>
      </c>
      <c r="W62" s="5" t="s">
        <v>7312</v>
      </c>
      <c r="X62" s="5"/>
      <c r="Y62" s="5" t="s">
        <v>46</v>
      </c>
      <c r="Z62" s="5"/>
      <c r="AA62" s="5"/>
      <c r="AB62" s="5"/>
      <c r="AC62" s="7">
        <v>1</v>
      </c>
    </row>
    <row r="63" spans="1:29" x14ac:dyDescent="0.45">
      <c r="A63" s="8" t="s">
        <v>6444</v>
      </c>
      <c r="B63" s="4">
        <v>307</v>
      </c>
      <c r="C63" s="4" t="s">
        <v>7383</v>
      </c>
      <c r="D63" s="4" t="s">
        <v>7384</v>
      </c>
      <c r="E63" s="4" t="s">
        <v>207</v>
      </c>
      <c r="F63" s="4" t="s">
        <v>535</v>
      </c>
      <c r="G63" s="4" t="s">
        <v>177</v>
      </c>
      <c r="H63" s="4" t="s">
        <v>54</v>
      </c>
      <c r="I63" s="4" t="s">
        <v>7385</v>
      </c>
      <c r="J63" s="4" t="s">
        <v>56</v>
      </c>
      <c r="K63" s="4" t="s">
        <v>56</v>
      </c>
      <c r="L63" s="4" t="s">
        <v>39</v>
      </c>
      <c r="M63" s="4" t="s">
        <v>775</v>
      </c>
      <c r="N63" s="4" t="s">
        <v>775</v>
      </c>
      <c r="O63" s="4" t="s">
        <v>39</v>
      </c>
      <c r="P63" s="4" t="s">
        <v>56</v>
      </c>
      <c r="Q63" s="4" t="s">
        <v>56</v>
      </c>
      <c r="R63" s="4" t="s">
        <v>39</v>
      </c>
      <c r="S63" s="4" t="s">
        <v>41</v>
      </c>
      <c r="T63" s="4" t="s">
        <v>7310</v>
      </c>
      <c r="U63" s="4" t="s">
        <v>7311</v>
      </c>
      <c r="V63" s="4" t="s">
        <v>6450</v>
      </c>
      <c r="W63" s="4" t="s">
        <v>7312</v>
      </c>
      <c r="X63" s="4"/>
      <c r="Y63" s="4" t="s">
        <v>46</v>
      </c>
      <c r="Z63" s="4"/>
      <c r="AA63" s="4"/>
      <c r="AB63" s="4"/>
      <c r="AC63" s="9">
        <v>1</v>
      </c>
    </row>
    <row r="64" spans="1:29" x14ac:dyDescent="0.45">
      <c r="A64" s="6" t="s">
        <v>6444</v>
      </c>
      <c r="B64" s="5">
        <v>308</v>
      </c>
      <c r="C64" s="5" t="s">
        <v>7386</v>
      </c>
      <c r="D64" s="5" t="s">
        <v>7387</v>
      </c>
      <c r="E64" s="5" t="s">
        <v>87</v>
      </c>
      <c r="F64" s="5" t="s">
        <v>53</v>
      </c>
      <c r="G64" s="5" t="s">
        <v>177</v>
      </c>
      <c r="H64" s="5" t="s">
        <v>54</v>
      </c>
      <c r="I64" s="5" t="s">
        <v>7322</v>
      </c>
      <c r="J64" s="5" t="s">
        <v>56</v>
      </c>
      <c r="K64" s="5" t="s">
        <v>56</v>
      </c>
      <c r="L64" s="5" t="s">
        <v>39</v>
      </c>
      <c r="M64" s="5" t="s">
        <v>56</v>
      </c>
      <c r="N64" s="5" t="s">
        <v>56</v>
      </c>
      <c r="O64" s="5" t="s">
        <v>39</v>
      </c>
      <c r="P64" s="5" t="s">
        <v>56</v>
      </c>
      <c r="Q64" s="5" t="s">
        <v>37</v>
      </c>
      <c r="R64" s="5" t="s">
        <v>39</v>
      </c>
      <c r="S64" s="5" t="s">
        <v>41</v>
      </c>
      <c r="T64" s="5" t="s">
        <v>7310</v>
      </c>
      <c r="U64" s="5" t="s">
        <v>7311</v>
      </c>
      <c r="V64" s="5" t="s">
        <v>6450</v>
      </c>
      <c r="W64" s="5" t="s">
        <v>7312</v>
      </c>
      <c r="X64" s="5"/>
      <c r="Y64" s="5" t="s">
        <v>46</v>
      </c>
      <c r="Z64" s="5"/>
      <c r="AA64" s="5"/>
      <c r="AB64" s="5"/>
      <c r="AC64" s="7">
        <v>1</v>
      </c>
    </row>
    <row r="65" spans="1:29" x14ac:dyDescent="0.45">
      <c r="A65" s="8" t="s">
        <v>6444</v>
      </c>
      <c r="B65" s="4">
        <v>309</v>
      </c>
      <c r="C65" s="4" t="s">
        <v>7388</v>
      </c>
      <c r="D65" s="4" t="s">
        <v>7389</v>
      </c>
      <c r="E65" s="4" t="s">
        <v>64</v>
      </c>
      <c r="F65" s="4" t="s">
        <v>401</v>
      </c>
      <c r="G65" s="4" t="s">
        <v>34</v>
      </c>
      <c r="H65" s="4" t="s">
        <v>1648</v>
      </c>
      <c r="I65" s="4" t="s">
        <v>7390</v>
      </c>
      <c r="J65" s="4" t="s">
        <v>56</v>
      </c>
      <c r="K65" s="4" t="s">
        <v>56</v>
      </c>
      <c r="L65" s="4" t="s">
        <v>39</v>
      </c>
      <c r="M65" s="4" t="s">
        <v>37</v>
      </c>
      <c r="N65" s="4" t="s">
        <v>37</v>
      </c>
      <c r="O65" s="4" t="s">
        <v>39</v>
      </c>
      <c r="P65" s="4" t="s">
        <v>38</v>
      </c>
      <c r="Q65" s="4" t="s">
        <v>38</v>
      </c>
      <c r="R65" s="4" t="s">
        <v>39</v>
      </c>
      <c r="S65" s="4" t="s">
        <v>1291</v>
      </c>
      <c r="T65" s="4" t="s">
        <v>7327</v>
      </c>
      <c r="U65" s="4" t="s">
        <v>7311</v>
      </c>
      <c r="V65" s="4" t="s">
        <v>6450</v>
      </c>
      <c r="W65" s="4" t="s">
        <v>5607</v>
      </c>
      <c r="X65" s="4"/>
      <c r="Y65" s="4" t="s">
        <v>46</v>
      </c>
      <c r="Z65" s="4"/>
      <c r="AA65" s="4"/>
      <c r="AB65" s="4"/>
      <c r="AC65" s="9">
        <v>1</v>
      </c>
    </row>
    <row r="66" spans="1:29" x14ac:dyDescent="0.45">
      <c r="A66" s="6" t="s">
        <v>6444</v>
      </c>
      <c r="B66" s="5">
        <v>310</v>
      </c>
      <c r="C66" s="5" t="s">
        <v>7391</v>
      </c>
      <c r="D66" s="5" t="s">
        <v>7392</v>
      </c>
      <c r="E66" s="5" t="s">
        <v>1043</v>
      </c>
      <c r="F66" s="5" t="s">
        <v>53</v>
      </c>
      <c r="G66" s="5" t="s">
        <v>34</v>
      </c>
      <c r="H66" s="5" t="s">
        <v>54</v>
      </c>
      <c r="I66" s="5" t="s">
        <v>7326</v>
      </c>
      <c r="J66" s="5" t="s">
        <v>56</v>
      </c>
      <c r="K66" s="5" t="s">
        <v>56</v>
      </c>
      <c r="L66" s="5" t="s">
        <v>39</v>
      </c>
      <c r="M66" s="5" t="s">
        <v>37</v>
      </c>
      <c r="N66" s="5" t="s">
        <v>37</v>
      </c>
      <c r="O66" s="5" t="s">
        <v>39</v>
      </c>
      <c r="P66" s="5" t="s">
        <v>38</v>
      </c>
      <c r="Q66" s="5" t="s">
        <v>38</v>
      </c>
      <c r="R66" s="5" t="s">
        <v>39</v>
      </c>
      <c r="S66" s="5" t="s">
        <v>1291</v>
      </c>
      <c r="T66" s="5" t="s">
        <v>7327</v>
      </c>
      <c r="U66" s="5" t="s">
        <v>7311</v>
      </c>
      <c r="V66" s="5" t="s">
        <v>6450</v>
      </c>
      <c r="W66" s="5" t="s">
        <v>5607</v>
      </c>
      <c r="X66" s="5"/>
      <c r="Y66" s="5" t="s">
        <v>46</v>
      </c>
      <c r="Z66" s="5"/>
      <c r="AA66" s="5"/>
      <c r="AB66" s="5"/>
      <c r="AC66" s="7">
        <v>1</v>
      </c>
    </row>
    <row r="67" spans="1:29" x14ac:dyDescent="0.45">
      <c r="A67" s="8" t="s">
        <v>6444</v>
      </c>
      <c r="B67" s="4">
        <v>311</v>
      </c>
      <c r="C67" s="4" t="s">
        <v>7393</v>
      </c>
      <c r="D67" s="4" t="s">
        <v>5055</v>
      </c>
      <c r="E67" s="4" t="s">
        <v>190</v>
      </c>
      <c r="F67" s="4" t="s">
        <v>53</v>
      </c>
      <c r="G67" s="4" t="s">
        <v>177</v>
      </c>
      <c r="H67" s="4" t="s">
        <v>54</v>
      </c>
      <c r="I67" s="4" t="s">
        <v>7315</v>
      </c>
      <c r="J67" s="4" t="s">
        <v>56</v>
      </c>
      <c r="K67" s="4" t="s">
        <v>37</v>
      </c>
      <c r="L67" s="4" t="s">
        <v>39</v>
      </c>
      <c r="M67" s="4" t="s">
        <v>56</v>
      </c>
      <c r="N67" s="4" t="s">
        <v>56</v>
      </c>
      <c r="O67" s="4" t="s">
        <v>39</v>
      </c>
      <c r="P67" s="4" t="s">
        <v>56</v>
      </c>
      <c r="Q67" s="4" t="s">
        <v>37</v>
      </c>
      <c r="R67" s="4" t="s">
        <v>39</v>
      </c>
      <c r="S67" s="4" t="s">
        <v>41</v>
      </c>
      <c r="T67" s="4" t="s">
        <v>7310</v>
      </c>
      <c r="U67" s="4" t="s">
        <v>7311</v>
      </c>
      <c r="V67" s="4" t="s">
        <v>6450</v>
      </c>
      <c r="W67" s="4" t="s">
        <v>7312</v>
      </c>
      <c r="X67" s="4"/>
      <c r="Y67" s="4" t="s">
        <v>46</v>
      </c>
      <c r="Z67" s="4"/>
      <c r="AA67" s="4"/>
      <c r="AB67" s="4"/>
      <c r="AC67" s="9">
        <v>1</v>
      </c>
    </row>
    <row r="68" spans="1:29" x14ac:dyDescent="0.45">
      <c r="A68" s="6" t="s">
        <v>6444</v>
      </c>
      <c r="B68" s="5">
        <v>312</v>
      </c>
      <c r="C68" s="5" t="s">
        <v>7394</v>
      </c>
      <c r="D68" s="5" t="s">
        <v>6305</v>
      </c>
      <c r="E68" s="5" t="s">
        <v>304</v>
      </c>
      <c r="F68" s="5" t="s">
        <v>53</v>
      </c>
      <c r="G68" s="5" t="s">
        <v>177</v>
      </c>
      <c r="H68" s="5" t="s">
        <v>54</v>
      </c>
      <c r="I68" s="5" t="s">
        <v>7318</v>
      </c>
      <c r="J68" s="5" t="s">
        <v>37</v>
      </c>
      <c r="K68" s="5" t="s">
        <v>37</v>
      </c>
      <c r="L68" s="5" t="s">
        <v>39</v>
      </c>
      <c r="M68" s="5" t="s">
        <v>37</v>
      </c>
      <c r="N68" s="5" t="s">
        <v>37</v>
      </c>
      <c r="O68" s="5" t="s">
        <v>39</v>
      </c>
      <c r="P68" s="5" t="s">
        <v>38</v>
      </c>
      <c r="Q68" s="5" t="s">
        <v>38</v>
      </c>
      <c r="R68" s="5" t="s">
        <v>39</v>
      </c>
      <c r="S68" s="5" t="s">
        <v>41</v>
      </c>
      <c r="T68" s="5" t="s">
        <v>7319</v>
      </c>
      <c r="U68" s="5" t="s">
        <v>7311</v>
      </c>
      <c r="V68" s="5" t="s">
        <v>6450</v>
      </c>
      <c r="W68" s="5" t="s">
        <v>7312</v>
      </c>
      <c r="X68" s="5"/>
      <c r="Y68" s="5" t="s">
        <v>46</v>
      </c>
      <c r="Z68" s="5"/>
      <c r="AA68" s="5"/>
      <c r="AB68" s="5"/>
      <c r="AC68" s="7">
        <v>1</v>
      </c>
    </row>
    <row r="69" spans="1:29" x14ac:dyDescent="0.45">
      <c r="A69" s="8" t="s">
        <v>6444</v>
      </c>
      <c r="B69" s="4">
        <v>448</v>
      </c>
      <c r="C69" s="4" t="s">
        <v>7770</v>
      </c>
      <c r="D69" s="4" t="s">
        <v>7771</v>
      </c>
      <c r="E69" s="4" t="s">
        <v>3206</v>
      </c>
      <c r="F69" s="4" t="s">
        <v>7772</v>
      </c>
      <c r="G69" s="4" t="s">
        <v>34</v>
      </c>
      <c r="H69" s="4" t="s">
        <v>54</v>
      </c>
      <c r="I69" s="4" t="s">
        <v>7773</v>
      </c>
      <c r="J69" s="4" t="s">
        <v>38</v>
      </c>
      <c r="K69" s="4" t="s">
        <v>38</v>
      </c>
      <c r="L69" s="4" t="s">
        <v>40</v>
      </c>
      <c r="M69" s="4" t="s">
        <v>56</v>
      </c>
      <c r="N69" s="4" t="s">
        <v>56</v>
      </c>
      <c r="O69" s="4" t="s">
        <v>39</v>
      </c>
      <c r="P69" s="4" t="s">
        <v>37</v>
      </c>
      <c r="Q69" s="4" t="s">
        <v>37</v>
      </c>
      <c r="R69" s="4" t="s">
        <v>39</v>
      </c>
      <c r="S69" s="4" t="s">
        <v>41</v>
      </c>
      <c r="T69" s="4" t="s">
        <v>7368</v>
      </c>
      <c r="U69" s="4" t="s">
        <v>7369</v>
      </c>
      <c r="V69" s="4" t="s">
        <v>6450</v>
      </c>
      <c r="W69" s="4" t="s">
        <v>7312</v>
      </c>
      <c r="X69" s="4"/>
      <c r="Y69" s="4" t="s">
        <v>46</v>
      </c>
      <c r="Z69" s="4"/>
      <c r="AA69" s="4"/>
      <c r="AB69" s="4" t="s">
        <v>5667</v>
      </c>
      <c r="AC69" s="9">
        <v>1</v>
      </c>
    </row>
    <row r="70" spans="1:29" x14ac:dyDescent="0.45">
      <c r="A70" s="6" t="s">
        <v>6444</v>
      </c>
      <c r="B70" s="5">
        <v>487</v>
      </c>
      <c r="C70" s="5" t="s">
        <v>7880</v>
      </c>
      <c r="D70" s="5" t="s">
        <v>7881</v>
      </c>
      <c r="E70" s="5" t="s">
        <v>967</v>
      </c>
      <c r="F70" s="5" t="s">
        <v>7882</v>
      </c>
      <c r="G70" s="5" t="s">
        <v>177</v>
      </c>
      <c r="H70" s="5" t="s">
        <v>54</v>
      </c>
      <c r="I70" s="5" t="s">
        <v>7883</v>
      </c>
      <c r="J70" s="5" t="s">
        <v>775</v>
      </c>
      <c r="K70" s="5" t="s">
        <v>775</v>
      </c>
      <c r="L70" s="5" t="s">
        <v>39</v>
      </c>
      <c r="M70" s="5" t="s">
        <v>775</v>
      </c>
      <c r="N70" s="5" t="s">
        <v>775</v>
      </c>
      <c r="O70" s="5" t="s">
        <v>39</v>
      </c>
      <c r="P70" s="5" t="s">
        <v>56</v>
      </c>
      <c r="Q70" s="5" t="s">
        <v>56</v>
      </c>
      <c r="R70" s="5" t="s">
        <v>39</v>
      </c>
      <c r="S70" s="5" t="s">
        <v>7884</v>
      </c>
      <c r="T70" s="5" t="s">
        <v>7310</v>
      </c>
      <c r="U70" s="5" t="s">
        <v>7311</v>
      </c>
      <c r="V70" s="5" t="s">
        <v>6450</v>
      </c>
      <c r="W70" s="5" t="s">
        <v>7312</v>
      </c>
      <c r="X70" s="5"/>
      <c r="Y70" s="5" t="s">
        <v>46</v>
      </c>
      <c r="Z70" s="5"/>
      <c r="AA70" s="5"/>
      <c r="AB70" s="5"/>
      <c r="AC70" s="7">
        <v>1</v>
      </c>
    </row>
    <row r="71" spans="1:29" x14ac:dyDescent="0.45">
      <c r="A71" s="8" t="s">
        <v>6444</v>
      </c>
      <c r="B71" s="4">
        <v>488</v>
      </c>
      <c r="C71" s="4" t="s">
        <v>7885</v>
      </c>
      <c r="D71" s="4" t="s">
        <v>3106</v>
      </c>
      <c r="E71" s="4" t="s">
        <v>515</v>
      </c>
      <c r="F71" s="4" t="s">
        <v>684</v>
      </c>
      <c r="G71" s="4" t="s">
        <v>177</v>
      </c>
      <c r="H71" s="4" t="s">
        <v>54</v>
      </c>
      <c r="I71" s="4" t="s">
        <v>7886</v>
      </c>
      <c r="J71" s="4" t="s">
        <v>37</v>
      </c>
      <c r="K71" s="4" t="s">
        <v>37</v>
      </c>
      <c r="L71" s="4" t="s">
        <v>39</v>
      </c>
      <c r="M71" s="4" t="s">
        <v>37</v>
      </c>
      <c r="N71" s="4" t="s">
        <v>37</v>
      </c>
      <c r="O71" s="4" t="s">
        <v>121</v>
      </c>
      <c r="P71" s="4" t="s">
        <v>37</v>
      </c>
      <c r="Q71" s="4" t="s">
        <v>37</v>
      </c>
      <c r="R71" s="4" t="s">
        <v>39</v>
      </c>
      <c r="S71" s="4" t="s">
        <v>41</v>
      </c>
      <c r="T71" s="4" t="s">
        <v>7319</v>
      </c>
      <c r="U71" s="4" t="s">
        <v>7311</v>
      </c>
      <c r="V71" s="4" t="s">
        <v>6450</v>
      </c>
      <c r="W71" s="4" t="s">
        <v>7312</v>
      </c>
      <c r="X71" s="4"/>
      <c r="Y71" s="4" t="s">
        <v>46</v>
      </c>
      <c r="Z71" s="4"/>
      <c r="AA71" s="4"/>
      <c r="AB71" s="4"/>
      <c r="AC71" s="9">
        <v>1</v>
      </c>
    </row>
    <row r="72" spans="1:29" x14ac:dyDescent="0.45">
      <c r="A72" s="6" t="s">
        <v>6444</v>
      </c>
      <c r="B72" s="5">
        <v>489</v>
      </c>
      <c r="C72" s="5" t="s">
        <v>7887</v>
      </c>
      <c r="D72" s="5" t="s">
        <v>196</v>
      </c>
      <c r="E72" s="5" t="s">
        <v>64</v>
      </c>
      <c r="F72" s="5" t="s">
        <v>456</v>
      </c>
      <c r="G72" s="5" t="s">
        <v>34</v>
      </c>
      <c r="H72" s="5" t="s">
        <v>54</v>
      </c>
      <c r="I72" s="5" t="s">
        <v>7888</v>
      </c>
      <c r="J72" s="5" t="s">
        <v>56</v>
      </c>
      <c r="K72" s="5" t="s">
        <v>56</v>
      </c>
      <c r="L72" s="5" t="s">
        <v>39</v>
      </c>
      <c r="M72" s="5" t="s">
        <v>37</v>
      </c>
      <c r="N72" s="5" t="s">
        <v>37</v>
      </c>
      <c r="O72" s="5" t="s">
        <v>39</v>
      </c>
      <c r="P72" s="5" t="s">
        <v>38</v>
      </c>
      <c r="Q72" s="5" t="s">
        <v>38</v>
      </c>
      <c r="R72" s="5" t="s">
        <v>39</v>
      </c>
      <c r="S72" s="5" t="s">
        <v>5460</v>
      </c>
      <c r="T72" s="5" t="s">
        <v>7327</v>
      </c>
      <c r="U72" s="5" t="s">
        <v>7311</v>
      </c>
      <c r="V72" s="5" t="s">
        <v>6450</v>
      </c>
      <c r="W72" s="5" t="s">
        <v>7312</v>
      </c>
      <c r="X72" s="5"/>
      <c r="Y72" s="5" t="s">
        <v>46</v>
      </c>
      <c r="Z72" s="5"/>
      <c r="AA72" s="5"/>
      <c r="AB72" s="5"/>
      <c r="AC72" s="7">
        <v>1</v>
      </c>
    </row>
    <row r="73" spans="1:29" x14ac:dyDescent="0.45">
      <c r="A73" s="8" t="s">
        <v>6444</v>
      </c>
      <c r="B73" s="4">
        <v>500</v>
      </c>
      <c r="C73" s="4" t="s">
        <v>7916</v>
      </c>
      <c r="D73" s="4" t="s">
        <v>7917</v>
      </c>
      <c r="E73" s="4" t="s">
        <v>304</v>
      </c>
      <c r="F73" s="4" t="s">
        <v>53</v>
      </c>
      <c r="G73" s="4" t="s">
        <v>177</v>
      </c>
      <c r="H73" s="4" t="s">
        <v>54</v>
      </c>
      <c r="I73" s="4" t="s">
        <v>7318</v>
      </c>
      <c r="J73" s="4" t="s">
        <v>37</v>
      </c>
      <c r="K73" s="4" t="s">
        <v>37</v>
      </c>
      <c r="L73" s="4" t="s">
        <v>39</v>
      </c>
      <c r="M73" s="4" t="s">
        <v>37</v>
      </c>
      <c r="N73" s="4" t="s">
        <v>37</v>
      </c>
      <c r="O73" s="4" t="s">
        <v>39</v>
      </c>
      <c r="P73" s="4" t="s">
        <v>37</v>
      </c>
      <c r="Q73" s="4" t="s">
        <v>37</v>
      </c>
      <c r="R73" s="4" t="s">
        <v>39</v>
      </c>
      <c r="S73" s="4" t="s">
        <v>41</v>
      </c>
      <c r="T73" s="4" t="s">
        <v>7319</v>
      </c>
      <c r="U73" s="4" t="s">
        <v>7311</v>
      </c>
      <c r="V73" s="4" t="s">
        <v>6450</v>
      </c>
      <c r="W73" s="4" t="s">
        <v>7312</v>
      </c>
      <c r="X73" s="4"/>
      <c r="Y73" s="4" t="s">
        <v>46</v>
      </c>
      <c r="Z73" s="4"/>
      <c r="AA73" s="4"/>
      <c r="AB73" s="4"/>
      <c r="AC73" s="9">
        <v>1</v>
      </c>
    </row>
    <row r="74" spans="1:29" x14ac:dyDescent="0.45">
      <c r="A74" s="6" t="s">
        <v>6444</v>
      </c>
      <c r="B74" s="5">
        <v>501</v>
      </c>
      <c r="C74" s="5" t="s">
        <v>7918</v>
      </c>
      <c r="D74" s="5" t="s">
        <v>7919</v>
      </c>
      <c r="E74" s="5" t="s">
        <v>857</v>
      </c>
      <c r="F74" s="5" t="s">
        <v>53</v>
      </c>
      <c r="G74" s="5" t="s">
        <v>34</v>
      </c>
      <c r="H74" s="5" t="s">
        <v>54</v>
      </c>
      <c r="I74" s="5" t="s">
        <v>7345</v>
      </c>
      <c r="J74" s="5" t="s">
        <v>56</v>
      </c>
      <c r="K74" s="5" t="s">
        <v>56</v>
      </c>
      <c r="L74" s="5" t="s">
        <v>39</v>
      </c>
      <c r="M74" s="5" t="s">
        <v>37</v>
      </c>
      <c r="N74" s="5" t="s">
        <v>37</v>
      </c>
      <c r="O74" s="5" t="s">
        <v>39</v>
      </c>
      <c r="P74" s="5" t="s">
        <v>38</v>
      </c>
      <c r="Q74" s="5" t="s">
        <v>38</v>
      </c>
      <c r="R74" s="5" t="s">
        <v>39</v>
      </c>
      <c r="S74" s="5" t="s">
        <v>1291</v>
      </c>
      <c r="T74" s="5" t="s">
        <v>7327</v>
      </c>
      <c r="U74" s="5" t="s">
        <v>7311</v>
      </c>
      <c r="V74" s="5" t="s">
        <v>6450</v>
      </c>
      <c r="W74" s="5" t="s">
        <v>5607</v>
      </c>
      <c r="X74" s="5"/>
      <c r="Y74" s="5" t="s">
        <v>46</v>
      </c>
      <c r="Z74" s="5"/>
      <c r="AA74" s="5"/>
      <c r="AB74" s="5"/>
      <c r="AC74" s="7">
        <v>1</v>
      </c>
    </row>
    <row r="75" spans="1:29" x14ac:dyDescent="0.45">
      <c r="A75" s="8" t="s">
        <v>6444</v>
      </c>
      <c r="B75" s="4">
        <v>503</v>
      </c>
      <c r="C75" s="4" t="s">
        <v>7922</v>
      </c>
      <c r="D75" s="4" t="s">
        <v>7663</v>
      </c>
      <c r="E75" s="4" t="s">
        <v>857</v>
      </c>
      <c r="F75" s="4" t="s">
        <v>53</v>
      </c>
      <c r="G75" s="4" t="s">
        <v>34</v>
      </c>
      <c r="H75" s="4" t="s">
        <v>54</v>
      </c>
      <c r="I75" s="4" t="s">
        <v>7345</v>
      </c>
      <c r="J75" s="4" t="s">
        <v>56</v>
      </c>
      <c r="K75" s="4" t="s">
        <v>56</v>
      </c>
      <c r="L75" s="4" t="s">
        <v>39</v>
      </c>
      <c r="M75" s="4" t="s">
        <v>37</v>
      </c>
      <c r="N75" s="4" t="s">
        <v>37</v>
      </c>
      <c r="O75" s="4" t="s">
        <v>39</v>
      </c>
      <c r="P75" s="4" t="s">
        <v>38</v>
      </c>
      <c r="Q75" s="4" t="s">
        <v>38</v>
      </c>
      <c r="R75" s="4" t="s">
        <v>39</v>
      </c>
      <c r="S75" s="4" t="s">
        <v>1291</v>
      </c>
      <c r="T75" s="4" t="s">
        <v>7327</v>
      </c>
      <c r="U75" s="4" t="s">
        <v>7311</v>
      </c>
      <c r="V75" s="4" t="s">
        <v>6450</v>
      </c>
      <c r="W75" s="4" t="s">
        <v>7312</v>
      </c>
      <c r="X75" s="4"/>
      <c r="Y75" s="4" t="s">
        <v>46</v>
      </c>
      <c r="Z75" s="4"/>
      <c r="AA75" s="4"/>
      <c r="AB75" s="4"/>
      <c r="AC75" s="9">
        <v>1</v>
      </c>
    </row>
    <row r="76" spans="1:29" x14ac:dyDescent="0.45">
      <c r="A76" s="6" t="s">
        <v>6444</v>
      </c>
      <c r="B76" s="5">
        <v>505</v>
      </c>
      <c r="C76" s="5" t="s">
        <v>7926</v>
      </c>
      <c r="D76" s="5" t="s">
        <v>7927</v>
      </c>
      <c r="E76" s="5" t="s">
        <v>255</v>
      </c>
      <c r="F76" s="5" t="s">
        <v>53</v>
      </c>
      <c r="G76" s="5" t="s">
        <v>177</v>
      </c>
      <c r="H76" s="5" t="s">
        <v>54</v>
      </c>
      <c r="I76" s="5" t="s">
        <v>7322</v>
      </c>
      <c r="J76" s="5" t="s">
        <v>37</v>
      </c>
      <c r="K76" s="5" t="s">
        <v>37</v>
      </c>
      <c r="L76" s="5" t="s">
        <v>40</v>
      </c>
      <c r="M76" s="5" t="s">
        <v>56</v>
      </c>
      <c r="N76" s="5" t="s">
        <v>56</v>
      </c>
      <c r="O76" s="5" t="s">
        <v>39</v>
      </c>
      <c r="P76" s="5" t="s">
        <v>37</v>
      </c>
      <c r="Q76" s="5" t="s">
        <v>38</v>
      </c>
      <c r="R76" s="5" t="s">
        <v>40</v>
      </c>
      <c r="S76" s="5" t="s">
        <v>41</v>
      </c>
      <c r="T76" s="5" t="s">
        <v>7310</v>
      </c>
      <c r="U76" s="5" t="s">
        <v>7311</v>
      </c>
      <c r="V76" s="5" t="s">
        <v>6450</v>
      </c>
      <c r="W76" s="5" t="s">
        <v>7312</v>
      </c>
      <c r="X76" s="5"/>
      <c r="Y76" s="5" t="s">
        <v>46</v>
      </c>
      <c r="Z76" s="5"/>
      <c r="AA76" s="5"/>
      <c r="AB76" s="5"/>
      <c r="AC76" s="7">
        <v>1</v>
      </c>
    </row>
    <row r="77" spans="1:29" x14ac:dyDescent="0.45">
      <c r="A77" s="8" t="s">
        <v>6444</v>
      </c>
      <c r="B77" s="4">
        <v>513</v>
      </c>
      <c r="C77" s="4" t="s">
        <v>7951</v>
      </c>
      <c r="D77" s="4" t="s">
        <v>7952</v>
      </c>
      <c r="E77" s="4" t="s">
        <v>798</v>
      </c>
      <c r="F77" s="4" t="s">
        <v>684</v>
      </c>
      <c r="G77" s="4" t="s">
        <v>177</v>
      </c>
      <c r="H77" s="4" t="s">
        <v>54</v>
      </c>
      <c r="I77" s="4" t="s">
        <v>7953</v>
      </c>
      <c r="J77" s="4" t="s">
        <v>56</v>
      </c>
      <c r="K77" s="4" t="s">
        <v>37</v>
      </c>
      <c r="L77" s="4" t="s">
        <v>39</v>
      </c>
      <c r="M77" s="4" t="s">
        <v>37</v>
      </c>
      <c r="N77" s="4" t="s">
        <v>37</v>
      </c>
      <c r="O77" s="4" t="s">
        <v>39</v>
      </c>
      <c r="P77" s="4" t="s">
        <v>37</v>
      </c>
      <c r="Q77" s="4" t="s">
        <v>37</v>
      </c>
      <c r="R77" s="4" t="s">
        <v>39</v>
      </c>
      <c r="S77" s="4" t="s">
        <v>41</v>
      </c>
      <c r="T77" s="4" t="s">
        <v>7319</v>
      </c>
      <c r="U77" s="4" t="s">
        <v>7311</v>
      </c>
      <c r="V77" s="4" t="s">
        <v>6450</v>
      </c>
      <c r="W77" s="4" t="s">
        <v>7312</v>
      </c>
      <c r="X77" s="4"/>
      <c r="Y77" s="4" t="s">
        <v>46</v>
      </c>
      <c r="Z77" s="4"/>
      <c r="AA77" s="4"/>
      <c r="AB77" s="4"/>
      <c r="AC77" s="9">
        <v>1</v>
      </c>
    </row>
    <row r="78" spans="1:29" x14ac:dyDescent="0.45">
      <c r="A78" s="6" t="s">
        <v>6444</v>
      </c>
      <c r="B78" s="5">
        <v>514</v>
      </c>
      <c r="C78" s="5" t="s">
        <v>7954</v>
      </c>
      <c r="D78" s="5" t="s">
        <v>7955</v>
      </c>
      <c r="E78" s="5" t="s">
        <v>176</v>
      </c>
      <c r="F78" s="5" t="s">
        <v>426</v>
      </c>
      <c r="G78" s="5" t="s">
        <v>177</v>
      </c>
      <c r="H78" s="5" t="s">
        <v>54</v>
      </c>
      <c r="I78" s="5" t="s">
        <v>6268</v>
      </c>
      <c r="J78" s="5" t="s">
        <v>56</v>
      </c>
      <c r="K78" s="5" t="s">
        <v>56</v>
      </c>
      <c r="L78" s="5" t="s">
        <v>39</v>
      </c>
      <c r="M78" s="5" t="s">
        <v>56</v>
      </c>
      <c r="N78" s="5" t="s">
        <v>56</v>
      </c>
      <c r="O78" s="5" t="s">
        <v>39</v>
      </c>
      <c r="P78" s="5" t="s">
        <v>56</v>
      </c>
      <c r="Q78" s="5" t="s">
        <v>56</v>
      </c>
      <c r="R78" s="5" t="s">
        <v>39</v>
      </c>
      <c r="S78" s="5" t="s">
        <v>41</v>
      </c>
      <c r="T78" s="5" t="s">
        <v>7310</v>
      </c>
      <c r="U78" s="5" t="s">
        <v>7311</v>
      </c>
      <c r="V78" s="5" t="s">
        <v>6450</v>
      </c>
      <c r="W78" s="5" t="s">
        <v>5607</v>
      </c>
      <c r="X78" s="5"/>
      <c r="Y78" s="5" t="s">
        <v>46</v>
      </c>
      <c r="Z78" s="5"/>
      <c r="AA78" s="5"/>
      <c r="AB78" s="5"/>
      <c r="AC78" s="7">
        <v>1</v>
      </c>
    </row>
    <row r="79" spans="1:29" x14ac:dyDescent="0.45">
      <c r="A79" s="8" t="s">
        <v>6444</v>
      </c>
      <c r="B79" s="4">
        <v>515</v>
      </c>
      <c r="C79" s="4" t="s">
        <v>7956</v>
      </c>
      <c r="D79" s="4" t="s">
        <v>7957</v>
      </c>
      <c r="E79" s="4" t="s">
        <v>857</v>
      </c>
      <c r="F79" s="4" t="s">
        <v>53</v>
      </c>
      <c r="G79" s="4" t="s">
        <v>34</v>
      </c>
      <c r="H79" s="4" t="s">
        <v>54</v>
      </c>
      <c r="I79" s="4" t="s">
        <v>7326</v>
      </c>
      <c r="J79" s="4" t="s">
        <v>56</v>
      </c>
      <c r="K79" s="4" t="s">
        <v>56</v>
      </c>
      <c r="L79" s="4" t="s">
        <v>39</v>
      </c>
      <c r="M79" s="4" t="s">
        <v>37</v>
      </c>
      <c r="N79" s="4" t="s">
        <v>37</v>
      </c>
      <c r="O79" s="4" t="s">
        <v>39</v>
      </c>
      <c r="P79" s="4" t="s">
        <v>38</v>
      </c>
      <c r="Q79" s="4" t="s">
        <v>38</v>
      </c>
      <c r="R79" s="4" t="s">
        <v>39</v>
      </c>
      <c r="S79" s="4" t="s">
        <v>7958</v>
      </c>
      <c r="T79" s="4" t="s">
        <v>7327</v>
      </c>
      <c r="U79" s="4" t="s">
        <v>7311</v>
      </c>
      <c r="V79" s="4" t="s">
        <v>6450</v>
      </c>
      <c r="W79" s="4" t="s">
        <v>7312</v>
      </c>
      <c r="X79" s="4"/>
      <c r="Y79" s="4" t="s">
        <v>46</v>
      </c>
      <c r="Z79" s="4"/>
      <c r="AA79" s="4"/>
      <c r="AB79" s="4"/>
      <c r="AC79" s="9">
        <v>1</v>
      </c>
    </row>
    <row r="80" spans="1:29" x14ac:dyDescent="0.45">
      <c r="A80" s="6" t="s">
        <v>6444</v>
      </c>
      <c r="B80" s="5">
        <v>516</v>
      </c>
      <c r="C80" s="5" t="s">
        <v>7959</v>
      </c>
      <c r="D80" s="5" t="s">
        <v>7261</v>
      </c>
      <c r="E80" s="5" t="s">
        <v>416</v>
      </c>
      <c r="F80" s="5" t="s">
        <v>401</v>
      </c>
      <c r="G80" s="5" t="s">
        <v>177</v>
      </c>
      <c r="H80" s="5" t="s">
        <v>54</v>
      </c>
      <c r="I80" s="5" t="s">
        <v>7960</v>
      </c>
      <c r="J80" s="5" t="s">
        <v>56</v>
      </c>
      <c r="K80" s="5" t="s">
        <v>37</v>
      </c>
      <c r="L80" s="5" t="s">
        <v>121</v>
      </c>
      <c r="M80" s="5" t="s">
        <v>37</v>
      </c>
      <c r="N80" s="5" t="s">
        <v>37</v>
      </c>
      <c r="O80" s="5" t="s">
        <v>39</v>
      </c>
      <c r="P80" s="5" t="s">
        <v>38</v>
      </c>
      <c r="Q80" s="5" t="s">
        <v>38</v>
      </c>
      <c r="R80" s="5" t="s">
        <v>39</v>
      </c>
      <c r="S80" s="5" t="s">
        <v>5625</v>
      </c>
      <c r="T80" s="5" t="s">
        <v>7319</v>
      </c>
      <c r="U80" s="5" t="s">
        <v>7311</v>
      </c>
      <c r="V80" s="5" t="s">
        <v>6450</v>
      </c>
      <c r="W80" s="5" t="s">
        <v>7312</v>
      </c>
      <c r="X80" s="5"/>
      <c r="Y80" s="5" t="s">
        <v>46</v>
      </c>
      <c r="Z80" s="5"/>
      <c r="AA80" s="5"/>
      <c r="AB80" s="5"/>
      <c r="AC80" s="7">
        <v>1</v>
      </c>
    </row>
    <row r="81" spans="1:29" x14ac:dyDescent="0.45">
      <c r="A81" s="8" t="s">
        <v>6444</v>
      </c>
      <c r="B81" s="4">
        <v>518</v>
      </c>
      <c r="C81" s="4" t="s">
        <v>7965</v>
      </c>
      <c r="D81" s="4" t="s">
        <v>7966</v>
      </c>
      <c r="E81" s="4" t="s">
        <v>7967</v>
      </c>
      <c r="F81" s="4" t="s">
        <v>3698</v>
      </c>
      <c r="G81" s="4" t="s">
        <v>177</v>
      </c>
      <c r="H81" s="4" t="s">
        <v>54</v>
      </c>
      <c r="I81" s="4" t="s">
        <v>7968</v>
      </c>
      <c r="J81" s="4" t="s">
        <v>56</v>
      </c>
      <c r="K81" s="4" t="s">
        <v>56</v>
      </c>
      <c r="L81" s="4" t="s">
        <v>39</v>
      </c>
      <c r="M81" s="4" t="s">
        <v>56</v>
      </c>
      <c r="N81" s="4" t="s">
        <v>56</v>
      </c>
      <c r="O81" s="4" t="s">
        <v>39</v>
      </c>
      <c r="P81" s="4" t="s">
        <v>37</v>
      </c>
      <c r="Q81" s="4" t="s">
        <v>37</v>
      </c>
      <c r="R81" s="4" t="s">
        <v>39</v>
      </c>
      <c r="S81" s="4" t="s">
        <v>41</v>
      </c>
      <c r="T81" s="4" t="s">
        <v>7310</v>
      </c>
      <c r="U81" s="4" t="s">
        <v>7311</v>
      </c>
      <c r="V81" s="4" t="s">
        <v>6450</v>
      </c>
      <c r="W81" s="4" t="s">
        <v>5607</v>
      </c>
      <c r="X81" s="4"/>
      <c r="Y81" s="4" t="s">
        <v>46</v>
      </c>
      <c r="Z81" s="4"/>
      <c r="AA81" s="4"/>
      <c r="AB81" s="4"/>
      <c r="AC81" s="9">
        <v>1</v>
      </c>
    </row>
    <row r="82" spans="1:29" x14ac:dyDescent="0.45">
      <c r="A82" s="6" t="s">
        <v>6444</v>
      </c>
      <c r="B82" s="5">
        <v>523</v>
      </c>
      <c r="C82" s="5" t="s">
        <v>7981</v>
      </c>
      <c r="D82" s="5" t="s">
        <v>7982</v>
      </c>
      <c r="E82" s="5" t="s">
        <v>7983</v>
      </c>
      <c r="F82" s="5" t="s">
        <v>53</v>
      </c>
      <c r="G82" s="5" t="s">
        <v>34</v>
      </c>
      <c r="H82" s="5" t="s">
        <v>54</v>
      </c>
      <c r="I82" s="5" t="s">
        <v>7345</v>
      </c>
      <c r="J82" s="5" t="s">
        <v>56</v>
      </c>
      <c r="K82" s="5" t="s">
        <v>56</v>
      </c>
      <c r="L82" s="5" t="s">
        <v>39</v>
      </c>
      <c r="M82" s="5" t="s">
        <v>37</v>
      </c>
      <c r="N82" s="5" t="s">
        <v>37</v>
      </c>
      <c r="O82" s="5" t="s">
        <v>39</v>
      </c>
      <c r="P82" s="5" t="s">
        <v>38</v>
      </c>
      <c r="Q82" s="5" t="s">
        <v>38</v>
      </c>
      <c r="R82" s="5" t="s">
        <v>39</v>
      </c>
      <c r="S82" s="5" t="s">
        <v>4783</v>
      </c>
      <c r="T82" s="5" t="s">
        <v>7327</v>
      </c>
      <c r="U82" s="5" t="s">
        <v>7311</v>
      </c>
      <c r="V82" s="5" t="s">
        <v>6450</v>
      </c>
      <c r="W82" s="5" t="s">
        <v>7312</v>
      </c>
      <c r="X82" s="5"/>
      <c r="Y82" s="5" t="s">
        <v>46</v>
      </c>
      <c r="Z82" s="5"/>
      <c r="AA82" s="5"/>
      <c r="AB82" s="5"/>
      <c r="AC82" s="7">
        <v>1</v>
      </c>
    </row>
    <row r="83" spans="1:29" x14ac:dyDescent="0.45">
      <c r="A83" s="8" t="s">
        <v>6444</v>
      </c>
      <c r="B83" s="4">
        <v>524</v>
      </c>
      <c r="C83" s="4" t="s">
        <v>7984</v>
      </c>
      <c r="D83" s="4" t="s">
        <v>7985</v>
      </c>
      <c r="E83" s="4" t="s">
        <v>69</v>
      </c>
      <c r="F83" s="4" t="s">
        <v>53</v>
      </c>
      <c r="G83" s="4" t="s">
        <v>34</v>
      </c>
      <c r="H83" s="4" t="s">
        <v>54</v>
      </c>
      <c r="I83" s="4" t="s">
        <v>7322</v>
      </c>
      <c r="J83" s="4" t="s">
        <v>37</v>
      </c>
      <c r="K83" s="4" t="s">
        <v>38</v>
      </c>
      <c r="L83" s="4" t="s">
        <v>39</v>
      </c>
      <c r="M83" s="4" t="s">
        <v>56</v>
      </c>
      <c r="N83" s="4" t="s">
        <v>56</v>
      </c>
      <c r="O83" s="4" t="s">
        <v>39</v>
      </c>
      <c r="P83" s="4" t="s">
        <v>37</v>
      </c>
      <c r="Q83" s="4" t="s">
        <v>37</v>
      </c>
      <c r="R83" s="4" t="s">
        <v>39</v>
      </c>
      <c r="S83" s="4" t="s">
        <v>41</v>
      </c>
      <c r="T83" s="4" t="s">
        <v>7310</v>
      </c>
      <c r="U83" s="4" t="s">
        <v>7311</v>
      </c>
      <c r="V83" s="4" t="s">
        <v>6450</v>
      </c>
      <c r="W83" s="4" t="s">
        <v>7312</v>
      </c>
      <c r="X83" s="4"/>
      <c r="Y83" s="4" t="s">
        <v>46</v>
      </c>
      <c r="Z83" s="4"/>
      <c r="AA83" s="4"/>
      <c r="AB83" s="4"/>
      <c r="AC83" s="9">
        <v>1</v>
      </c>
    </row>
    <row r="84" spans="1:29" x14ac:dyDescent="0.45">
      <c r="A84" s="6" t="s">
        <v>6444</v>
      </c>
      <c r="B84" s="5">
        <v>525</v>
      </c>
      <c r="C84" s="5" t="s">
        <v>7986</v>
      </c>
      <c r="D84" s="5" t="s">
        <v>7987</v>
      </c>
      <c r="E84" s="5" t="s">
        <v>857</v>
      </c>
      <c r="F84" s="5" t="s">
        <v>53</v>
      </c>
      <c r="G84" s="5" t="s">
        <v>34</v>
      </c>
      <c r="H84" s="5" t="s">
        <v>54</v>
      </c>
      <c r="I84" s="5" t="s">
        <v>7988</v>
      </c>
      <c r="J84" s="5" t="s">
        <v>56</v>
      </c>
      <c r="K84" s="5" t="s">
        <v>56</v>
      </c>
      <c r="L84" s="5" t="s">
        <v>39</v>
      </c>
      <c r="M84" s="5" t="s">
        <v>37</v>
      </c>
      <c r="N84" s="5" t="s">
        <v>37</v>
      </c>
      <c r="O84" s="5" t="s">
        <v>39</v>
      </c>
      <c r="P84" s="5" t="s">
        <v>38</v>
      </c>
      <c r="Q84" s="5" t="s">
        <v>38</v>
      </c>
      <c r="R84" s="5" t="s">
        <v>39</v>
      </c>
      <c r="S84" s="5" t="s">
        <v>5460</v>
      </c>
      <c r="T84" s="5" t="s">
        <v>7327</v>
      </c>
      <c r="U84" s="5" t="s">
        <v>7311</v>
      </c>
      <c r="V84" s="5" t="s">
        <v>6450</v>
      </c>
      <c r="W84" s="5" t="s">
        <v>5607</v>
      </c>
      <c r="X84" s="5"/>
      <c r="Y84" s="5" t="s">
        <v>46</v>
      </c>
      <c r="Z84" s="5"/>
      <c r="AA84" s="5"/>
      <c r="AB84" s="5"/>
      <c r="AC84" s="7">
        <v>1</v>
      </c>
    </row>
    <row r="85" spans="1:29" x14ac:dyDescent="0.45">
      <c r="A85" s="8" t="s">
        <v>6444</v>
      </c>
      <c r="B85" s="4">
        <v>526</v>
      </c>
      <c r="C85" s="4" t="s">
        <v>7989</v>
      </c>
      <c r="D85" s="4" t="s">
        <v>7990</v>
      </c>
      <c r="E85" s="4" t="s">
        <v>857</v>
      </c>
      <c r="F85" s="4" t="s">
        <v>53</v>
      </c>
      <c r="G85" s="4" t="s">
        <v>34</v>
      </c>
      <c r="H85" s="4" t="s">
        <v>54</v>
      </c>
      <c r="I85" s="4" t="s">
        <v>7326</v>
      </c>
      <c r="J85" s="4" t="s">
        <v>56</v>
      </c>
      <c r="K85" s="4" t="s">
        <v>56</v>
      </c>
      <c r="L85" s="4" t="s">
        <v>39</v>
      </c>
      <c r="M85" s="4" t="s">
        <v>37</v>
      </c>
      <c r="N85" s="4" t="s">
        <v>37</v>
      </c>
      <c r="O85" s="4" t="s">
        <v>39</v>
      </c>
      <c r="P85" s="4" t="s">
        <v>38</v>
      </c>
      <c r="Q85" s="4" t="s">
        <v>38</v>
      </c>
      <c r="R85" s="4" t="s">
        <v>39</v>
      </c>
      <c r="S85" s="4" t="s">
        <v>1291</v>
      </c>
      <c r="T85" s="4" t="s">
        <v>7327</v>
      </c>
      <c r="U85" s="4" t="s">
        <v>7311</v>
      </c>
      <c r="V85" s="4" t="s">
        <v>6450</v>
      </c>
      <c r="W85" s="4" t="s">
        <v>7312</v>
      </c>
      <c r="X85" s="4"/>
      <c r="Y85" s="4" t="s">
        <v>46</v>
      </c>
      <c r="Z85" s="4"/>
      <c r="AA85" s="4"/>
      <c r="AB85" s="4"/>
      <c r="AC85" s="9">
        <v>1</v>
      </c>
    </row>
    <row r="86" spans="1:29" x14ac:dyDescent="0.45">
      <c r="A86" s="6" t="s">
        <v>6444</v>
      </c>
      <c r="B86" s="5">
        <v>527</v>
      </c>
      <c r="C86" s="5" t="s">
        <v>7991</v>
      </c>
      <c r="D86" s="5" t="s">
        <v>7992</v>
      </c>
      <c r="E86" s="5" t="s">
        <v>416</v>
      </c>
      <c r="F86" s="5" t="s">
        <v>401</v>
      </c>
      <c r="G86" s="5" t="s">
        <v>177</v>
      </c>
      <c r="H86" s="5" t="s">
        <v>54</v>
      </c>
      <c r="I86" s="5" t="s">
        <v>6268</v>
      </c>
      <c r="J86" s="5" t="s">
        <v>37</v>
      </c>
      <c r="K86" s="5" t="s">
        <v>37</v>
      </c>
      <c r="L86" s="5" t="s">
        <v>40</v>
      </c>
      <c r="M86" s="5" t="s">
        <v>56</v>
      </c>
      <c r="N86" s="5" t="s">
        <v>56</v>
      </c>
      <c r="O86" s="5" t="s">
        <v>39</v>
      </c>
      <c r="P86" s="5" t="s">
        <v>56</v>
      </c>
      <c r="Q86" s="5" t="s">
        <v>56</v>
      </c>
      <c r="R86" s="5" t="s">
        <v>40</v>
      </c>
      <c r="S86" s="5" t="s">
        <v>41</v>
      </c>
      <c r="T86" s="5" t="s">
        <v>7310</v>
      </c>
      <c r="U86" s="5" t="s">
        <v>7311</v>
      </c>
      <c r="V86" s="5" t="s">
        <v>6450</v>
      </c>
      <c r="W86" s="5" t="s">
        <v>5607</v>
      </c>
      <c r="X86" s="5"/>
      <c r="Y86" s="5" t="s">
        <v>46</v>
      </c>
      <c r="Z86" s="5"/>
      <c r="AA86" s="5"/>
      <c r="AB86" s="5"/>
      <c r="AC86" s="7">
        <v>1</v>
      </c>
    </row>
    <row r="87" spans="1:29" x14ac:dyDescent="0.45">
      <c r="A87" s="8" t="s">
        <v>6444</v>
      </c>
      <c r="B87" s="4">
        <v>528</v>
      </c>
      <c r="C87" s="4" t="s">
        <v>7993</v>
      </c>
      <c r="D87" s="4" t="s">
        <v>7994</v>
      </c>
      <c r="E87" s="4" t="s">
        <v>857</v>
      </c>
      <c r="F87" s="4" t="s">
        <v>53</v>
      </c>
      <c r="G87" s="4" t="s">
        <v>34</v>
      </c>
      <c r="H87" s="4" t="s">
        <v>54</v>
      </c>
      <c r="I87" s="4" t="s">
        <v>237</v>
      </c>
      <c r="J87" s="4" t="s">
        <v>56</v>
      </c>
      <c r="K87" s="4" t="s">
        <v>56</v>
      </c>
      <c r="L87" s="4" t="s">
        <v>39</v>
      </c>
      <c r="M87" s="4" t="s">
        <v>37</v>
      </c>
      <c r="N87" s="4" t="s">
        <v>37</v>
      </c>
      <c r="O87" s="4" t="s">
        <v>39</v>
      </c>
      <c r="P87" s="4" t="s">
        <v>38</v>
      </c>
      <c r="Q87" s="4" t="s">
        <v>38</v>
      </c>
      <c r="R87" s="4" t="s">
        <v>39</v>
      </c>
      <c r="S87" s="4" t="s">
        <v>1291</v>
      </c>
      <c r="T87" s="4" t="s">
        <v>7327</v>
      </c>
      <c r="U87" s="4" t="s">
        <v>7311</v>
      </c>
      <c r="V87" s="4" t="s">
        <v>6450</v>
      </c>
      <c r="W87" s="4" t="s">
        <v>5607</v>
      </c>
      <c r="X87" s="4"/>
      <c r="Y87" s="4" t="s">
        <v>46</v>
      </c>
      <c r="Z87" s="4"/>
      <c r="AA87" s="4"/>
      <c r="AB87" s="4"/>
      <c r="AC87" s="9">
        <v>1</v>
      </c>
    </row>
    <row r="88" spans="1:29" x14ac:dyDescent="0.45">
      <c r="A88" s="6" t="s">
        <v>7995</v>
      </c>
      <c r="B88" s="5">
        <v>141</v>
      </c>
      <c r="C88" s="5" t="s">
        <v>8501</v>
      </c>
      <c r="D88" s="5" t="s">
        <v>8502</v>
      </c>
      <c r="E88" s="5" t="s">
        <v>8503</v>
      </c>
      <c r="F88" s="5" t="s">
        <v>8504</v>
      </c>
      <c r="G88" s="5" t="s">
        <v>1624</v>
      </c>
      <c r="H88" s="5" t="s">
        <v>546</v>
      </c>
      <c r="I88" s="5" t="s">
        <v>8505</v>
      </c>
      <c r="J88" s="5" t="s">
        <v>775</v>
      </c>
      <c r="K88" s="5" t="s">
        <v>775</v>
      </c>
      <c r="L88" s="5" t="s">
        <v>39</v>
      </c>
      <c r="M88" s="5" t="s">
        <v>56</v>
      </c>
      <c r="N88" s="5" t="s">
        <v>56</v>
      </c>
      <c r="O88" s="5" t="s">
        <v>39</v>
      </c>
      <c r="P88" s="5" t="s">
        <v>37</v>
      </c>
      <c r="Q88" s="5" t="s">
        <v>38</v>
      </c>
      <c r="R88" s="5" t="s">
        <v>39</v>
      </c>
      <c r="S88" s="5" t="s">
        <v>41</v>
      </c>
      <c r="T88" s="5" t="s">
        <v>8105</v>
      </c>
      <c r="U88" s="5" t="s">
        <v>8016</v>
      </c>
      <c r="V88" s="5" t="s">
        <v>8002</v>
      </c>
      <c r="W88" s="5" t="s">
        <v>8003</v>
      </c>
      <c r="X88" s="5"/>
      <c r="Y88" s="5" t="s">
        <v>46</v>
      </c>
      <c r="Z88" s="5"/>
      <c r="AA88" s="5"/>
      <c r="AB88" s="5"/>
      <c r="AC88" s="7">
        <v>1</v>
      </c>
    </row>
    <row r="89" spans="1:29" x14ac:dyDescent="0.45">
      <c r="A89" s="8" t="s">
        <v>7995</v>
      </c>
      <c r="B89" s="4">
        <v>309</v>
      </c>
      <c r="C89" s="4" t="s">
        <v>9041</v>
      </c>
      <c r="D89" s="4" t="s">
        <v>9042</v>
      </c>
      <c r="E89" s="4" t="s">
        <v>9043</v>
      </c>
      <c r="F89" s="4" t="s">
        <v>9044</v>
      </c>
      <c r="G89" s="4" t="s">
        <v>34</v>
      </c>
      <c r="H89" s="4" t="s">
        <v>319</v>
      </c>
      <c r="I89" s="4" t="s">
        <v>9045</v>
      </c>
      <c r="J89" s="4" t="s">
        <v>56</v>
      </c>
      <c r="K89" s="4" t="s">
        <v>56</v>
      </c>
      <c r="L89" s="4" t="s">
        <v>39</v>
      </c>
      <c r="M89" s="4" t="s">
        <v>56</v>
      </c>
      <c r="N89" s="4" t="s">
        <v>775</v>
      </c>
      <c r="O89" s="4" t="s">
        <v>39</v>
      </c>
      <c r="P89" s="4" t="s">
        <v>37</v>
      </c>
      <c r="Q89" s="4" t="s">
        <v>37</v>
      </c>
      <c r="R89" s="4" t="s">
        <v>39</v>
      </c>
      <c r="S89" s="4" t="s">
        <v>41</v>
      </c>
      <c r="T89" s="4" t="s">
        <v>8105</v>
      </c>
      <c r="U89" s="4" t="s">
        <v>8016</v>
      </c>
      <c r="V89" s="4" t="s">
        <v>8002</v>
      </c>
      <c r="W89" s="4" t="s">
        <v>8003</v>
      </c>
      <c r="X89" s="4"/>
      <c r="Y89" s="4" t="s">
        <v>46</v>
      </c>
      <c r="Z89" s="4"/>
      <c r="AA89" s="4"/>
      <c r="AB89" s="4"/>
      <c r="AC89" s="9">
        <v>1</v>
      </c>
    </row>
    <row r="90" spans="1:29" x14ac:dyDescent="0.45">
      <c r="A90" s="6" t="s">
        <v>9088</v>
      </c>
      <c r="B90" s="5">
        <v>391</v>
      </c>
      <c r="C90" s="5" t="s">
        <v>9186</v>
      </c>
      <c r="D90" s="5" t="s">
        <v>9187</v>
      </c>
      <c r="E90" s="5" t="s">
        <v>9188</v>
      </c>
      <c r="F90" s="5" t="s">
        <v>9189</v>
      </c>
      <c r="G90" s="5" t="s">
        <v>34</v>
      </c>
      <c r="H90" s="5" t="s">
        <v>685</v>
      </c>
      <c r="I90" s="5" t="s">
        <v>9190</v>
      </c>
      <c r="J90" s="5" t="s">
        <v>38</v>
      </c>
      <c r="K90" s="5" t="s">
        <v>38</v>
      </c>
      <c r="L90" s="5" t="s">
        <v>40</v>
      </c>
      <c r="M90" s="5" t="s">
        <v>1034</v>
      </c>
      <c r="N90" s="5" t="s">
        <v>37</v>
      </c>
      <c r="O90" s="5" t="s">
        <v>39</v>
      </c>
      <c r="P90" s="5" t="s">
        <v>38</v>
      </c>
      <c r="Q90" s="5" t="s">
        <v>38</v>
      </c>
      <c r="R90" s="5" t="s">
        <v>39</v>
      </c>
      <c r="S90" s="5" t="s">
        <v>41</v>
      </c>
      <c r="T90" s="5" t="s">
        <v>9091</v>
      </c>
      <c r="U90" s="5" t="s">
        <v>9092</v>
      </c>
      <c r="V90" s="5" t="s">
        <v>9093</v>
      </c>
      <c r="W90" s="5" t="s">
        <v>9094</v>
      </c>
      <c r="X90" s="5"/>
      <c r="Y90" s="5" t="s">
        <v>46</v>
      </c>
      <c r="Z90" s="5"/>
      <c r="AA90" s="5"/>
      <c r="AB90" s="5"/>
      <c r="AC90" s="7">
        <v>1</v>
      </c>
    </row>
    <row r="91" spans="1:29" x14ac:dyDescent="0.45">
      <c r="A91" s="8" t="s">
        <v>9088</v>
      </c>
      <c r="B91" s="4">
        <v>514</v>
      </c>
      <c r="C91" s="4" t="s">
        <v>9218</v>
      </c>
      <c r="D91" s="4" t="s">
        <v>9219</v>
      </c>
      <c r="E91" s="4" t="s">
        <v>1933</v>
      </c>
      <c r="F91" s="4" t="s">
        <v>492</v>
      </c>
      <c r="G91" s="4" t="s">
        <v>34</v>
      </c>
      <c r="H91" s="4" t="s">
        <v>214</v>
      </c>
      <c r="I91" s="4" t="s">
        <v>9220</v>
      </c>
      <c r="J91" s="4" t="s">
        <v>38</v>
      </c>
      <c r="K91" s="4" t="s">
        <v>38</v>
      </c>
      <c r="L91" s="4" t="s">
        <v>40</v>
      </c>
      <c r="M91" s="4" t="s">
        <v>1034</v>
      </c>
      <c r="N91" s="4" t="s">
        <v>37</v>
      </c>
      <c r="O91" s="4" t="s">
        <v>39</v>
      </c>
      <c r="P91" s="4" t="s">
        <v>38</v>
      </c>
      <c r="Q91" s="4" t="s">
        <v>38</v>
      </c>
      <c r="R91" s="4" t="s">
        <v>39</v>
      </c>
      <c r="S91" s="4" t="s">
        <v>41</v>
      </c>
      <c r="T91" s="4" t="s">
        <v>9091</v>
      </c>
      <c r="U91" s="4" t="s">
        <v>9092</v>
      </c>
      <c r="V91" s="4" t="s">
        <v>9093</v>
      </c>
      <c r="W91" s="4" t="s">
        <v>9094</v>
      </c>
      <c r="X91" s="4"/>
      <c r="Y91" s="4" t="s">
        <v>46</v>
      </c>
      <c r="Z91" s="4"/>
      <c r="AA91" s="4"/>
      <c r="AB91" s="4"/>
      <c r="AC91" s="9">
        <v>1</v>
      </c>
    </row>
    <row r="92" spans="1:29" x14ac:dyDescent="0.45">
      <c r="A92" s="6" t="s">
        <v>9088</v>
      </c>
      <c r="B92" s="5">
        <v>534</v>
      </c>
      <c r="C92" s="5" t="s">
        <v>9221</v>
      </c>
      <c r="D92" s="5" t="s">
        <v>9222</v>
      </c>
      <c r="E92" s="5" t="s">
        <v>9223</v>
      </c>
      <c r="F92" s="5" t="s">
        <v>325</v>
      </c>
      <c r="G92" s="5" t="s">
        <v>34</v>
      </c>
      <c r="H92" s="5" t="s">
        <v>214</v>
      </c>
      <c r="I92" s="5" t="s">
        <v>9224</v>
      </c>
      <c r="J92" s="5" t="s">
        <v>38</v>
      </c>
      <c r="K92" s="5" t="s">
        <v>38</v>
      </c>
      <c r="L92" s="5" t="s">
        <v>39</v>
      </c>
      <c r="M92" s="5" t="s">
        <v>37</v>
      </c>
      <c r="N92" s="5" t="s">
        <v>37</v>
      </c>
      <c r="O92" s="5" t="s">
        <v>39</v>
      </c>
      <c r="P92" s="5" t="s">
        <v>38</v>
      </c>
      <c r="Q92" s="5" t="s">
        <v>38</v>
      </c>
      <c r="R92" s="5" t="s">
        <v>39</v>
      </c>
      <c r="S92" s="5" t="s">
        <v>41</v>
      </c>
      <c r="T92" s="5" t="s">
        <v>9225</v>
      </c>
      <c r="U92" s="5" t="s">
        <v>9226</v>
      </c>
      <c r="V92" s="5" t="s">
        <v>9093</v>
      </c>
      <c r="W92" s="5" t="s">
        <v>9227</v>
      </c>
      <c r="X92" s="5"/>
      <c r="Y92" s="5" t="s">
        <v>46</v>
      </c>
      <c r="Z92" s="5"/>
      <c r="AA92" s="5"/>
      <c r="AB92" s="5"/>
      <c r="AC92" s="7">
        <v>1</v>
      </c>
    </row>
    <row r="93" spans="1:29" x14ac:dyDescent="0.45">
      <c r="A93" s="8" t="s">
        <v>9088</v>
      </c>
      <c r="B93" s="4">
        <v>544</v>
      </c>
      <c r="C93" s="4" t="s">
        <v>9243</v>
      </c>
      <c r="D93" s="4" t="s">
        <v>9244</v>
      </c>
      <c r="E93" s="4" t="s">
        <v>9245</v>
      </c>
      <c r="F93" s="4" t="s">
        <v>325</v>
      </c>
      <c r="G93" s="4" t="s">
        <v>34</v>
      </c>
      <c r="H93" s="4" t="s">
        <v>214</v>
      </c>
      <c r="I93" s="4" t="s">
        <v>9224</v>
      </c>
      <c r="J93" s="4" t="s">
        <v>38</v>
      </c>
      <c r="K93" s="4" t="s">
        <v>38</v>
      </c>
      <c r="L93" s="4" t="s">
        <v>39</v>
      </c>
      <c r="M93" s="4" t="s">
        <v>37</v>
      </c>
      <c r="N93" s="4" t="s">
        <v>37</v>
      </c>
      <c r="O93" s="4" t="s">
        <v>39</v>
      </c>
      <c r="P93" s="4" t="s">
        <v>38</v>
      </c>
      <c r="Q93" s="4" t="s">
        <v>38</v>
      </c>
      <c r="R93" s="4" t="s">
        <v>39</v>
      </c>
      <c r="S93" s="4" t="s">
        <v>41</v>
      </c>
      <c r="T93" s="4" t="s">
        <v>9225</v>
      </c>
      <c r="U93" s="4" t="s">
        <v>9226</v>
      </c>
      <c r="V93" s="4" t="s">
        <v>9093</v>
      </c>
      <c r="W93" s="4" t="s">
        <v>9227</v>
      </c>
      <c r="X93" s="4"/>
      <c r="Y93" s="4" t="s">
        <v>46</v>
      </c>
      <c r="Z93" s="4"/>
      <c r="AA93" s="4"/>
      <c r="AB93" s="4"/>
      <c r="AC93" s="9">
        <v>1</v>
      </c>
    </row>
    <row r="94" spans="1:29" x14ac:dyDescent="0.45">
      <c r="A94" s="6" t="s">
        <v>9088</v>
      </c>
      <c r="B94" s="5">
        <v>549</v>
      </c>
      <c r="C94" s="5" t="s">
        <v>9249</v>
      </c>
      <c r="D94" s="5" t="s">
        <v>9250</v>
      </c>
      <c r="E94" s="5" t="s">
        <v>9251</v>
      </c>
      <c r="F94" s="5" t="s">
        <v>166</v>
      </c>
      <c r="G94" s="5" t="s">
        <v>34</v>
      </c>
      <c r="H94" s="5" t="s">
        <v>214</v>
      </c>
      <c r="I94" s="5" t="s">
        <v>9224</v>
      </c>
      <c r="J94" s="5" t="s">
        <v>37</v>
      </c>
      <c r="K94" s="5" t="s">
        <v>38</v>
      </c>
      <c r="L94" s="5" t="s">
        <v>39</v>
      </c>
      <c r="M94" s="5" t="s">
        <v>37</v>
      </c>
      <c r="N94" s="5" t="s">
        <v>37</v>
      </c>
      <c r="O94" s="5" t="s">
        <v>39</v>
      </c>
      <c r="P94" s="5" t="s">
        <v>38</v>
      </c>
      <c r="Q94" s="5" t="s">
        <v>38</v>
      </c>
      <c r="R94" s="5" t="s">
        <v>39</v>
      </c>
      <c r="S94" s="5" t="s">
        <v>41</v>
      </c>
      <c r="T94" s="5" t="s">
        <v>9225</v>
      </c>
      <c r="U94" s="5" t="s">
        <v>9226</v>
      </c>
      <c r="V94" s="5" t="s">
        <v>9093</v>
      </c>
      <c r="W94" s="5" t="s">
        <v>9227</v>
      </c>
      <c r="X94" s="5"/>
      <c r="Y94" s="5" t="s">
        <v>46</v>
      </c>
      <c r="Z94" s="5"/>
      <c r="AA94" s="5"/>
      <c r="AB94" s="5"/>
      <c r="AC94" s="7">
        <v>1</v>
      </c>
    </row>
    <row r="95" spans="1:29" x14ac:dyDescent="0.45">
      <c r="A95" s="8" t="s">
        <v>9088</v>
      </c>
      <c r="B95" s="4">
        <v>564</v>
      </c>
      <c r="C95" s="4" t="s">
        <v>9282</v>
      </c>
      <c r="D95" s="4" t="s">
        <v>9283</v>
      </c>
      <c r="E95" s="4" t="s">
        <v>9284</v>
      </c>
      <c r="F95" s="4" t="s">
        <v>166</v>
      </c>
      <c r="G95" s="4" t="s">
        <v>177</v>
      </c>
      <c r="H95" s="4" t="s">
        <v>214</v>
      </c>
      <c r="I95" s="4" t="s">
        <v>9285</v>
      </c>
      <c r="J95" s="4" t="s">
        <v>37</v>
      </c>
      <c r="K95" s="4" t="s">
        <v>37</v>
      </c>
      <c r="L95" s="4" t="s">
        <v>39</v>
      </c>
      <c r="M95" s="4" t="s">
        <v>37</v>
      </c>
      <c r="N95" s="4" t="s">
        <v>37</v>
      </c>
      <c r="O95" s="4" t="s">
        <v>39</v>
      </c>
      <c r="P95" s="4" t="s">
        <v>38</v>
      </c>
      <c r="Q95" s="4" t="s">
        <v>38</v>
      </c>
      <c r="R95" s="4" t="s">
        <v>39</v>
      </c>
      <c r="S95" s="4" t="s">
        <v>41</v>
      </c>
      <c r="T95" s="4" t="s">
        <v>9240</v>
      </c>
      <c r="U95" s="4" t="s">
        <v>9205</v>
      </c>
      <c r="V95" s="4" t="s">
        <v>9093</v>
      </c>
      <c r="W95" s="4" t="s">
        <v>9227</v>
      </c>
      <c r="X95" s="4"/>
      <c r="Y95" s="4" t="s">
        <v>46</v>
      </c>
      <c r="Z95" s="4"/>
      <c r="AA95" s="4"/>
      <c r="AB95" s="4"/>
      <c r="AC95" s="9">
        <v>1</v>
      </c>
    </row>
    <row r="96" spans="1:29" x14ac:dyDescent="0.45">
      <c r="A96" s="6" t="s">
        <v>9088</v>
      </c>
      <c r="B96" s="5">
        <v>568</v>
      </c>
      <c r="C96" s="5" t="s">
        <v>9290</v>
      </c>
      <c r="D96" s="5" t="s">
        <v>9291</v>
      </c>
      <c r="E96" s="5" t="s">
        <v>9292</v>
      </c>
      <c r="F96" s="5" t="s">
        <v>325</v>
      </c>
      <c r="G96" s="5" t="s">
        <v>34</v>
      </c>
      <c r="H96" s="5" t="s">
        <v>214</v>
      </c>
      <c r="I96" s="5" t="s">
        <v>9224</v>
      </c>
      <c r="J96" s="5" t="s">
        <v>38</v>
      </c>
      <c r="K96" s="5" t="s">
        <v>38</v>
      </c>
      <c r="L96" s="5" t="s">
        <v>39</v>
      </c>
      <c r="M96" s="5" t="s">
        <v>37</v>
      </c>
      <c r="N96" s="5" t="s">
        <v>37</v>
      </c>
      <c r="O96" s="5" t="s">
        <v>39</v>
      </c>
      <c r="P96" s="5" t="s">
        <v>38</v>
      </c>
      <c r="Q96" s="5" t="s">
        <v>38</v>
      </c>
      <c r="R96" s="5" t="s">
        <v>39</v>
      </c>
      <c r="S96" s="5" t="s">
        <v>41</v>
      </c>
      <c r="T96" s="5" t="s">
        <v>9225</v>
      </c>
      <c r="U96" s="5" t="s">
        <v>9226</v>
      </c>
      <c r="V96" s="5" t="s">
        <v>9093</v>
      </c>
      <c r="W96" s="5" t="s">
        <v>9227</v>
      </c>
      <c r="X96" s="5"/>
      <c r="Y96" s="5" t="s">
        <v>46</v>
      </c>
      <c r="Z96" s="5"/>
      <c r="AA96" s="5"/>
      <c r="AB96" s="5"/>
      <c r="AC96" s="7">
        <v>1</v>
      </c>
    </row>
    <row r="97" spans="1:29" x14ac:dyDescent="0.45">
      <c r="A97" s="8" t="s">
        <v>9088</v>
      </c>
      <c r="B97" s="4">
        <v>572</v>
      </c>
      <c r="C97" s="4" t="s">
        <v>9306</v>
      </c>
      <c r="D97" s="4" t="s">
        <v>9307</v>
      </c>
      <c r="E97" s="4" t="s">
        <v>9308</v>
      </c>
      <c r="F97" s="4" t="s">
        <v>325</v>
      </c>
      <c r="G97" s="4" t="s">
        <v>34</v>
      </c>
      <c r="H97" s="4" t="s">
        <v>214</v>
      </c>
      <c r="I97" s="4" t="s">
        <v>9224</v>
      </c>
      <c r="J97" s="4" t="s">
        <v>38</v>
      </c>
      <c r="K97" s="4" t="s">
        <v>38</v>
      </c>
      <c r="L97" s="4" t="s">
        <v>39</v>
      </c>
      <c r="M97" s="4" t="s">
        <v>37</v>
      </c>
      <c r="N97" s="4" t="s">
        <v>37</v>
      </c>
      <c r="O97" s="4" t="s">
        <v>39</v>
      </c>
      <c r="P97" s="4" t="s">
        <v>38</v>
      </c>
      <c r="Q97" s="4" t="s">
        <v>38</v>
      </c>
      <c r="R97" s="4" t="s">
        <v>39</v>
      </c>
      <c r="S97" s="4" t="s">
        <v>41</v>
      </c>
      <c r="T97" s="4" t="s">
        <v>9225</v>
      </c>
      <c r="U97" s="4" t="s">
        <v>9226</v>
      </c>
      <c r="V97" s="4" t="s">
        <v>9093</v>
      </c>
      <c r="W97" s="4" t="s">
        <v>9227</v>
      </c>
      <c r="X97" s="4"/>
      <c r="Y97" s="4" t="s">
        <v>46</v>
      </c>
      <c r="Z97" s="4"/>
      <c r="AA97" s="4"/>
      <c r="AB97" s="4"/>
      <c r="AC97" s="9">
        <v>1</v>
      </c>
    </row>
    <row r="98" spans="1:29" x14ac:dyDescent="0.45">
      <c r="A98" s="6" t="s">
        <v>9088</v>
      </c>
      <c r="B98" s="5">
        <v>609</v>
      </c>
      <c r="C98" s="5" t="s">
        <v>9347</v>
      </c>
      <c r="D98" s="5" t="s">
        <v>9348</v>
      </c>
      <c r="E98" s="5" t="s">
        <v>9349</v>
      </c>
      <c r="F98" s="5" t="s">
        <v>53</v>
      </c>
      <c r="G98" s="5" t="s">
        <v>177</v>
      </c>
      <c r="H98" s="5" t="s">
        <v>912</v>
      </c>
      <c r="I98" s="5" t="s">
        <v>7297</v>
      </c>
      <c r="J98" s="5" t="s">
        <v>37</v>
      </c>
      <c r="K98" s="5" t="s">
        <v>37</v>
      </c>
      <c r="L98" s="5" t="s">
        <v>39</v>
      </c>
      <c r="M98" s="5" t="s">
        <v>37</v>
      </c>
      <c r="N98" s="5" t="s">
        <v>37</v>
      </c>
      <c r="O98" s="5" t="s">
        <v>39</v>
      </c>
      <c r="P98" s="5" t="s">
        <v>38</v>
      </c>
      <c r="Q98" s="5" t="s">
        <v>38</v>
      </c>
      <c r="R98" s="5" t="s">
        <v>39</v>
      </c>
      <c r="S98" s="5" t="s">
        <v>41</v>
      </c>
      <c r="T98" s="5" t="s">
        <v>9240</v>
      </c>
      <c r="U98" s="5" t="s">
        <v>9226</v>
      </c>
      <c r="V98" s="5" t="s">
        <v>9093</v>
      </c>
      <c r="W98" s="5" t="s">
        <v>9227</v>
      </c>
      <c r="X98" s="5"/>
      <c r="Y98" s="5" t="s">
        <v>46</v>
      </c>
      <c r="Z98" s="5"/>
      <c r="AA98" s="5"/>
      <c r="AB98" s="5"/>
      <c r="AC98" s="7">
        <v>1</v>
      </c>
    </row>
    <row r="99" spans="1:29" x14ac:dyDescent="0.45">
      <c r="A99" s="8" t="s">
        <v>9088</v>
      </c>
      <c r="B99" s="4">
        <v>776</v>
      </c>
      <c r="C99" s="4" t="s">
        <v>9491</v>
      </c>
      <c r="D99" s="4" t="s">
        <v>9492</v>
      </c>
      <c r="E99" s="4" t="s">
        <v>9493</v>
      </c>
      <c r="F99" s="4" t="s">
        <v>9494</v>
      </c>
      <c r="G99" s="4" t="s">
        <v>34</v>
      </c>
      <c r="H99" s="4" t="s">
        <v>1188</v>
      </c>
      <c r="I99" s="4" t="s">
        <v>9495</v>
      </c>
      <c r="J99" s="4" t="s">
        <v>38</v>
      </c>
      <c r="K99" s="4" t="s">
        <v>38</v>
      </c>
      <c r="L99" s="4" t="s">
        <v>39</v>
      </c>
      <c r="M99" s="4" t="s">
        <v>38</v>
      </c>
      <c r="N99" s="4" t="s">
        <v>38</v>
      </c>
      <c r="O99" s="4" t="s">
        <v>39</v>
      </c>
      <c r="P99" s="4" t="s">
        <v>38</v>
      </c>
      <c r="Q99" s="4" t="s">
        <v>38</v>
      </c>
      <c r="R99" s="4" t="s">
        <v>40</v>
      </c>
      <c r="S99" s="4" t="s">
        <v>41</v>
      </c>
      <c r="T99" s="4" t="s">
        <v>9142</v>
      </c>
      <c r="U99" s="4" t="s">
        <v>9143</v>
      </c>
      <c r="V99" s="4" t="s">
        <v>9093</v>
      </c>
      <c r="W99" s="4" t="s">
        <v>2978</v>
      </c>
      <c r="X99" s="4"/>
      <c r="Y99" s="4" t="s">
        <v>46</v>
      </c>
      <c r="Z99" s="4"/>
      <c r="AA99" s="4"/>
      <c r="AB99" s="4"/>
      <c r="AC99" s="9">
        <v>1</v>
      </c>
    </row>
    <row r="100" spans="1:29" x14ac:dyDescent="0.45">
      <c r="A100" s="6" t="s">
        <v>9088</v>
      </c>
      <c r="B100" s="5">
        <v>836</v>
      </c>
      <c r="C100" s="5" t="s">
        <v>9546</v>
      </c>
      <c r="D100" s="5" t="s">
        <v>9547</v>
      </c>
      <c r="E100" s="5" t="s">
        <v>9548</v>
      </c>
      <c r="F100" s="5" t="s">
        <v>417</v>
      </c>
      <c r="G100" s="5" t="s">
        <v>34</v>
      </c>
      <c r="H100" s="5" t="s">
        <v>1746</v>
      </c>
      <c r="I100" s="5" t="s">
        <v>9500</v>
      </c>
      <c r="J100" s="5" t="s">
        <v>38</v>
      </c>
      <c r="K100" s="5" t="s">
        <v>38</v>
      </c>
      <c r="L100" s="5" t="s">
        <v>40</v>
      </c>
      <c r="M100" s="5" t="s">
        <v>38</v>
      </c>
      <c r="N100" s="5" t="s">
        <v>38</v>
      </c>
      <c r="O100" s="5" t="s">
        <v>40</v>
      </c>
      <c r="P100" s="5" t="s">
        <v>38</v>
      </c>
      <c r="Q100" s="5" t="s">
        <v>38</v>
      </c>
      <c r="R100" s="5" t="s">
        <v>40</v>
      </c>
      <c r="S100" s="5" t="s">
        <v>41</v>
      </c>
      <c r="T100" s="5" t="s">
        <v>9099</v>
      </c>
      <c r="U100" s="5" t="s">
        <v>9100</v>
      </c>
      <c r="V100" s="5" t="s">
        <v>9093</v>
      </c>
      <c r="W100" s="5" t="s">
        <v>9101</v>
      </c>
      <c r="X100" s="5"/>
      <c r="Y100" s="5" t="s">
        <v>46</v>
      </c>
      <c r="Z100" s="5"/>
      <c r="AA100" s="5"/>
      <c r="AB100" s="5"/>
      <c r="AC100" s="7">
        <v>1</v>
      </c>
    </row>
    <row r="101" spans="1:29" x14ac:dyDescent="0.45">
      <c r="A101" s="8" t="s">
        <v>9088</v>
      </c>
      <c r="B101" s="4">
        <v>2142</v>
      </c>
      <c r="C101" s="4" t="s">
        <v>9948</v>
      </c>
      <c r="D101" s="4" t="s">
        <v>9949</v>
      </c>
      <c r="E101" s="4" t="s">
        <v>9950</v>
      </c>
      <c r="F101" s="4" t="s">
        <v>417</v>
      </c>
      <c r="G101" s="4" t="s">
        <v>34</v>
      </c>
      <c r="H101" s="4" t="s">
        <v>35</v>
      </c>
      <c r="I101" s="4" t="s">
        <v>9951</v>
      </c>
      <c r="J101" s="4" t="s">
        <v>38</v>
      </c>
      <c r="K101" s="4" t="s">
        <v>38</v>
      </c>
      <c r="L101" s="4" t="s">
        <v>40</v>
      </c>
      <c r="M101" s="4" t="s">
        <v>37</v>
      </c>
      <c r="N101" s="4" t="s">
        <v>38</v>
      </c>
      <c r="O101" s="4" t="s">
        <v>39</v>
      </c>
      <c r="P101" s="4" t="s">
        <v>38</v>
      </c>
      <c r="Q101" s="4" t="s">
        <v>38</v>
      </c>
      <c r="R101" s="4" t="s">
        <v>40</v>
      </c>
      <c r="S101" s="4" t="s">
        <v>41</v>
      </c>
      <c r="T101" s="4" t="s">
        <v>9142</v>
      </c>
      <c r="U101" s="4" t="s">
        <v>9143</v>
      </c>
      <c r="V101" s="4" t="s">
        <v>9093</v>
      </c>
      <c r="W101" s="4" t="s">
        <v>2978</v>
      </c>
      <c r="X101" s="4"/>
      <c r="Y101" s="4" t="s">
        <v>46</v>
      </c>
      <c r="Z101" s="4"/>
      <c r="AA101" s="4"/>
      <c r="AB101" s="4"/>
      <c r="AC101" s="9">
        <v>1</v>
      </c>
    </row>
    <row r="102" spans="1:29" x14ac:dyDescent="0.45">
      <c r="A102" s="6" t="s">
        <v>9088</v>
      </c>
      <c r="B102" s="5">
        <v>2631</v>
      </c>
      <c r="C102" s="5" t="s">
        <v>10128</v>
      </c>
      <c r="D102" s="5" t="s">
        <v>10129</v>
      </c>
      <c r="E102" s="5" t="s">
        <v>10130</v>
      </c>
      <c r="F102" s="5" t="s">
        <v>166</v>
      </c>
      <c r="G102" s="5" t="s">
        <v>177</v>
      </c>
      <c r="H102" s="5" t="s">
        <v>214</v>
      </c>
      <c r="I102" s="5" t="s">
        <v>10122</v>
      </c>
      <c r="J102" s="5" t="s">
        <v>37</v>
      </c>
      <c r="K102" s="5" t="s">
        <v>37</v>
      </c>
      <c r="L102" s="5" t="s">
        <v>39</v>
      </c>
      <c r="M102" s="5" t="s">
        <v>37</v>
      </c>
      <c r="N102" s="5" t="s">
        <v>37</v>
      </c>
      <c r="O102" s="5" t="s">
        <v>39</v>
      </c>
      <c r="P102" s="5" t="s">
        <v>37</v>
      </c>
      <c r="Q102" s="5" t="s">
        <v>37</v>
      </c>
      <c r="R102" s="5" t="s">
        <v>39</v>
      </c>
      <c r="S102" s="5" t="s">
        <v>41</v>
      </c>
      <c r="T102" s="5" t="s">
        <v>9240</v>
      </c>
      <c r="U102" s="5" t="s">
        <v>9226</v>
      </c>
      <c r="V102" s="5" t="s">
        <v>9093</v>
      </c>
      <c r="W102" s="5" t="s">
        <v>9227</v>
      </c>
      <c r="X102" s="5"/>
      <c r="Y102" s="5" t="s">
        <v>46</v>
      </c>
      <c r="Z102" s="5"/>
      <c r="AA102" s="5"/>
      <c r="AB102" s="5"/>
      <c r="AC102" s="7">
        <v>1</v>
      </c>
    </row>
    <row r="103" spans="1:29" x14ac:dyDescent="0.45">
      <c r="A103" s="8" t="s">
        <v>9088</v>
      </c>
      <c r="B103" s="4">
        <v>2669</v>
      </c>
      <c r="C103" s="4" t="s">
        <v>10154</v>
      </c>
      <c r="D103" s="4" t="s">
        <v>10155</v>
      </c>
      <c r="E103" s="4" t="s">
        <v>370</v>
      </c>
      <c r="F103" s="4" t="s">
        <v>3932</v>
      </c>
      <c r="G103" s="4" t="s">
        <v>34</v>
      </c>
      <c r="H103" s="4" t="s">
        <v>2256</v>
      </c>
      <c r="I103" s="4" t="s">
        <v>10156</v>
      </c>
      <c r="J103" s="4" t="s">
        <v>37</v>
      </c>
      <c r="K103" s="4" t="s">
        <v>37</v>
      </c>
      <c r="L103" s="4" t="s">
        <v>39</v>
      </c>
      <c r="M103" s="4" t="s">
        <v>38</v>
      </c>
      <c r="N103" s="4" t="s">
        <v>37</v>
      </c>
      <c r="O103" s="4" t="s">
        <v>39</v>
      </c>
      <c r="P103" s="4" t="s">
        <v>38</v>
      </c>
      <c r="Q103" s="4" t="s">
        <v>38</v>
      </c>
      <c r="R103" s="4" t="s">
        <v>40</v>
      </c>
      <c r="S103" s="4" t="s">
        <v>41</v>
      </c>
      <c r="T103" s="4" t="s">
        <v>9147</v>
      </c>
      <c r="U103" s="4" t="s">
        <v>9148</v>
      </c>
      <c r="V103" s="4" t="s">
        <v>9093</v>
      </c>
      <c r="W103" s="4" t="s">
        <v>9094</v>
      </c>
      <c r="X103" s="4"/>
      <c r="Y103" s="4" t="s">
        <v>46</v>
      </c>
      <c r="Z103" s="4"/>
      <c r="AA103" s="4"/>
      <c r="AB103" s="4"/>
      <c r="AC103" s="9">
        <v>1</v>
      </c>
    </row>
    <row r="104" spans="1:29" x14ac:dyDescent="0.45">
      <c r="A104" s="6" t="s">
        <v>9088</v>
      </c>
      <c r="B104" s="5">
        <v>2887</v>
      </c>
      <c r="C104" s="5" t="s">
        <v>10233</v>
      </c>
      <c r="D104" s="5" t="s">
        <v>10234</v>
      </c>
      <c r="E104" s="5" t="s">
        <v>32</v>
      </c>
      <c r="F104" s="5" t="s">
        <v>53</v>
      </c>
      <c r="G104" s="5" t="s">
        <v>34</v>
      </c>
      <c r="H104" s="5" t="s">
        <v>319</v>
      </c>
      <c r="I104" s="5" t="s">
        <v>2049</v>
      </c>
      <c r="J104" s="5" t="s">
        <v>38</v>
      </c>
      <c r="K104" s="5" t="s">
        <v>38</v>
      </c>
      <c r="L104" s="5" t="s">
        <v>40</v>
      </c>
      <c r="M104" s="5" t="s">
        <v>38</v>
      </c>
      <c r="N104" s="5" t="s">
        <v>38</v>
      </c>
      <c r="O104" s="5" t="s">
        <v>40</v>
      </c>
      <c r="P104" s="5" t="s">
        <v>38</v>
      </c>
      <c r="Q104" s="5" t="s">
        <v>38</v>
      </c>
      <c r="R104" s="5" t="s">
        <v>40</v>
      </c>
      <c r="S104" s="5" t="s">
        <v>4783</v>
      </c>
      <c r="T104" s="5" t="s">
        <v>9427</v>
      </c>
      <c r="U104" s="5" t="s">
        <v>9148</v>
      </c>
      <c r="V104" s="5" t="s">
        <v>9093</v>
      </c>
      <c r="W104" s="5" t="s">
        <v>9094</v>
      </c>
      <c r="X104" s="5"/>
      <c r="Y104" s="5" t="s">
        <v>46</v>
      </c>
      <c r="Z104" s="5"/>
      <c r="AA104" s="5"/>
      <c r="AB104" s="5"/>
      <c r="AC104" s="7">
        <v>1</v>
      </c>
    </row>
    <row r="105" spans="1:29" x14ac:dyDescent="0.45">
      <c r="A105" s="8" t="s">
        <v>10363</v>
      </c>
      <c r="B105" s="4">
        <v>286</v>
      </c>
      <c r="C105" s="4" t="s">
        <v>10455</v>
      </c>
      <c r="D105" s="4" t="s">
        <v>10456</v>
      </c>
      <c r="E105" s="4" t="s">
        <v>2478</v>
      </c>
      <c r="F105" s="4" t="s">
        <v>2425</v>
      </c>
      <c r="G105" s="4" t="s">
        <v>177</v>
      </c>
      <c r="H105" s="4" t="s">
        <v>697</v>
      </c>
      <c r="I105" s="4" t="s">
        <v>10457</v>
      </c>
      <c r="J105" s="4" t="s">
        <v>41</v>
      </c>
      <c r="K105" s="4" t="s">
        <v>41</v>
      </c>
      <c r="L105" s="4" t="s">
        <v>41</v>
      </c>
      <c r="M105" s="4" t="s">
        <v>41</v>
      </c>
      <c r="N105" s="4" t="s">
        <v>41</v>
      </c>
      <c r="O105" s="4" t="s">
        <v>41</v>
      </c>
      <c r="P105" s="4" t="s">
        <v>41</v>
      </c>
      <c r="Q105" s="4" t="s">
        <v>41</v>
      </c>
      <c r="R105" s="4" t="s">
        <v>41</v>
      </c>
      <c r="S105" s="4" t="s">
        <v>41</v>
      </c>
      <c r="T105" s="4" t="s">
        <v>10431</v>
      </c>
      <c r="U105" s="4" t="s">
        <v>10420</v>
      </c>
      <c r="V105" s="4" t="s">
        <v>10369</v>
      </c>
      <c r="W105" s="4" t="s">
        <v>10421</v>
      </c>
      <c r="X105" s="4"/>
      <c r="Y105" s="4" t="s">
        <v>46</v>
      </c>
      <c r="Z105" s="4"/>
      <c r="AA105" s="4"/>
      <c r="AB105" s="4" t="s">
        <v>117</v>
      </c>
      <c r="AC105" s="9">
        <v>1</v>
      </c>
    </row>
    <row r="106" spans="1:29" x14ac:dyDescent="0.45">
      <c r="A106" s="6" t="s">
        <v>10363</v>
      </c>
      <c r="B106" s="5">
        <v>1619</v>
      </c>
      <c r="C106" s="5" t="s">
        <v>10605</v>
      </c>
      <c r="D106" s="5" t="s">
        <v>10606</v>
      </c>
      <c r="E106" s="5" t="s">
        <v>10607</v>
      </c>
      <c r="F106" s="5" t="s">
        <v>461</v>
      </c>
      <c r="G106" s="5" t="s">
        <v>177</v>
      </c>
      <c r="H106" s="5" t="s">
        <v>3620</v>
      </c>
      <c r="I106" s="5" t="s">
        <v>10608</v>
      </c>
      <c r="J106" s="5" t="s">
        <v>38</v>
      </c>
      <c r="K106" s="5" t="s">
        <v>38</v>
      </c>
      <c r="L106" s="5" t="s">
        <v>40</v>
      </c>
      <c r="M106" s="5" t="s">
        <v>38</v>
      </c>
      <c r="N106" s="5" t="s">
        <v>38</v>
      </c>
      <c r="O106" s="5" t="s">
        <v>39</v>
      </c>
      <c r="P106" s="5" t="s">
        <v>38</v>
      </c>
      <c r="Q106" s="5" t="s">
        <v>38</v>
      </c>
      <c r="R106" s="5" t="s">
        <v>39</v>
      </c>
      <c r="S106" s="5" t="s">
        <v>41</v>
      </c>
      <c r="T106" s="5" t="s">
        <v>10426</v>
      </c>
      <c r="U106" s="5" t="s">
        <v>10427</v>
      </c>
      <c r="V106" s="5" t="s">
        <v>10369</v>
      </c>
      <c r="W106" s="5" t="s">
        <v>10421</v>
      </c>
      <c r="X106" s="5"/>
      <c r="Y106" s="5" t="s">
        <v>46</v>
      </c>
      <c r="Z106" s="5"/>
      <c r="AA106" s="5"/>
      <c r="AB106" s="5" t="s">
        <v>2999</v>
      </c>
      <c r="AC106" s="7">
        <v>1</v>
      </c>
    </row>
    <row r="107" spans="1:29" x14ac:dyDescent="0.45">
      <c r="A107" s="8" t="s">
        <v>10363</v>
      </c>
      <c r="B107" s="4">
        <v>1850</v>
      </c>
      <c r="C107" s="4" t="s">
        <v>10651</v>
      </c>
      <c r="D107" s="4" t="s">
        <v>10652</v>
      </c>
      <c r="E107" s="4" t="s">
        <v>10653</v>
      </c>
      <c r="F107" s="4" t="s">
        <v>53</v>
      </c>
      <c r="G107" s="4" t="s">
        <v>177</v>
      </c>
      <c r="H107" s="4" t="s">
        <v>3620</v>
      </c>
      <c r="I107" s="4" t="s">
        <v>4578</v>
      </c>
      <c r="J107" s="4" t="s">
        <v>37</v>
      </c>
      <c r="K107" s="4" t="s">
        <v>37</v>
      </c>
      <c r="L107" s="4" t="s">
        <v>40</v>
      </c>
      <c r="M107" s="4" t="s">
        <v>38</v>
      </c>
      <c r="N107" s="4" t="s">
        <v>38</v>
      </c>
      <c r="O107" s="4" t="s">
        <v>39</v>
      </c>
      <c r="P107" s="4" t="s">
        <v>38</v>
      </c>
      <c r="Q107" s="4" t="s">
        <v>38</v>
      </c>
      <c r="R107" s="4" t="s">
        <v>40</v>
      </c>
      <c r="S107" s="4" t="s">
        <v>41</v>
      </c>
      <c r="T107" s="4" t="s">
        <v>10426</v>
      </c>
      <c r="U107" s="4" t="s">
        <v>10427</v>
      </c>
      <c r="V107" s="4" t="s">
        <v>10369</v>
      </c>
      <c r="W107" s="4" t="s">
        <v>10421</v>
      </c>
      <c r="X107" s="4"/>
      <c r="Y107" s="4" t="s">
        <v>46</v>
      </c>
      <c r="Z107" s="4"/>
      <c r="AA107" s="4"/>
      <c r="AB107" s="4" t="s">
        <v>117</v>
      </c>
      <c r="AC107" s="9">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B138B-9772-4960-AE53-1B80C79ACCF2}">
  <dimension ref="A1:AD1082"/>
  <sheetViews>
    <sheetView tabSelected="1" topLeftCell="Q1" workbookViewId="0">
      <selection activeCell="AD2" sqref="AD2"/>
    </sheetView>
  </sheetViews>
  <sheetFormatPr defaultRowHeight="14.25" x14ac:dyDescent="0.45"/>
  <cols>
    <col min="20" max="20" width="24" bestFit="1" customWidth="1"/>
  </cols>
  <sheetData>
    <row r="1" spans="1:30" x14ac:dyDescent="0.4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3" t="s">
        <v>10784</v>
      </c>
      <c r="AD1" s="11" t="s">
        <v>10785</v>
      </c>
    </row>
    <row r="2" spans="1:30" x14ac:dyDescent="0.45">
      <c r="A2" s="6" t="s">
        <v>10783</v>
      </c>
      <c r="B2" s="5">
        <v>26</v>
      </c>
      <c r="C2" s="5" t="s">
        <v>2291</v>
      </c>
      <c r="D2" s="5" t="s">
        <v>2292</v>
      </c>
      <c r="E2" s="5" t="s">
        <v>1684</v>
      </c>
      <c r="F2" s="5" t="s">
        <v>2293</v>
      </c>
      <c r="G2" s="5" t="s">
        <v>34</v>
      </c>
      <c r="H2" s="5" t="s">
        <v>2294</v>
      </c>
      <c r="I2" s="5" t="s">
        <v>2295</v>
      </c>
      <c r="J2" s="5" t="s">
        <v>38</v>
      </c>
      <c r="K2" s="5" t="s">
        <v>38</v>
      </c>
      <c r="L2" s="5" t="s">
        <v>40</v>
      </c>
      <c r="M2" s="5" t="s">
        <v>775</v>
      </c>
      <c r="N2" s="5" t="s">
        <v>56</v>
      </c>
      <c r="O2" s="5" t="s">
        <v>39</v>
      </c>
      <c r="P2" s="5" t="s">
        <v>38</v>
      </c>
      <c r="Q2" s="5" t="s">
        <v>38</v>
      </c>
      <c r="R2" s="5" t="s">
        <v>40</v>
      </c>
      <c r="S2" s="5" t="s">
        <v>2296</v>
      </c>
      <c r="T2" s="5" t="s">
        <v>2275</v>
      </c>
      <c r="U2" s="5" t="s">
        <v>2276</v>
      </c>
      <c r="V2" s="5" t="s">
        <v>2052</v>
      </c>
      <c r="W2" s="5" t="s">
        <v>452</v>
      </c>
      <c r="X2" s="5"/>
      <c r="Y2" s="5"/>
      <c r="Z2" s="5" t="s">
        <v>46</v>
      </c>
      <c r="AA2" s="5" t="s">
        <v>570</v>
      </c>
      <c r="AB2" s="5" t="s">
        <v>238</v>
      </c>
      <c r="AC2" s="7">
        <v>1</v>
      </c>
      <c r="AD2" t="str">
        <f>VLOOKUP($T2,[1]NhanSu!$C$5:$M$229,11,0)</f>
        <v>SM0000161</v>
      </c>
    </row>
    <row r="3" spans="1:30" x14ac:dyDescent="0.45">
      <c r="A3" s="8" t="s">
        <v>10783</v>
      </c>
      <c r="B3" s="4">
        <v>27</v>
      </c>
      <c r="C3" s="4" t="s">
        <v>2297</v>
      </c>
      <c r="D3" s="4" t="s">
        <v>2298</v>
      </c>
      <c r="E3" s="4" t="s">
        <v>2300</v>
      </c>
      <c r="F3" s="4" t="s">
        <v>2301</v>
      </c>
      <c r="G3" s="4" t="s">
        <v>34</v>
      </c>
      <c r="H3" s="4" t="s">
        <v>54</v>
      </c>
      <c r="I3" s="4" t="s">
        <v>2302</v>
      </c>
      <c r="J3" s="4" t="s">
        <v>38</v>
      </c>
      <c r="K3" s="4" t="s">
        <v>38</v>
      </c>
      <c r="L3" s="4" t="s">
        <v>40</v>
      </c>
      <c r="M3" s="4" t="s">
        <v>38</v>
      </c>
      <c r="N3" s="4" t="s">
        <v>38</v>
      </c>
      <c r="O3" s="4" t="s">
        <v>39</v>
      </c>
      <c r="P3" s="4" t="s">
        <v>38</v>
      </c>
      <c r="Q3" s="4" t="s">
        <v>38</v>
      </c>
      <c r="R3" s="4" t="s">
        <v>40</v>
      </c>
      <c r="S3" s="4" t="s">
        <v>2303</v>
      </c>
      <c r="T3" s="4" t="s">
        <v>2275</v>
      </c>
      <c r="U3" s="4" t="s">
        <v>2276</v>
      </c>
      <c r="V3" s="4" t="s">
        <v>2052</v>
      </c>
      <c r="W3" s="4" t="s">
        <v>452</v>
      </c>
      <c r="X3" s="4"/>
      <c r="Y3" s="4"/>
      <c r="Z3" s="4" t="s">
        <v>46</v>
      </c>
      <c r="AA3" s="4" t="s">
        <v>570</v>
      </c>
      <c r="AB3" s="4" t="s">
        <v>238</v>
      </c>
      <c r="AC3" s="9">
        <v>1</v>
      </c>
      <c r="AD3" t="str">
        <f>VLOOKUP($T3,[1]NhanSu!$C$5:$M$229,11,0)</f>
        <v>SM0000161</v>
      </c>
    </row>
    <row r="4" spans="1:30" x14ac:dyDescent="0.45">
      <c r="A4" s="6" t="s">
        <v>10783</v>
      </c>
      <c r="B4" s="5">
        <v>29</v>
      </c>
      <c r="C4" s="5" t="s">
        <v>2341</v>
      </c>
      <c r="D4" s="5" t="s">
        <v>2342</v>
      </c>
      <c r="E4" s="5" t="s">
        <v>1933</v>
      </c>
      <c r="F4" s="5" t="s">
        <v>2343</v>
      </c>
      <c r="G4" s="5" t="s">
        <v>34</v>
      </c>
      <c r="H4" s="5" t="s">
        <v>54</v>
      </c>
      <c r="I4" s="5" t="s">
        <v>2344</v>
      </c>
      <c r="J4" s="5" t="s">
        <v>38</v>
      </c>
      <c r="K4" s="5" t="s">
        <v>38</v>
      </c>
      <c r="L4" s="5" t="s">
        <v>40</v>
      </c>
      <c r="M4" s="5" t="s">
        <v>56</v>
      </c>
      <c r="N4" s="5" t="s">
        <v>56</v>
      </c>
      <c r="O4" s="5" t="s">
        <v>39</v>
      </c>
      <c r="P4" s="5" t="s">
        <v>38</v>
      </c>
      <c r="Q4" s="5" t="s">
        <v>38</v>
      </c>
      <c r="R4" s="5" t="s">
        <v>40</v>
      </c>
      <c r="S4" s="5" t="s">
        <v>2345</v>
      </c>
      <c r="T4" s="5" t="s">
        <v>2275</v>
      </c>
      <c r="U4" s="5" t="s">
        <v>2276</v>
      </c>
      <c r="V4" s="5" t="s">
        <v>2052</v>
      </c>
      <c r="W4" s="5" t="s">
        <v>452</v>
      </c>
      <c r="X4" s="5"/>
      <c r="Y4" s="5"/>
      <c r="Z4" s="5" t="s">
        <v>46</v>
      </c>
      <c r="AA4" s="5" t="s">
        <v>570</v>
      </c>
      <c r="AB4" s="5" t="s">
        <v>238</v>
      </c>
      <c r="AC4" s="7">
        <v>1</v>
      </c>
      <c r="AD4" t="str">
        <f>VLOOKUP($T4,[1]NhanSu!$C$5:$M$229,11,0)</f>
        <v>SM0000161</v>
      </c>
    </row>
    <row r="5" spans="1:30" x14ac:dyDescent="0.45">
      <c r="A5" s="8" t="s">
        <v>10783</v>
      </c>
      <c r="B5" s="4">
        <v>30</v>
      </c>
      <c r="C5" s="4" t="s">
        <v>2346</v>
      </c>
      <c r="D5" s="4" t="s">
        <v>2347</v>
      </c>
      <c r="E5" s="4" t="s">
        <v>2348</v>
      </c>
      <c r="F5" s="4" t="s">
        <v>2349</v>
      </c>
      <c r="G5" s="4" t="s">
        <v>34</v>
      </c>
      <c r="H5" s="4" t="s">
        <v>685</v>
      </c>
      <c r="I5" s="4" t="s">
        <v>2350</v>
      </c>
      <c r="J5" s="4" t="s">
        <v>38</v>
      </c>
      <c r="K5" s="4" t="s">
        <v>38</v>
      </c>
      <c r="L5" s="4" t="s">
        <v>39</v>
      </c>
      <c r="M5" s="4" t="s">
        <v>1034</v>
      </c>
      <c r="N5" s="4" t="s">
        <v>1034</v>
      </c>
      <c r="O5" s="4" t="s">
        <v>121</v>
      </c>
      <c r="P5" s="4" t="s">
        <v>38</v>
      </c>
      <c r="Q5" s="4" t="s">
        <v>38</v>
      </c>
      <c r="R5" s="4" t="s">
        <v>39</v>
      </c>
      <c r="S5" s="4" t="s">
        <v>2351</v>
      </c>
      <c r="T5" s="4" t="s">
        <v>2275</v>
      </c>
      <c r="U5" s="4" t="s">
        <v>2276</v>
      </c>
      <c r="V5" s="4" t="s">
        <v>2052</v>
      </c>
      <c r="W5" s="4" t="s">
        <v>452</v>
      </c>
      <c r="X5" s="4"/>
      <c r="Y5" s="4"/>
      <c r="Z5" s="4" t="s">
        <v>46</v>
      </c>
      <c r="AA5" s="4" t="s">
        <v>570</v>
      </c>
      <c r="AB5" s="4" t="s">
        <v>238</v>
      </c>
      <c r="AC5" s="9">
        <v>1</v>
      </c>
      <c r="AD5" t="str">
        <f>VLOOKUP($T5,[1]NhanSu!$C$5:$M$229,11,0)</f>
        <v>SM0000161</v>
      </c>
    </row>
    <row r="6" spans="1:30" x14ac:dyDescent="0.45">
      <c r="A6" s="6" t="s">
        <v>10783</v>
      </c>
      <c r="B6" s="5">
        <v>33</v>
      </c>
      <c r="C6" s="5" t="s">
        <v>2393</v>
      </c>
      <c r="D6" s="5" t="s">
        <v>2394</v>
      </c>
      <c r="E6" s="5" t="s">
        <v>2395</v>
      </c>
      <c r="F6" s="5" t="s">
        <v>2396</v>
      </c>
      <c r="G6" s="5" t="s">
        <v>34</v>
      </c>
      <c r="H6" s="5" t="s">
        <v>54</v>
      </c>
      <c r="I6" s="5" t="s">
        <v>2397</v>
      </c>
      <c r="J6" s="5" t="s">
        <v>38</v>
      </c>
      <c r="K6" s="5" t="s">
        <v>38</v>
      </c>
      <c r="L6" s="5" t="s">
        <v>40</v>
      </c>
      <c r="M6" s="5" t="s">
        <v>1034</v>
      </c>
      <c r="N6" s="5" t="s">
        <v>1034</v>
      </c>
      <c r="O6" s="5" t="s">
        <v>121</v>
      </c>
      <c r="P6" s="5" t="s">
        <v>38</v>
      </c>
      <c r="Q6" s="5" t="s">
        <v>38</v>
      </c>
      <c r="R6" s="5" t="s">
        <v>40</v>
      </c>
      <c r="S6" s="5" t="s">
        <v>2398</v>
      </c>
      <c r="T6" s="5" t="s">
        <v>2275</v>
      </c>
      <c r="U6" s="5" t="s">
        <v>2276</v>
      </c>
      <c r="V6" s="5" t="s">
        <v>2052</v>
      </c>
      <c r="W6" s="5" t="s">
        <v>452</v>
      </c>
      <c r="X6" s="5"/>
      <c r="Y6" s="5"/>
      <c r="Z6" s="5" t="s">
        <v>46</v>
      </c>
      <c r="AA6" s="5" t="s">
        <v>570</v>
      </c>
      <c r="AB6" s="5" t="s">
        <v>238</v>
      </c>
      <c r="AC6" s="7">
        <v>1</v>
      </c>
      <c r="AD6" t="str">
        <f>VLOOKUP($T6,[1]NhanSu!$C$5:$M$229,11,0)</f>
        <v>SM0000161</v>
      </c>
    </row>
    <row r="7" spans="1:30" x14ac:dyDescent="0.45">
      <c r="A7" s="8" t="s">
        <v>10783</v>
      </c>
      <c r="B7" s="4">
        <v>39</v>
      </c>
      <c r="C7" s="4" t="s">
        <v>2561</v>
      </c>
      <c r="D7" s="4" t="s">
        <v>2562</v>
      </c>
      <c r="E7" s="4" t="s">
        <v>2563</v>
      </c>
      <c r="F7" s="4" t="s">
        <v>1471</v>
      </c>
      <c r="G7" s="4" t="s">
        <v>34</v>
      </c>
      <c r="H7" s="4" t="s">
        <v>54</v>
      </c>
      <c r="I7" s="4" t="s">
        <v>2564</v>
      </c>
      <c r="J7" s="4" t="s">
        <v>38</v>
      </c>
      <c r="K7" s="4" t="s">
        <v>38</v>
      </c>
      <c r="L7" s="4" t="s">
        <v>40</v>
      </c>
      <c r="M7" s="4" t="s">
        <v>56</v>
      </c>
      <c r="N7" s="4" t="s">
        <v>56</v>
      </c>
      <c r="O7" s="4" t="s">
        <v>39</v>
      </c>
      <c r="P7" s="4" t="s">
        <v>38</v>
      </c>
      <c r="Q7" s="4" t="s">
        <v>38</v>
      </c>
      <c r="R7" s="4" t="s">
        <v>40</v>
      </c>
      <c r="S7" s="4" t="s">
        <v>2565</v>
      </c>
      <c r="T7" s="4" t="s">
        <v>2275</v>
      </c>
      <c r="U7" s="4" t="s">
        <v>2276</v>
      </c>
      <c r="V7" s="4" t="s">
        <v>2052</v>
      </c>
      <c r="W7" s="4" t="s">
        <v>452</v>
      </c>
      <c r="X7" s="4"/>
      <c r="Y7" s="4"/>
      <c r="Z7" s="4" t="s">
        <v>46</v>
      </c>
      <c r="AA7" s="4" t="s">
        <v>570</v>
      </c>
      <c r="AB7" s="4" t="s">
        <v>238</v>
      </c>
      <c r="AC7" s="9">
        <v>1</v>
      </c>
      <c r="AD7" t="str">
        <f>VLOOKUP($T7,[1]NhanSu!$C$5:$M$229,11,0)</f>
        <v>SM0000161</v>
      </c>
    </row>
    <row r="8" spans="1:30" x14ac:dyDescent="0.45">
      <c r="A8" s="6" t="s">
        <v>10783</v>
      </c>
      <c r="B8" s="5">
        <v>41</v>
      </c>
      <c r="C8" s="5" t="s">
        <v>2665</v>
      </c>
      <c r="D8" s="5" t="s">
        <v>2666</v>
      </c>
      <c r="E8" s="5" t="s">
        <v>2667</v>
      </c>
      <c r="F8" s="5" t="s">
        <v>1903</v>
      </c>
      <c r="G8" s="5" t="s">
        <v>34</v>
      </c>
      <c r="H8" s="5" t="s">
        <v>917</v>
      </c>
      <c r="I8" s="5" t="s">
        <v>2668</v>
      </c>
      <c r="J8" s="5" t="s">
        <v>38</v>
      </c>
      <c r="K8" s="5" t="s">
        <v>38</v>
      </c>
      <c r="L8" s="5" t="s">
        <v>40</v>
      </c>
      <c r="M8" s="5" t="s">
        <v>1034</v>
      </c>
      <c r="N8" s="5" t="s">
        <v>1034</v>
      </c>
      <c r="O8" s="5" t="s">
        <v>121</v>
      </c>
      <c r="P8" s="5" t="s">
        <v>38</v>
      </c>
      <c r="Q8" s="5" t="s">
        <v>38</v>
      </c>
      <c r="R8" s="5" t="s">
        <v>39</v>
      </c>
      <c r="S8" s="5" t="s">
        <v>2669</v>
      </c>
      <c r="T8" s="5" t="s">
        <v>2275</v>
      </c>
      <c r="U8" s="5" t="s">
        <v>2276</v>
      </c>
      <c r="V8" s="5" t="s">
        <v>2052</v>
      </c>
      <c r="W8" s="5" t="s">
        <v>452</v>
      </c>
      <c r="X8" s="5"/>
      <c r="Y8" s="5"/>
      <c r="Z8" s="5" t="s">
        <v>46</v>
      </c>
      <c r="AA8" s="5" t="s">
        <v>570</v>
      </c>
      <c r="AB8" s="5" t="s">
        <v>238</v>
      </c>
      <c r="AC8" s="7">
        <v>1</v>
      </c>
      <c r="AD8" t="str">
        <f>VLOOKUP($T8,[1]NhanSu!$C$5:$M$229,11,0)</f>
        <v>SM0000161</v>
      </c>
    </row>
    <row r="9" spans="1:30" x14ac:dyDescent="0.45">
      <c r="A9" s="8" t="s">
        <v>10783</v>
      </c>
      <c r="B9" s="4">
        <v>42</v>
      </c>
      <c r="C9" s="4" t="s">
        <v>2712</v>
      </c>
      <c r="D9" s="4" t="s">
        <v>2713</v>
      </c>
      <c r="E9" s="4" t="s">
        <v>828</v>
      </c>
      <c r="F9" s="4" t="s">
        <v>115</v>
      </c>
      <c r="G9" s="4" t="s">
        <v>34</v>
      </c>
      <c r="H9" s="4" t="s">
        <v>54</v>
      </c>
      <c r="I9" s="4" t="s">
        <v>2714</v>
      </c>
      <c r="J9" s="4" t="s">
        <v>38</v>
      </c>
      <c r="K9" s="4" t="s">
        <v>38</v>
      </c>
      <c r="L9" s="4" t="s">
        <v>40</v>
      </c>
      <c r="M9" s="4" t="s">
        <v>56</v>
      </c>
      <c r="N9" s="4" t="s">
        <v>56</v>
      </c>
      <c r="O9" s="4" t="s">
        <v>39</v>
      </c>
      <c r="P9" s="4" t="s">
        <v>38</v>
      </c>
      <c r="Q9" s="4" t="s">
        <v>38</v>
      </c>
      <c r="R9" s="4" t="s">
        <v>40</v>
      </c>
      <c r="S9" s="4" t="s">
        <v>41</v>
      </c>
      <c r="T9" s="4" t="s">
        <v>2275</v>
      </c>
      <c r="U9" s="4" t="s">
        <v>2276</v>
      </c>
      <c r="V9" s="4" t="s">
        <v>2052</v>
      </c>
      <c r="W9" s="4" t="s">
        <v>452</v>
      </c>
      <c r="X9" s="4"/>
      <c r="Y9" s="4"/>
      <c r="Z9" s="4" t="s">
        <v>46</v>
      </c>
      <c r="AA9" s="4" t="s">
        <v>570</v>
      </c>
      <c r="AB9" s="4" t="s">
        <v>238</v>
      </c>
      <c r="AC9" s="9">
        <v>1</v>
      </c>
      <c r="AD9" t="str">
        <f>VLOOKUP($T9,[1]NhanSu!$C$5:$M$229,11,0)</f>
        <v>SM0000161</v>
      </c>
    </row>
    <row r="10" spans="1:30" x14ac:dyDescent="0.45">
      <c r="A10" s="6" t="s">
        <v>10783</v>
      </c>
      <c r="B10" s="5">
        <v>43</v>
      </c>
      <c r="C10" s="5" t="s">
        <v>2715</v>
      </c>
      <c r="D10" s="5" t="s">
        <v>2716</v>
      </c>
      <c r="E10" s="5" t="s">
        <v>223</v>
      </c>
      <c r="F10" s="5" t="s">
        <v>53</v>
      </c>
      <c r="G10" s="5" t="s">
        <v>34</v>
      </c>
      <c r="H10" s="5" t="s">
        <v>54</v>
      </c>
      <c r="I10" s="5" t="s">
        <v>2061</v>
      </c>
      <c r="J10" s="5" t="s">
        <v>56</v>
      </c>
      <c r="K10" s="5" t="s">
        <v>38</v>
      </c>
      <c r="L10" s="5" t="s">
        <v>39</v>
      </c>
      <c r="M10" s="5" t="s">
        <v>56</v>
      </c>
      <c r="N10" s="5" t="s">
        <v>56</v>
      </c>
      <c r="O10" s="5" t="s">
        <v>39</v>
      </c>
      <c r="P10" s="5" t="s">
        <v>38</v>
      </c>
      <c r="Q10" s="5" t="s">
        <v>38</v>
      </c>
      <c r="R10" s="5" t="s">
        <v>40</v>
      </c>
      <c r="S10" s="5" t="s">
        <v>41</v>
      </c>
      <c r="T10" s="5" t="s">
        <v>2275</v>
      </c>
      <c r="U10" s="5" t="s">
        <v>2276</v>
      </c>
      <c r="V10" s="5" t="s">
        <v>2052</v>
      </c>
      <c r="W10" s="5" t="s">
        <v>452</v>
      </c>
      <c r="X10" s="5"/>
      <c r="Y10" s="5"/>
      <c r="Z10" s="5" t="s">
        <v>46</v>
      </c>
      <c r="AA10" s="5" t="s">
        <v>570</v>
      </c>
      <c r="AB10" s="5" t="s">
        <v>238</v>
      </c>
      <c r="AC10" s="7">
        <v>1</v>
      </c>
      <c r="AD10" t="str">
        <f>VLOOKUP($T10,[1]NhanSu!$C$5:$M$229,11,0)</f>
        <v>SM0000161</v>
      </c>
    </row>
    <row r="11" spans="1:30" x14ac:dyDescent="0.45">
      <c r="A11" s="8" t="s">
        <v>10783</v>
      </c>
      <c r="B11" s="4">
        <v>81</v>
      </c>
      <c r="C11" s="4" t="s">
        <v>567</v>
      </c>
      <c r="D11" s="4" t="s">
        <v>568</v>
      </c>
      <c r="E11" s="4" t="s">
        <v>416</v>
      </c>
      <c r="F11" s="4" t="s">
        <v>53</v>
      </c>
      <c r="G11" s="4" t="s">
        <v>34</v>
      </c>
      <c r="H11" s="4" t="s">
        <v>171</v>
      </c>
      <c r="I11" s="4" t="s">
        <v>569</v>
      </c>
      <c r="J11" s="4" t="s">
        <v>38</v>
      </c>
      <c r="K11" s="4" t="s">
        <v>38</v>
      </c>
      <c r="L11" s="4" t="s">
        <v>40</v>
      </c>
      <c r="M11" s="4" t="s">
        <v>56</v>
      </c>
      <c r="N11" s="4" t="s">
        <v>56</v>
      </c>
      <c r="O11" s="4" t="s">
        <v>39</v>
      </c>
      <c r="P11" s="4" t="s">
        <v>38</v>
      </c>
      <c r="Q11" s="4" t="s">
        <v>38</v>
      </c>
      <c r="R11" s="4" t="s">
        <v>40</v>
      </c>
      <c r="S11" s="4" t="s">
        <v>517</v>
      </c>
      <c r="T11" s="4" t="s">
        <v>518</v>
      </c>
      <c r="U11" s="4" t="s">
        <v>519</v>
      </c>
      <c r="V11" s="4" t="s">
        <v>44</v>
      </c>
      <c r="W11" s="4" t="s">
        <v>452</v>
      </c>
      <c r="X11" s="4"/>
      <c r="Y11" s="4"/>
      <c r="Z11" s="4" t="s">
        <v>46</v>
      </c>
      <c r="AA11" s="4" t="s">
        <v>570</v>
      </c>
      <c r="AB11" s="4" t="s">
        <v>238</v>
      </c>
      <c r="AC11" s="9">
        <v>1</v>
      </c>
      <c r="AD11" t="str">
        <f>VLOOKUP($T11,[1]NhanSu!$C$5:$M$229,11,0)</f>
        <v>SM0000191</v>
      </c>
    </row>
    <row r="12" spans="1:30" x14ac:dyDescent="0.45">
      <c r="A12" s="6" t="s">
        <v>10783</v>
      </c>
      <c r="B12" s="5">
        <v>82</v>
      </c>
      <c r="C12" s="5" t="s">
        <v>668</v>
      </c>
      <c r="D12" s="5" t="s">
        <v>669</v>
      </c>
      <c r="E12" s="5" t="s">
        <v>256</v>
      </c>
      <c r="F12" s="5" t="s">
        <v>53</v>
      </c>
      <c r="G12" s="5" t="s">
        <v>34</v>
      </c>
      <c r="H12" s="5" t="s">
        <v>54</v>
      </c>
      <c r="I12" s="5" t="s">
        <v>670</v>
      </c>
      <c r="J12" s="5" t="s">
        <v>38</v>
      </c>
      <c r="K12" s="5" t="s">
        <v>38</v>
      </c>
      <c r="L12" s="5" t="s">
        <v>40</v>
      </c>
      <c r="M12" s="5" t="s">
        <v>56</v>
      </c>
      <c r="N12" s="5" t="s">
        <v>56</v>
      </c>
      <c r="O12" s="5" t="s">
        <v>39</v>
      </c>
      <c r="P12" s="5" t="s">
        <v>38</v>
      </c>
      <c r="Q12" s="5" t="s">
        <v>38</v>
      </c>
      <c r="R12" s="5" t="s">
        <v>40</v>
      </c>
      <c r="S12" s="5" t="s">
        <v>671</v>
      </c>
      <c r="T12" s="5" t="s">
        <v>518</v>
      </c>
      <c r="U12" s="5" t="s">
        <v>519</v>
      </c>
      <c r="V12" s="5" t="s">
        <v>44</v>
      </c>
      <c r="W12" s="5" t="s">
        <v>452</v>
      </c>
      <c r="X12" s="5"/>
      <c r="Y12" s="5"/>
      <c r="Z12" s="5" t="s">
        <v>46</v>
      </c>
      <c r="AA12" s="5" t="s">
        <v>570</v>
      </c>
      <c r="AB12" s="5" t="s">
        <v>238</v>
      </c>
      <c r="AC12" s="7">
        <v>1</v>
      </c>
      <c r="AD12" t="str">
        <f>VLOOKUP($T12,[1]NhanSu!$C$5:$M$229,11,0)</f>
        <v>SM0000191</v>
      </c>
    </row>
    <row r="13" spans="1:30" x14ac:dyDescent="0.45">
      <c r="A13" s="8" t="s">
        <v>10783</v>
      </c>
      <c r="B13" s="4">
        <v>83</v>
      </c>
      <c r="C13" s="4" t="s">
        <v>693</v>
      </c>
      <c r="D13" s="4" t="s">
        <v>694</v>
      </c>
      <c r="E13" s="4" t="s">
        <v>307</v>
      </c>
      <c r="F13" s="4" t="s">
        <v>696</v>
      </c>
      <c r="G13" s="4" t="s">
        <v>34</v>
      </c>
      <c r="H13" s="4" t="s">
        <v>697</v>
      </c>
      <c r="I13" s="4" t="s">
        <v>698</v>
      </c>
      <c r="J13" s="4" t="s">
        <v>38</v>
      </c>
      <c r="K13" s="4" t="s">
        <v>38</v>
      </c>
      <c r="L13" s="4" t="s">
        <v>40</v>
      </c>
      <c r="M13" s="4" t="s">
        <v>56</v>
      </c>
      <c r="N13" s="4" t="s">
        <v>37</v>
      </c>
      <c r="O13" s="4" t="s">
        <v>39</v>
      </c>
      <c r="P13" s="4" t="s">
        <v>38</v>
      </c>
      <c r="Q13" s="4" t="s">
        <v>38</v>
      </c>
      <c r="R13" s="4" t="s">
        <v>40</v>
      </c>
      <c r="S13" s="4" t="s">
        <v>552</v>
      </c>
      <c r="T13" s="4" t="s">
        <v>518</v>
      </c>
      <c r="U13" s="4" t="s">
        <v>519</v>
      </c>
      <c r="V13" s="4" t="s">
        <v>44</v>
      </c>
      <c r="W13" s="4" t="s">
        <v>452</v>
      </c>
      <c r="X13" s="4"/>
      <c r="Y13" s="4"/>
      <c r="Z13" s="4" t="s">
        <v>46</v>
      </c>
      <c r="AA13" s="4" t="s">
        <v>570</v>
      </c>
      <c r="AB13" s="4" t="s">
        <v>238</v>
      </c>
      <c r="AC13" s="9">
        <v>1</v>
      </c>
      <c r="AD13" t="str">
        <f>VLOOKUP($T13,[1]NhanSu!$C$5:$M$229,11,0)</f>
        <v>SM0000191</v>
      </c>
    </row>
    <row r="14" spans="1:30" x14ac:dyDescent="0.45">
      <c r="A14" s="6" t="s">
        <v>10783</v>
      </c>
      <c r="B14" s="5">
        <v>84</v>
      </c>
      <c r="C14" s="5" t="s">
        <v>723</v>
      </c>
      <c r="D14" s="5" t="s">
        <v>724</v>
      </c>
      <c r="E14" s="5" t="s">
        <v>108</v>
      </c>
      <c r="F14" s="5" t="s">
        <v>53</v>
      </c>
      <c r="G14" s="5" t="s">
        <v>34</v>
      </c>
      <c r="H14" s="5" t="s">
        <v>54</v>
      </c>
      <c r="I14" s="5" t="s">
        <v>725</v>
      </c>
      <c r="J14" s="5" t="s">
        <v>38</v>
      </c>
      <c r="K14" s="5" t="s">
        <v>38</v>
      </c>
      <c r="L14" s="5" t="s">
        <v>40</v>
      </c>
      <c r="M14" s="5" t="s">
        <v>56</v>
      </c>
      <c r="N14" s="5" t="s">
        <v>37</v>
      </c>
      <c r="O14" s="5" t="s">
        <v>39</v>
      </c>
      <c r="P14" s="5" t="s">
        <v>38</v>
      </c>
      <c r="Q14" s="5" t="s">
        <v>38</v>
      </c>
      <c r="R14" s="5" t="s">
        <v>40</v>
      </c>
      <c r="S14" s="5" t="s">
        <v>517</v>
      </c>
      <c r="T14" s="5" t="s">
        <v>518</v>
      </c>
      <c r="U14" s="5" t="s">
        <v>519</v>
      </c>
      <c r="V14" s="5" t="s">
        <v>44</v>
      </c>
      <c r="W14" s="5" t="s">
        <v>452</v>
      </c>
      <c r="X14" s="5"/>
      <c r="Y14" s="5"/>
      <c r="Z14" s="5" t="s">
        <v>46</v>
      </c>
      <c r="AA14" s="5" t="s">
        <v>570</v>
      </c>
      <c r="AB14" s="5" t="s">
        <v>238</v>
      </c>
      <c r="AC14" s="7">
        <v>1</v>
      </c>
      <c r="AD14" t="str">
        <f>VLOOKUP($T14,[1]NhanSu!$C$5:$M$229,11,0)</f>
        <v>SM0000191</v>
      </c>
    </row>
    <row r="15" spans="1:30" x14ac:dyDescent="0.45">
      <c r="A15" s="8" t="s">
        <v>10783</v>
      </c>
      <c r="B15" s="4">
        <v>86</v>
      </c>
      <c r="C15" s="4" t="s">
        <v>756</v>
      </c>
      <c r="D15" s="4" t="s">
        <v>757</v>
      </c>
      <c r="E15" s="4" t="s">
        <v>261</v>
      </c>
      <c r="F15" s="4" t="s">
        <v>426</v>
      </c>
      <c r="G15" s="4" t="s">
        <v>34</v>
      </c>
      <c r="H15" s="4" t="s">
        <v>473</v>
      </c>
      <c r="I15" s="4" t="s">
        <v>758</v>
      </c>
      <c r="J15" s="4" t="s">
        <v>38</v>
      </c>
      <c r="K15" s="4" t="s">
        <v>38</v>
      </c>
      <c r="L15" s="4" t="s">
        <v>40</v>
      </c>
      <c r="M15" s="4" t="s">
        <v>37</v>
      </c>
      <c r="N15" s="4" t="s">
        <v>37</v>
      </c>
      <c r="O15" s="4" t="s">
        <v>39</v>
      </c>
      <c r="P15" s="4" t="s">
        <v>38</v>
      </c>
      <c r="Q15" s="4" t="s">
        <v>38</v>
      </c>
      <c r="R15" s="4" t="s">
        <v>40</v>
      </c>
      <c r="S15" s="4" t="s">
        <v>759</v>
      </c>
      <c r="T15" s="4" t="s">
        <v>518</v>
      </c>
      <c r="U15" s="4" t="s">
        <v>519</v>
      </c>
      <c r="V15" s="4" t="s">
        <v>44</v>
      </c>
      <c r="W15" s="4" t="s">
        <v>452</v>
      </c>
      <c r="X15" s="4"/>
      <c r="Y15" s="4"/>
      <c r="Z15" s="4" t="s">
        <v>46</v>
      </c>
      <c r="AA15" s="4" t="s">
        <v>570</v>
      </c>
      <c r="AB15" s="4" t="s">
        <v>238</v>
      </c>
      <c r="AC15" s="9">
        <v>1</v>
      </c>
      <c r="AD15" t="str">
        <f>VLOOKUP($T15,[1]NhanSu!$C$5:$M$229,11,0)</f>
        <v>SM0000191</v>
      </c>
    </row>
    <row r="16" spans="1:30" x14ac:dyDescent="0.45">
      <c r="A16" s="6" t="s">
        <v>10783</v>
      </c>
      <c r="B16" s="5">
        <v>95</v>
      </c>
      <c r="C16" s="5" t="s">
        <v>1068</v>
      </c>
      <c r="D16" s="5" t="s">
        <v>1069</v>
      </c>
      <c r="E16" s="5" t="s">
        <v>157</v>
      </c>
      <c r="F16" s="5" t="s">
        <v>53</v>
      </c>
      <c r="G16" s="5" t="s">
        <v>34</v>
      </c>
      <c r="H16" s="5" t="s">
        <v>54</v>
      </c>
      <c r="I16" s="5" t="s">
        <v>1070</v>
      </c>
      <c r="J16" s="5" t="s">
        <v>38</v>
      </c>
      <c r="K16" s="5" t="s">
        <v>38</v>
      </c>
      <c r="L16" s="5" t="s">
        <v>40</v>
      </c>
      <c r="M16" s="5" t="s">
        <v>37</v>
      </c>
      <c r="N16" s="5" t="s">
        <v>37</v>
      </c>
      <c r="O16" s="5" t="s">
        <v>39</v>
      </c>
      <c r="P16" s="5" t="s">
        <v>38</v>
      </c>
      <c r="Q16" s="5" t="s">
        <v>38</v>
      </c>
      <c r="R16" s="5" t="s">
        <v>40</v>
      </c>
      <c r="S16" s="5" t="s">
        <v>517</v>
      </c>
      <c r="T16" s="5" t="s">
        <v>518</v>
      </c>
      <c r="U16" s="5" t="s">
        <v>519</v>
      </c>
      <c r="V16" s="5" t="s">
        <v>44</v>
      </c>
      <c r="W16" s="5" t="s">
        <v>452</v>
      </c>
      <c r="X16" s="5"/>
      <c r="Y16" s="5"/>
      <c r="Z16" s="5" t="s">
        <v>46</v>
      </c>
      <c r="AA16" s="5" t="s">
        <v>570</v>
      </c>
      <c r="AB16" s="5" t="s">
        <v>238</v>
      </c>
      <c r="AC16" s="7">
        <v>1</v>
      </c>
      <c r="AD16" t="str">
        <f>VLOOKUP($T16,[1]NhanSu!$C$5:$M$229,11,0)</f>
        <v>SM0000191</v>
      </c>
    </row>
    <row r="17" spans="1:30" x14ac:dyDescent="0.45">
      <c r="A17" s="8" t="s">
        <v>10783</v>
      </c>
      <c r="B17" s="4">
        <v>98</v>
      </c>
      <c r="C17" s="4" t="s">
        <v>1108</v>
      </c>
      <c r="D17" s="4" t="s">
        <v>1109</v>
      </c>
      <c r="E17" s="4" t="s">
        <v>529</v>
      </c>
      <c r="F17" s="4" t="s">
        <v>53</v>
      </c>
      <c r="G17" s="4" t="s">
        <v>34</v>
      </c>
      <c r="H17" s="4" t="s">
        <v>1052</v>
      </c>
      <c r="I17" s="4" t="s">
        <v>1110</v>
      </c>
      <c r="J17" s="4" t="s">
        <v>38</v>
      </c>
      <c r="K17" s="4" t="s">
        <v>38</v>
      </c>
      <c r="L17" s="4" t="s">
        <v>40</v>
      </c>
      <c r="M17" s="4" t="s">
        <v>56</v>
      </c>
      <c r="N17" s="4" t="s">
        <v>37</v>
      </c>
      <c r="O17" s="4" t="s">
        <v>39</v>
      </c>
      <c r="P17" s="4" t="s">
        <v>38</v>
      </c>
      <c r="Q17" s="4" t="s">
        <v>38</v>
      </c>
      <c r="R17" s="4" t="s">
        <v>40</v>
      </c>
      <c r="S17" s="4" t="s">
        <v>1111</v>
      </c>
      <c r="T17" s="4" t="s">
        <v>518</v>
      </c>
      <c r="U17" s="4" t="s">
        <v>519</v>
      </c>
      <c r="V17" s="4" t="s">
        <v>44</v>
      </c>
      <c r="W17" s="4" t="s">
        <v>452</v>
      </c>
      <c r="X17" s="4"/>
      <c r="Y17" s="4"/>
      <c r="Z17" s="4" t="s">
        <v>46</v>
      </c>
      <c r="AA17" s="4" t="s">
        <v>570</v>
      </c>
      <c r="AB17" s="4" t="s">
        <v>238</v>
      </c>
      <c r="AC17" s="9">
        <v>1</v>
      </c>
      <c r="AD17" t="str">
        <f>VLOOKUP($T17,[1]NhanSu!$C$5:$M$229,11,0)</f>
        <v>SM0000191</v>
      </c>
    </row>
    <row r="18" spans="1:30" x14ac:dyDescent="0.45">
      <c r="A18" s="6" t="s">
        <v>10783</v>
      </c>
      <c r="B18" s="5">
        <v>106</v>
      </c>
      <c r="C18" s="5" t="s">
        <v>1315</v>
      </c>
      <c r="D18" s="5" t="s">
        <v>1316</v>
      </c>
      <c r="E18" s="5" t="s">
        <v>109</v>
      </c>
      <c r="F18" s="5" t="s">
        <v>53</v>
      </c>
      <c r="G18" s="5" t="s">
        <v>34</v>
      </c>
      <c r="H18" s="5" t="s">
        <v>54</v>
      </c>
      <c r="I18" s="5" t="s">
        <v>944</v>
      </c>
      <c r="J18" s="5" t="s">
        <v>38</v>
      </c>
      <c r="K18" s="5" t="s">
        <v>38</v>
      </c>
      <c r="L18" s="5" t="s">
        <v>40</v>
      </c>
      <c r="M18" s="5" t="s">
        <v>37</v>
      </c>
      <c r="N18" s="5" t="s">
        <v>56</v>
      </c>
      <c r="O18" s="5" t="s">
        <v>39</v>
      </c>
      <c r="P18" s="5" t="s">
        <v>38</v>
      </c>
      <c r="Q18" s="5" t="s">
        <v>38</v>
      </c>
      <c r="R18" s="5" t="s">
        <v>40</v>
      </c>
      <c r="S18" s="5" t="s">
        <v>517</v>
      </c>
      <c r="T18" s="5" t="s">
        <v>518</v>
      </c>
      <c r="U18" s="5" t="s">
        <v>519</v>
      </c>
      <c r="V18" s="5" t="s">
        <v>44</v>
      </c>
      <c r="W18" s="5" t="s">
        <v>452</v>
      </c>
      <c r="X18" s="5"/>
      <c r="Y18" s="5"/>
      <c r="Z18" s="5" t="s">
        <v>46</v>
      </c>
      <c r="AA18" s="5" t="s">
        <v>570</v>
      </c>
      <c r="AB18" s="5" t="s">
        <v>238</v>
      </c>
      <c r="AC18" s="7">
        <v>1</v>
      </c>
      <c r="AD18" t="str">
        <f>VLOOKUP($T18,[1]NhanSu!$C$5:$M$229,11,0)</f>
        <v>SM0000191</v>
      </c>
    </row>
    <row r="19" spans="1:30" x14ac:dyDescent="0.45">
      <c r="A19" s="8" t="s">
        <v>10783</v>
      </c>
      <c r="B19" s="4">
        <v>110</v>
      </c>
      <c r="C19" s="4" t="s">
        <v>1456</v>
      </c>
      <c r="D19" s="4" t="s">
        <v>1457</v>
      </c>
      <c r="E19" s="4" t="s">
        <v>176</v>
      </c>
      <c r="F19" s="4" t="s">
        <v>53</v>
      </c>
      <c r="G19" s="4" t="s">
        <v>1458</v>
      </c>
      <c r="H19" s="4" t="s">
        <v>54</v>
      </c>
      <c r="I19" s="4" t="s">
        <v>1459</v>
      </c>
      <c r="J19" s="4" t="s">
        <v>38</v>
      </c>
      <c r="K19" s="4" t="s">
        <v>37</v>
      </c>
      <c r="L19" s="4" t="s">
        <v>40</v>
      </c>
      <c r="M19" s="4" t="s">
        <v>37</v>
      </c>
      <c r="N19" s="4" t="s">
        <v>56</v>
      </c>
      <c r="O19" s="4" t="s">
        <v>39</v>
      </c>
      <c r="P19" s="4" t="s">
        <v>38</v>
      </c>
      <c r="Q19" s="4" t="s">
        <v>38</v>
      </c>
      <c r="R19" s="4" t="s">
        <v>40</v>
      </c>
      <c r="S19" s="4" t="s">
        <v>1460</v>
      </c>
      <c r="T19" s="4" t="s">
        <v>518</v>
      </c>
      <c r="U19" s="4" t="s">
        <v>519</v>
      </c>
      <c r="V19" s="4" t="s">
        <v>44</v>
      </c>
      <c r="W19" s="4" t="s">
        <v>452</v>
      </c>
      <c r="X19" s="4"/>
      <c r="Y19" s="4"/>
      <c r="Z19" s="4" t="s">
        <v>46</v>
      </c>
      <c r="AA19" s="4" t="s">
        <v>570</v>
      </c>
      <c r="AB19" s="4" t="s">
        <v>238</v>
      </c>
      <c r="AC19" s="9">
        <v>1</v>
      </c>
      <c r="AD19" t="str">
        <f>VLOOKUP($T19,[1]NhanSu!$C$5:$M$229,11,0)</f>
        <v>SM0000191</v>
      </c>
    </row>
    <row r="20" spans="1:30" x14ac:dyDescent="0.45">
      <c r="A20" s="6" t="s">
        <v>10783</v>
      </c>
      <c r="B20" s="5">
        <v>111</v>
      </c>
      <c r="C20" s="5" t="s">
        <v>1466</v>
      </c>
      <c r="D20" s="5" t="s">
        <v>1467</v>
      </c>
      <c r="E20" s="5" t="s">
        <v>64</v>
      </c>
      <c r="F20" s="5" t="s">
        <v>53</v>
      </c>
      <c r="G20" s="5" t="s">
        <v>1458</v>
      </c>
      <c r="H20" s="5" t="s">
        <v>54</v>
      </c>
      <c r="I20" s="5" t="s">
        <v>1468</v>
      </c>
      <c r="J20" s="5" t="s">
        <v>38</v>
      </c>
      <c r="K20" s="5" t="s">
        <v>38</v>
      </c>
      <c r="L20" s="5" t="s">
        <v>40</v>
      </c>
      <c r="M20" s="5" t="s">
        <v>38</v>
      </c>
      <c r="N20" s="5" t="s">
        <v>38</v>
      </c>
      <c r="O20" s="5" t="s">
        <v>40</v>
      </c>
      <c r="P20" s="5" t="s">
        <v>38</v>
      </c>
      <c r="Q20" s="5" t="s">
        <v>38</v>
      </c>
      <c r="R20" s="5" t="s">
        <v>40</v>
      </c>
      <c r="S20" s="5" t="s">
        <v>1291</v>
      </c>
      <c r="T20" s="5" t="s">
        <v>518</v>
      </c>
      <c r="U20" s="5" t="s">
        <v>519</v>
      </c>
      <c r="V20" s="5" t="s">
        <v>44</v>
      </c>
      <c r="W20" s="5" t="s">
        <v>452</v>
      </c>
      <c r="X20" s="5"/>
      <c r="Y20" s="5"/>
      <c r="Z20" s="5" t="s">
        <v>46</v>
      </c>
      <c r="AA20" s="5" t="s">
        <v>570</v>
      </c>
      <c r="AB20" s="5" t="s">
        <v>238</v>
      </c>
      <c r="AC20" s="7">
        <v>1</v>
      </c>
      <c r="AD20" t="str">
        <f>VLOOKUP($T20,[1]NhanSu!$C$5:$M$229,11,0)</f>
        <v>SM0000191</v>
      </c>
    </row>
    <row r="21" spans="1:30" x14ac:dyDescent="0.45">
      <c r="A21" s="8" t="s">
        <v>10783</v>
      </c>
      <c r="B21" s="4">
        <v>112</v>
      </c>
      <c r="C21" s="4" t="s">
        <v>1490</v>
      </c>
      <c r="D21" s="4" t="s">
        <v>1491</v>
      </c>
      <c r="E21" s="4" t="s">
        <v>32</v>
      </c>
      <c r="F21" s="4" t="s">
        <v>1493</v>
      </c>
      <c r="G21" s="4" t="s">
        <v>1458</v>
      </c>
      <c r="H21" s="4" t="s">
        <v>1494</v>
      </c>
      <c r="I21" s="4" t="s">
        <v>1495</v>
      </c>
      <c r="J21" s="4" t="s">
        <v>38</v>
      </c>
      <c r="K21" s="4" t="s">
        <v>38</v>
      </c>
      <c r="L21" s="4" t="s">
        <v>40</v>
      </c>
      <c r="M21" s="4" t="s">
        <v>56</v>
      </c>
      <c r="N21" s="4" t="s">
        <v>37</v>
      </c>
      <c r="O21" s="4" t="s">
        <v>39</v>
      </c>
      <c r="P21" s="4" t="s">
        <v>38</v>
      </c>
      <c r="Q21" s="4" t="s">
        <v>37</v>
      </c>
      <c r="R21" s="4" t="s">
        <v>40</v>
      </c>
      <c r="S21" s="4" t="s">
        <v>1496</v>
      </c>
      <c r="T21" s="4" t="s">
        <v>518</v>
      </c>
      <c r="U21" s="4" t="s">
        <v>519</v>
      </c>
      <c r="V21" s="4" t="s">
        <v>44</v>
      </c>
      <c r="W21" s="4" t="s">
        <v>452</v>
      </c>
      <c r="X21" s="4"/>
      <c r="Y21" s="4"/>
      <c r="Z21" s="4" t="s">
        <v>46</v>
      </c>
      <c r="AA21" s="4" t="s">
        <v>570</v>
      </c>
      <c r="AB21" s="4" t="s">
        <v>238</v>
      </c>
      <c r="AC21" s="9">
        <v>1</v>
      </c>
      <c r="AD21" t="str">
        <f>VLOOKUP($T21,[1]NhanSu!$C$5:$M$229,11,0)</f>
        <v>SM0000191</v>
      </c>
    </row>
    <row r="22" spans="1:30" x14ac:dyDescent="0.45">
      <c r="A22" s="6" t="s">
        <v>10783</v>
      </c>
      <c r="B22" s="5">
        <v>150</v>
      </c>
      <c r="C22" s="5" t="s">
        <v>336</v>
      </c>
      <c r="D22" s="5" t="s">
        <v>337</v>
      </c>
      <c r="E22" s="5" t="s">
        <v>307</v>
      </c>
      <c r="F22" s="5" t="s">
        <v>339</v>
      </c>
      <c r="G22" s="5" t="s">
        <v>34</v>
      </c>
      <c r="H22" s="5" t="s">
        <v>340</v>
      </c>
      <c r="I22" s="5" t="s">
        <v>341</v>
      </c>
      <c r="J22" s="5" t="s">
        <v>38</v>
      </c>
      <c r="K22" s="5" t="s">
        <v>38</v>
      </c>
      <c r="L22" s="5" t="s">
        <v>40</v>
      </c>
      <c r="M22" s="5" t="s">
        <v>38</v>
      </c>
      <c r="N22" s="5" t="s">
        <v>38</v>
      </c>
      <c r="O22" s="5" t="s">
        <v>40</v>
      </c>
      <c r="P22" s="5" t="s">
        <v>38</v>
      </c>
      <c r="Q22" s="5" t="s">
        <v>38</v>
      </c>
      <c r="R22" s="5" t="s">
        <v>40</v>
      </c>
      <c r="S22" s="5" t="s">
        <v>41</v>
      </c>
      <c r="T22" s="5" t="s">
        <v>232</v>
      </c>
      <c r="U22" s="5" t="s">
        <v>233</v>
      </c>
      <c r="V22" s="5" t="s">
        <v>44</v>
      </c>
      <c r="W22" s="5" t="s">
        <v>234</v>
      </c>
      <c r="X22" s="5"/>
      <c r="Y22" s="5"/>
      <c r="Z22" s="5" t="s">
        <v>46</v>
      </c>
      <c r="AA22" s="5" t="s">
        <v>387</v>
      </c>
      <c r="AB22" s="5" t="s">
        <v>238</v>
      </c>
      <c r="AC22" s="7">
        <v>1</v>
      </c>
      <c r="AD22" t="str">
        <f>VLOOKUP($T22,[1]NhanSu!$C$5:$M$229,11,0)</f>
        <v>SM0000200</v>
      </c>
    </row>
    <row r="23" spans="1:30" x14ac:dyDescent="0.45">
      <c r="A23" s="8" t="s">
        <v>10783</v>
      </c>
      <c r="B23" s="4">
        <v>151</v>
      </c>
      <c r="C23" s="4" t="s">
        <v>383</v>
      </c>
      <c r="D23" s="4" t="s">
        <v>384</v>
      </c>
      <c r="E23" s="4" t="s">
        <v>92</v>
      </c>
      <c r="F23" s="4" t="s">
        <v>325</v>
      </c>
      <c r="G23" s="4" t="s">
        <v>34</v>
      </c>
      <c r="H23" s="4" t="s">
        <v>332</v>
      </c>
      <c r="I23" s="4" t="s">
        <v>385</v>
      </c>
      <c r="J23" s="4" t="s">
        <v>38</v>
      </c>
      <c r="K23" s="4" t="s">
        <v>38</v>
      </c>
      <c r="L23" s="4" t="s">
        <v>40</v>
      </c>
      <c r="M23" s="4" t="s">
        <v>38</v>
      </c>
      <c r="N23" s="4" t="s">
        <v>38</v>
      </c>
      <c r="O23" s="4" t="s">
        <v>40</v>
      </c>
      <c r="P23" s="4" t="s">
        <v>38</v>
      </c>
      <c r="Q23" s="4" t="s">
        <v>38</v>
      </c>
      <c r="R23" s="4" t="s">
        <v>40</v>
      </c>
      <c r="S23" s="4" t="s">
        <v>41</v>
      </c>
      <c r="T23" s="4" t="s">
        <v>386</v>
      </c>
      <c r="U23" s="4" t="s">
        <v>233</v>
      </c>
      <c r="V23" s="4" t="s">
        <v>44</v>
      </c>
      <c r="W23" s="4" t="s">
        <v>234</v>
      </c>
      <c r="X23" s="4"/>
      <c r="Y23" s="4"/>
      <c r="Z23" s="4" t="s">
        <v>46</v>
      </c>
      <c r="AA23" s="4" t="s">
        <v>387</v>
      </c>
      <c r="AB23" s="4" t="s">
        <v>238</v>
      </c>
      <c r="AC23" s="9">
        <v>1</v>
      </c>
      <c r="AD23" t="str">
        <f>VLOOKUP($T23,[1]NhanSu!$C$5:$M$229,11,0)</f>
        <v>SM0000199</v>
      </c>
    </row>
    <row r="24" spans="1:30" x14ac:dyDescent="0.45">
      <c r="A24" s="6" t="s">
        <v>10783</v>
      </c>
      <c r="B24" s="5">
        <v>153</v>
      </c>
      <c r="C24" s="5" t="s">
        <v>453</v>
      </c>
      <c r="D24" s="5" t="s">
        <v>454</v>
      </c>
      <c r="E24" s="5" t="s">
        <v>455</v>
      </c>
      <c r="F24" s="5" t="s">
        <v>456</v>
      </c>
      <c r="G24" s="5" t="s">
        <v>34</v>
      </c>
      <c r="H24" s="5" t="s">
        <v>457</v>
      </c>
      <c r="I24" s="5" t="s">
        <v>458</v>
      </c>
      <c r="J24" s="5" t="s">
        <v>38</v>
      </c>
      <c r="K24" s="5" t="s">
        <v>38</v>
      </c>
      <c r="L24" s="5" t="s">
        <v>40</v>
      </c>
      <c r="M24" s="5" t="s">
        <v>38</v>
      </c>
      <c r="N24" s="5" t="s">
        <v>38</v>
      </c>
      <c r="O24" s="5" t="s">
        <v>40</v>
      </c>
      <c r="P24" s="5" t="s">
        <v>38</v>
      </c>
      <c r="Q24" s="5" t="s">
        <v>38</v>
      </c>
      <c r="R24" s="5" t="s">
        <v>40</v>
      </c>
      <c r="S24" s="5" t="s">
        <v>41</v>
      </c>
      <c r="T24" s="5" t="s">
        <v>386</v>
      </c>
      <c r="U24" s="5" t="s">
        <v>233</v>
      </c>
      <c r="V24" s="5" t="s">
        <v>44</v>
      </c>
      <c r="W24" s="5" t="s">
        <v>234</v>
      </c>
      <c r="X24" s="5" t="s">
        <v>46</v>
      </c>
      <c r="Y24" s="5"/>
      <c r="Z24" s="5" t="s">
        <v>46</v>
      </c>
      <c r="AA24" s="5" t="s">
        <v>387</v>
      </c>
      <c r="AB24" s="5" t="s">
        <v>238</v>
      </c>
      <c r="AC24" s="7">
        <v>1</v>
      </c>
      <c r="AD24" t="str">
        <f>VLOOKUP($T24,[1]NhanSu!$C$5:$M$229,11,0)</f>
        <v>SM0000199</v>
      </c>
    </row>
    <row r="25" spans="1:30" x14ac:dyDescent="0.45">
      <c r="A25" s="8" t="s">
        <v>10783</v>
      </c>
      <c r="B25" s="4">
        <v>154</v>
      </c>
      <c r="C25" s="4" t="s">
        <v>459</v>
      </c>
      <c r="D25" s="4" t="s">
        <v>460</v>
      </c>
      <c r="E25" s="4" t="s">
        <v>307</v>
      </c>
      <c r="F25" s="4" t="s">
        <v>461</v>
      </c>
      <c r="G25" s="4" t="s">
        <v>34</v>
      </c>
      <c r="H25" s="4" t="s">
        <v>462</v>
      </c>
      <c r="I25" s="4" t="s">
        <v>463</v>
      </c>
      <c r="J25" s="4" t="s">
        <v>38</v>
      </c>
      <c r="K25" s="4" t="s">
        <v>38</v>
      </c>
      <c r="L25" s="4" t="s">
        <v>40</v>
      </c>
      <c r="M25" s="4" t="s">
        <v>38</v>
      </c>
      <c r="N25" s="4" t="s">
        <v>38</v>
      </c>
      <c r="O25" s="4" t="s">
        <v>40</v>
      </c>
      <c r="P25" s="4" t="s">
        <v>38</v>
      </c>
      <c r="Q25" s="4" t="s">
        <v>38</v>
      </c>
      <c r="R25" s="4" t="s">
        <v>40</v>
      </c>
      <c r="S25" s="4" t="s">
        <v>41</v>
      </c>
      <c r="T25" s="4" t="s">
        <v>386</v>
      </c>
      <c r="U25" s="4" t="s">
        <v>233</v>
      </c>
      <c r="V25" s="4" t="s">
        <v>44</v>
      </c>
      <c r="W25" s="4" t="s">
        <v>234</v>
      </c>
      <c r="X25" s="4"/>
      <c r="Y25" s="4"/>
      <c r="Z25" s="4" t="s">
        <v>46</v>
      </c>
      <c r="AA25" s="4" t="s">
        <v>387</v>
      </c>
      <c r="AB25" s="4" t="s">
        <v>238</v>
      </c>
      <c r="AC25" s="9">
        <v>1</v>
      </c>
      <c r="AD25" t="str">
        <f>VLOOKUP($T25,[1]NhanSu!$C$5:$M$229,11,0)</f>
        <v>SM0000199</v>
      </c>
    </row>
    <row r="26" spans="1:30" x14ac:dyDescent="0.45">
      <c r="A26" s="6" t="s">
        <v>10783</v>
      </c>
      <c r="B26" s="5">
        <v>156</v>
      </c>
      <c r="C26" s="5" t="s">
        <v>471</v>
      </c>
      <c r="D26" s="5" t="s">
        <v>472</v>
      </c>
      <c r="E26" s="5" t="s">
        <v>219</v>
      </c>
      <c r="F26" s="5" t="s">
        <v>115</v>
      </c>
      <c r="G26" s="5" t="s">
        <v>34</v>
      </c>
      <c r="H26" s="5" t="s">
        <v>473</v>
      </c>
      <c r="I26" s="5" t="s">
        <v>474</v>
      </c>
      <c r="J26" s="5" t="s">
        <v>37</v>
      </c>
      <c r="K26" s="5" t="s">
        <v>37</v>
      </c>
      <c r="L26" s="5" t="s">
        <v>40</v>
      </c>
      <c r="M26" s="5" t="s">
        <v>56</v>
      </c>
      <c r="N26" s="5" t="s">
        <v>56</v>
      </c>
      <c r="O26" s="5" t="s">
        <v>39</v>
      </c>
      <c r="P26" s="5" t="s">
        <v>37</v>
      </c>
      <c r="Q26" s="5" t="s">
        <v>37</v>
      </c>
      <c r="R26" s="5" t="s">
        <v>39</v>
      </c>
      <c r="S26" s="5" t="s">
        <v>475</v>
      </c>
      <c r="T26" s="5" t="s">
        <v>470</v>
      </c>
      <c r="U26" s="5" t="s">
        <v>233</v>
      </c>
      <c r="V26" s="5" t="s">
        <v>44</v>
      </c>
      <c r="W26" s="5" t="s">
        <v>234</v>
      </c>
      <c r="X26" s="5"/>
      <c r="Y26" s="5"/>
      <c r="Z26" s="5" t="s">
        <v>46</v>
      </c>
      <c r="AA26" s="5" t="s">
        <v>387</v>
      </c>
      <c r="AB26" s="5" t="s">
        <v>238</v>
      </c>
      <c r="AC26" s="7">
        <v>1</v>
      </c>
      <c r="AD26" t="str">
        <f>VLOOKUP($T26,[1]NhanSu!$C$5:$M$229,11,0)</f>
        <v>SM0000214</v>
      </c>
    </row>
    <row r="27" spans="1:30" x14ac:dyDescent="0.45">
      <c r="A27" s="8" t="s">
        <v>10783</v>
      </c>
      <c r="B27" s="4">
        <v>159</v>
      </c>
      <c r="C27" s="4" t="s">
        <v>494</v>
      </c>
      <c r="D27" s="4" t="s">
        <v>495</v>
      </c>
      <c r="E27" s="4" t="s">
        <v>32</v>
      </c>
      <c r="F27" s="4" t="s">
        <v>53</v>
      </c>
      <c r="G27" s="4" t="s">
        <v>34</v>
      </c>
      <c r="H27" s="4" t="s">
        <v>332</v>
      </c>
      <c r="I27" s="4" t="s">
        <v>496</v>
      </c>
      <c r="J27" s="4" t="s">
        <v>38</v>
      </c>
      <c r="K27" s="4" t="s">
        <v>38</v>
      </c>
      <c r="L27" s="4" t="s">
        <v>40</v>
      </c>
      <c r="M27" s="4" t="s">
        <v>38</v>
      </c>
      <c r="N27" s="4" t="s">
        <v>38</v>
      </c>
      <c r="O27" s="4" t="s">
        <v>40</v>
      </c>
      <c r="P27" s="4" t="s">
        <v>38</v>
      </c>
      <c r="Q27" s="4" t="s">
        <v>38</v>
      </c>
      <c r="R27" s="4" t="s">
        <v>40</v>
      </c>
      <c r="S27" s="4" t="s">
        <v>41</v>
      </c>
      <c r="T27" s="4" t="s">
        <v>232</v>
      </c>
      <c r="U27" s="4" t="s">
        <v>233</v>
      </c>
      <c r="V27" s="4" t="s">
        <v>44</v>
      </c>
      <c r="W27" s="4" t="s">
        <v>234</v>
      </c>
      <c r="X27" s="4"/>
      <c r="Y27" s="4"/>
      <c r="Z27" s="4" t="s">
        <v>46</v>
      </c>
      <c r="AA27" s="4" t="s">
        <v>387</v>
      </c>
      <c r="AB27" s="4" t="s">
        <v>238</v>
      </c>
      <c r="AC27" s="9">
        <v>1</v>
      </c>
      <c r="AD27" t="str">
        <f>VLOOKUP($T27,[1]NhanSu!$C$5:$M$229,11,0)</f>
        <v>SM0000200</v>
      </c>
    </row>
    <row r="28" spans="1:30" x14ac:dyDescent="0.45">
      <c r="A28" s="6" t="s">
        <v>10783</v>
      </c>
      <c r="B28" s="5">
        <v>160</v>
      </c>
      <c r="C28" s="5" t="s">
        <v>540</v>
      </c>
      <c r="D28" s="5" t="s">
        <v>541</v>
      </c>
      <c r="E28" s="5" t="s">
        <v>138</v>
      </c>
      <c r="F28" s="5" t="s">
        <v>441</v>
      </c>
      <c r="G28" s="5" t="s">
        <v>34</v>
      </c>
      <c r="H28" s="5" t="s">
        <v>214</v>
      </c>
      <c r="I28" s="5" t="s">
        <v>542</v>
      </c>
      <c r="J28" s="5" t="s">
        <v>37</v>
      </c>
      <c r="K28" s="5" t="s">
        <v>37</v>
      </c>
      <c r="L28" s="5" t="s">
        <v>39</v>
      </c>
      <c r="M28" s="5" t="s">
        <v>37</v>
      </c>
      <c r="N28" s="5" t="s">
        <v>37</v>
      </c>
      <c r="O28" s="5" t="s">
        <v>39</v>
      </c>
      <c r="P28" s="5" t="s">
        <v>38</v>
      </c>
      <c r="Q28" s="5" t="s">
        <v>38</v>
      </c>
      <c r="R28" s="5" t="s">
        <v>40</v>
      </c>
      <c r="S28" s="5" t="s">
        <v>41</v>
      </c>
      <c r="T28" s="5" t="s">
        <v>386</v>
      </c>
      <c r="U28" s="5" t="s">
        <v>233</v>
      </c>
      <c r="V28" s="5" t="s">
        <v>44</v>
      </c>
      <c r="W28" s="5" t="s">
        <v>234</v>
      </c>
      <c r="X28" s="5"/>
      <c r="Y28" s="5"/>
      <c r="Z28" s="5" t="s">
        <v>46</v>
      </c>
      <c r="AA28" s="5" t="s">
        <v>387</v>
      </c>
      <c r="AB28" s="5" t="s">
        <v>238</v>
      </c>
      <c r="AC28" s="7">
        <v>1</v>
      </c>
      <c r="AD28" t="str">
        <f>VLOOKUP($T28,[1]NhanSu!$C$5:$M$229,11,0)</f>
        <v>SM0000199</v>
      </c>
    </row>
    <row r="29" spans="1:30" x14ac:dyDescent="0.45">
      <c r="A29" s="8" t="s">
        <v>10783</v>
      </c>
      <c r="B29" s="4">
        <v>165</v>
      </c>
      <c r="C29" s="4" t="s">
        <v>672</v>
      </c>
      <c r="D29" s="4" t="s">
        <v>673</v>
      </c>
      <c r="E29" s="4" t="s">
        <v>138</v>
      </c>
      <c r="F29" s="4" t="s">
        <v>53</v>
      </c>
      <c r="G29" s="4" t="s">
        <v>34</v>
      </c>
      <c r="H29" s="4" t="s">
        <v>54</v>
      </c>
      <c r="I29" s="4" t="s">
        <v>675</v>
      </c>
      <c r="J29" s="4" t="s">
        <v>38</v>
      </c>
      <c r="K29" s="4" t="s">
        <v>38</v>
      </c>
      <c r="L29" s="4" t="s">
        <v>40</v>
      </c>
      <c r="M29" s="4" t="s">
        <v>37</v>
      </c>
      <c r="N29" s="4" t="s">
        <v>37</v>
      </c>
      <c r="O29" s="4" t="s">
        <v>39</v>
      </c>
      <c r="P29" s="4" t="s">
        <v>37</v>
      </c>
      <c r="Q29" s="4" t="s">
        <v>37</v>
      </c>
      <c r="R29" s="4" t="s">
        <v>39</v>
      </c>
      <c r="S29" s="4" t="s">
        <v>676</v>
      </c>
      <c r="T29" s="4" t="s">
        <v>470</v>
      </c>
      <c r="U29" s="4" t="s">
        <v>233</v>
      </c>
      <c r="V29" s="4" t="s">
        <v>44</v>
      </c>
      <c r="W29" s="4" t="s">
        <v>234</v>
      </c>
      <c r="X29" s="4"/>
      <c r="Y29" s="4"/>
      <c r="Z29" s="4" t="s">
        <v>46</v>
      </c>
      <c r="AA29" s="4" t="s">
        <v>387</v>
      </c>
      <c r="AB29" s="4" t="s">
        <v>238</v>
      </c>
      <c r="AC29" s="9">
        <v>1</v>
      </c>
      <c r="AD29" t="str">
        <f>VLOOKUP($T29,[1]NhanSu!$C$5:$M$229,11,0)</f>
        <v>SM0000214</v>
      </c>
    </row>
    <row r="30" spans="1:30" x14ac:dyDescent="0.45">
      <c r="A30" s="6" t="s">
        <v>10783</v>
      </c>
      <c r="B30" s="5">
        <v>172</v>
      </c>
      <c r="C30" s="5" t="s">
        <v>859</v>
      </c>
      <c r="D30" s="5" t="s">
        <v>860</v>
      </c>
      <c r="E30" s="5" t="s">
        <v>128</v>
      </c>
      <c r="F30" s="5" t="s">
        <v>862</v>
      </c>
      <c r="G30" s="5" t="s">
        <v>34</v>
      </c>
      <c r="H30" s="5" t="s">
        <v>863</v>
      </c>
      <c r="I30" s="5" t="s">
        <v>864</v>
      </c>
      <c r="J30" s="5" t="s">
        <v>38</v>
      </c>
      <c r="K30" s="5" t="s">
        <v>38</v>
      </c>
      <c r="L30" s="5" t="s">
        <v>40</v>
      </c>
      <c r="M30" s="5" t="s">
        <v>37</v>
      </c>
      <c r="N30" s="5" t="s">
        <v>37</v>
      </c>
      <c r="O30" s="5" t="s">
        <v>39</v>
      </c>
      <c r="P30" s="5" t="s">
        <v>38</v>
      </c>
      <c r="Q30" s="5" t="s">
        <v>38</v>
      </c>
      <c r="R30" s="5" t="s">
        <v>40</v>
      </c>
      <c r="S30" s="5" t="s">
        <v>41</v>
      </c>
      <c r="T30" s="5" t="s">
        <v>386</v>
      </c>
      <c r="U30" s="5" t="s">
        <v>233</v>
      </c>
      <c r="V30" s="5" t="s">
        <v>44</v>
      </c>
      <c r="W30" s="5" t="s">
        <v>234</v>
      </c>
      <c r="X30" s="5"/>
      <c r="Y30" s="5"/>
      <c r="Z30" s="5" t="s">
        <v>46</v>
      </c>
      <c r="AA30" s="5" t="s">
        <v>387</v>
      </c>
      <c r="AB30" s="5" t="s">
        <v>238</v>
      </c>
      <c r="AC30" s="7">
        <v>1</v>
      </c>
      <c r="AD30" t="str">
        <f>VLOOKUP($T30,[1]NhanSu!$C$5:$M$229,11,0)</f>
        <v>SM0000199</v>
      </c>
    </row>
    <row r="31" spans="1:30" x14ac:dyDescent="0.45">
      <c r="A31" s="8" t="s">
        <v>10783</v>
      </c>
      <c r="B31" s="4">
        <v>174</v>
      </c>
      <c r="C31" s="4" t="s">
        <v>910</v>
      </c>
      <c r="D31" s="4" t="s">
        <v>911</v>
      </c>
      <c r="E31" s="4" t="s">
        <v>279</v>
      </c>
      <c r="F31" s="4" t="s">
        <v>426</v>
      </c>
      <c r="G31" s="4" t="s">
        <v>34</v>
      </c>
      <c r="H31" s="4" t="s">
        <v>912</v>
      </c>
      <c r="I31" s="4" t="s">
        <v>913</v>
      </c>
      <c r="J31" s="4" t="s">
        <v>37</v>
      </c>
      <c r="K31" s="4" t="s">
        <v>37</v>
      </c>
      <c r="L31" s="4" t="s">
        <v>39</v>
      </c>
      <c r="M31" s="4" t="s">
        <v>56</v>
      </c>
      <c r="N31" s="4" t="s">
        <v>56</v>
      </c>
      <c r="O31" s="4" t="s">
        <v>39</v>
      </c>
      <c r="P31" s="4" t="s">
        <v>37</v>
      </c>
      <c r="Q31" s="4" t="s">
        <v>37</v>
      </c>
      <c r="R31" s="4" t="s">
        <v>39</v>
      </c>
      <c r="S31" s="4" t="s">
        <v>914</v>
      </c>
      <c r="T31" s="4" t="s">
        <v>470</v>
      </c>
      <c r="U31" s="4" t="s">
        <v>233</v>
      </c>
      <c r="V31" s="4" t="s">
        <v>44</v>
      </c>
      <c r="W31" s="4" t="s">
        <v>234</v>
      </c>
      <c r="X31" s="4"/>
      <c r="Y31" s="4"/>
      <c r="Z31" s="4" t="s">
        <v>46</v>
      </c>
      <c r="AA31" s="4" t="s">
        <v>387</v>
      </c>
      <c r="AB31" s="4" t="s">
        <v>238</v>
      </c>
      <c r="AC31" s="9">
        <v>1</v>
      </c>
      <c r="AD31" t="str">
        <f>VLOOKUP($T31,[1]NhanSu!$C$5:$M$229,11,0)</f>
        <v>SM0000214</v>
      </c>
    </row>
    <row r="32" spans="1:30" x14ac:dyDescent="0.45">
      <c r="A32" s="6" t="s">
        <v>10783</v>
      </c>
      <c r="B32" s="5">
        <v>178</v>
      </c>
      <c r="C32" s="5" t="s">
        <v>928</v>
      </c>
      <c r="D32" s="5" t="s">
        <v>929</v>
      </c>
      <c r="E32" s="5" t="s">
        <v>296</v>
      </c>
      <c r="F32" s="5" t="s">
        <v>930</v>
      </c>
      <c r="G32" s="5" t="s">
        <v>34</v>
      </c>
      <c r="H32" s="5" t="s">
        <v>931</v>
      </c>
      <c r="I32" s="5" t="s">
        <v>231</v>
      </c>
      <c r="J32" s="5" t="s">
        <v>38</v>
      </c>
      <c r="K32" s="5" t="s">
        <v>38</v>
      </c>
      <c r="L32" s="5" t="s">
        <v>40</v>
      </c>
      <c r="M32" s="5" t="s">
        <v>38</v>
      </c>
      <c r="N32" s="5" t="s">
        <v>38</v>
      </c>
      <c r="O32" s="5" t="s">
        <v>40</v>
      </c>
      <c r="P32" s="5" t="s">
        <v>38</v>
      </c>
      <c r="Q32" s="5" t="s">
        <v>38</v>
      </c>
      <c r="R32" s="5" t="s">
        <v>40</v>
      </c>
      <c r="S32" s="5" t="s">
        <v>41</v>
      </c>
      <c r="T32" s="5" t="s">
        <v>232</v>
      </c>
      <c r="U32" s="5" t="s">
        <v>233</v>
      </c>
      <c r="V32" s="5" t="s">
        <v>44</v>
      </c>
      <c r="W32" s="5" t="s">
        <v>234</v>
      </c>
      <c r="X32" s="5"/>
      <c r="Y32" s="5"/>
      <c r="Z32" s="5" t="s">
        <v>46</v>
      </c>
      <c r="AA32" s="5" t="s">
        <v>387</v>
      </c>
      <c r="AB32" s="5" t="s">
        <v>238</v>
      </c>
      <c r="AC32" s="7">
        <v>1</v>
      </c>
      <c r="AD32" t="str">
        <f>VLOOKUP($T32,[1]NhanSu!$C$5:$M$229,11,0)</f>
        <v>SM0000200</v>
      </c>
    </row>
    <row r="33" spans="1:30" x14ac:dyDescent="0.45">
      <c r="A33" s="8" t="s">
        <v>10783</v>
      </c>
      <c r="B33" s="4">
        <v>180</v>
      </c>
      <c r="C33" s="4" t="s">
        <v>956</v>
      </c>
      <c r="D33" s="4" t="s">
        <v>957</v>
      </c>
      <c r="E33" s="4" t="s">
        <v>148</v>
      </c>
      <c r="F33" s="4" t="s">
        <v>53</v>
      </c>
      <c r="G33" s="4" t="s">
        <v>34</v>
      </c>
      <c r="H33" s="4" t="s">
        <v>54</v>
      </c>
      <c r="I33" s="4" t="s">
        <v>958</v>
      </c>
      <c r="J33" s="4" t="s">
        <v>38</v>
      </c>
      <c r="K33" s="4" t="s">
        <v>38</v>
      </c>
      <c r="L33" s="4" t="s">
        <v>40</v>
      </c>
      <c r="M33" s="4" t="s">
        <v>37</v>
      </c>
      <c r="N33" s="4" t="s">
        <v>37</v>
      </c>
      <c r="O33" s="4" t="s">
        <v>39</v>
      </c>
      <c r="P33" s="4" t="s">
        <v>37</v>
      </c>
      <c r="Q33" s="4" t="s">
        <v>37</v>
      </c>
      <c r="R33" s="4" t="s">
        <v>39</v>
      </c>
      <c r="S33" s="4" t="s">
        <v>959</v>
      </c>
      <c r="T33" s="4" t="s">
        <v>470</v>
      </c>
      <c r="U33" s="4" t="s">
        <v>233</v>
      </c>
      <c r="V33" s="4" t="s">
        <v>44</v>
      </c>
      <c r="W33" s="4" t="s">
        <v>234</v>
      </c>
      <c r="X33" s="4"/>
      <c r="Y33" s="4"/>
      <c r="Z33" s="4" t="s">
        <v>46</v>
      </c>
      <c r="AA33" s="4" t="s">
        <v>387</v>
      </c>
      <c r="AB33" s="4" t="s">
        <v>238</v>
      </c>
      <c r="AC33" s="9">
        <v>1</v>
      </c>
      <c r="AD33" t="str">
        <f>VLOOKUP($T33,[1]NhanSu!$C$5:$M$229,11,0)</f>
        <v>SM0000214</v>
      </c>
    </row>
    <row r="34" spans="1:30" x14ac:dyDescent="0.45">
      <c r="A34" s="6" t="s">
        <v>10783</v>
      </c>
      <c r="B34" s="5">
        <v>182</v>
      </c>
      <c r="C34" s="5" t="s">
        <v>1036</v>
      </c>
      <c r="D34" s="5" t="s">
        <v>1037</v>
      </c>
      <c r="E34" s="5" t="s">
        <v>1038</v>
      </c>
      <c r="F34" s="5" t="s">
        <v>53</v>
      </c>
      <c r="G34" s="5" t="s">
        <v>34</v>
      </c>
      <c r="H34" s="5" t="s">
        <v>54</v>
      </c>
      <c r="I34" s="5" t="s">
        <v>1039</v>
      </c>
      <c r="J34" s="5" t="s">
        <v>38</v>
      </c>
      <c r="K34" s="5" t="s">
        <v>38</v>
      </c>
      <c r="L34" s="5" t="s">
        <v>40</v>
      </c>
      <c r="M34" s="5" t="s">
        <v>37</v>
      </c>
      <c r="N34" s="5" t="s">
        <v>37</v>
      </c>
      <c r="O34" s="5" t="s">
        <v>39</v>
      </c>
      <c r="P34" s="5" t="s">
        <v>37</v>
      </c>
      <c r="Q34" s="5" t="s">
        <v>37</v>
      </c>
      <c r="R34" s="5" t="s">
        <v>39</v>
      </c>
      <c r="S34" s="5" t="s">
        <v>1040</v>
      </c>
      <c r="T34" s="5" t="s">
        <v>470</v>
      </c>
      <c r="U34" s="5" t="s">
        <v>233</v>
      </c>
      <c r="V34" s="5" t="s">
        <v>44</v>
      </c>
      <c r="W34" s="5" t="s">
        <v>234</v>
      </c>
      <c r="X34" s="5"/>
      <c r="Y34" s="5"/>
      <c r="Z34" s="5" t="s">
        <v>46</v>
      </c>
      <c r="AA34" s="5" t="s">
        <v>387</v>
      </c>
      <c r="AB34" s="5" t="s">
        <v>238</v>
      </c>
      <c r="AC34" s="7">
        <v>1</v>
      </c>
      <c r="AD34" t="str">
        <f>VLOOKUP($T34,[1]NhanSu!$C$5:$M$229,11,0)</f>
        <v>SM0000214</v>
      </c>
    </row>
    <row r="35" spans="1:30" x14ac:dyDescent="0.45">
      <c r="A35" s="8" t="s">
        <v>10783</v>
      </c>
      <c r="B35" s="4">
        <v>183</v>
      </c>
      <c r="C35" s="4" t="s">
        <v>1041</v>
      </c>
      <c r="D35" s="4" t="s">
        <v>1042</v>
      </c>
      <c r="E35" s="4" t="s">
        <v>1043</v>
      </c>
      <c r="F35" s="4" t="s">
        <v>53</v>
      </c>
      <c r="G35" s="4" t="s">
        <v>34</v>
      </c>
      <c r="H35" s="4" t="s">
        <v>54</v>
      </c>
      <c r="I35" s="4" t="s">
        <v>1044</v>
      </c>
      <c r="J35" s="4" t="s">
        <v>37</v>
      </c>
      <c r="K35" s="4" t="s">
        <v>37</v>
      </c>
      <c r="L35" s="4" t="s">
        <v>39</v>
      </c>
      <c r="M35" s="4" t="s">
        <v>56</v>
      </c>
      <c r="N35" s="4" t="s">
        <v>56</v>
      </c>
      <c r="O35" s="4" t="s">
        <v>39</v>
      </c>
      <c r="P35" s="4" t="s">
        <v>56</v>
      </c>
      <c r="Q35" s="4" t="s">
        <v>56</v>
      </c>
      <c r="R35" s="4" t="s">
        <v>39</v>
      </c>
      <c r="S35" s="4" t="s">
        <v>1045</v>
      </c>
      <c r="T35" s="4" t="s">
        <v>470</v>
      </c>
      <c r="U35" s="4" t="s">
        <v>233</v>
      </c>
      <c r="V35" s="4" t="s">
        <v>44</v>
      </c>
      <c r="W35" s="4" t="s">
        <v>234</v>
      </c>
      <c r="X35" s="4"/>
      <c r="Y35" s="4"/>
      <c r="Z35" s="4" t="s">
        <v>46</v>
      </c>
      <c r="AA35" s="4" t="s">
        <v>387</v>
      </c>
      <c r="AB35" s="4" t="s">
        <v>238</v>
      </c>
      <c r="AC35" s="9">
        <v>1</v>
      </c>
      <c r="AD35" t="str">
        <f>VLOOKUP($T35,[1]NhanSu!$C$5:$M$229,11,0)</f>
        <v>SM0000214</v>
      </c>
    </row>
    <row r="36" spans="1:30" x14ac:dyDescent="0.45">
      <c r="A36" s="6" t="s">
        <v>10783</v>
      </c>
      <c r="B36" s="5">
        <v>184</v>
      </c>
      <c r="C36" s="5" t="s">
        <v>1058</v>
      </c>
      <c r="D36" s="5" t="s">
        <v>1059</v>
      </c>
      <c r="E36" s="5" t="s">
        <v>219</v>
      </c>
      <c r="F36" s="5" t="s">
        <v>426</v>
      </c>
      <c r="G36" s="5" t="s">
        <v>34</v>
      </c>
      <c r="H36" s="5" t="s">
        <v>192</v>
      </c>
      <c r="I36" s="5" t="s">
        <v>1060</v>
      </c>
      <c r="J36" s="5" t="s">
        <v>37</v>
      </c>
      <c r="K36" s="5" t="s">
        <v>37</v>
      </c>
      <c r="L36" s="5" t="s">
        <v>39</v>
      </c>
      <c r="M36" s="5" t="s">
        <v>37</v>
      </c>
      <c r="N36" s="5" t="s">
        <v>37</v>
      </c>
      <c r="O36" s="5" t="s">
        <v>39</v>
      </c>
      <c r="P36" s="5" t="s">
        <v>38</v>
      </c>
      <c r="Q36" s="5" t="s">
        <v>38</v>
      </c>
      <c r="R36" s="5" t="s">
        <v>40</v>
      </c>
      <c r="S36" s="5" t="s">
        <v>41</v>
      </c>
      <c r="T36" s="5" t="s">
        <v>386</v>
      </c>
      <c r="U36" s="5" t="s">
        <v>233</v>
      </c>
      <c r="V36" s="5" t="s">
        <v>44</v>
      </c>
      <c r="W36" s="5" t="s">
        <v>234</v>
      </c>
      <c r="X36" s="5"/>
      <c r="Y36" s="5"/>
      <c r="Z36" s="5" t="s">
        <v>46</v>
      </c>
      <c r="AA36" s="5" t="s">
        <v>387</v>
      </c>
      <c r="AB36" s="5" t="s">
        <v>238</v>
      </c>
      <c r="AC36" s="7">
        <v>1</v>
      </c>
      <c r="AD36" t="str">
        <f>VLOOKUP($T36,[1]NhanSu!$C$5:$M$229,11,0)</f>
        <v>SM0000199</v>
      </c>
    </row>
    <row r="37" spans="1:30" x14ac:dyDescent="0.45">
      <c r="A37" s="8" t="s">
        <v>10783</v>
      </c>
      <c r="B37" s="4">
        <v>186</v>
      </c>
      <c r="C37" s="4" t="s">
        <v>1139</v>
      </c>
      <c r="D37" s="4" t="s">
        <v>1140</v>
      </c>
      <c r="E37" s="4" t="s">
        <v>219</v>
      </c>
      <c r="F37" s="4" t="s">
        <v>53</v>
      </c>
      <c r="G37" s="4" t="s">
        <v>34</v>
      </c>
      <c r="H37" s="4" t="s">
        <v>685</v>
      </c>
      <c r="I37" s="4" t="s">
        <v>231</v>
      </c>
      <c r="J37" s="4" t="s">
        <v>38</v>
      </c>
      <c r="K37" s="4" t="s">
        <v>38</v>
      </c>
      <c r="L37" s="4" t="s">
        <v>40</v>
      </c>
      <c r="M37" s="4" t="s">
        <v>38</v>
      </c>
      <c r="N37" s="4" t="s">
        <v>38</v>
      </c>
      <c r="O37" s="4" t="s">
        <v>40</v>
      </c>
      <c r="P37" s="4" t="s">
        <v>38</v>
      </c>
      <c r="Q37" s="4" t="s">
        <v>38</v>
      </c>
      <c r="R37" s="4" t="s">
        <v>40</v>
      </c>
      <c r="S37" s="4" t="s">
        <v>41</v>
      </c>
      <c r="T37" s="4" t="s">
        <v>232</v>
      </c>
      <c r="U37" s="4" t="s">
        <v>233</v>
      </c>
      <c r="V37" s="4" t="s">
        <v>44</v>
      </c>
      <c r="W37" s="4" t="s">
        <v>234</v>
      </c>
      <c r="X37" s="4"/>
      <c r="Y37" s="4"/>
      <c r="Z37" s="4" t="s">
        <v>46</v>
      </c>
      <c r="AA37" s="4" t="s">
        <v>387</v>
      </c>
      <c r="AB37" s="4" t="s">
        <v>238</v>
      </c>
      <c r="AC37" s="9">
        <v>1</v>
      </c>
      <c r="AD37" t="str">
        <f>VLOOKUP($T37,[1]NhanSu!$C$5:$M$229,11,0)</f>
        <v>SM0000200</v>
      </c>
    </row>
    <row r="38" spans="1:30" x14ac:dyDescent="0.45">
      <c r="A38" s="6" t="s">
        <v>10783</v>
      </c>
      <c r="B38" s="5">
        <v>187</v>
      </c>
      <c r="C38" s="5" t="s">
        <v>1158</v>
      </c>
      <c r="D38" s="5" t="s">
        <v>1159</v>
      </c>
      <c r="E38" s="5" t="s">
        <v>211</v>
      </c>
      <c r="F38" s="5" t="s">
        <v>1160</v>
      </c>
      <c r="G38" s="5" t="s">
        <v>34</v>
      </c>
      <c r="H38" s="5" t="s">
        <v>54</v>
      </c>
      <c r="I38" s="5" t="s">
        <v>1161</v>
      </c>
      <c r="J38" s="5" t="s">
        <v>37</v>
      </c>
      <c r="K38" s="5" t="s">
        <v>38</v>
      </c>
      <c r="L38" s="5" t="s">
        <v>40</v>
      </c>
      <c r="M38" s="5" t="s">
        <v>37</v>
      </c>
      <c r="N38" s="5" t="s">
        <v>37</v>
      </c>
      <c r="O38" s="5" t="s">
        <v>39</v>
      </c>
      <c r="P38" s="5" t="s">
        <v>38</v>
      </c>
      <c r="Q38" s="5" t="s">
        <v>38</v>
      </c>
      <c r="R38" s="5" t="s">
        <v>40</v>
      </c>
      <c r="S38" s="5" t="s">
        <v>41</v>
      </c>
      <c r="T38" s="5" t="s">
        <v>386</v>
      </c>
      <c r="U38" s="5" t="s">
        <v>233</v>
      </c>
      <c r="V38" s="5" t="s">
        <v>44</v>
      </c>
      <c r="W38" s="5" t="s">
        <v>234</v>
      </c>
      <c r="X38" s="5"/>
      <c r="Y38" s="5"/>
      <c r="Z38" s="5" t="s">
        <v>46</v>
      </c>
      <c r="AA38" s="5" t="s">
        <v>387</v>
      </c>
      <c r="AB38" s="5" t="s">
        <v>238</v>
      </c>
      <c r="AC38" s="7">
        <v>1</v>
      </c>
      <c r="AD38" t="str">
        <f>VLOOKUP($T38,[1]NhanSu!$C$5:$M$229,11,0)</f>
        <v>SM0000199</v>
      </c>
    </row>
    <row r="39" spans="1:30" x14ac:dyDescent="0.45">
      <c r="A39" s="8" t="s">
        <v>10783</v>
      </c>
      <c r="B39" s="4">
        <v>188</v>
      </c>
      <c r="C39" s="4" t="s">
        <v>1180</v>
      </c>
      <c r="D39" s="4" t="s">
        <v>1181</v>
      </c>
      <c r="E39" s="4" t="s">
        <v>742</v>
      </c>
      <c r="F39" s="4" t="s">
        <v>1183</v>
      </c>
      <c r="G39" s="4" t="s">
        <v>34</v>
      </c>
      <c r="H39" s="4" t="s">
        <v>1184</v>
      </c>
      <c r="I39" s="4" t="s">
        <v>1185</v>
      </c>
      <c r="J39" s="4" t="s">
        <v>37</v>
      </c>
      <c r="K39" s="4" t="s">
        <v>38</v>
      </c>
      <c r="L39" s="4" t="s">
        <v>39</v>
      </c>
      <c r="M39" s="4" t="s">
        <v>37</v>
      </c>
      <c r="N39" s="4" t="s">
        <v>37</v>
      </c>
      <c r="O39" s="4" t="s">
        <v>39</v>
      </c>
      <c r="P39" s="4" t="s">
        <v>38</v>
      </c>
      <c r="Q39" s="4" t="s">
        <v>38</v>
      </c>
      <c r="R39" s="4" t="s">
        <v>40</v>
      </c>
      <c r="S39" s="4" t="s">
        <v>41</v>
      </c>
      <c r="T39" s="4" t="s">
        <v>386</v>
      </c>
      <c r="U39" s="4" t="s">
        <v>233</v>
      </c>
      <c r="V39" s="4" t="s">
        <v>44</v>
      </c>
      <c r="W39" s="4" t="s">
        <v>234</v>
      </c>
      <c r="X39" s="4"/>
      <c r="Y39" s="4"/>
      <c r="Z39" s="4" t="s">
        <v>46</v>
      </c>
      <c r="AA39" s="4" t="s">
        <v>387</v>
      </c>
      <c r="AB39" s="4" t="s">
        <v>238</v>
      </c>
      <c r="AC39" s="9">
        <v>1</v>
      </c>
      <c r="AD39" t="str">
        <f>VLOOKUP($T39,[1]NhanSu!$C$5:$M$229,11,0)</f>
        <v>SM0000199</v>
      </c>
    </row>
    <row r="40" spans="1:30" x14ac:dyDescent="0.45">
      <c r="A40" s="6" t="s">
        <v>10783</v>
      </c>
      <c r="B40" s="5">
        <v>189</v>
      </c>
      <c r="C40" s="5" t="s">
        <v>1191</v>
      </c>
      <c r="D40" s="5" t="s">
        <v>1192</v>
      </c>
      <c r="E40" s="5" t="s">
        <v>338</v>
      </c>
      <c r="F40" s="5" t="s">
        <v>325</v>
      </c>
      <c r="G40" s="5" t="s">
        <v>34</v>
      </c>
      <c r="H40" s="5" t="s">
        <v>192</v>
      </c>
      <c r="I40" s="5" t="s">
        <v>1193</v>
      </c>
      <c r="J40" s="5" t="s">
        <v>37</v>
      </c>
      <c r="K40" s="5" t="s">
        <v>38</v>
      </c>
      <c r="L40" s="5" t="s">
        <v>40</v>
      </c>
      <c r="M40" s="5" t="s">
        <v>37</v>
      </c>
      <c r="N40" s="5" t="s">
        <v>37</v>
      </c>
      <c r="O40" s="5" t="s">
        <v>39</v>
      </c>
      <c r="P40" s="5" t="s">
        <v>38</v>
      </c>
      <c r="Q40" s="5" t="s">
        <v>38</v>
      </c>
      <c r="R40" s="5" t="s">
        <v>40</v>
      </c>
      <c r="S40" s="5" t="s">
        <v>41</v>
      </c>
      <c r="T40" s="5" t="s">
        <v>386</v>
      </c>
      <c r="U40" s="5" t="s">
        <v>233</v>
      </c>
      <c r="V40" s="5" t="s">
        <v>44</v>
      </c>
      <c r="W40" s="5" t="s">
        <v>234</v>
      </c>
      <c r="X40" s="5"/>
      <c r="Y40" s="5"/>
      <c r="Z40" s="5" t="s">
        <v>46</v>
      </c>
      <c r="AA40" s="5" t="s">
        <v>387</v>
      </c>
      <c r="AB40" s="5" t="s">
        <v>238</v>
      </c>
      <c r="AC40" s="7">
        <v>1</v>
      </c>
      <c r="AD40" t="str">
        <f>VLOOKUP($T40,[1]NhanSu!$C$5:$M$229,11,0)</f>
        <v>SM0000199</v>
      </c>
    </row>
    <row r="41" spans="1:30" x14ac:dyDescent="0.45">
      <c r="A41" s="8" t="s">
        <v>10783</v>
      </c>
      <c r="B41" s="4">
        <v>194</v>
      </c>
      <c r="C41" s="4" t="s">
        <v>1338</v>
      </c>
      <c r="D41" s="4" t="s">
        <v>1339</v>
      </c>
      <c r="E41" s="4" t="s">
        <v>657</v>
      </c>
      <c r="F41" s="4" t="s">
        <v>1340</v>
      </c>
      <c r="G41" s="4" t="s">
        <v>34</v>
      </c>
      <c r="H41" s="4" t="s">
        <v>1184</v>
      </c>
      <c r="I41" s="4" t="s">
        <v>1341</v>
      </c>
      <c r="J41" s="4" t="s">
        <v>37</v>
      </c>
      <c r="K41" s="4" t="s">
        <v>38</v>
      </c>
      <c r="L41" s="4" t="s">
        <v>39</v>
      </c>
      <c r="M41" s="4" t="s">
        <v>37</v>
      </c>
      <c r="N41" s="4" t="s">
        <v>37</v>
      </c>
      <c r="O41" s="4" t="s">
        <v>39</v>
      </c>
      <c r="P41" s="4" t="s">
        <v>38</v>
      </c>
      <c r="Q41" s="4" t="s">
        <v>38</v>
      </c>
      <c r="R41" s="4" t="s">
        <v>40</v>
      </c>
      <c r="S41" s="4" t="s">
        <v>1342</v>
      </c>
      <c r="T41" s="4" t="s">
        <v>386</v>
      </c>
      <c r="U41" s="4" t="s">
        <v>233</v>
      </c>
      <c r="V41" s="4" t="s">
        <v>44</v>
      </c>
      <c r="W41" s="4" t="s">
        <v>234</v>
      </c>
      <c r="X41" s="4"/>
      <c r="Y41" s="4"/>
      <c r="Z41" s="4" t="s">
        <v>46</v>
      </c>
      <c r="AA41" s="4" t="s">
        <v>387</v>
      </c>
      <c r="AB41" s="4" t="s">
        <v>238</v>
      </c>
      <c r="AC41" s="9">
        <v>1</v>
      </c>
      <c r="AD41" t="str">
        <f>VLOOKUP($T41,[1]NhanSu!$C$5:$M$229,11,0)</f>
        <v>SM0000199</v>
      </c>
    </row>
    <row r="42" spans="1:30" x14ac:dyDescent="0.45">
      <c r="A42" s="6" t="s">
        <v>10783</v>
      </c>
      <c r="B42" s="5">
        <v>195</v>
      </c>
      <c r="C42" s="5" t="s">
        <v>1350</v>
      </c>
      <c r="D42" s="5" t="s">
        <v>1351</v>
      </c>
      <c r="E42" s="5" t="s">
        <v>211</v>
      </c>
      <c r="F42" s="5" t="s">
        <v>292</v>
      </c>
      <c r="G42" s="5" t="s">
        <v>34</v>
      </c>
      <c r="H42" s="5" t="s">
        <v>214</v>
      </c>
      <c r="I42" s="5" t="s">
        <v>1352</v>
      </c>
      <c r="J42" s="5" t="s">
        <v>38</v>
      </c>
      <c r="K42" s="5" t="s">
        <v>38</v>
      </c>
      <c r="L42" s="5" t="s">
        <v>40</v>
      </c>
      <c r="M42" s="5" t="s">
        <v>37</v>
      </c>
      <c r="N42" s="5" t="s">
        <v>37</v>
      </c>
      <c r="O42" s="5" t="s">
        <v>39</v>
      </c>
      <c r="P42" s="5" t="s">
        <v>38</v>
      </c>
      <c r="Q42" s="5" t="s">
        <v>38</v>
      </c>
      <c r="R42" s="5" t="s">
        <v>40</v>
      </c>
      <c r="S42" s="5" t="s">
        <v>1353</v>
      </c>
      <c r="T42" s="5" t="s">
        <v>386</v>
      </c>
      <c r="U42" s="5" t="s">
        <v>233</v>
      </c>
      <c r="V42" s="5" t="s">
        <v>44</v>
      </c>
      <c r="W42" s="5" t="s">
        <v>234</v>
      </c>
      <c r="X42" s="5"/>
      <c r="Y42" s="5"/>
      <c r="Z42" s="5" t="s">
        <v>46</v>
      </c>
      <c r="AA42" s="5" t="s">
        <v>387</v>
      </c>
      <c r="AB42" s="5" t="s">
        <v>238</v>
      </c>
      <c r="AC42" s="7">
        <v>1</v>
      </c>
      <c r="AD42" t="str">
        <f>VLOOKUP($T42,[1]NhanSu!$C$5:$M$229,11,0)</f>
        <v>SM0000199</v>
      </c>
    </row>
    <row r="43" spans="1:30" x14ac:dyDescent="0.45">
      <c r="A43" s="8" t="s">
        <v>10783</v>
      </c>
      <c r="B43" s="4">
        <v>205</v>
      </c>
      <c r="C43" s="4" t="s">
        <v>235</v>
      </c>
      <c r="D43" s="4" t="s">
        <v>236</v>
      </c>
      <c r="E43" s="4" t="s">
        <v>108</v>
      </c>
      <c r="F43" s="4" t="s">
        <v>53</v>
      </c>
      <c r="G43" s="4" t="s">
        <v>34</v>
      </c>
      <c r="H43" s="4" t="s">
        <v>54</v>
      </c>
      <c r="I43" s="4" t="s">
        <v>237</v>
      </c>
      <c r="J43" s="4" t="s">
        <v>38</v>
      </c>
      <c r="K43" s="4" t="s">
        <v>38</v>
      </c>
      <c r="L43" s="4" t="s">
        <v>40</v>
      </c>
      <c r="M43" s="4" t="s">
        <v>38</v>
      </c>
      <c r="N43" s="4" t="s">
        <v>38</v>
      </c>
      <c r="O43" s="4" t="s">
        <v>40</v>
      </c>
      <c r="P43" s="4" t="s">
        <v>38</v>
      </c>
      <c r="Q43" s="4" t="s">
        <v>38</v>
      </c>
      <c r="R43" s="4" t="s">
        <v>40</v>
      </c>
      <c r="S43" s="4" t="s">
        <v>41</v>
      </c>
      <c r="T43" s="4" t="s">
        <v>153</v>
      </c>
      <c r="U43" s="4" t="s">
        <v>59</v>
      </c>
      <c r="V43" s="4" t="s">
        <v>44</v>
      </c>
      <c r="W43" s="4" t="s">
        <v>154</v>
      </c>
      <c r="X43" s="4"/>
      <c r="Y43" s="4"/>
      <c r="Z43" s="4" t="s">
        <v>46</v>
      </c>
      <c r="AA43" s="4" t="s">
        <v>327</v>
      </c>
      <c r="AB43" s="4" t="s">
        <v>238</v>
      </c>
      <c r="AC43" s="9">
        <v>1</v>
      </c>
      <c r="AD43" t="str">
        <f>VLOOKUP($T43,[1]NhanSu!$C$5:$M$229,11,0)</f>
        <v>SM0000197</v>
      </c>
    </row>
    <row r="44" spans="1:30" x14ac:dyDescent="0.45">
      <c r="A44" s="6" t="s">
        <v>10783</v>
      </c>
      <c r="B44" s="5">
        <v>209</v>
      </c>
      <c r="C44" s="5" t="s">
        <v>263</v>
      </c>
      <c r="D44" s="5" t="s">
        <v>264</v>
      </c>
      <c r="E44" s="5" t="s">
        <v>127</v>
      </c>
      <c r="F44" s="5" t="s">
        <v>224</v>
      </c>
      <c r="G44" s="5" t="s">
        <v>34</v>
      </c>
      <c r="H44" s="5" t="s">
        <v>54</v>
      </c>
      <c r="I44" s="5" t="s">
        <v>266</v>
      </c>
      <c r="J44" s="5" t="s">
        <v>38</v>
      </c>
      <c r="K44" s="5" t="s">
        <v>38</v>
      </c>
      <c r="L44" s="5" t="s">
        <v>40</v>
      </c>
      <c r="M44" s="5" t="s">
        <v>38</v>
      </c>
      <c r="N44" s="5" t="s">
        <v>38</v>
      </c>
      <c r="O44" s="5" t="s">
        <v>40</v>
      </c>
      <c r="P44" s="5" t="s">
        <v>38</v>
      </c>
      <c r="Q44" s="5" t="s">
        <v>38</v>
      </c>
      <c r="R44" s="5" t="s">
        <v>40</v>
      </c>
      <c r="S44" s="5" t="s">
        <v>41</v>
      </c>
      <c r="T44" s="5" t="s">
        <v>153</v>
      </c>
      <c r="U44" s="5" t="s">
        <v>59</v>
      </c>
      <c r="V44" s="5" t="s">
        <v>44</v>
      </c>
      <c r="W44" s="5" t="s">
        <v>154</v>
      </c>
      <c r="X44" s="5"/>
      <c r="Y44" s="5"/>
      <c r="Z44" s="5" t="s">
        <v>46</v>
      </c>
      <c r="AA44" s="5" t="s">
        <v>327</v>
      </c>
      <c r="AB44" s="5" t="s">
        <v>238</v>
      </c>
      <c r="AC44" s="7">
        <v>1</v>
      </c>
      <c r="AD44" t="str">
        <f>VLOOKUP($T44,[1]NhanSu!$C$5:$M$229,11,0)</f>
        <v>SM0000197</v>
      </c>
    </row>
    <row r="45" spans="1:30" x14ac:dyDescent="0.45">
      <c r="A45" s="8" t="s">
        <v>10783</v>
      </c>
      <c r="B45" s="4">
        <v>212</v>
      </c>
      <c r="C45" s="4" t="s">
        <v>282</v>
      </c>
      <c r="D45" s="4" t="s">
        <v>283</v>
      </c>
      <c r="E45" s="4" t="s">
        <v>285</v>
      </c>
      <c r="F45" s="4" t="s">
        <v>286</v>
      </c>
      <c r="G45" s="4" t="s">
        <v>34</v>
      </c>
      <c r="H45" s="4" t="s">
        <v>54</v>
      </c>
      <c r="I45" s="4" t="s">
        <v>287</v>
      </c>
      <c r="J45" s="4" t="s">
        <v>38</v>
      </c>
      <c r="K45" s="4" t="s">
        <v>38</v>
      </c>
      <c r="L45" s="4" t="s">
        <v>40</v>
      </c>
      <c r="M45" s="4" t="s">
        <v>38</v>
      </c>
      <c r="N45" s="4" t="s">
        <v>38</v>
      </c>
      <c r="O45" s="4" t="s">
        <v>40</v>
      </c>
      <c r="P45" s="4" t="s">
        <v>38</v>
      </c>
      <c r="Q45" s="4" t="s">
        <v>38</v>
      </c>
      <c r="R45" s="4" t="s">
        <v>40</v>
      </c>
      <c r="S45" s="4" t="s">
        <v>41</v>
      </c>
      <c r="T45" s="4" t="s">
        <v>153</v>
      </c>
      <c r="U45" s="4" t="s">
        <v>59</v>
      </c>
      <c r="V45" s="4" t="s">
        <v>44</v>
      </c>
      <c r="W45" s="4" t="s">
        <v>154</v>
      </c>
      <c r="X45" s="4"/>
      <c r="Y45" s="4"/>
      <c r="Z45" s="4" t="s">
        <v>46</v>
      </c>
      <c r="AA45" s="4" t="s">
        <v>327</v>
      </c>
      <c r="AB45" s="4" t="s">
        <v>238</v>
      </c>
      <c r="AC45" s="9">
        <v>1</v>
      </c>
      <c r="AD45" t="str">
        <f>VLOOKUP($T45,[1]NhanSu!$C$5:$M$229,11,0)</f>
        <v>SM0000197</v>
      </c>
    </row>
    <row r="46" spans="1:30" x14ac:dyDescent="0.45">
      <c r="A46" s="6" t="s">
        <v>10783</v>
      </c>
      <c r="B46" s="5">
        <v>213</v>
      </c>
      <c r="C46" s="5" t="s">
        <v>288</v>
      </c>
      <c r="D46" s="5" t="s">
        <v>289</v>
      </c>
      <c r="E46" s="5" t="s">
        <v>291</v>
      </c>
      <c r="F46" s="5" t="s">
        <v>292</v>
      </c>
      <c r="G46" s="5" t="s">
        <v>34</v>
      </c>
      <c r="H46" s="5" t="s">
        <v>54</v>
      </c>
      <c r="I46" s="5" t="s">
        <v>293</v>
      </c>
      <c r="J46" s="5" t="s">
        <v>38</v>
      </c>
      <c r="K46" s="5" t="s">
        <v>38</v>
      </c>
      <c r="L46" s="5" t="s">
        <v>40</v>
      </c>
      <c r="M46" s="5" t="s">
        <v>38</v>
      </c>
      <c r="N46" s="5" t="s">
        <v>38</v>
      </c>
      <c r="O46" s="5" t="s">
        <v>40</v>
      </c>
      <c r="P46" s="5" t="s">
        <v>38</v>
      </c>
      <c r="Q46" s="5" t="s">
        <v>38</v>
      </c>
      <c r="R46" s="5" t="s">
        <v>40</v>
      </c>
      <c r="S46" s="5" t="s">
        <v>41</v>
      </c>
      <c r="T46" s="5" t="s">
        <v>153</v>
      </c>
      <c r="U46" s="5" t="s">
        <v>59</v>
      </c>
      <c r="V46" s="5" t="s">
        <v>44</v>
      </c>
      <c r="W46" s="5" t="s">
        <v>154</v>
      </c>
      <c r="X46" s="5"/>
      <c r="Y46" s="5"/>
      <c r="Z46" s="5" t="s">
        <v>46</v>
      </c>
      <c r="AA46" s="5" t="s">
        <v>327</v>
      </c>
      <c r="AB46" s="5" t="s">
        <v>238</v>
      </c>
      <c r="AC46" s="7">
        <v>1</v>
      </c>
      <c r="AD46" t="str">
        <f>VLOOKUP($T46,[1]NhanSu!$C$5:$M$229,11,0)</f>
        <v>SM0000197</v>
      </c>
    </row>
    <row r="47" spans="1:30" x14ac:dyDescent="0.45">
      <c r="A47" s="8" t="s">
        <v>10783</v>
      </c>
      <c r="B47" s="4">
        <v>214</v>
      </c>
      <c r="C47" s="4" t="s">
        <v>294</v>
      </c>
      <c r="D47" s="4" t="s">
        <v>295</v>
      </c>
      <c r="E47" s="4" t="s">
        <v>297</v>
      </c>
      <c r="F47" s="4" t="s">
        <v>298</v>
      </c>
      <c r="G47" s="4" t="s">
        <v>34</v>
      </c>
      <c r="H47" s="4" t="s">
        <v>54</v>
      </c>
      <c r="I47" s="4" t="s">
        <v>299</v>
      </c>
      <c r="J47" s="4" t="s">
        <v>38</v>
      </c>
      <c r="K47" s="4" t="s">
        <v>38</v>
      </c>
      <c r="L47" s="4" t="s">
        <v>40</v>
      </c>
      <c r="M47" s="4" t="s">
        <v>38</v>
      </c>
      <c r="N47" s="4" t="s">
        <v>38</v>
      </c>
      <c r="O47" s="4" t="s">
        <v>40</v>
      </c>
      <c r="P47" s="4" t="s">
        <v>38</v>
      </c>
      <c r="Q47" s="4" t="s">
        <v>38</v>
      </c>
      <c r="R47" s="4" t="s">
        <v>40</v>
      </c>
      <c r="S47" s="4" t="s">
        <v>41</v>
      </c>
      <c r="T47" s="4" t="s">
        <v>153</v>
      </c>
      <c r="U47" s="4" t="s">
        <v>59</v>
      </c>
      <c r="V47" s="4" t="s">
        <v>44</v>
      </c>
      <c r="W47" s="4" t="s">
        <v>154</v>
      </c>
      <c r="X47" s="4"/>
      <c r="Y47" s="4"/>
      <c r="Z47" s="4" t="s">
        <v>46</v>
      </c>
      <c r="AA47" s="4" t="s">
        <v>327</v>
      </c>
      <c r="AB47" s="4" t="s">
        <v>238</v>
      </c>
      <c r="AC47" s="9">
        <v>1</v>
      </c>
      <c r="AD47" t="str">
        <f>VLOOKUP($T47,[1]NhanSu!$C$5:$M$229,11,0)</f>
        <v>SM0000197</v>
      </c>
    </row>
    <row r="48" spans="1:30" x14ac:dyDescent="0.45">
      <c r="A48" s="6" t="s">
        <v>10783</v>
      </c>
      <c r="B48" s="5">
        <v>219</v>
      </c>
      <c r="C48" s="5" t="s">
        <v>321</v>
      </c>
      <c r="D48" s="5" t="s">
        <v>322</v>
      </c>
      <c r="E48" s="5" t="s">
        <v>324</v>
      </c>
      <c r="F48" s="5" t="s">
        <v>325</v>
      </c>
      <c r="G48" s="5" t="s">
        <v>34</v>
      </c>
      <c r="H48" s="5" t="s">
        <v>54</v>
      </c>
      <c r="I48" s="5" t="s">
        <v>326</v>
      </c>
      <c r="J48" s="5" t="s">
        <v>38</v>
      </c>
      <c r="K48" s="5" t="s">
        <v>38</v>
      </c>
      <c r="L48" s="5" t="s">
        <v>40</v>
      </c>
      <c r="M48" s="5" t="s">
        <v>38</v>
      </c>
      <c r="N48" s="5" t="s">
        <v>38</v>
      </c>
      <c r="O48" s="5" t="s">
        <v>40</v>
      </c>
      <c r="P48" s="5" t="s">
        <v>38</v>
      </c>
      <c r="Q48" s="5" t="s">
        <v>38</v>
      </c>
      <c r="R48" s="5" t="s">
        <v>40</v>
      </c>
      <c r="S48" s="5" t="s">
        <v>41</v>
      </c>
      <c r="T48" s="5" t="s">
        <v>58</v>
      </c>
      <c r="U48" s="5" t="s">
        <v>59</v>
      </c>
      <c r="V48" s="5" t="s">
        <v>44</v>
      </c>
      <c r="W48" s="5" t="s">
        <v>60</v>
      </c>
      <c r="X48" s="5" t="s">
        <v>41</v>
      </c>
      <c r="Y48" s="5"/>
      <c r="Z48" s="5" t="s">
        <v>46</v>
      </c>
      <c r="AA48" s="5" t="s">
        <v>327</v>
      </c>
      <c r="AB48" s="5" t="s">
        <v>238</v>
      </c>
      <c r="AC48" s="7">
        <v>1</v>
      </c>
      <c r="AD48" t="str">
        <f>VLOOKUP($T48,[1]NhanSu!$C$5:$M$229,11,0)</f>
        <v>SM0000198</v>
      </c>
    </row>
    <row r="49" spans="1:30" x14ac:dyDescent="0.45">
      <c r="A49" s="8" t="s">
        <v>10783</v>
      </c>
      <c r="B49" s="4">
        <v>221</v>
      </c>
      <c r="C49" s="4" t="s">
        <v>368</v>
      </c>
      <c r="D49" s="4" t="s">
        <v>369</v>
      </c>
      <c r="E49" s="4" t="s">
        <v>371</v>
      </c>
      <c r="F49" s="4" t="s">
        <v>286</v>
      </c>
      <c r="G49" s="4" t="s">
        <v>34</v>
      </c>
      <c r="H49" s="4" t="s">
        <v>171</v>
      </c>
      <c r="I49" s="4" t="s">
        <v>372</v>
      </c>
      <c r="J49" s="4" t="s">
        <v>37</v>
      </c>
      <c r="K49" s="4" t="s">
        <v>38</v>
      </c>
      <c r="L49" s="4" t="s">
        <v>39</v>
      </c>
      <c r="M49" s="4" t="s">
        <v>37</v>
      </c>
      <c r="N49" s="4" t="s">
        <v>37</v>
      </c>
      <c r="O49" s="4" t="s">
        <v>39</v>
      </c>
      <c r="P49" s="4" t="s">
        <v>38</v>
      </c>
      <c r="Q49" s="4" t="s">
        <v>38</v>
      </c>
      <c r="R49" s="4" t="s">
        <v>39</v>
      </c>
      <c r="S49" s="4" t="s">
        <v>373</v>
      </c>
      <c r="T49" s="4" t="s">
        <v>58</v>
      </c>
      <c r="U49" s="4" t="s">
        <v>59</v>
      </c>
      <c r="V49" s="4" t="s">
        <v>44</v>
      </c>
      <c r="W49" s="4" t="s">
        <v>60</v>
      </c>
      <c r="X49" s="4" t="s">
        <v>41</v>
      </c>
      <c r="Y49" s="4"/>
      <c r="Z49" s="4" t="s">
        <v>46</v>
      </c>
      <c r="AA49" s="4" t="s">
        <v>327</v>
      </c>
      <c r="AB49" s="4" t="s">
        <v>238</v>
      </c>
      <c r="AC49" s="9">
        <v>1</v>
      </c>
      <c r="AD49" t="str">
        <f>VLOOKUP($T49,[1]NhanSu!$C$5:$M$229,11,0)</f>
        <v>SM0000198</v>
      </c>
    </row>
    <row r="50" spans="1:30" x14ac:dyDescent="0.45">
      <c r="A50" s="6" t="s">
        <v>10783</v>
      </c>
      <c r="B50" s="5">
        <v>223</v>
      </c>
      <c r="C50" s="5" t="s">
        <v>388</v>
      </c>
      <c r="D50" s="5" t="s">
        <v>389</v>
      </c>
      <c r="E50" s="5" t="s">
        <v>176</v>
      </c>
      <c r="F50" s="5" t="s">
        <v>53</v>
      </c>
      <c r="G50" s="5" t="s">
        <v>34</v>
      </c>
      <c r="H50" s="5" t="s">
        <v>54</v>
      </c>
      <c r="I50" s="5" t="s">
        <v>231</v>
      </c>
      <c r="J50" s="5" t="s">
        <v>38</v>
      </c>
      <c r="K50" s="5" t="s">
        <v>38</v>
      </c>
      <c r="L50" s="5" t="s">
        <v>40</v>
      </c>
      <c r="M50" s="5" t="s">
        <v>38</v>
      </c>
      <c r="N50" s="5" t="s">
        <v>38</v>
      </c>
      <c r="O50" s="5" t="s">
        <v>40</v>
      </c>
      <c r="P50" s="5" t="s">
        <v>38</v>
      </c>
      <c r="Q50" s="5" t="s">
        <v>38</v>
      </c>
      <c r="R50" s="5" t="s">
        <v>40</v>
      </c>
      <c r="S50" s="5" t="s">
        <v>390</v>
      </c>
      <c r="T50" s="5" t="s">
        <v>153</v>
      </c>
      <c r="U50" s="5" t="s">
        <v>59</v>
      </c>
      <c r="V50" s="5" t="s">
        <v>44</v>
      </c>
      <c r="W50" s="5" t="s">
        <v>154</v>
      </c>
      <c r="X50" s="5" t="s">
        <v>41</v>
      </c>
      <c r="Y50" s="5"/>
      <c r="Z50" s="5" t="s">
        <v>46</v>
      </c>
      <c r="AA50" s="5" t="s">
        <v>327</v>
      </c>
      <c r="AB50" s="5" t="s">
        <v>238</v>
      </c>
      <c r="AC50" s="7">
        <v>1</v>
      </c>
      <c r="AD50" t="str">
        <f>VLOOKUP($T50,[1]NhanSu!$C$5:$M$229,11,0)</f>
        <v>SM0000197</v>
      </c>
    </row>
    <row r="51" spans="1:30" x14ac:dyDescent="0.45">
      <c r="A51" s="8" t="s">
        <v>10783</v>
      </c>
      <c r="B51" s="4">
        <v>226</v>
      </c>
      <c r="C51" s="4" t="s">
        <v>510</v>
      </c>
      <c r="D51" s="4" t="s">
        <v>511</v>
      </c>
      <c r="E51" s="4" t="s">
        <v>148</v>
      </c>
      <c r="F51" s="4" t="s">
        <v>512</v>
      </c>
      <c r="G51" s="4" t="s">
        <v>34</v>
      </c>
      <c r="H51" s="4" t="s">
        <v>54</v>
      </c>
      <c r="I51" s="4" t="s">
        <v>293</v>
      </c>
      <c r="J51" s="4" t="s">
        <v>38</v>
      </c>
      <c r="K51" s="4" t="s">
        <v>38</v>
      </c>
      <c r="L51" s="4" t="s">
        <v>40</v>
      </c>
      <c r="M51" s="4" t="s">
        <v>38</v>
      </c>
      <c r="N51" s="4" t="s">
        <v>38</v>
      </c>
      <c r="O51" s="4" t="s">
        <v>40</v>
      </c>
      <c r="P51" s="4" t="s">
        <v>38</v>
      </c>
      <c r="Q51" s="4" t="s">
        <v>38</v>
      </c>
      <c r="R51" s="4" t="s">
        <v>40</v>
      </c>
      <c r="S51" s="4" t="s">
        <v>41</v>
      </c>
      <c r="T51" s="4" t="s">
        <v>153</v>
      </c>
      <c r="U51" s="4" t="s">
        <v>59</v>
      </c>
      <c r="V51" s="4" t="s">
        <v>44</v>
      </c>
      <c r="W51" s="4" t="s">
        <v>154</v>
      </c>
      <c r="X51" s="4" t="s">
        <v>41</v>
      </c>
      <c r="Y51" s="4"/>
      <c r="Z51" s="4" t="s">
        <v>46</v>
      </c>
      <c r="AA51" s="4" t="s">
        <v>327</v>
      </c>
      <c r="AB51" s="4" t="s">
        <v>238</v>
      </c>
      <c r="AC51" s="9">
        <v>1</v>
      </c>
      <c r="AD51" t="str">
        <f>VLOOKUP($T51,[1]NhanSu!$C$5:$M$229,11,0)</f>
        <v>SM0000197</v>
      </c>
    </row>
    <row r="52" spans="1:30" x14ac:dyDescent="0.45">
      <c r="A52" s="6" t="s">
        <v>10783</v>
      </c>
      <c r="B52" s="5">
        <v>227</v>
      </c>
      <c r="C52" s="5" t="s">
        <v>520</v>
      </c>
      <c r="D52" s="5" t="s">
        <v>521</v>
      </c>
      <c r="E52" s="5" t="s">
        <v>523</v>
      </c>
      <c r="F52" s="5" t="s">
        <v>524</v>
      </c>
      <c r="G52" s="5" t="s">
        <v>34</v>
      </c>
      <c r="H52" s="5" t="s">
        <v>525</v>
      </c>
      <c r="I52" s="5" t="s">
        <v>526</v>
      </c>
      <c r="J52" s="5" t="s">
        <v>38</v>
      </c>
      <c r="K52" s="5" t="s">
        <v>38</v>
      </c>
      <c r="L52" s="5" t="s">
        <v>40</v>
      </c>
      <c r="M52" s="5" t="s">
        <v>38</v>
      </c>
      <c r="N52" s="5" t="s">
        <v>38</v>
      </c>
      <c r="O52" s="5" t="s">
        <v>40</v>
      </c>
      <c r="P52" s="5" t="s">
        <v>38</v>
      </c>
      <c r="Q52" s="5" t="s">
        <v>38</v>
      </c>
      <c r="R52" s="5" t="s">
        <v>40</v>
      </c>
      <c r="S52" s="5" t="s">
        <v>41</v>
      </c>
      <c r="T52" s="5" t="s">
        <v>153</v>
      </c>
      <c r="U52" s="5" t="s">
        <v>59</v>
      </c>
      <c r="V52" s="5" t="s">
        <v>44</v>
      </c>
      <c r="W52" s="5" t="s">
        <v>154</v>
      </c>
      <c r="X52" s="5" t="s">
        <v>41</v>
      </c>
      <c r="Y52" s="5"/>
      <c r="Z52" s="5" t="s">
        <v>46</v>
      </c>
      <c r="AA52" s="5" t="s">
        <v>327</v>
      </c>
      <c r="AB52" s="5" t="s">
        <v>238</v>
      </c>
      <c r="AC52" s="7">
        <v>1</v>
      </c>
      <c r="AD52" t="str">
        <f>VLOOKUP($T52,[1]NhanSu!$C$5:$M$229,11,0)</f>
        <v>SM0000197</v>
      </c>
    </row>
    <row r="53" spans="1:30" x14ac:dyDescent="0.45">
      <c r="A53" s="8" t="s">
        <v>10783</v>
      </c>
      <c r="B53" s="4">
        <v>230</v>
      </c>
      <c r="C53" s="4" t="s">
        <v>577</v>
      </c>
      <c r="D53" s="4" t="s">
        <v>578</v>
      </c>
      <c r="E53" s="4" t="s">
        <v>580</v>
      </c>
      <c r="F53" s="4" t="s">
        <v>581</v>
      </c>
      <c r="G53" s="4" t="s">
        <v>34</v>
      </c>
      <c r="H53" s="4" t="s">
        <v>54</v>
      </c>
      <c r="I53" s="4" t="s">
        <v>582</v>
      </c>
      <c r="J53" s="4" t="s">
        <v>38</v>
      </c>
      <c r="K53" s="4" t="s">
        <v>38</v>
      </c>
      <c r="L53" s="4" t="s">
        <v>40</v>
      </c>
      <c r="M53" s="4" t="s">
        <v>38</v>
      </c>
      <c r="N53" s="4" t="s">
        <v>38</v>
      </c>
      <c r="O53" s="4" t="s">
        <v>40</v>
      </c>
      <c r="P53" s="4" t="s">
        <v>38</v>
      </c>
      <c r="Q53" s="4" t="s">
        <v>38</v>
      </c>
      <c r="R53" s="4" t="s">
        <v>40</v>
      </c>
      <c r="S53" s="4" t="s">
        <v>41</v>
      </c>
      <c r="T53" s="4" t="s">
        <v>367</v>
      </c>
      <c r="U53" s="4" t="s">
        <v>59</v>
      </c>
      <c r="V53" s="4" t="s">
        <v>44</v>
      </c>
      <c r="W53" s="4" t="s">
        <v>154</v>
      </c>
      <c r="X53" s="4" t="s">
        <v>41</v>
      </c>
      <c r="Y53" s="4"/>
      <c r="Z53" s="4" t="s">
        <v>46</v>
      </c>
      <c r="AA53" s="4" t="s">
        <v>327</v>
      </c>
      <c r="AB53" s="4" t="s">
        <v>238</v>
      </c>
      <c r="AC53" s="9">
        <v>1</v>
      </c>
      <c r="AD53" t="str">
        <f>VLOOKUP($T53,[1]NhanSu!$C$5:$M$229,11,0)</f>
        <v>SM0000196</v>
      </c>
    </row>
    <row r="54" spans="1:30" x14ac:dyDescent="0.45">
      <c r="A54" s="6" t="s">
        <v>10783</v>
      </c>
      <c r="B54" s="5">
        <v>233</v>
      </c>
      <c r="C54" s="5" t="s">
        <v>603</v>
      </c>
      <c r="D54" s="5" t="s">
        <v>604</v>
      </c>
      <c r="E54" s="5" t="s">
        <v>529</v>
      </c>
      <c r="F54" s="5" t="s">
        <v>53</v>
      </c>
      <c r="G54" s="5" t="s">
        <v>34</v>
      </c>
      <c r="H54" s="5" t="s">
        <v>54</v>
      </c>
      <c r="I54" s="5" t="s">
        <v>605</v>
      </c>
      <c r="J54" s="5" t="s">
        <v>38</v>
      </c>
      <c r="K54" s="5" t="s">
        <v>38</v>
      </c>
      <c r="L54" s="5" t="s">
        <v>40</v>
      </c>
      <c r="M54" s="5" t="s">
        <v>38</v>
      </c>
      <c r="N54" s="5" t="s">
        <v>38</v>
      </c>
      <c r="O54" s="5" t="s">
        <v>40</v>
      </c>
      <c r="P54" s="5" t="s">
        <v>38</v>
      </c>
      <c r="Q54" s="5" t="s">
        <v>38</v>
      </c>
      <c r="R54" s="5" t="s">
        <v>40</v>
      </c>
      <c r="S54" s="5" t="s">
        <v>41</v>
      </c>
      <c r="T54" s="5" t="s">
        <v>367</v>
      </c>
      <c r="U54" s="5" t="s">
        <v>59</v>
      </c>
      <c r="V54" s="5" t="s">
        <v>44</v>
      </c>
      <c r="W54" s="5" t="s">
        <v>154</v>
      </c>
      <c r="X54" s="5" t="s">
        <v>41</v>
      </c>
      <c r="Y54" s="5"/>
      <c r="Z54" s="5" t="s">
        <v>46</v>
      </c>
      <c r="AA54" s="5" t="s">
        <v>327</v>
      </c>
      <c r="AB54" s="5" t="s">
        <v>238</v>
      </c>
      <c r="AC54" s="7">
        <v>1</v>
      </c>
      <c r="AD54" t="str">
        <f>VLOOKUP($T54,[1]NhanSu!$C$5:$M$229,11,0)</f>
        <v>SM0000196</v>
      </c>
    </row>
    <row r="55" spans="1:30" x14ac:dyDescent="0.45">
      <c r="A55" s="8" t="s">
        <v>10783</v>
      </c>
      <c r="B55" s="4">
        <v>236</v>
      </c>
      <c r="C55" s="4" t="s">
        <v>631</v>
      </c>
      <c r="D55" s="4" t="s">
        <v>632</v>
      </c>
      <c r="E55" s="4" t="s">
        <v>185</v>
      </c>
      <c r="F55" s="4" t="s">
        <v>53</v>
      </c>
      <c r="G55" s="4" t="s">
        <v>34</v>
      </c>
      <c r="H55" s="4" t="s">
        <v>54</v>
      </c>
      <c r="I55" s="4" t="s">
        <v>633</v>
      </c>
      <c r="J55" s="4" t="s">
        <v>38</v>
      </c>
      <c r="K55" s="4" t="s">
        <v>38</v>
      </c>
      <c r="L55" s="4" t="s">
        <v>39</v>
      </c>
      <c r="M55" s="4" t="s">
        <v>38</v>
      </c>
      <c r="N55" s="4" t="s">
        <v>38</v>
      </c>
      <c r="O55" s="4" t="s">
        <v>39</v>
      </c>
      <c r="P55" s="4" t="s">
        <v>38</v>
      </c>
      <c r="Q55" s="4" t="s">
        <v>38</v>
      </c>
      <c r="R55" s="4" t="s">
        <v>39</v>
      </c>
      <c r="S55" s="4" t="s">
        <v>634</v>
      </c>
      <c r="T55" s="4" t="s">
        <v>367</v>
      </c>
      <c r="U55" s="4" t="s">
        <v>59</v>
      </c>
      <c r="V55" s="4" t="s">
        <v>44</v>
      </c>
      <c r="W55" s="4" t="s">
        <v>154</v>
      </c>
      <c r="X55" s="4" t="s">
        <v>41</v>
      </c>
      <c r="Y55" s="4"/>
      <c r="Z55" s="4" t="s">
        <v>46</v>
      </c>
      <c r="AA55" s="4" t="s">
        <v>327</v>
      </c>
      <c r="AB55" s="4" t="s">
        <v>238</v>
      </c>
      <c r="AC55" s="9">
        <v>1</v>
      </c>
      <c r="AD55" t="str">
        <f>VLOOKUP($T55,[1]NhanSu!$C$5:$M$229,11,0)</f>
        <v>SM0000196</v>
      </c>
    </row>
    <row r="56" spans="1:30" x14ac:dyDescent="0.45">
      <c r="A56" s="6" t="s">
        <v>10783</v>
      </c>
      <c r="B56" s="5">
        <v>237</v>
      </c>
      <c r="C56" s="5" t="s">
        <v>635</v>
      </c>
      <c r="D56" s="5" t="s">
        <v>636</v>
      </c>
      <c r="E56" s="5" t="s">
        <v>157</v>
      </c>
      <c r="F56" s="5" t="s">
        <v>53</v>
      </c>
      <c r="G56" s="5" t="s">
        <v>34</v>
      </c>
      <c r="H56" s="5" t="s">
        <v>54</v>
      </c>
      <c r="I56" s="5" t="s">
        <v>637</v>
      </c>
      <c r="J56" s="5" t="s">
        <v>38</v>
      </c>
      <c r="K56" s="5" t="s">
        <v>38</v>
      </c>
      <c r="L56" s="5" t="s">
        <v>40</v>
      </c>
      <c r="M56" s="5" t="s">
        <v>38</v>
      </c>
      <c r="N56" s="5" t="s">
        <v>38</v>
      </c>
      <c r="O56" s="5" t="s">
        <v>40</v>
      </c>
      <c r="P56" s="5" t="s">
        <v>38</v>
      </c>
      <c r="Q56" s="5" t="s">
        <v>38</v>
      </c>
      <c r="R56" s="5" t="s">
        <v>40</v>
      </c>
      <c r="S56" s="5" t="s">
        <v>638</v>
      </c>
      <c r="T56" s="5" t="s">
        <v>367</v>
      </c>
      <c r="U56" s="5" t="s">
        <v>59</v>
      </c>
      <c r="V56" s="5" t="s">
        <v>44</v>
      </c>
      <c r="W56" s="5" t="s">
        <v>154</v>
      </c>
      <c r="X56" s="5" t="s">
        <v>41</v>
      </c>
      <c r="Y56" s="5"/>
      <c r="Z56" s="5" t="s">
        <v>46</v>
      </c>
      <c r="AA56" s="5" t="s">
        <v>327</v>
      </c>
      <c r="AB56" s="5" t="s">
        <v>238</v>
      </c>
      <c r="AC56" s="7">
        <v>1</v>
      </c>
      <c r="AD56" t="str">
        <f>VLOOKUP($T56,[1]NhanSu!$C$5:$M$229,11,0)</f>
        <v>SM0000196</v>
      </c>
    </row>
    <row r="57" spans="1:30" x14ac:dyDescent="0.45">
      <c r="A57" s="8" t="s">
        <v>10783</v>
      </c>
      <c r="B57" s="4">
        <v>238</v>
      </c>
      <c r="C57" s="4" t="s">
        <v>660</v>
      </c>
      <c r="D57" s="4" t="s">
        <v>661</v>
      </c>
      <c r="E57" s="4" t="s">
        <v>69</v>
      </c>
      <c r="F57" s="4" t="s">
        <v>53</v>
      </c>
      <c r="G57" s="4" t="s">
        <v>34</v>
      </c>
      <c r="H57" s="4" t="s">
        <v>620</v>
      </c>
      <c r="I57" s="4" t="s">
        <v>662</v>
      </c>
      <c r="J57" s="4" t="s">
        <v>38</v>
      </c>
      <c r="K57" s="4" t="s">
        <v>38</v>
      </c>
      <c r="L57" s="4" t="s">
        <v>40</v>
      </c>
      <c r="M57" s="4" t="s">
        <v>38</v>
      </c>
      <c r="N57" s="4" t="s">
        <v>38</v>
      </c>
      <c r="O57" s="4" t="s">
        <v>40</v>
      </c>
      <c r="P57" s="4" t="s">
        <v>38</v>
      </c>
      <c r="Q57" s="4" t="s">
        <v>38</v>
      </c>
      <c r="R57" s="4" t="s">
        <v>40</v>
      </c>
      <c r="S57" s="4" t="s">
        <v>41</v>
      </c>
      <c r="T57" s="4" t="s">
        <v>367</v>
      </c>
      <c r="U57" s="4" t="s">
        <v>59</v>
      </c>
      <c r="V57" s="4" t="s">
        <v>44</v>
      </c>
      <c r="W57" s="4" t="s">
        <v>154</v>
      </c>
      <c r="X57" s="4" t="s">
        <v>41</v>
      </c>
      <c r="Y57" s="4"/>
      <c r="Z57" s="4" t="s">
        <v>46</v>
      </c>
      <c r="AA57" s="4" t="s">
        <v>327</v>
      </c>
      <c r="AB57" s="4" t="s">
        <v>238</v>
      </c>
      <c r="AC57" s="9">
        <v>1</v>
      </c>
      <c r="AD57" t="str">
        <f>VLOOKUP($T57,[1]NhanSu!$C$5:$M$229,11,0)</f>
        <v>SM0000196</v>
      </c>
    </row>
    <row r="58" spans="1:30" x14ac:dyDescent="0.45">
      <c r="A58" s="6" t="s">
        <v>10783</v>
      </c>
      <c r="B58" s="5">
        <v>240</v>
      </c>
      <c r="C58" s="5" t="s">
        <v>699</v>
      </c>
      <c r="D58" s="5" t="s">
        <v>700</v>
      </c>
      <c r="E58" s="5" t="s">
        <v>113</v>
      </c>
      <c r="F58" s="5" t="s">
        <v>401</v>
      </c>
      <c r="G58" s="5" t="s">
        <v>34</v>
      </c>
      <c r="H58" s="5" t="s">
        <v>462</v>
      </c>
      <c r="I58" s="5" t="s">
        <v>702</v>
      </c>
      <c r="J58" s="5" t="s">
        <v>56</v>
      </c>
      <c r="K58" s="5" t="s">
        <v>56</v>
      </c>
      <c r="L58" s="5" t="s">
        <v>39</v>
      </c>
      <c r="M58" s="5" t="s">
        <v>56</v>
      </c>
      <c r="N58" s="5" t="s">
        <v>56</v>
      </c>
      <c r="O58" s="5" t="s">
        <v>39</v>
      </c>
      <c r="P58" s="5" t="s">
        <v>38</v>
      </c>
      <c r="Q58" s="5" t="s">
        <v>38</v>
      </c>
      <c r="R58" s="5" t="s">
        <v>39</v>
      </c>
      <c r="S58" s="5" t="s">
        <v>703</v>
      </c>
      <c r="T58" s="5" t="s">
        <v>252</v>
      </c>
      <c r="U58" s="5" t="s">
        <v>59</v>
      </c>
      <c r="V58" s="5" t="s">
        <v>44</v>
      </c>
      <c r="W58" s="5" t="s">
        <v>60</v>
      </c>
      <c r="X58" s="5" t="s">
        <v>41</v>
      </c>
      <c r="Y58" s="5"/>
      <c r="Z58" s="5" t="s">
        <v>46</v>
      </c>
      <c r="AA58" s="5" t="s">
        <v>327</v>
      </c>
      <c r="AB58" s="5" t="s">
        <v>238</v>
      </c>
      <c r="AC58" s="7">
        <v>1</v>
      </c>
      <c r="AD58" t="str">
        <f>VLOOKUP($T58,[1]NhanSu!$C$5:$M$229,11,0)</f>
        <v>SM0000166</v>
      </c>
    </row>
    <row r="59" spans="1:30" x14ac:dyDescent="0.45">
      <c r="A59" s="8" t="s">
        <v>10783</v>
      </c>
      <c r="B59" s="4">
        <v>241</v>
      </c>
      <c r="C59" s="4" t="s">
        <v>715</v>
      </c>
      <c r="D59" s="4" t="s">
        <v>716</v>
      </c>
      <c r="E59" s="4" t="s">
        <v>628</v>
      </c>
      <c r="F59" s="4" t="s">
        <v>53</v>
      </c>
      <c r="G59" s="4" t="s">
        <v>34</v>
      </c>
      <c r="H59" s="4" t="s">
        <v>54</v>
      </c>
      <c r="I59" s="4" t="s">
        <v>717</v>
      </c>
      <c r="J59" s="4" t="s">
        <v>38</v>
      </c>
      <c r="K59" s="4" t="s">
        <v>38</v>
      </c>
      <c r="L59" s="4" t="s">
        <v>40</v>
      </c>
      <c r="M59" s="4" t="s">
        <v>38</v>
      </c>
      <c r="N59" s="4" t="s">
        <v>38</v>
      </c>
      <c r="O59" s="4" t="s">
        <v>40</v>
      </c>
      <c r="P59" s="4" t="s">
        <v>38</v>
      </c>
      <c r="Q59" s="4" t="s">
        <v>38</v>
      </c>
      <c r="R59" s="4" t="s">
        <v>40</v>
      </c>
      <c r="S59" s="4" t="s">
        <v>718</v>
      </c>
      <c r="T59" s="4" t="s">
        <v>153</v>
      </c>
      <c r="U59" s="4" t="s">
        <v>59</v>
      </c>
      <c r="V59" s="4" t="s">
        <v>44</v>
      </c>
      <c r="W59" s="4" t="s">
        <v>154</v>
      </c>
      <c r="X59" s="4" t="s">
        <v>41</v>
      </c>
      <c r="Y59" s="4"/>
      <c r="Z59" s="4" t="s">
        <v>46</v>
      </c>
      <c r="AA59" s="4" t="s">
        <v>327</v>
      </c>
      <c r="AB59" s="4" t="s">
        <v>238</v>
      </c>
      <c r="AC59" s="9">
        <v>1</v>
      </c>
      <c r="AD59" t="str">
        <f>VLOOKUP($T59,[1]NhanSu!$C$5:$M$229,11,0)</f>
        <v>SM0000197</v>
      </c>
    </row>
    <row r="60" spans="1:30" x14ac:dyDescent="0.45">
      <c r="A60" s="6" t="s">
        <v>10783</v>
      </c>
      <c r="B60" s="5">
        <v>246</v>
      </c>
      <c r="C60" s="5" t="s">
        <v>769</v>
      </c>
      <c r="D60" s="5" t="s">
        <v>770</v>
      </c>
      <c r="E60" s="5" t="s">
        <v>772</v>
      </c>
      <c r="F60" s="5" t="s">
        <v>773</v>
      </c>
      <c r="G60" s="5" t="s">
        <v>34</v>
      </c>
      <c r="H60" s="5" t="s">
        <v>54</v>
      </c>
      <c r="I60" s="5" t="s">
        <v>774</v>
      </c>
      <c r="J60" s="5" t="s">
        <v>775</v>
      </c>
      <c r="K60" s="5" t="s">
        <v>775</v>
      </c>
      <c r="L60" s="5" t="s">
        <v>39</v>
      </c>
      <c r="M60" s="5" t="s">
        <v>56</v>
      </c>
      <c r="N60" s="5" t="s">
        <v>56</v>
      </c>
      <c r="O60" s="5" t="s">
        <v>39</v>
      </c>
      <c r="P60" s="5" t="s">
        <v>38</v>
      </c>
      <c r="Q60" s="5" t="s">
        <v>38</v>
      </c>
      <c r="R60" s="5" t="s">
        <v>39</v>
      </c>
      <c r="S60" s="5" t="s">
        <v>776</v>
      </c>
      <c r="T60" s="5" t="s">
        <v>252</v>
      </c>
      <c r="U60" s="5" t="s">
        <v>59</v>
      </c>
      <c r="V60" s="5" t="s">
        <v>44</v>
      </c>
      <c r="W60" s="5" t="s">
        <v>60</v>
      </c>
      <c r="X60" s="5" t="s">
        <v>41</v>
      </c>
      <c r="Y60" s="5"/>
      <c r="Z60" s="5" t="s">
        <v>46</v>
      </c>
      <c r="AA60" s="5" t="s">
        <v>327</v>
      </c>
      <c r="AB60" s="5" t="s">
        <v>238</v>
      </c>
      <c r="AC60" s="7">
        <v>1</v>
      </c>
      <c r="AD60" t="str">
        <f>VLOOKUP($T60,[1]NhanSu!$C$5:$M$229,11,0)</f>
        <v>SM0000166</v>
      </c>
    </row>
    <row r="61" spans="1:30" x14ac:dyDescent="0.45">
      <c r="A61" s="8" t="s">
        <v>10783</v>
      </c>
      <c r="B61" s="4">
        <v>247</v>
      </c>
      <c r="C61" s="4" t="s">
        <v>777</v>
      </c>
      <c r="D61" s="4" t="s">
        <v>778</v>
      </c>
      <c r="E61" s="4" t="s">
        <v>176</v>
      </c>
      <c r="F61" s="4" t="s">
        <v>53</v>
      </c>
      <c r="G61" s="4" t="s">
        <v>34</v>
      </c>
      <c r="H61" s="4" t="s">
        <v>54</v>
      </c>
      <c r="I61" s="4" t="s">
        <v>231</v>
      </c>
      <c r="J61" s="4" t="s">
        <v>38</v>
      </c>
      <c r="K61" s="4" t="s">
        <v>38</v>
      </c>
      <c r="L61" s="4" t="s">
        <v>40</v>
      </c>
      <c r="M61" s="4" t="s">
        <v>38</v>
      </c>
      <c r="N61" s="4" t="s">
        <v>38</v>
      </c>
      <c r="O61" s="4" t="s">
        <v>40</v>
      </c>
      <c r="P61" s="4" t="s">
        <v>38</v>
      </c>
      <c r="Q61" s="4" t="s">
        <v>38</v>
      </c>
      <c r="R61" s="4" t="s">
        <v>40</v>
      </c>
      <c r="S61" s="4" t="s">
        <v>779</v>
      </c>
      <c r="T61" s="4" t="s">
        <v>153</v>
      </c>
      <c r="U61" s="4" t="s">
        <v>59</v>
      </c>
      <c r="V61" s="4" t="s">
        <v>44</v>
      </c>
      <c r="W61" s="4" t="s">
        <v>154</v>
      </c>
      <c r="X61" s="4" t="s">
        <v>41</v>
      </c>
      <c r="Y61" s="4"/>
      <c r="Z61" s="4" t="s">
        <v>46</v>
      </c>
      <c r="AA61" s="4" t="s">
        <v>327</v>
      </c>
      <c r="AB61" s="4" t="s">
        <v>238</v>
      </c>
      <c r="AC61" s="9">
        <v>1</v>
      </c>
      <c r="AD61" t="str">
        <f>VLOOKUP($T61,[1]NhanSu!$C$5:$M$229,11,0)</f>
        <v>SM0000197</v>
      </c>
    </row>
    <row r="62" spans="1:30" x14ac:dyDescent="0.45">
      <c r="A62" s="6" t="s">
        <v>10783</v>
      </c>
      <c r="B62" s="5">
        <v>249</v>
      </c>
      <c r="C62" s="5" t="s">
        <v>792</v>
      </c>
      <c r="D62" s="5" t="s">
        <v>793</v>
      </c>
      <c r="E62" s="5" t="s">
        <v>108</v>
      </c>
      <c r="F62" s="5" t="s">
        <v>53</v>
      </c>
      <c r="G62" s="5" t="s">
        <v>34</v>
      </c>
      <c r="H62" s="5" t="s">
        <v>620</v>
      </c>
      <c r="I62" s="5" t="s">
        <v>794</v>
      </c>
      <c r="J62" s="5" t="s">
        <v>38</v>
      </c>
      <c r="K62" s="5" t="s">
        <v>38</v>
      </c>
      <c r="L62" s="5" t="s">
        <v>40</v>
      </c>
      <c r="M62" s="5" t="s">
        <v>38</v>
      </c>
      <c r="N62" s="5" t="s">
        <v>38</v>
      </c>
      <c r="O62" s="5" t="s">
        <v>40</v>
      </c>
      <c r="P62" s="5" t="s">
        <v>38</v>
      </c>
      <c r="Q62" s="5" t="s">
        <v>38</v>
      </c>
      <c r="R62" s="5" t="s">
        <v>40</v>
      </c>
      <c r="S62" s="5" t="s">
        <v>795</v>
      </c>
      <c r="T62" s="5" t="s">
        <v>367</v>
      </c>
      <c r="U62" s="5" t="s">
        <v>59</v>
      </c>
      <c r="V62" s="5" t="s">
        <v>44</v>
      </c>
      <c r="W62" s="5" t="s">
        <v>154</v>
      </c>
      <c r="X62" s="5" t="s">
        <v>41</v>
      </c>
      <c r="Y62" s="5"/>
      <c r="Z62" s="5" t="s">
        <v>46</v>
      </c>
      <c r="AA62" s="5" t="s">
        <v>327</v>
      </c>
      <c r="AB62" s="5" t="s">
        <v>238</v>
      </c>
      <c r="AC62" s="7">
        <v>1</v>
      </c>
      <c r="AD62" t="str">
        <f>VLOOKUP($T62,[1]NhanSu!$C$5:$M$229,11,0)</f>
        <v>SM0000196</v>
      </c>
    </row>
    <row r="63" spans="1:30" x14ac:dyDescent="0.45">
      <c r="A63" s="8" t="s">
        <v>10783</v>
      </c>
      <c r="B63" s="4">
        <v>252</v>
      </c>
      <c r="C63" s="4" t="s">
        <v>811</v>
      </c>
      <c r="D63" s="4" t="s">
        <v>812</v>
      </c>
      <c r="E63" s="4" t="s">
        <v>64</v>
      </c>
      <c r="F63" s="4" t="s">
        <v>53</v>
      </c>
      <c r="G63" s="4" t="s">
        <v>34</v>
      </c>
      <c r="H63" s="4" t="s">
        <v>350</v>
      </c>
      <c r="I63" s="4" t="s">
        <v>813</v>
      </c>
      <c r="J63" s="4" t="s">
        <v>38</v>
      </c>
      <c r="K63" s="4" t="s">
        <v>38</v>
      </c>
      <c r="L63" s="4" t="s">
        <v>40</v>
      </c>
      <c r="M63" s="4" t="s">
        <v>38</v>
      </c>
      <c r="N63" s="4" t="s">
        <v>38</v>
      </c>
      <c r="O63" s="4" t="s">
        <v>40</v>
      </c>
      <c r="P63" s="4" t="s">
        <v>38</v>
      </c>
      <c r="Q63" s="4" t="s">
        <v>38</v>
      </c>
      <c r="R63" s="4" t="s">
        <v>40</v>
      </c>
      <c r="S63" s="4" t="s">
        <v>41</v>
      </c>
      <c r="T63" s="4" t="s">
        <v>58</v>
      </c>
      <c r="U63" s="4" t="s">
        <v>59</v>
      </c>
      <c r="V63" s="4" t="s">
        <v>44</v>
      </c>
      <c r="W63" s="4" t="s">
        <v>60</v>
      </c>
      <c r="X63" s="4" t="s">
        <v>41</v>
      </c>
      <c r="Y63" s="4"/>
      <c r="Z63" s="4" t="s">
        <v>46</v>
      </c>
      <c r="AA63" s="4" t="s">
        <v>327</v>
      </c>
      <c r="AB63" s="4" t="s">
        <v>238</v>
      </c>
      <c r="AC63" s="9">
        <v>1</v>
      </c>
      <c r="AD63" t="str">
        <f>VLOOKUP($T63,[1]NhanSu!$C$5:$M$229,11,0)</f>
        <v>SM0000198</v>
      </c>
    </row>
    <row r="64" spans="1:30" x14ac:dyDescent="0.45">
      <c r="A64" s="6" t="s">
        <v>10783</v>
      </c>
      <c r="B64" s="5">
        <v>254</v>
      </c>
      <c r="C64" s="5" t="s">
        <v>826</v>
      </c>
      <c r="D64" s="5" t="s">
        <v>827</v>
      </c>
      <c r="E64" s="5" t="s">
        <v>296</v>
      </c>
      <c r="F64" s="5" t="s">
        <v>829</v>
      </c>
      <c r="G64" s="5" t="s">
        <v>34</v>
      </c>
      <c r="H64" s="5" t="s">
        <v>685</v>
      </c>
      <c r="I64" s="5" t="s">
        <v>830</v>
      </c>
      <c r="J64" s="5" t="s">
        <v>38</v>
      </c>
      <c r="K64" s="5" t="s">
        <v>38</v>
      </c>
      <c r="L64" s="5" t="s">
        <v>40</v>
      </c>
      <c r="M64" s="5" t="s">
        <v>56</v>
      </c>
      <c r="N64" s="5" t="s">
        <v>56</v>
      </c>
      <c r="O64" s="5" t="s">
        <v>39</v>
      </c>
      <c r="P64" s="5" t="s">
        <v>38</v>
      </c>
      <c r="Q64" s="5" t="s">
        <v>38</v>
      </c>
      <c r="R64" s="5" t="s">
        <v>40</v>
      </c>
      <c r="S64" s="5" t="s">
        <v>831</v>
      </c>
      <c r="T64" s="5" t="s">
        <v>58</v>
      </c>
      <c r="U64" s="5" t="s">
        <v>59</v>
      </c>
      <c r="V64" s="5" t="s">
        <v>44</v>
      </c>
      <c r="W64" s="5" t="s">
        <v>60</v>
      </c>
      <c r="X64" s="5" t="s">
        <v>41</v>
      </c>
      <c r="Y64" s="5"/>
      <c r="Z64" s="5" t="s">
        <v>46</v>
      </c>
      <c r="AA64" s="5" t="s">
        <v>327</v>
      </c>
      <c r="AB64" s="5" t="s">
        <v>238</v>
      </c>
      <c r="AC64" s="7">
        <v>1</v>
      </c>
      <c r="AD64" t="str">
        <f>VLOOKUP($T64,[1]NhanSu!$C$5:$M$229,11,0)</f>
        <v>SM0000198</v>
      </c>
    </row>
    <row r="65" spans="1:30" x14ac:dyDescent="0.45">
      <c r="A65" s="8" t="s">
        <v>10783</v>
      </c>
      <c r="B65" s="4">
        <v>256</v>
      </c>
      <c r="C65" s="4" t="s">
        <v>868</v>
      </c>
      <c r="D65" s="4" t="s">
        <v>869</v>
      </c>
      <c r="E65" s="4" t="s">
        <v>91</v>
      </c>
      <c r="F65" s="4" t="s">
        <v>53</v>
      </c>
      <c r="G65" s="4" t="s">
        <v>34</v>
      </c>
      <c r="H65" s="4" t="s">
        <v>54</v>
      </c>
      <c r="I65" s="4" t="s">
        <v>257</v>
      </c>
      <c r="J65" s="4" t="s">
        <v>775</v>
      </c>
      <c r="K65" s="4" t="s">
        <v>56</v>
      </c>
      <c r="L65" s="4" t="s">
        <v>39</v>
      </c>
      <c r="M65" s="4" t="s">
        <v>56</v>
      </c>
      <c r="N65" s="4" t="s">
        <v>56</v>
      </c>
      <c r="O65" s="4" t="s">
        <v>39</v>
      </c>
      <c r="P65" s="4" t="s">
        <v>38</v>
      </c>
      <c r="Q65" s="4" t="s">
        <v>38</v>
      </c>
      <c r="R65" s="4" t="s">
        <v>39</v>
      </c>
      <c r="S65" s="4" t="s">
        <v>870</v>
      </c>
      <c r="T65" s="4" t="s">
        <v>252</v>
      </c>
      <c r="U65" s="4" t="s">
        <v>59</v>
      </c>
      <c r="V65" s="4" t="s">
        <v>44</v>
      </c>
      <c r="W65" s="4" t="s">
        <v>60</v>
      </c>
      <c r="X65" s="4" t="s">
        <v>41</v>
      </c>
      <c r="Y65" s="4"/>
      <c r="Z65" s="4" t="s">
        <v>46</v>
      </c>
      <c r="AA65" s="4" t="s">
        <v>327</v>
      </c>
      <c r="AB65" s="4" t="s">
        <v>238</v>
      </c>
      <c r="AC65" s="9">
        <v>1</v>
      </c>
      <c r="AD65" t="str">
        <f>VLOOKUP($T65,[1]NhanSu!$C$5:$M$229,11,0)</f>
        <v>SM0000166</v>
      </c>
    </row>
    <row r="66" spans="1:30" x14ac:dyDescent="0.45">
      <c r="A66" s="6" t="s">
        <v>10783</v>
      </c>
      <c r="B66" s="5">
        <v>259</v>
      </c>
      <c r="C66" s="5" t="s">
        <v>892</v>
      </c>
      <c r="D66" s="5" t="s">
        <v>893</v>
      </c>
      <c r="E66" s="5" t="s">
        <v>338</v>
      </c>
      <c r="F66" s="5" t="s">
        <v>829</v>
      </c>
      <c r="G66" s="5" t="s">
        <v>34</v>
      </c>
      <c r="H66" s="5" t="s">
        <v>685</v>
      </c>
      <c r="I66" s="5" t="s">
        <v>894</v>
      </c>
      <c r="J66" s="5" t="s">
        <v>56</v>
      </c>
      <c r="K66" s="5" t="s">
        <v>38</v>
      </c>
      <c r="L66" s="5" t="s">
        <v>40</v>
      </c>
      <c r="M66" s="5" t="s">
        <v>56</v>
      </c>
      <c r="N66" s="5" t="s">
        <v>56</v>
      </c>
      <c r="O66" s="5" t="s">
        <v>39</v>
      </c>
      <c r="P66" s="5" t="s">
        <v>38</v>
      </c>
      <c r="Q66" s="5" t="s">
        <v>38</v>
      </c>
      <c r="R66" s="5" t="s">
        <v>40</v>
      </c>
      <c r="S66" s="5" t="s">
        <v>895</v>
      </c>
      <c r="T66" s="5" t="s">
        <v>58</v>
      </c>
      <c r="U66" s="5" t="s">
        <v>59</v>
      </c>
      <c r="V66" s="5" t="s">
        <v>44</v>
      </c>
      <c r="W66" s="5" t="s">
        <v>60</v>
      </c>
      <c r="X66" s="5" t="s">
        <v>41</v>
      </c>
      <c r="Y66" s="5"/>
      <c r="Z66" s="5" t="s">
        <v>46</v>
      </c>
      <c r="AA66" s="5" t="s">
        <v>327</v>
      </c>
      <c r="AB66" s="5" t="s">
        <v>238</v>
      </c>
      <c r="AC66" s="7">
        <v>1</v>
      </c>
      <c r="AD66" t="str">
        <f>VLOOKUP($T66,[1]NhanSu!$C$5:$M$229,11,0)</f>
        <v>SM0000198</v>
      </c>
    </row>
    <row r="67" spans="1:30" x14ac:dyDescent="0.45">
      <c r="A67" s="8" t="s">
        <v>10783</v>
      </c>
      <c r="B67" s="4">
        <v>260</v>
      </c>
      <c r="C67" s="4" t="s">
        <v>903</v>
      </c>
      <c r="D67" s="4" t="s">
        <v>904</v>
      </c>
      <c r="E67" s="4" t="s">
        <v>905</v>
      </c>
      <c r="F67" s="4" t="s">
        <v>53</v>
      </c>
      <c r="G67" s="4" t="s">
        <v>34</v>
      </c>
      <c r="H67" s="4" t="s">
        <v>54</v>
      </c>
      <c r="I67" s="4" t="s">
        <v>257</v>
      </c>
      <c r="J67" s="4" t="s">
        <v>56</v>
      </c>
      <c r="K67" s="4" t="s">
        <v>56</v>
      </c>
      <c r="L67" s="4" t="s">
        <v>39</v>
      </c>
      <c r="M67" s="4" t="s">
        <v>56</v>
      </c>
      <c r="N67" s="4" t="s">
        <v>56</v>
      </c>
      <c r="O67" s="4" t="s">
        <v>39</v>
      </c>
      <c r="P67" s="4" t="s">
        <v>38</v>
      </c>
      <c r="Q67" s="4" t="s">
        <v>38</v>
      </c>
      <c r="R67" s="4" t="s">
        <v>39</v>
      </c>
      <c r="S67" s="4" t="s">
        <v>906</v>
      </c>
      <c r="T67" s="4" t="s">
        <v>252</v>
      </c>
      <c r="U67" s="4" t="s">
        <v>59</v>
      </c>
      <c r="V67" s="4" t="s">
        <v>44</v>
      </c>
      <c r="W67" s="4" t="s">
        <v>60</v>
      </c>
      <c r="X67" s="4" t="s">
        <v>41</v>
      </c>
      <c r="Y67" s="4"/>
      <c r="Z67" s="4" t="s">
        <v>46</v>
      </c>
      <c r="AA67" s="4" t="s">
        <v>327</v>
      </c>
      <c r="AB67" s="4" t="s">
        <v>238</v>
      </c>
      <c r="AC67" s="9">
        <v>1</v>
      </c>
      <c r="AD67" t="str">
        <f>VLOOKUP($T67,[1]NhanSu!$C$5:$M$229,11,0)</f>
        <v>SM0000166</v>
      </c>
    </row>
    <row r="68" spans="1:30" x14ac:dyDescent="0.45">
      <c r="A68" s="6" t="s">
        <v>10783</v>
      </c>
      <c r="B68" s="5">
        <v>262</v>
      </c>
      <c r="C68" s="5" t="s">
        <v>925</v>
      </c>
      <c r="D68" s="5" t="s">
        <v>926</v>
      </c>
      <c r="E68" s="5" t="s">
        <v>108</v>
      </c>
      <c r="F68" s="5" t="s">
        <v>53</v>
      </c>
      <c r="G68" s="5" t="s">
        <v>34</v>
      </c>
      <c r="H68" s="5" t="s">
        <v>54</v>
      </c>
      <c r="I68" s="5" t="s">
        <v>231</v>
      </c>
      <c r="J68" s="5" t="s">
        <v>56</v>
      </c>
      <c r="K68" s="5" t="s">
        <v>38</v>
      </c>
      <c r="L68" s="5" t="s">
        <v>39</v>
      </c>
      <c r="M68" s="5" t="s">
        <v>38</v>
      </c>
      <c r="N68" s="5" t="s">
        <v>56</v>
      </c>
      <c r="O68" s="5" t="s">
        <v>39</v>
      </c>
      <c r="P68" s="5" t="s">
        <v>38</v>
      </c>
      <c r="Q68" s="5" t="s">
        <v>38</v>
      </c>
      <c r="R68" s="5" t="s">
        <v>40</v>
      </c>
      <c r="S68" s="5" t="s">
        <v>927</v>
      </c>
      <c r="T68" s="5" t="s">
        <v>153</v>
      </c>
      <c r="U68" s="5" t="s">
        <v>59</v>
      </c>
      <c r="V68" s="5" t="s">
        <v>44</v>
      </c>
      <c r="W68" s="5" t="s">
        <v>154</v>
      </c>
      <c r="X68" s="5" t="s">
        <v>41</v>
      </c>
      <c r="Y68" s="5"/>
      <c r="Z68" s="5" t="s">
        <v>46</v>
      </c>
      <c r="AA68" s="5" t="s">
        <v>327</v>
      </c>
      <c r="AB68" s="5" t="s">
        <v>238</v>
      </c>
      <c r="AC68" s="7">
        <v>1</v>
      </c>
      <c r="AD68" t="str">
        <f>VLOOKUP($T68,[1]NhanSu!$C$5:$M$229,11,0)</f>
        <v>SM0000197</v>
      </c>
    </row>
    <row r="69" spans="1:30" x14ac:dyDescent="0.45">
      <c r="A69" s="8" t="s">
        <v>10783</v>
      </c>
      <c r="B69" s="4">
        <v>267</v>
      </c>
      <c r="C69" s="4" t="s">
        <v>974</v>
      </c>
      <c r="D69" s="4" t="s">
        <v>975</v>
      </c>
      <c r="E69" s="4" t="s">
        <v>976</v>
      </c>
      <c r="F69" s="4" t="s">
        <v>53</v>
      </c>
      <c r="G69" s="4" t="s">
        <v>34</v>
      </c>
      <c r="H69" s="4" t="s">
        <v>685</v>
      </c>
      <c r="I69" s="4" t="s">
        <v>977</v>
      </c>
      <c r="J69" s="4" t="s">
        <v>38</v>
      </c>
      <c r="K69" s="4" t="s">
        <v>56</v>
      </c>
      <c r="L69" s="4" t="s">
        <v>39</v>
      </c>
      <c r="M69" s="4" t="s">
        <v>38</v>
      </c>
      <c r="N69" s="4" t="s">
        <v>37</v>
      </c>
      <c r="O69" s="4" t="s">
        <v>39</v>
      </c>
      <c r="P69" s="4" t="s">
        <v>38</v>
      </c>
      <c r="Q69" s="4" t="s">
        <v>38</v>
      </c>
      <c r="R69" s="4" t="s">
        <v>40</v>
      </c>
      <c r="S69" s="4" t="s">
        <v>41</v>
      </c>
      <c r="T69" s="4" t="s">
        <v>153</v>
      </c>
      <c r="U69" s="4" t="s">
        <v>59</v>
      </c>
      <c r="V69" s="4" t="s">
        <v>44</v>
      </c>
      <c r="W69" s="4" t="s">
        <v>154</v>
      </c>
      <c r="X69" s="4" t="s">
        <v>41</v>
      </c>
      <c r="Y69" s="4"/>
      <c r="Z69" s="4" t="s">
        <v>46</v>
      </c>
      <c r="AA69" s="4" t="s">
        <v>327</v>
      </c>
      <c r="AB69" s="4" t="s">
        <v>238</v>
      </c>
      <c r="AC69" s="9">
        <v>1</v>
      </c>
      <c r="AD69" t="str">
        <f>VLOOKUP($T69,[1]NhanSu!$C$5:$M$229,11,0)</f>
        <v>SM0000197</v>
      </c>
    </row>
    <row r="70" spans="1:30" x14ac:dyDescent="0.45">
      <c r="A70" s="6" t="s">
        <v>10783</v>
      </c>
      <c r="B70" s="5">
        <v>268</v>
      </c>
      <c r="C70" s="5" t="s">
        <v>980</v>
      </c>
      <c r="D70" s="5" t="s">
        <v>981</v>
      </c>
      <c r="E70" s="5" t="s">
        <v>529</v>
      </c>
      <c r="F70" s="5" t="s">
        <v>53</v>
      </c>
      <c r="G70" s="5" t="s">
        <v>34</v>
      </c>
      <c r="H70" s="5" t="s">
        <v>54</v>
      </c>
      <c r="I70" s="5" t="s">
        <v>982</v>
      </c>
      <c r="J70" s="5" t="s">
        <v>38</v>
      </c>
      <c r="K70" s="5" t="s">
        <v>38</v>
      </c>
      <c r="L70" s="5" t="s">
        <v>39</v>
      </c>
      <c r="M70" s="5" t="s">
        <v>38</v>
      </c>
      <c r="N70" s="5" t="s">
        <v>56</v>
      </c>
      <c r="O70" s="5" t="s">
        <v>39</v>
      </c>
      <c r="P70" s="5" t="s">
        <v>38</v>
      </c>
      <c r="Q70" s="5" t="s">
        <v>38</v>
      </c>
      <c r="R70" s="5" t="s">
        <v>40</v>
      </c>
      <c r="S70" s="5" t="s">
        <v>983</v>
      </c>
      <c r="T70" s="5" t="s">
        <v>153</v>
      </c>
      <c r="U70" s="5" t="s">
        <v>59</v>
      </c>
      <c r="V70" s="5" t="s">
        <v>44</v>
      </c>
      <c r="W70" s="5" t="s">
        <v>154</v>
      </c>
      <c r="X70" s="5" t="s">
        <v>41</v>
      </c>
      <c r="Y70" s="5"/>
      <c r="Z70" s="5" t="s">
        <v>46</v>
      </c>
      <c r="AA70" s="5" t="s">
        <v>327</v>
      </c>
      <c r="AB70" s="5" t="s">
        <v>238</v>
      </c>
      <c r="AC70" s="7">
        <v>1</v>
      </c>
      <c r="AD70" t="str">
        <f>VLOOKUP($T70,[1]NhanSu!$C$5:$M$229,11,0)</f>
        <v>SM0000197</v>
      </c>
    </row>
    <row r="71" spans="1:30" x14ac:dyDescent="0.45">
      <c r="A71" s="8" t="s">
        <v>10783</v>
      </c>
      <c r="B71" s="4">
        <v>269</v>
      </c>
      <c r="C71" s="4" t="s">
        <v>984</v>
      </c>
      <c r="D71" s="4" t="s">
        <v>985</v>
      </c>
      <c r="E71" s="4" t="s">
        <v>515</v>
      </c>
      <c r="F71" s="4" t="s">
        <v>53</v>
      </c>
      <c r="G71" s="4" t="s">
        <v>34</v>
      </c>
      <c r="H71" s="4" t="s">
        <v>54</v>
      </c>
      <c r="I71" s="4" t="s">
        <v>986</v>
      </c>
      <c r="J71" s="4" t="s">
        <v>38</v>
      </c>
      <c r="K71" s="4" t="s">
        <v>38</v>
      </c>
      <c r="L71" s="4" t="s">
        <v>40</v>
      </c>
      <c r="M71" s="4" t="s">
        <v>38</v>
      </c>
      <c r="N71" s="4" t="s">
        <v>38</v>
      </c>
      <c r="O71" s="4" t="s">
        <v>40</v>
      </c>
      <c r="P71" s="4" t="s">
        <v>38</v>
      </c>
      <c r="Q71" s="4" t="s">
        <v>38</v>
      </c>
      <c r="R71" s="4" t="s">
        <v>40</v>
      </c>
      <c r="S71" s="4" t="s">
        <v>41</v>
      </c>
      <c r="T71" s="4" t="s">
        <v>367</v>
      </c>
      <c r="U71" s="4" t="s">
        <v>59</v>
      </c>
      <c r="V71" s="4" t="s">
        <v>44</v>
      </c>
      <c r="W71" s="4" t="s">
        <v>154</v>
      </c>
      <c r="X71" s="4" t="s">
        <v>41</v>
      </c>
      <c r="Y71" s="4"/>
      <c r="Z71" s="4" t="s">
        <v>46</v>
      </c>
      <c r="AA71" s="4" t="s">
        <v>327</v>
      </c>
      <c r="AB71" s="4" t="s">
        <v>238</v>
      </c>
      <c r="AC71" s="9">
        <v>1</v>
      </c>
      <c r="AD71" t="str">
        <f>VLOOKUP($T71,[1]NhanSu!$C$5:$M$229,11,0)</f>
        <v>SM0000196</v>
      </c>
    </row>
    <row r="72" spans="1:30" x14ac:dyDescent="0.45">
      <c r="A72" s="6" t="s">
        <v>10783</v>
      </c>
      <c r="B72" s="5">
        <v>274</v>
      </c>
      <c r="C72" s="5" t="s">
        <v>1006</v>
      </c>
      <c r="D72" s="5" t="s">
        <v>1007</v>
      </c>
      <c r="E72" s="5" t="s">
        <v>1009</v>
      </c>
      <c r="F72" s="5" t="s">
        <v>934</v>
      </c>
      <c r="G72" s="5" t="s">
        <v>34</v>
      </c>
      <c r="H72" s="5" t="s">
        <v>1010</v>
      </c>
      <c r="I72" s="5" t="s">
        <v>1011</v>
      </c>
      <c r="J72" s="5" t="s">
        <v>56</v>
      </c>
      <c r="K72" s="5" t="s">
        <v>56</v>
      </c>
      <c r="L72" s="5" t="s">
        <v>39</v>
      </c>
      <c r="M72" s="5" t="s">
        <v>56</v>
      </c>
      <c r="N72" s="5" t="s">
        <v>56</v>
      </c>
      <c r="O72" s="5" t="s">
        <v>39</v>
      </c>
      <c r="P72" s="5" t="s">
        <v>38</v>
      </c>
      <c r="Q72" s="5" t="s">
        <v>38</v>
      </c>
      <c r="R72" s="5" t="s">
        <v>39</v>
      </c>
      <c r="S72" s="5" t="s">
        <v>1012</v>
      </c>
      <c r="T72" s="5" t="s">
        <v>252</v>
      </c>
      <c r="U72" s="5" t="s">
        <v>59</v>
      </c>
      <c r="V72" s="5" t="s">
        <v>44</v>
      </c>
      <c r="W72" s="5" t="s">
        <v>60</v>
      </c>
      <c r="X72" s="5" t="s">
        <v>41</v>
      </c>
      <c r="Y72" s="5"/>
      <c r="Z72" s="5" t="s">
        <v>46</v>
      </c>
      <c r="AA72" s="5" t="s">
        <v>327</v>
      </c>
      <c r="AB72" s="5" t="s">
        <v>238</v>
      </c>
      <c r="AC72" s="7">
        <v>1</v>
      </c>
      <c r="AD72" t="str">
        <f>VLOOKUP($T72,[1]NhanSu!$C$5:$M$229,11,0)</f>
        <v>SM0000166</v>
      </c>
    </row>
    <row r="73" spans="1:30" x14ac:dyDescent="0.45">
      <c r="A73" s="8" t="s">
        <v>10783</v>
      </c>
      <c r="B73" s="4">
        <v>275</v>
      </c>
      <c r="C73" s="4" t="s">
        <v>1019</v>
      </c>
      <c r="D73" s="4" t="s">
        <v>1020</v>
      </c>
      <c r="E73" s="4" t="s">
        <v>207</v>
      </c>
      <c r="F73" s="4" t="s">
        <v>53</v>
      </c>
      <c r="G73" s="4" t="s">
        <v>34</v>
      </c>
      <c r="H73" s="4" t="s">
        <v>54</v>
      </c>
      <c r="I73" s="4" t="s">
        <v>257</v>
      </c>
      <c r="J73" s="4" t="s">
        <v>37</v>
      </c>
      <c r="K73" s="4" t="s">
        <v>37</v>
      </c>
      <c r="L73" s="4" t="s">
        <v>39</v>
      </c>
      <c r="M73" s="4" t="s">
        <v>56</v>
      </c>
      <c r="N73" s="4" t="s">
        <v>56</v>
      </c>
      <c r="O73" s="4" t="s">
        <v>39</v>
      </c>
      <c r="P73" s="4" t="s">
        <v>38</v>
      </c>
      <c r="Q73" s="4" t="s">
        <v>38</v>
      </c>
      <c r="R73" s="4" t="s">
        <v>39</v>
      </c>
      <c r="S73" s="4" t="s">
        <v>1021</v>
      </c>
      <c r="T73" s="4" t="s">
        <v>252</v>
      </c>
      <c r="U73" s="4" t="s">
        <v>59</v>
      </c>
      <c r="V73" s="4" t="s">
        <v>44</v>
      </c>
      <c r="W73" s="4" t="s">
        <v>60</v>
      </c>
      <c r="X73" s="4" t="s">
        <v>41</v>
      </c>
      <c r="Y73" s="4"/>
      <c r="Z73" s="4" t="s">
        <v>46</v>
      </c>
      <c r="AA73" s="4" t="s">
        <v>327</v>
      </c>
      <c r="AB73" s="4" t="s">
        <v>238</v>
      </c>
      <c r="AC73" s="9">
        <v>1</v>
      </c>
      <c r="AD73" t="str">
        <f>VLOOKUP($T73,[1]NhanSu!$C$5:$M$229,11,0)</f>
        <v>SM0000166</v>
      </c>
    </row>
    <row r="74" spans="1:30" x14ac:dyDescent="0.45">
      <c r="A74" s="6" t="s">
        <v>10783</v>
      </c>
      <c r="B74" s="5">
        <v>276</v>
      </c>
      <c r="C74" s="5" t="s">
        <v>1022</v>
      </c>
      <c r="D74" s="5" t="s">
        <v>1023</v>
      </c>
      <c r="E74" s="5" t="s">
        <v>138</v>
      </c>
      <c r="F74" s="5" t="s">
        <v>1024</v>
      </c>
      <c r="G74" s="5" t="s">
        <v>34</v>
      </c>
      <c r="H74" s="5" t="s">
        <v>1025</v>
      </c>
      <c r="I74" s="5" t="s">
        <v>1026</v>
      </c>
      <c r="J74" s="5" t="s">
        <v>38</v>
      </c>
      <c r="K74" s="5" t="s">
        <v>38</v>
      </c>
      <c r="L74" s="5" t="s">
        <v>40</v>
      </c>
      <c r="M74" s="5" t="s">
        <v>38</v>
      </c>
      <c r="N74" s="5" t="s">
        <v>38</v>
      </c>
      <c r="O74" s="5" t="s">
        <v>40</v>
      </c>
      <c r="P74" s="5" t="s">
        <v>38</v>
      </c>
      <c r="Q74" s="5" t="s">
        <v>38</v>
      </c>
      <c r="R74" s="5" t="s">
        <v>40</v>
      </c>
      <c r="S74" s="5" t="s">
        <v>41</v>
      </c>
      <c r="T74" s="5" t="s">
        <v>153</v>
      </c>
      <c r="U74" s="5" t="s">
        <v>59</v>
      </c>
      <c r="V74" s="5" t="s">
        <v>44</v>
      </c>
      <c r="W74" s="5" t="s">
        <v>154</v>
      </c>
      <c r="X74" s="5" t="s">
        <v>41</v>
      </c>
      <c r="Y74" s="5"/>
      <c r="Z74" s="5" t="s">
        <v>46</v>
      </c>
      <c r="AA74" s="5" t="s">
        <v>327</v>
      </c>
      <c r="AB74" s="5" t="s">
        <v>238</v>
      </c>
      <c r="AC74" s="7">
        <v>1</v>
      </c>
      <c r="AD74" t="str">
        <f>VLOOKUP($T74,[1]NhanSu!$C$5:$M$229,11,0)</f>
        <v>SM0000197</v>
      </c>
    </row>
    <row r="75" spans="1:30" x14ac:dyDescent="0.45">
      <c r="A75" s="8" t="s">
        <v>10783</v>
      </c>
      <c r="B75" s="4">
        <v>277</v>
      </c>
      <c r="C75" s="4" t="s">
        <v>1030</v>
      </c>
      <c r="D75" s="4" t="s">
        <v>1031</v>
      </c>
      <c r="E75" s="4" t="s">
        <v>87</v>
      </c>
      <c r="F75" s="4" t="s">
        <v>53</v>
      </c>
      <c r="G75" s="4" t="s">
        <v>34</v>
      </c>
      <c r="H75" s="4" t="s">
        <v>54</v>
      </c>
      <c r="I75" s="4" t="s">
        <v>879</v>
      </c>
      <c r="J75" s="4" t="s">
        <v>38</v>
      </c>
      <c r="K75" s="4" t="s">
        <v>38</v>
      </c>
      <c r="L75" s="4" t="s">
        <v>39</v>
      </c>
      <c r="M75" s="4" t="s">
        <v>38</v>
      </c>
      <c r="N75" s="4" t="s">
        <v>38</v>
      </c>
      <c r="O75" s="4" t="s">
        <v>39</v>
      </c>
      <c r="P75" s="4" t="s">
        <v>38</v>
      </c>
      <c r="Q75" s="4" t="s">
        <v>38</v>
      </c>
      <c r="R75" s="4" t="s">
        <v>39</v>
      </c>
      <c r="S75" s="4" t="s">
        <v>41</v>
      </c>
      <c r="T75" s="4" t="s">
        <v>367</v>
      </c>
      <c r="U75" s="4" t="s">
        <v>59</v>
      </c>
      <c r="V75" s="4" t="s">
        <v>44</v>
      </c>
      <c r="W75" s="4" t="s">
        <v>154</v>
      </c>
      <c r="X75" s="4" t="s">
        <v>41</v>
      </c>
      <c r="Y75" s="4"/>
      <c r="Z75" s="4" t="s">
        <v>46</v>
      </c>
      <c r="AA75" s="4" t="s">
        <v>327</v>
      </c>
      <c r="AB75" s="4" t="s">
        <v>238</v>
      </c>
      <c r="AC75" s="9">
        <v>1</v>
      </c>
      <c r="AD75" t="str">
        <f>VLOOKUP($T75,[1]NhanSu!$C$5:$M$229,11,0)</f>
        <v>SM0000196</v>
      </c>
    </row>
    <row r="76" spans="1:30" x14ac:dyDescent="0.45">
      <c r="A76" s="6" t="s">
        <v>10783</v>
      </c>
      <c r="B76" s="5">
        <v>279</v>
      </c>
      <c r="C76" s="5" t="s">
        <v>1046</v>
      </c>
      <c r="D76" s="5" t="s">
        <v>1047</v>
      </c>
      <c r="E76" s="5" t="s">
        <v>109</v>
      </c>
      <c r="F76" s="5" t="s">
        <v>53</v>
      </c>
      <c r="G76" s="5" t="s">
        <v>34</v>
      </c>
      <c r="H76" s="5" t="s">
        <v>54</v>
      </c>
      <c r="I76" s="5" t="s">
        <v>1048</v>
      </c>
      <c r="J76" s="5" t="s">
        <v>38</v>
      </c>
      <c r="K76" s="5" t="s">
        <v>38</v>
      </c>
      <c r="L76" s="5" t="s">
        <v>40</v>
      </c>
      <c r="M76" s="5" t="s">
        <v>38</v>
      </c>
      <c r="N76" s="5" t="s">
        <v>38</v>
      </c>
      <c r="O76" s="5" t="s">
        <v>40</v>
      </c>
      <c r="P76" s="5" t="s">
        <v>38</v>
      </c>
      <c r="Q76" s="5" t="s">
        <v>38</v>
      </c>
      <c r="R76" s="5" t="s">
        <v>40</v>
      </c>
      <c r="S76" s="5" t="s">
        <v>638</v>
      </c>
      <c r="T76" s="5" t="s">
        <v>367</v>
      </c>
      <c r="U76" s="5" t="s">
        <v>59</v>
      </c>
      <c r="V76" s="5" t="s">
        <v>44</v>
      </c>
      <c r="W76" s="5" t="s">
        <v>154</v>
      </c>
      <c r="X76" s="5" t="s">
        <v>41</v>
      </c>
      <c r="Y76" s="5"/>
      <c r="Z76" s="5" t="s">
        <v>46</v>
      </c>
      <c r="AA76" s="5" t="s">
        <v>327</v>
      </c>
      <c r="AB76" s="5" t="s">
        <v>238</v>
      </c>
      <c r="AC76" s="7">
        <v>1</v>
      </c>
      <c r="AD76" t="str">
        <f>VLOOKUP($T76,[1]NhanSu!$C$5:$M$229,11,0)</f>
        <v>SM0000196</v>
      </c>
    </row>
    <row r="77" spans="1:30" x14ac:dyDescent="0.45">
      <c r="A77" s="8" t="s">
        <v>10783</v>
      </c>
      <c r="B77" s="4">
        <v>280</v>
      </c>
      <c r="C77" s="4" t="s">
        <v>1049</v>
      </c>
      <c r="D77" s="4" t="s">
        <v>1050</v>
      </c>
      <c r="E77" s="4" t="s">
        <v>370</v>
      </c>
      <c r="F77" s="4" t="s">
        <v>1051</v>
      </c>
      <c r="G77" s="4" t="s">
        <v>34</v>
      </c>
      <c r="H77" s="4" t="s">
        <v>1052</v>
      </c>
      <c r="I77" s="4" t="s">
        <v>1053</v>
      </c>
      <c r="J77" s="4" t="s">
        <v>37</v>
      </c>
      <c r="K77" s="4" t="s">
        <v>37</v>
      </c>
      <c r="L77" s="4" t="s">
        <v>39</v>
      </c>
      <c r="M77" s="4" t="s">
        <v>56</v>
      </c>
      <c r="N77" s="4" t="s">
        <v>56</v>
      </c>
      <c r="O77" s="4" t="s">
        <v>39</v>
      </c>
      <c r="P77" s="4" t="s">
        <v>38</v>
      </c>
      <c r="Q77" s="4" t="s">
        <v>38</v>
      </c>
      <c r="R77" s="4" t="s">
        <v>39</v>
      </c>
      <c r="S77" s="4" t="s">
        <v>1054</v>
      </c>
      <c r="T77" s="4" t="s">
        <v>252</v>
      </c>
      <c r="U77" s="4" t="s">
        <v>59</v>
      </c>
      <c r="V77" s="4" t="s">
        <v>44</v>
      </c>
      <c r="W77" s="4" t="s">
        <v>60</v>
      </c>
      <c r="X77" s="4" t="s">
        <v>41</v>
      </c>
      <c r="Y77" s="4"/>
      <c r="Z77" s="4" t="s">
        <v>46</v>
      </c>
      <c r="AA77" s="4" t="s">
        <v>327</v>
      </c>
      <c r="AB77" s="4" t="s">
        <v>238</v>
      </c>
      <c r="AC77" s="9">
        <v>1</v>
      </c>
      <c r="AD77" t="str">
        <f>VLOOKUP($T77,[1]NhanSu!$C$5:$M$229,11,0)</f>
        <v>SM0000166</v>
      </c>
    </row>
    <row r="78" spans="1:30" x14ac:dyDescent="0.45">
      <c r="A78" s="6" t="s">
        <v>10783</v>
      </c>
      <c r="B78" s="5">
        <v>282</v>
      </c>
      <c r="C78" s="5" t="s">
        <v>1064</v>
      </c>
      <c r="D78" s="5" t="s">
        <v>1065</v>
      </c>
      <c r="E78" s="5" t="s">
        <v>148</v>
      </c>
      <c r="F78" s="5" t="s">
        <v>53</v>
      </c>
      <c r="G78" s="5" t="s">
        <v>34</v>
      </c>
      <c r="H78" s="5" t="s">
        <v>274</v>
      </c>
      <c r="I78" s="5" t="s">
        <v>1066</v>
      </c>
      <c r="J78" s="5" t="s">
        <v>38</v>
      </c>
      <c r="K78" s="5" t="s">
        <v>38</v>
      </c>
      <c r="L78" s="5" t="s">
        <v>39</v>
      </c>
      <c r="M78" s="5" t="s">
        <v>56</v>
      </c>
      <c r="N78" s="5" t="s">
        <v>56</v>
      </c>
      <c r="O78" s="5" t="s">
        <v>39</v>
      </c>
      <c r="P78" s="5" t="s">
        <v>38</v>
      </c>
      <c r="Q78" s="5" t="s">
        <v>38</v>
      </c>
      <c r="R78" s="5" t="s">
        <v>39</v>
      </c>
      <c r="S78" s="5" t="s">
        <v>1067</v>
      </c>
      <c r="T78" s="5" t="s">
        <v>252</v>
      </c>
      <c r="U78" s="5" t="s">
        <v>59</v>
      </c>
      <c r="V78" s="5" t="s">
        <v>44</v>
      </c>
      <c r="W78" s="5" t="s">
        <v>60</v>
      </c>
      <c r="X78" s="5" t="s">
        <v>41</v>
      </c>
      <c r="Y78" s="5"/>
      <c r="Z78" s="5" t="s">
        <v>46</v>
      </c>
      <c r="AA78" s="5" t="s">
        <v>327</v>
      </c>
      <c r="AB78" s="5" t="s">
        <v>238</v>
      </c>
      <c r="AC78" s="7">
        <v>1</v>
      </c>
      <c r="AD78" t="str">
        <f>VLOOKUP($T78,[1]NhanSu!$C$5:$M$229,11,0)</f>
        <v>SM0000166</v>
      </c>
    </row>
    <row r="79" spans="1:30" x14ac:dyDescent="0.45">
      <c r="A79" s="8" t="s">
        <v>10783</v>
      </c>
      <c r="B79" s="4">
        <v>283</v>
      </c>
      <c r="C79" s="4" t="s">
        <v>1071</v>
      </c>
      <c r="D79" s="4" t="s">
        <v>1072</v>
      </c>
      <c r="E79" s="4" t="s">
        <v>157</v>
      </c>
      <c r="F79" s="4" t="s">
        <v>53</v>
      </c>
      <c r="G79" s="4" t="s">
        <v>34</v>
      </c>
      <c r="H79" s="4" t="s">
        <v>54</v>
      </c>
      <c r="I79" s="4" t="s">
        <v>1073</v>
      </c>
      <c r="J79" s="4" t="s">
        <v>38</v>
      </c>
      <c r="K79" s="4" t="s">
        <v>38</v>
      </c>
      <c r="L79" s="4" t="s">
        <v>40</v>
      </c>
      <c r="M79" s="4" t="s">
        <v>38</v>
      </c>
      <c r="N79" s="4" t="s">
        <v>38</v>
      </c>
      <c r="O79" s="4" t="s">
        <v>40</v>
      </c>
      <c r="P79" s="4" t="s">
        <v>38</v>
      </c>
      <c r="Q79" s="4" t="s">
        <v>56</v>
      </c>
      <c r="R79" s="4" t="s">
        <v>40</v>
      </c>
      <c r="S79" s="4" t="s">
        <v>1074</v>
      </c>
      <c r="T79" s="4" t="s">
        <v>367</v>
      </c>
      <c r="U79" s="4" t="s">
        <v>59</v>
      </c>
      <c r="V79" s="4" t="s">
        <v>44</v>
      </c>
      <c r="W79" s="4" t="s">
        <v>154</v>
      </c>
      <c r="X79" s="4" t="s">
        <v>41</v>
      </c>
      <c r="Y79" s="4"/>
      <c r="Z79" s="4" t="s">
        <v>46</v>
      </c>
      <c r="AA79" s="4" t="s">
        <v>327</v>
      </c>
      <c r="AB79" s="4" t="s">
        <v>238</v>
      </c>
      <c r="AC79" s="9">
        <v>1</v>
      </c>
      <c r="AD79" t="str">
        <f>VLOOKUP($T79,[1]NhanSu!$C$5:$M$229,11,0)</f>
        <v>SM0000196</v>
      </c>
    </row>
    <row r="80" spans="1:30" x14ac:dyDescent="0.45">
      <c r="A80" s="6" t="s">
        <v>10783</v>
      </c>
      <c r="B80" s="5">
        <v>284</v>
      </c>
      <c r="C80" s="5" t="s">
        <v>1081</v>
      </c>
      <c r="D80" s="5" t="s">
        <v>1082</v>
      </c>
      <c r="E80" s="5" t="s">
        <v>97</v>
      </c>
      <c r="F80" s="5" t="s">
        <v>115</v>
      </c>
      <c r="G80" s="5" t="s">
        <v>34</v>
      </c>
      <c r="H80" s="5" t="s">
        <v>54</v>
      </c>
      <c r="I80" s="5" t="s">
        <v>1083</v>
      </c>
      <c r="J80" s="5" t="s">
        <v>38</v>
      </c>
      <c r="K80" s="5" t="s">
        <v>38</v>
      </c>
      <c r="L80" s="5" t="s">
        <v>40</v>
      </c>
      <c r="M80" s="5" t="s">
        <v>38</v>
      </c>
      <c r="N80" s="5" t="s">
        <v>38</v>
      </c>
      <c r="O80" s="5" t="s">
        <v>40</v>
      </c>
      <c r="P80" s="5" t="s">
        <v>38</v>
      </c>
      <c r="Q80" s="5" t="s">
        <v>38</v>
      </c>
      <c r="R80" s="5" t="s">
        <v>40</v>
      </c>
      <c r="S80" s="5" t="s">
        <v>1084</v>
      </c>
      <c r="T80" s="5" t="s">
        <v>58</v>
      </c>
      <c r="U80" s="5" t="s">
        <v>59</v>
      </c>
      <c r="V80" s="5" t="s">
        <v>44</v>
      </c>
      <c r="W80" s="5" t="s">
        <v>60</v>
      </c>
      <c r="X80" s="5" t="s">
        <v>41</v>
      </c>
      <c r="Y80" s="5"/>
      <c r="Z80" s="5" t="s">
        <v>46</v>
      </c>
      <c r="AA80" s="5" t="s">
        <v>327</v>
      </c>
      <c r="AB80" s="5" t="s">
        <v>238</v>
      </c>
      <c r="AC80" s="7">
        <v>1</v>
      </c>
      <c r="AD80" t="str">
        <f>VLOOKUP($T80,[1]NhanSu!$C$5:$M$229,11,0)</f>
        <v>SM0000198</v>
      </c>
    </row>
    <row r="81" spans="1:30" x14ac:dyDescent="0.45">
      <c r="A81" s="8" t="s">
        <v>10783</v>
      </c>
      <c r="B81" s="4">
        <v>285</v>
      </c>
      <c r="C81" s="4" t="s">
        <v>1088</v>
      </c>
      <c r="D81" s="4" t="s">
        <v>1089</v>
      </c>
      <c r="E81" s="4" t="s">
        <v>1090</v>
      </c>
      <c r="F81" s="4" t="s">
        <v>53</v>
      </c>
      <c r="G81" s="4" t="s">
        <v>34</v>
      </c>
      <c r="H81" s="4" t="s">
        <v>54</v>
      </c>
      <c r="I81" s="4" t="s">
        <v>1091</v>
      </c>
      <c r="J81" s="4" t="s">
        <v>38</v>
      </c>
      <c r="K81" s="4" t="s">
        <v>38</v>
      </c>
      <c r="L81" s="4" t="s">
        <v>39</v>
      </c>
      <c r="M81" s="4" t="s">
        <v>38</v>
      </c>
      <c r="N81" s="4" t="s">
        <v>56</v>
      </c>
      <c r="O81" s="4" t="s">
        <v>39</v>
      </c>
      <c r="P81" s="4" t="s">
        <v>38</v>
      </c>
      <c r="Q81" s="4" t="s">
        <v>38</v>
      </c>
      <c r="R81" s="4" t="s">
        <v>40</v>
      </c>
      <c r="S81" s="4" t="s">
        <v>1092</v>
      </c>
      <c r="T81" s="4" t="s">
        <v>367</v>
      </c>
      <c r="U81" s="4" t="s">
        <v>59</v>
      </c>
      <c r="V81" s="4" t="s">
        <v>44</v>
      </c>
      <c r="W81" s="4" t="s">
        <v>154</v>
      </c>
      <c r="X81" s="4" t="s">
        <v>41</v>
      </c>
      <c r="Y81" s="4"/>
      <c r="Z81" s="4" t="s">
        <v>46</v>
      </c>
      <c r="AA81" s="4" t="s">
        <v>327</v>
      </c>
      <c r="AB81" s="4" t="s">
        <v>238</v>
      </c>
      <c r="AC81" s="9">
        <v>1</v>
      </c>
      <c r="AD81" t="str">
        <f>VLOOKUP($T81,[1]NhanSu!$C$5:$M$229,11,0)</f>
        <v>SM0000196</v>
      </c>
    </row>
    <row r="82" spans="1:30" x14ac:dyDescent="0.45">
      <c r="A82" s="6" t="s">
        <v>10783</v>
      </c>
      <c r="B82" s="5">
        <v>287</v>
      </c>
      <c r="C82" s="5" t="s">
        <v>1102</v>
      </c>
      <c r="D82" s="5" t="s">
        <v>1103</v>
      </c>
      <c r="E82" s="5" t="s">
        <v>1104</v>
      </c>
      <c r="F82" s="5" t="s">
        <v>53</v>
      </c>
      <c r="G82" s="5" t="s">
        <v>34</v>
      </c>
      <c r="H82" s="5" t="s">
        <v>54</v>
      </c>
      <c r="I82" s="5" t="s">
        <v>257</v>
      </c>
      <c r="J82" s="5" t="s">
        <v>56</v>
      </c>
      <c r="K82" s="5" t="s">
        <v>56</v>
      </c>
      <c r="L82" s="5" t="s">
        <v>39</v>
      </c>
      <c r="M82" s="5" t="s">
        <v>56</v>
      </c>
      <c r="N82" s="5" t="s">
        <v>56</v>
      </c>
      <c r="O82" s="5" t="s">
        <v>39</v>
      </c>
      <c r="P82" s="5" t="s">
        <v>38</v>
      </c>
      <c r="Q82" s="5" t="s">
        <v>38</v>
      </c>
      <c r="R82" s="5" t="s">
        <v>39</v>
      </c>
      <c r="S82" s="5" t="s">
        <v>1021</v>
      </c>
      <c r="T82" s="5" t="s">
        <v>252</v>
      </c>
      <c r="U82" s="5" t="s">
        <v>59</v>
      </c>
      <c r="V82" s="5" t="s">
        <v>44</v>
      </c>
      <c r="W82" s="5" t="s">
        <v>60</v>
      </c>
      <c r="X82" s="5" t="s">
        <v>41</v>
      </c>
      <c r="Y82" s="5"/>
      <c r="Z82" s="5" t="s">
        <v>46</v>
      </c>
      <c r="AA82" s="5" t="s">
        <v>327</v>
      </c>
      <c r="AB82" s="5" t="s">
        <v>238</v>
      </c>
      <c r="AC82" s="7">
        <v>1</v>
      </c>
      <c r="AD82" t="str">
        <f>VLOOKUP($T82,[1]NhanSu!$C$5:$M$229,11,0)</f>
        <v>SM0000166</v>
      </c>
    </row>
    <row r="83" spans="1:30" x14ac:dyDescent="0.45">
      <c r="A83" s="8" t="s">
        <v>10783</v>
      </c>
      <c r="B83" s="4">
        <v>288</v>
      </c>
      <c r="C83" s="4" t="s">
        <v>1112</v>
      </c>
      <c r="D83" s="4" t="s">
        <v>1113</v>
      </c>
      <c r="E83" s="4" t="s">
        <v>68</v>
      </c>
      <c r="F83" s="4" t="s">
        <v>53</v>
      </c>
      <c r="G83" s="4" t="s">
        <v>34</v>
      </c>
      <c r="H83" s="4" t="s">
        <v>54</v>
      </c>
      <c r="I83" s="4" t="s">
        <v>1114</v>
      </c>
      <c r="J83" s="4" t="s">
        <v>38</v>
      </c>
      <c r="K83" s="4" t="s">
        <v>38</v>
      </c>
      <c r="L83" s="4" t="s">
        <v>39</v>
      </c>
      <c r="M83" s="4" t="s">
        <v>38</v>
      </c>
      <c r="N83" s="4" t="s">
        <v>38</v>
      </c>
      <c r="O83" s="4" t="s">
        <v>39</v>
      </c>
      <c r="P83" s="4" t="s">
        <v>38</v>
      </c>
      <c r="Q83" s="4" t="s">
        <v>38</v>
      </c>
      <c r="R83" s="4" t="s">
        <v>39</v>
      </c>
      <c r="S83" s="4" t="s">
        <v>1115</v>
      </c>
      <c r="T83" s="4" t="s">
        <v>367</v>
      </c>
      <c r="U83" s="4" t="s">
        <v>59</v>
      </c>
      <c r="V83" s="4" t="s">
        <v>44</v>
      </c>
      <c r="W83" s="4" t="s">
        <v>154</v>
      </c>
      <c r="X83" s="4" t="s">
        <v>41</v>
      </c>
      <c r="Y83" s="4"/>
      <c r="Z83" s="4" t="s">
        <v>46</v>
      </c>
      <c r="AA83" s="4" t="s">
        <v>327</v>
      </c>
      <c r="AB83" s="4" t="s">
        <v>238</v>
      </c>
      <c r="AC83" s="9">
        <v>1</v>
      </c>
      <c r="AD83" t="str">
        <f>VLOOKUP($T83,[1]NhanSu!$C$5:$M$229,11,0)</f>
        <v>SM0000196</v>
      </c>
    </row>
    <row r="84" spans="1:30" x14ac:dyDescent="0.45">
      <c r="A84" s="6" t="s">
        <v>10783</v>
      </c>
      <c r="B84" s="5">
        <v>289</v>
      </c>
      <c r="C84" s="5" t="s">
        <v>1116</v>
      </c>
      <c r="D84" s="5" t="s">
        <v>1117</v>
      </c>
      <c r="E84" s="5" t="s">
        <v>108</v>
      </c>
      <c r="F84" s="5" t="s">
        <v>53</v>
      </c>
      <c r="G84" s="5" t="s">
        <v>34</v>
      </c>
      <c r="H84" s="5" t="s">
        <v>54</v>
      </c>
      <c r="I84" s="5" t="s">
        <v>1118</v>
      </c>
      <c r="J84" s="5" t="s">
        <v>38</v>
      </c>
      <c r="K84" s="5" t="s">
        <v>38</v>
      </c>
      <c r="L84" s="5" t="s">
        <v>39</v>
      </c>
      <c r="M84" s="5" t="s">
        <v>38</v>
      </c>
      <c r="N84" s="5" t="s">
        <v>38</v>
      </c>
      <c r="O84" s="5" t="s">
        <v>39</v>
      </c>
      <c r="P84" s="5" t="s">
        <v>38</v>
      </c>
      <c r="Q84" s="5" t="s">
        <v>38</v>
      </c>
      <c r="R84" s="5" t="s">
        <v>40</v>
      </c>
      <c r="S84" s="5" t="s">
        <v>1119</v>
      </c>
      <c r="T84" s="5" t="s">
        <v>153</v>
      </c>
      <c r="U84" s="5" t="s">
        <v>59</v>
      </c>
      <c r="V84" s="5" t="s">
        <v>44</v>
      </c>
      <c r="W84" s="5" t="s">
        <v>154</v>
      </c>
      <c r="X84" s="5" t="s">
        <v>41</v>
      </c>
      <c r="Y84" s="5"/>
      <c r="Z84" s="5" t="s">
        <v>46</v>
      </c>
      <c r="AA84" s="5" t="s">
        <v>327</v>
      </c>
      <c r="AB84" s="5" t="s">
        <v>238</v>
      </c>
      <c r="AC84" s="7">
        <v>1</v>
      </c>
      <c r="AD84" t="str">
        <f>VLOOKUP($T84,[1]NhanSu!$C$5:$M$229,11,0)</f>
        <v>SM0000197</v>
      </c>
    </row>
    <row r="85" spans="1:30" x14ac:dyDescent="0.45">
      <c r="A85" s="8" t="s">
        <v>10783</v>
      </c>
      <c r="B85" s="4">
        <v>290</v>
      </c>
      <c r="C85" s="4" t="s">
        <v>1131</v>
      </c>
      <c r="D85" s="4" t="s">
        <v>1132</v>
      </c>
      <c r="E85" s="4" t="s">
        <v>68</v>
      </c>
      <c r="F85" s="4" t="s">
        <v>53</v>
      </c>
      <c r="G85" s="4" t="s">
        <v>34</v>
      </c>
      <c r="H85" s="4" t="s">
        <v>685</v>
      </c>
      <c r="I85" s="4" t="s">
        <v>1133</v>
      </c>
      <c r="J85" s="4" t="s">
        <v>38</v>
      </c>
      <c r="K85" s="4" t="s">
        <v>38</v>
      </c>
      <c r="L85" s="4" t="s">
        <v>40</v>
      </c>
      <c r="M85" s="4" t="s">
        <v>38</v>
      </c>
      <c r="N85" s="4" t="s">
        <v>38</v>
      </c>
      <c r="O85" s="4" t="s">
        <v>40</v>
      </c>
      <c r="P85" s="4" t="s">
        <v>38</v>
      </c>
      <c r="Q85" s="4" t="s">
        <v>38</v>
      </c>
      <c r="R85" s="4" t="s">
        <v>40</v>
      </c>
      <c r="S85" s="4" t="s">
        <v>1134</v>
      </c>
      <c r="T85" s="4" t="s">
        <v>58</v>
      </c>
      <c r="U85" s="4" t="s">
        <v>59</v>
      </c>
      <c r="V85" s="4" t="s">
        <v>44</v>
      </c>
      <c r="W85" s="4" t="s">
        <v>60</v>
      </c>
      <c r="X85" s="4" t="s">
        <v>41</v>
      </c>
      <c r="Y85" s="4"/>
      <c r="Z85" s="4" t="s">
        <v>46</v>
      </c>
      <c r="AA85" s="4" t="s">
        <v>327</v>
      </c>
      <c r="AB85" s="4" t="s">
        <v>238</v>
      </c>
      <c r="AC85" s="9">
        <v>1</v>
      </c>
      <c r="AD85" t="str">
        <f>VLOOKUP($T85,[1]NhanSu!$C$5:$M$229,11,0)</f>
        <v>SM0000198</v>
      </c>
    </row>
    <row r="86" spans="1:30" x14ac:dyDescent="0.45">
      <c r="A86" s="6" t="s">
        <v>10783</v>
      </c>
      <c r="B86" s="5">
        <v>292</v>
      </c>
      <c r="C86" s="5" t="s">
        <v>1141</v>
      </c>
      <c r="D86" s="5" t="s">
        <v>1142</v>
      </c>
      <c r="E86" s="5" t="s">
        <v>176</v>
      </c>
      <c r="F86" s="5" t="s">
        <v>53</v>
      </c>
      <c r="G86" s="5" t="s">
        <v>34</v>
      </c>
      <c r="H86" s="5" t="s">
        <v>620</v>
      </c>
      <c r="I86" s="5" t="s">
        <v>1143</v>
      </c>
      <c r="J86" s="5" t="s">
        <v>38</v>
      </c>
      <c r="K86" s="5" t="s">
        <v>38</v>
      </c>
      <c r="L86" s="5" t="s">
        <v>39</v>
      </c>
      <c r="M86" s="5" t="s">
        <v>38</v>
      </c>
      <c r="N86" s="5" t="s">
        <v>38</v>
      </c>
      <c r="O86" s="5" t="s">
        <v>39</v>
      </c>
      <c r="P86" s="5" t="s">
        <v>38</v>
      </c>
      <c r="Q86" s="5" t="s">
        <v>38</v>
      </c>
      <c r="R86" s="5" t="s">
        <v>39</v>
      </c>
      <c r="S86" s="5" t="s">
        <v>1144</v>
      </c>
      <c r="T86" s="5" t="s">
        <v>367</v>
      </c>
      <c r="U86" s="5" t="s">
        <v>59</v>
      </c>
      <c r="V86" s="5" t="s">
        <v>44</v>
      </c>
      <c r="W86" s="5" t="s">
        <v>154</v>
      </c>
      <c r="X86" s="5" t="s">
        <v>41</v>
      </c>
      <c r="Y86" s="5"/>
      <c r="Z86" s="5" t="s">
        <v>46</v>
      </c>
      <c r="AA86" s="5" t="s">
        <v>327</v>
      </c>
      <c r="AB86" s="5" t="s">
        <v>238</v>
      </c>
      <c r="AC86" s="7">
        <v>1</v>
      </c>
      <c r="AD86" t="str">
        <f>VLOOKUP($T86,[1]NhanSu!$C$5:$M$229,11,0)</f>
        <v>SM0000196</v>
      </c>
    </row>
    <row r="87" spans="1:30" x14ac:dyDescent="0.45">
      <c r="A87" s="8" t="s">
        <v>10783</v>
      </c>
      <c r="B87" s="4">
        <v>293</v>
      </c>
      <c r="C87" s="4" t="s">
        <v>1145</v>
      </c>
      <c r="D87" s="4" t="s">
        <v>1146</v>
      </c>
      <c r="E87" s="4" t="s">
        <v>69</v>
      </c>
      <c r="F87" s="4" t="s">
        <v>53</v>
      </c>
      <c r="G87" s="4" t="s">
        <v>34</v>
      </c>
      <c r="H87" s="4" t="s">
        <v>54</v>
      </c>
      <c r="I87" s="4" t="s">
        <v>1147</v>
      </c>
      <c r="J87" s="4" t="s">
        <v>38</v>
      </c>
      <c r="K87" s="4" t="s">
        <v>38</v>
      </c>
      <c r="L87" s="4" t="s">
        <v>39</v>
      </c>
      <c r="M87" s="4" t="s">
        <v>38</v>
      </c>
      <c r="N87" s="4" t="s">
        <v>37</v>
      </c>
      <c r="O87" s="4" t="s">
        <v>39</v>
      </c>
      <c r="P87" s="4" t="s">
        <v>38</v>
      </c>
      <c r="Q87" s="4" t="s">
        <v>38</v>
      </c>
      <c r="R87" s="4" t="s">
        <v>39</v>
      </c>
      <c r="S87" s="4" t="s">
        <v>1148</v>
      </c>
      <c r="T87" s="4" t="s">
        <v>367</v>
      </c>
      <c r="U87" s="4" t="s">
        <v>59</v>
      </c>
      <c r="V87" s="4" t="s">
        <v>44</v>
      </c>
      <c r="W87" s="4" t="s">
        <v>154</v>
      </c>
      <c r="X87" s="4" t="s">
        <v>41</v>
      </c>
      <c r="Y87" s="4"/>
      <c r="Z87" s="4" t="s">
        <v>46</v>
      </c>
      <c r="AA87" s="4" t="s">
        <v>327</v>
      </c>
      <c r="AB87" s="4" t="s">
        <v>238</v>
      </c>
      <c r="AC87" s="9">
        <v>1</v>
      </c>
      <c r="AD87" t="str">
        <f>VLOOKUP($T87,[1]NhanSu!$C$5:$M$229,11,0)</f>
        <v>SM0000196</v>
      </c>
    </row>
    <row r="88" spans="1:30" x14ac:dyDescent="0.45">
      <c r="A88" s="6" t="s">
        <v>10783</v>
      </c>
      <c r="B88" s="5">
        <v>294</v>
      </c>
      <c r="C88" s="5" t="s">
        <v>1162</v>
      </c>
      <c r="D88" s="5" t="s">
        <v>1163</v>
      </c>
      <c r="E88" s="5" t="s">
        <v>212</v>
      </c>
      <c r="F88" s="5" t="s">
        <v>417</v>
      </c>
      <c r="G88" s="5" t="s">
        <v>34</v>
      </c>
      <c r="H88" s="5" t="s">
        <v>1164</v>
      </c>
      <c r="I88" s="5" t="s">
        <v>1165</v>
      </c>
      <c r="J88" s="5" t="s">
        <v>38</v>
      </c>
      <c r="K88" s="5" t="s">
        <v>38</v>
      </c>
      <c r="L88" s="5" t="s">
        <v>39</v>
      </c>
      <c r="M88" s="5" t="s">
        <v>38</v>
      </c>
      <c r="N88" s="5" t="s">
        <v>38</v>
      </c>
      <c r="O88" s="5" t="s">
        <v>39</v>
      </c>
      <c r="P88" s="5" t="s">
        <v>38</v>
      </c>
      <c r="Q88" s="5" t="s">
        <v>38</v>
      </c>
      <c r="R88" s="5" t="s">
        <v>39</v>
      </c>
      <c r="S88" s="5" t="s">
        <v>41</v>
      </c>
      <c r="T88" s="5" t="s">
        <v>367</v>
      </c>
      <c r="U88" s="5" t="s">
        <v>59</v>
      </c>
      <c r="V88" s="5" t="s">
        <v>44</v>
      </c>
      <c r="W88" s="5" t="s">
        <v>154</v>
      </c>
      <c r="X88" s="5" t="s">
        <v>41</v>
      </c>
      <c r="Y88" s="5"/>
      <c r="Z88" s="5" t="s">
        <v>46</v>
      </c>
      <c r="AA88" s="5" t="s">
        <v>327</v>
      </c>
      <c r="AB88" s="5" t="s">
        <v>238</v>
      </c>
      <c r="AC88" s="7">
        <v>1</v>
      </c>
      <c r="AD88" t="str">
        <f>VLOOKUP($T88,[1]NhanSu!$C$5:$M$229,11,0)</f>
        <v>SM0000196</v>
      </c>
    </row>
    <row r="89" spans="1:30" x14ac:dyDescent="0.45">
      <c r="A89" s="8" t="s">
        <v>10783</v>
      </c>
      <c r="B89" s="4">
        <v>295</v>
      </c>
      <c r="C89" s="4" t="s">
        <v>1166</v>
      </c>
      <c r="D89" s="4" t="s">
        <v>1167</v>
      </c>
      <c r="E89" s="4" t="s">
        <v>69</v>
      </c>
      <c r="F89" s="4" t="s">
        <v>53</v>
      </c>
      <c r="G89" s="4" t="s">
        <v>34</v>
      </c>
      <c r="H89" s="4" t="s">
        <v>54</v>
      </c>
      <c r="I89" s="4" t="s">
        <v>1168</v>
      </c>
      <c r="J89" s="4" t="s">
        <v>1034</v>
      </c>
      <c r="K89" s="4" t="s">
        <v>1034</v>
      </c>
      <c r="L89" s="4" t="s">
        <v>121</v>
      </c>
      <c r="M89" s="4" t="s">
        <v>38</v>
      </c>
      <c r="N89" s="4" t="s">
        <v>1034</v>
      </c>
      <c r="O89" s="4" t="s">
        <v>121</v>
      </c>
      <c r="P89" s="4" t="s">
        <v>38</v>
      </c>
      <c r="Q89" s="4" t="s">
        <v>38</v>
      </c>
      <c r="R89" s="4" t="s">
        <v>39</v>
      </c>
      <c r="S89" s="4" t="s">
        <v>1169</v>
      </c>
      <c r="T89" s="4" t="s">
        <v>153</v>
      </c>
      <c r="U89" s="4" t="s">
        <v>59</v>
      </c>
      <c r="V89" s="4" t="s">
        <v>44</v>
      </c>
      <c r="W89" s="4" t="s">
        <v>154</v>
      </c>
      <c r="X89" s="4" t="s">
        <v>41</v>
      </c>
      <c r="Y89" s="4"/>
      <c r="Z89" s="4" t="s">
        <v>46</v>
      </c>
      <c r="AA89" s="4" t="s">
        <v>327</v>
      </c>
      <c r="AB89" s="4" t="s">
        <v>238</v>
      </c>
      <c r="AC89" s="9">
        <v>1</v>
      </c>
      <c r="AD89" t="str">
        <f>VLOOKUP($T89,[1]NhanSu!$C$5:$M$229,11,0)</f>
        <v>SM0000197</v>
      </c>
    </row>
    <row r="90" spans="1:30" x14ac:dyDescent="0.45">
      <c r="A90" s="6" t="s">
        <v>10783</v>
      </c>
      <c r="B90" s="5">
        <v>300</v>
      </c>
      <c r="C90" s="5" t="s">
        <v>1207</v>
      </c>
      <c r="D90" s="5" t="s">
        <v>1208</v>
      </c>
      <c r="E90" s="5" t="s">
        <v>97</v>
      </c>
      <c r="F90" s="5" t="s">
        <v>166</v>
      </c>
      <c r="G90" s="5" t="s">
        <v>34</v>
      </c>
      <c r="H90" s="5" t="s">
        <v>697</v>
      </c>
      <c r="I90" s="5" t="s">
        <v>1209</v>
      </c>
      <c r="J90" s="5" t="s">
        <v>38</v>
      </c>
      <c r="K90" s="5" t="s">
        <v>38</v>
      </c>
      <c r="L90" s="5" t="s">
        <v>40</v>
      </c>
      <c r="M90" s="5" t="s">
        <v>38</v>
      </c>
      <c r="N90" s="5" t="s">
        <v>38</v>
      </c>
      <c r="O90" s="5" t="s">
        <v>40</v>
      </c>
      <c r="P90" s="5" t="s">
        <v>38</v>
      </c>
      <c r="Q90" s="5" t="s">
        <v>38</v>
      </c>
      <c r="R90" s="5" t="s">
        <v>40</v>
      </c>
      <c r="S90" s="5" t="s">
        <v>41</v>
      </c>
      <c r="T90" s="5" t="s">
        <v>58</v>
      </c>
      <c r="U90" s="5" t="s">
        <v>59</v>
      </c>
      <c r="V90" s="5" t="s">
        <v>44</v>
      </c>
      <c r="W90" s="5" t="s">
        <v>60</v>
      </c>
      <c r="X90" s="5" t="s">
        <v>41</v>
      </c>
      <c r="Y90" s="5"/>
      <c r="Z90" s="5" t="s">
        <v>46</v>
      </c>
      <c r="AA90" s="5" t="s">
        <v>327</v>
      </c>
      <c r="AB90" s="5" t="s">
        <v>238</v>
      </c>
      <c r="AC90" s="7">
        <v>1</v>
      </c>
      <c r="AD90" t="str">
        <f>VLOOKUP($T90,[1]NhanSu!$C$5:$M$229,11,0)</f>
        <v>SM0000198</v>
      </c>
    </row>
    <row r="91" spans="1:30" x14ac:dyDescent="0.45">
      <c r="A91" s="8" t="s">
        <v>10783</v>
      </c>
      <c r="B91" s="4">
        <v>301</v>
      </c>
      <c r="C91" s="4" t="s">
        <v>1210</v>
      </c>
      <c r="D91" s="4" t="s">
        <v>1211</v>
      </c>
      <c r="E91" s="4" t="s">
        <v>108</v>
      </c>
      <c r="F91" s="4" t="s">
        <v>53</v>
      </c>
      <c r="G91" s="4" t="s">
        <v>34</v>
      </c>
      <c r="H91" s="4" t="s">
        <v>54</v>
      </c>
      <c r="I91" s="4" t="s">
        <v>1212</v>
      </c>
      <c r="J91" s="4" t="s">
        <v>38</v>
      </c>
      <c r="K91" s="4" t="s">
        <v>38</v>
      </c>
      <c r="L91" s="4" t="s">
        <v>40</v>
      </c>
      <c r="M91" s="4" t="s">
        <v>38</v>
      </c>
      <c r="N91" s="4" t="s">
        <v>38</v>
      </c>
      <c r="O91" s="4" t="s">
        <v>40</v>
      </c>
      <c r="P91" s="4" t="s">
        <v>38</v>
      </c>
      <c r="Q91" s="4" t="s">
        <v>38</v>
      </c>
      <c r="R91" s="4" t="s">
        <v>40</v>
      </c>
      <c r="S91" s="4" t="s">
        <v>41</v>
      </c>
      <c r="T91" s="4" t="s">
        <v>58</v>
      </c>
      <c r="U91" s="4" t="s">
        <v>59</v>
      </c>
      <c r="V91" s="4" t="s">
        <v>44</v>
      </c>
      <c r="W91" s="4" t="s">
        <v>60</v>
      </c>
      <c r="X91" s="4" t="s">
        <v>41</v>
      </c>
      <c r="Y91" s="4"/>
      <c r="Z91" s="4" t="s">
        <v>46</v>
      </c>
      <c r="AA91" s="4" t="s">
        <v>327</v>
      </c>
      <c r="AB91" s="4" t="s">
        <v>238</v>
      </c>
      <c r="AC91" s="9">
        <v>1</v>
      </c>
      <c r="AD91" t="str">
        <f>VLOOKUP($T91,[1]NhanSu!$C$5:$M$229,11,0)</f>
        <v>SM0000198</v>
      </c>
    </row>
    <row r="92" spans="1:30" x14ac:dyDescent="0.45">
      <c r="A92" s="6" t="s">
        <v>10783</v>
      </c>
      <c r="B92" s="5">
        <v>302</v>
      </c>
      <c r="C92" s="5" t="s">
        <v>1218</v>
      </c>
      <c r="D92" s="5" t="s">
        <v>1219</v>
      </c>
      <c r="E92" s="5" t="s">
        <v>323</v>
      </c>
      <c r="F92" s="5" t="s">
        <v>417</v>
      </c>
      <c r="G92" s="5" t="s">
        <v>34</v>
      </c>
      <c r="H92" s="5" t="s">
        <v>546</v>
      </c>
      <c r="I92" s="5" t="s">
        <v>1220</v>
      </c>
      <c r="J92" s="5" t="s">
        <v>38</v>
      </c>
      <c r="K92" s="5" t="s">
        <v>38</v>
      </c>
      <c r="L92" s="5" t="s">
        <v>39</v>
      </c>
      <c r="M92" s="5" t="s">
        <v>38</v>
      </c>
      <c r="N92" s="5" t="s">
        <v>38</v>
      </c>
      <c r="O92" s="5" t="s">
        <v>39</v>
      </c>
      <c r="P92" s="5" t="s">
        <v>38</v>
      </c>
      <c r="Q92" s="5" t="s">
        <v>38</v>
      </c>
      <c r="R92" s="5" t="s">
        <v>39</v>
      </c>
      <c r="S92" s="5" t="s">
        <v>1221</v>
      </c>
      <c r="T92" s="5" t="s">
        <v>367</v>
      </c>
      <c r="U92" s="5" t="s">
        <v>59</v>
      </c>
      <c r="V92" s="5" t="s">
        <v>44</v>
      </c>
      <c r="W92" s="5" t="s">
        <v>154</v>
      </c>
      <c r="X92" s="5" t="s">
        <v>41</v>
      </c>
      <c r="Y92" s="5"/>
      <c r="Z92" s="5" t="s">
        <v>46</v>
      </c>
      <c r="AA92" s="5" t="s">
        <v>327</v>
      </c>
      <c r="AB92" s="5" t="s">
        <v>238</v>
      </c>
      <c r="AC92" s="7">
        <v>1</v>
      </c>
      <c r="AD92" t="str">
        <f>VLOOKUP($T92,[1]NhanSu!$C$5:$M$229,11,0)</f>
        <v>SM0000196</v>
      </c>
    </row>
    <row r="93" spans="1:30" x14ac:dyDescent="0.45">
      <c r="A93" s="8" t="s">
        <v>10783</v>
      </c>
      <c r="B93" s="4">
        <v>303</v>
      </c>
      <c r="C93" s="4" t="s">
        <v>1237</v>
      </c>
      <c r="D93" s="4" t="s">
        <v>1238</v>
      </c>
      <c r="E93" s="4" t="s">
        <v>857</v>
      </c>
      <c r="F93" s="4" t="s">
        <v>53</v>
      </c>
      <c r="G93" s="4" t="s">
        <v>34</v>
      </c>
      <c r="H93" s="4" t="s">
        <v>620</v>
      </c>
      <c r="I93" s="4" t="s">
        <v>1239</v>
      </c>
      <c r="J93" s="4" t="s">
        <v>38</v>
      </c>
      <c r="K93" s="4" t="s">
        <v>38</v>
      </c>
      <c r="L93" s="4" t="s">
        <v>40</v>
      </c>
      <c r="M93" s="4" t="s">
        <v>38</v>
      </c>
      <c r="N93" s="4" t="s">
        <v>38</v>
      </c>
      <c r="O93" s="4" t="s">
        <v>40</v>
      </c>
      <c r="P93" s="4" t="s">
        <v>38</v>
      </c>
      <c r="Q93" s="4" t="s">
        <v>38</v>
      </c>
      <c r="R93" s="4" t="s">
        <v>40</v>
      </c>
      <c r="S93" s="4" t="s">
        <v>41</v>
      </c>
      <c r="T93" s="4" t="s">
        <v>367</v>
      </c>
      <c r="U93" s="4" t="s">
        <v>59</v>
      </c>
      <c r="V93" s="4" t="s">
        <v>44</v>
      </c>
      <c r="W93" s="4" t="s">
        <v>154</v>
      </c>
      <c r="X93" s="4" t="s">
        <v>41</v>
      </c>
      <c r="Y93" s="4"/>
      <c r="Z93" s="4" t="s">
        <v>46</v>
      </c>
      <c r="AA93" s="4" t="s">
        <v>327</v>
      </c>
      <c r="AB93" s="4" t="s">
        <v>238</v>
      </c>
      <c r="AC93" s="9">
        <v>1</v>
      </c>
      <c r="AD93" t="str">
        <f>VLOOKUP($T93,[1]NhanSu!$C$5:$M$229,11,0)</f>
        <v>SM0000196</v>
      </c>
    </row>
    <row r="94" spans="1:30" x14ac:dyDescent="0.45">
      <c r="A94" s="6" t="s">
        <v>10783</v>
      </c>
      <c r="B94" s="5">
        <v>306</v>
      </c>
      <c r="C94" s="5" t="s">
        <v>1265</v>
      </c>
      <c r="D94" s="5" t="s">
        <v>1266</v>
      </c>
      <c r="E94" s="5" t="s">
        <v>1267</v>
      </c>
      <c r="F94" s="5" t="s">
        <v>53</v>
      </c>
      <c r="G94" s="5" t="s">
        <v>34</v>
      </c>
      <c r="H94" s="5" t="s">
        <v>54</v>
      </c>
      <c r="I94" s="5" t="s">
        <v>1268</v>
      </c>
      <c r="J94" s="5" t="s">
        <v>56</v>
      </c>
      <c r="K94" s="5" t="s">
        <v>775</v>
      </c>
      <c r="L94" s="5" t="s">
        <v>39</v>
      </c>
      <c r="M94" s="5" t="s">
        <v>37</v>
      </c>
      <c r="N94" s="5" t="s">
        <v>56</v>
      </c>
      <c r="O94" s="5" t="s">
        <v>39</v>
      </c>
      <c r="P94" s="5" t="s">
        <v>38</v>
      </c>
      <c r="Q94" s="5" t="s">
        <v>38</v>
      </c>
      <c r="R94" s="5" t="s">
        <v>39</v>
      </c>
      <c r="S94" s="5" t="s">
        <v>1269</v>
      </c>
      <c r="T94" s="5" t="s">
        <v>252</v>
      </c>
      <c r="U94" s="5" t="s">
        <v>59</v>
      </c>
      <c r="V94" s="5" t="s">
        <v>44</v>
      </c>
      <c r="W94" s="5" t="s">
        <v>60</v>
      </c>
      <c r="X94" s="5" t="s">
        <v>41</v>
      </c>
      <c r="Y94" s="5"/>
      <c r="Z94" s="5" t="s">
        <v>46</v>
      </c>
      <c r="AA94" s="5" t="s">
        <v>327</v>
      </c>
      <c r="AB94" s="5" t="s">
        <v>238</v>
      </c>
      <c r="AC94" s="7">
        <v>1</v>
      </c>
      <c r="AD94" t="str">
        <f>VLOOKUP($T94,[1]NhanSu!$C$5:$M$229,11,0)</f>
        <v>SM0000166</v>
      </c>
    </row>
    <row r="95" spans="1:30" x14ac:dyDescent="0.45">
      <c r="A95" s="8" t="s">
        <v>10783</v>
      </c>
      <c r="B95" s="4">
        <v>307</v>
      </c>
      <c r="C95" s="4" t="s">
        <v>1276</v>
      </c>
      <c r="D95" s="4" t="s">
        <v>1277</v>
      </c>
      <c r="E95" s="4" t="s">
        <v>1278</v>
      </c>
      <c r="F95" s="4" t="s">
        <v>1279</v>
      </c>
      <c r="G95" s="4" t="s">
        <v>34</v>
      </c>
      <c r="H95" s="4" t="s">
        <v>1280</v>
      </c>
      <c r="I95" s="4" t="s">
        <v>1281</v>
      </c>
      <c r="J95" s="4" t="s">
        <v>38</v>
      </c>
      <c r="K95" s="4" t="s">
        <v>38</v>
      </c>
      <c r="L95" s="4" t="s">
        <v>40</v>
      </c>
      <c r="M95" s="4" t="s">
        <v>38</v>
      </c>
      <c r="N95" s="4" t="s">
        <v>38</v>
      </c>
      <c r="O95" s="4" t="s">
        <v>40</v>
      </c>
      <c r="P95" s="4" t="s">
        <v>38</v>
      </c>
      <c r="Q95" s="4" t="s">
        <v>38</v>
      </c>
      <c r="R95" s="4" t="s">
        <v>40</v>
      </c>
      <c r="S95" s="4" t="s">
        <v>1282</v>
      </c>
      <c r="T95" s="4" t="s">
        <v>58</v>
      </c>
      <c r="U95" s="4" t="s">
        <v>59</v>
      </c>
      <c r="V95" s="4" t="s">
        <v>44</v>
      </c>
      <c r="W95" s="4" t="s">
        <v>60</v>
      </c>
      <c r="X95" s="4" t="s">
        <v>41</v>
      </c>
      <c r="Y95" s="4"/>
      <c r="Z95" s="4" t="s">
        <v>46</v>
      </c>
      <c r="AA95" s="4" t="s">
        <v>327</v>
      </c>
      <c r="AB95" s="4" t="s">
        <v>238</v>
      </c>
      <c r="AC95" s="9">
        <v>1</v>
      </c>
      <c r="AD95" t="str">
        <f>VLOOKUP($T95,[1]NhanSu!$C$5:$M$229,11,0)</f>
        <v>SM0000198</v>
      </c>
    </row>
    <row r="96" spans="1:30" x14ac:dyDescent="0.45">
      <c r="A96" s="6" t="s">
        <v>10783</v>
      </c>
      <c r="B96" s="5">
        <v>308</v>
      </c>
      <c r="C96" s="5" t="s">
        <v>1285</v>
      </c>
      <c r="D96" s="5" t="s">
        <v>1286</v>
      </c>
      <c r="E96" s="5" t="s">
        <v>170</v>
      </c>
      <c r="F96" s="5" t="s">
        <v>53</v>
      </c>
      <c r="G96" s="5" t="s">
        <v>34</v>
      </c>
      <c r="H96" s="5" t="s">
        <v>54</v>
      </c>
      <c r="I96" s="5" t="s">
        <v>1287</v>
      </c>
      <c r="J96" s="5" t="s">
        <v>56</v>
      </c>
      <c r="K96" s="5" t="s">
        <v>775</v>
      </c>
      <c r="L96" s="5" t="s">
        <v>121</v>
      </c>
      <c r="M96" s="5" t="s">
        <v>38</v>
      </c>
      <c r="N96" s="5" t="s">
        <v>38</v>
      </c>
      <c r="O96" s="5" t="s">
        <v>40</v>
      </c>
      <c r="P96" s="5" t="s">
        <v>38</v>
      </c>
      <c r="Q96" s="5" t="s">
        <v>38</v>
      </c>
      <c r="R96" s="5" t="s">
        <v>40</v>
      </c>
      <c r="S96" s="5" t="s">
        <v>1288</v>
      </c>
      <c r="T96" s="5" t="s">
        <v>252</v>
      </c>
      <c r="U96" s="5" t="s">
        <v>59</v>
      </c>
      <c r="V96" s="5" t="s">
        <v>44</v>
      </c>
      <c r="W96" s="5" t="s">
        <v>60</v>
      </c>
      <c r="X96" s="5" t="s">
        <v>41</v>
      </c>
      <c r="Y96" s="5"/>
      <c r="Z96" s="5" t="s">
        <v>46</v>
      </c>
      <c r="AA96" s="5" t="s">
        <v>327</v>
      </c>
      <c r="AB96" s="5" t="s">
        <v>238</v>
      </c>
      <c r="AC96" s="7">
        <v>1</v>
      </c>
      <c r="AD96" t="str">
        <f>VLOOKUP($T96,[1]NhanSu!$C$5:$M$229,11,0)</f>
        <v>SM0000166</v>
      </c>
    </row>
    <row r="97" spans="1:30" x14ac:dyDescent="0.45">
      <c r="A97" s="8" t="s">
        <v>10783</v>
      </c>
      <c r="B97" s="4">
        <v>309</v>
      </c>
      <c r="C97" s="4" t="s">
        <v>1317</v>
      </c>
      <c r="D97" s="4" t="s">
        <v>1318</v>
      </c>
      <c r="E97" s="4" t="s">
        <v>162</v>
      </c>
      <c r="F97" s="4" t="s">
        <v>70</v>
      </c>
      <c r="G97" s="4" t="s">
        <v>34</v>
      </c>
      <c r="H97" s="4" t="s">
        <v>1320</v>
      </c>
      <c r="I97" s="4" t="s">
        <v>1321</v>
      </c>
      <c r="J97" s="4" t="s">
        <v>56</v>
      </c>
      <c r="K97" s="4" t="s">
        <v>56</v>
      </c>
      <c r="L97" s="4" t="s">
        <v>39</v>
      </c>
      <c r="M97" s="4" t="s">
        <v>37</v>
      </c>
      <c r="N97" s="4" t="s">
        <v>37</v>
      </c>
      <c r="O97" s="4" t="s">
        <v>39</v>
      </c>
      <c r="P97" s="4" t="s">
        <v>38</v>
      </c>
      <c r="Q97" s="4" t="s">
        <v>38</v>
      </c>
      <c r="R97" s="4" t="s">
        <v>39</v>
      </c>
      <c r="S97" s="4" t="s">
        <v>1322</v>
      </c>
      <c r="T97" s="4" t="s">
        <v>252</v>
      </c>
      <c r="U97" s="4" t="s">
        <v>59</v>
      </c>
      <c r="V97" s="4" t="s">
        <v>44</v>
      </c>
      <c r="W97" s="4" t="s">
        <v>60</v>
      </c>
      <c r="X97" s="4" t="s">
        <v>41</v>
      </c>
      <c r="Y97" s="4"/>
      <c r="Z97" s="4" t="s">
        <v>46</v>
      </c>
      <c r="AA97" s="4" t="s">
        <v>327</v>
      </c>
      <c r="AB97" s="4" t="s">
        <v>238</v>
      </c>
      <c r="AC97" s="9">
        <v>1</v>
      </c>
      <c r="AD97" t="str">
        <f>VLOOKUP($T97,[1]NhanSu!$C$5:$M$229,11,0)</f>
        <v>SM0000166</v>
      </c>
    </row>
    <row r="98" spans="1:30" x14ac:dyDescent="0.45">
      <c r="A98" s="6" t="s">
        <v>10783</v>
      </c>
      <c r="B98" s="5">
        <v>310</v>
      </c>
      <c r="C98" s="5" t="s">
        <v>1326</v>
      </c>
      <c r="D98" s="5" t="s">
        <v>1327</v>
      </c>
      <c r="E98" s="5" t="s">
        <v>297</v>
      </c>
      <c r="F98" s="5" t="s">
        <v>401</v>
      </c>
      <c r="G98" s="5" t="s">
        <v>34</v>
      </c>
      <c r="H98" s="5" t="s">
        <v>473</v>
      </c>
      <c r="I98" s="5" t="s">
        <v>1328</v>
      </c>
      <c r="J98" s="5" t="s">
        <v>56</v>
      </c>
      <c r="K98" s="5" t="s">
        <v>775</v>
      </c>
      <c r="L98" s="5" t="s">
        <v>39</v>
      </c>
      <c r="M98" s="5" t="s">
        <v>37</v>
      </c>
      <c r="N98" s="5" t="s">
        <v>37</v>
      </c>
      <c r="O98" s="5" t="s">
        <v>39</v>
      </c>
      <c r="P98" s="5" t="s">
        <v>38</v>
      </c>
      <c r="Q98" s="5" t="s">
        <v>38</v>
      </c>
      <c r="R98" s="5" t="s">
        <v>39</v>
      </c>
      <c r="S98" s="5" t="s">
        <v>1329</v>
      </c>
      <c r="T98" s="5" t="s">
        <v>252</v>
      </c>
      <c r="U98" s="5" t="s">
        <v>59</v>
      </c>
      <c r="V98" s="5" t="s">
        <v>44</v>
      </c>
      <c r="W98" s="5" t="s">
        <v>60</v>
      </c>
      <c r="X98" s="5" t="s">
        <v>41</v>
      </c>
      <c r="Y98" s="5"/>
      <c r="Z98" s="5" t="s">
        <v>46</v>
      </c>
      <c r="AA98" s="5" t="s">
        <v>327</v>
      </c>
      <c r="AB98" s="5" t="s">
        <v>238</v>
      </c>
      <c r="AC98" s="7">
        <v>1</v>
      </c>
      <c r="AD98" t="str">
        <f>VLOOKUP($T98,[1]NhanSu!$C$5:$M$229,11,0)</f>
        <v>SM0000166</v>
      </c>
    </row>
    <row r="99" spans="1:30" x14ac:dyDescent="0.45">
      <c r="A99" s="8" t="s">
        <v>10783</v>
      </c>
      <c r="B99" s="4">
        <v>312</v>
      </c>
      <c r="C99" s="4" t="s">
        <v>1343</v>
      </c>
      <c r="D99" s="4" t="s">
        <v>1344</v>
      </c>
      <c r="E99" s="4" t="s">
        <v>1104</v>
      </c>
      <c r="F99" s="4" t="s">
        <v>53</v>
      </c>
      <c r="G99" s="4" t="s">
        <v>34</v>
      </c>
      <c r="H99" s="4" t="s">
        <v>685</v>
      </c>
      <c r="I99" s="4" t="s">
        <v>1345</v>
      </c>
      <c r="J99" s="4" t="s">
        <v>38</v>
      </c>
      <c r="K99" s="4" t="s">
        <v>38</v>
      </c>
      <c r="L99" s="4" t="s">
        <v>39</v>
      </c>
      <c r="M99" s="4" t="s">
        <v>38</v>
      </c>
      <c r="N99" s="4" t="s">
        <v>38</v>
      </c>
      <c r="O99" s="4" t="s">
        <v>39</v>
      </c>
      <c r="P99" s="4" t="s">
        <v>38</v>
      </c>
      <c r="Q99" s="4" t="s">
        <v>38</v>
      </c>
      <c r="R99" s="4" t="s">
        <v>40</v>
      </c>
      <c r="S99" s="4" t="s">
        <v>41</v>
      </c>
      <c r="T99" s="4" t="s">
        <v>367</v>
      </c>
      <c r="U99" s="4" t="s">
        <v>59</v>
      </c>
      <c r="V99" s="4" t="s">
        <v>44</v>
      </c>
      <c r="W99" s="4" t="s">
        <v>154</v>
      </c>
      <c r="X99" s="4" t="s">
        <v>41</v>
      </c>
      <c r="Y99" s="4"/>
      <c r="Z99" s="4" t="s">
        <v>46</v>
      </c>
      <c r="AA99" s="4" t="s">
        <v>327</v>
      </c>
      <c r="AB99" s="4" t="s">
        <v>238</v>
      </c>
      <c r="AC99" s="9">
        <v>1</v>
      </c>
      <c r="AD99" t="str">
        <f>VLOOKUP($T99,[1]NhanSu!$C$5:$M$229,11,0)</f>
        <v>SM0000196</v>
      </c>
    </row>
    <row r="100" spans="1:30" x14ac:dyDescent="0.45">
      <c r="A100" s="6" t="s">
        <v>10783</v>
      </c>
      <c r="B100" s="5">
        <v>314</v>
      </c>
      <c r="C100" s="5" t="s">
        <v>1358</v>
      </c>
      <c r="D100" s="5" t="s">
        <v>1359</v>
      </c>
      <c r="E100" s="5" t="s">
        <v>32</v>
      </c>
      <c r="F100" s="5" t="s">
        <v>426</v>
      </c>
      <c r="G100" s="5" t="s">
        <v>34</v>
      </c>
      <c r="H100" s="5" t="s">
        <v>546</v>
      </c>
      <c r="I100" s="5" t="s">
        <v>1361</v>
      </c>
      <c r="J100" s="5" t="s">
        <v>56</v>
      </c>
      <c r="K100" s="5" t="s">
        <v>775</v>
      </c>
      <c r="L100" s="5" t="s">
        <v>39</v>
      </c>
      <c r="M100" s="5" t="s">
        <v>37</v>
      </c>
      <c r="N100" s="5" t="s">
        <v>37</v>
      </c>
      <c r="O100" s="5" t="s">
        <v>39</v>
      </c>
      <c r="P100" s="5" t="s">
        <v>38</v>
      </c>
      <c r="Q100" s="5" t="s">
        <v>38</v>
      </c>
      <c r="R100" s="5" t="s">
        <v>39</v>
      </c>
      <c r="S100" s="5" t="s">
        <v>1362</v>
      </c>
      <c r="T100" s="5" t="s">
        <v>252</v>
      </c>
      <c r="U100" s="5" t="s">
        <v>59</v>
      </c>
      <c r="V100" s="5" t="s">
        <v>44</v>
      </c>
      <c r="W100" s="5" t="s">
        <v>60</v>
      </c>
      <c r="X100" s="5" t="s">
        <v>41</v>
      </c>
      <c r="Y100" s="5"/>
      <c r="Z100" s="5" t="s">
        <v>46</v>
      </c>
      <c r="AA100" s="5" t="s">
        <v>327</v>
      </c>
      <c r="AB100" s="5" t="s">
        <v>238</v>
      </c>
      <c r="AC100" s="7">
        <v>1</v>
      </c>
      <c r="AD100" t="str">
        <f>VLOOKUP($T100,[1]NhanSu!$C$5:$M$229,11,0)</f>
        <v>SM0000166</v>
      </c>
    </row>
    <row r="101" spans="1:30" x14ac:dyDescent="0.45">
      <c r="A101" s="8" t="s">
        <v>10783</v>
      </c>
      <c r="B101" s="4">
        <v>315</v>
      </c>
      <c r="C101" s="4" t="s">
        <v>1376</v>
      </c>
      <c r="D101" s="4" t="s">
        <v>1377</v>
      </c>
      <c r="E101" s="4" t="s">
        <v>91</v>
      </c>
      <c r="F101" s="4" t="s">
        <v>53</v>
      </c>
      <c r="G101" s="4" t="s">
        <v>34</v>
      </c>
      <c r="H101" s="4" t="s">
        <v>54</v>
      </c>
      <c r="I101" s="4" t="s">
        <v>231</v>
      </c>
      <c r="J101" s="4" t="s">
        <v>56</v>
      </c>
      <c r="K101" s="4" t="s">
        <v>1034</v>
      </c>
      <c r="L101" s="4" t="s">
        <v>39</v>
      </c>
      <c r="M101" s="4" t="s">
        <v>38</v>
      </c>
      <c r="N101" s="4" t="s">
        <v>1034</v>
      </c>
      <c r="O101" s="4" t="s">
        <v>39</v>
      </c>
      <c r="P101" s="4" t="s">
        <v>38</v>
      </c>
      <c r="Q101" s="4" t="s">
        <v>38</v>
      </c>
      <c r="R101" s="4" t="s">
        <v>40</v>
      </c>
      <c r="S101" s="4" t="s">
        <v>1378</v>
      </c>
      <c r="T101" s="4" t="s">
        <v>153</v>
      </c>
      <c r="U101" s="4" t="s">
        <v>59</v>
      </c>
      <c r="V101" s="4" t="s">
        <v>44</v>
      </c>
      <c r="W101" s="4" t="s">
        <v>154</v>
      </c>
      <c r="X101" s="4" t="s">
        <v>41</v>
      </c>
      <c r="Y101" s="4"/>
      <c r="Z101" s="4" t="s">
        <v>46</v>
      </c>
      <c r="AA101" s="4" t="s">
        <v>327</v>
      </c>
      <c r="AB101" s="4" t="s">
        <v>238</v>
      </c>
      <c r="AC101" s="9">
        <v>1</v>
      </c>
      <c r="AD101" t="str">
        <f>VLOOKUP($T101,[1]NhanSu!$C$5:$M$229,11,0)</f>
        <v>SM0000197</v>
      </c>
    </row>
    <row r="102" spans="1:30" x14ac:dyDescent="0.45">
      <c r="A102" s="6" t="s">
        <v>10783</v>
      </c>
      <c r="B102" s="5">
        <v>318</v>
      </c>
      <c r="C102" s="5" t="s">
        <v>1406</v>
      </c>
      <c r="D102" s="5" t="s">
        <v>1407</v>
      </c>
      <c r="E102" s="5" t="s">
        <v>108</v>
      </c>
      <c r="F102" s="5" t="s">
        <v>53</v>
      </c>
      <c r="G102" s="5" t="s">
        <v>34</v>
      </c>
      <c r="H102" s="5" t="s">
        <v>35</v>
      </c>
      <c r="I102" s="5" t="s">
        <v>1408</v>
      </c>
      <c r="J102" s="5" t="s">
        <v>38</v>
      </c>
      <c r="K102" s="5" t="s">
        <v>56</v>
      </c>
      <c r="L102" s="5" t="s">
        <v>39</v>
      </c>
      <c r="M102" s="5" t="s">
        <v>38</v>
      </c>
      <c r="N102" s="5" t="s">
        <v>38</v>
      </c>
      <c r="O102" s="5" t="s">
        <v>39</v>
      </c>
      <c r="P102" s="5" t="s">
        <v>38</v>
      </c>
      <c r="Q102" s="5" t="s">
        <v>38</v>
      </c>
      <c r="R102" s="5" t="s">
        <v>40</v>
      </c>
      <c r="S102" s="5" t="s">
        <v>1409</v>
      </c>
      <c r="T102" s="5" t="s">
        <v>367</v>
      </c>
      <c r="U102" s="5" t="s">
        <v>59</v>
      </c>
      <c r="V102" s="5" t="s">
        <v>44</v>
      </c>
      <c r="W102" s="5" t="s">
        <v>154</v>
      </c>
      <c r="X102" s="5" t="s">
        <v>41</v>
      </c>
      <c r="Y102" s="5"/>
      <c r="Z102" s="5" t="s">
        <v>46</v>
      </c>
      <c r="AA102" s="5" t="s">
        <v>327</v>
      </c>
      <c r="AB102" s="5" t="s">
        <v>238</v>
      </c>
      <c r="AC102" s="7">
        <v>1</v>
      </c>
      <c r="AD102" t="str">
        <f>VLOOKUP($T102,[1]NhanSu!$C$5:$M$229,11,0)</f>
        <v>SM0000196</v>
      </c>
    </row>
    <row r="103" spans="1:30" x14ac:dyDescent="0.45">
      <c r="A103" s="8" t="s">
        <v>10783</v>
      </c>
      <c r="B103" s="4">
        <v>319</v>
      </c>
      <c r="C103" s="4" t="s">
        <v>1410</v>
      </c>
      <c r="D103" s="4" t="s">
        <v>1411</v>
      </c>
      <c r="E103" s="4" t="s">
        <v>108</v>
      </c>
      <c r="F103" s="4" t="s">
        <v>53</v>
      </c>
      <c r="G103" s="4" t="s">
        <v>34</v>
      </c>
      <c r="H103" s="4" t="s">
        <v>54</v>
      </c>
      <c r="I103" s="4" t="s">
        <v>1412</v>
      </c>
      <c r="J103" s="4" t="s">
        <v>38</v>
      </c>
      <c r="K103" s="4" t="s">
        <v>38</v>
      </c>
      <c r="L103" s="4" t="s">
        <v>40</v>
      </c>
      <c r="M103" s="4" t="s">
        <v>38</v>
      </c>
      <c r="N103" s="4" t="s">
        <v>38</v>
      </c>
      <c r="O103" s="4" t="s">
        <v>39</v>
      </c>
      <c r="P103" s="4" t="s">
        <v>38</v>
      </c>
      <c r="Q103" s="4" t="s">
        <v>38</v>
      </c>
      <c r="R103" s="4" t="s">
        <v>40</v>
      </c>
      <c r="S103" s="4" t="s">
        <v>41</v>
      </c>
      <c r="T103" s="4" t="s">
        <v>58</v>
      </c>
      <c r="U103" s="4" t="s">
        <v>59</v>
      </c>
      <c r="V103" s="4" t="s">
        <v>44</v>
      </c>
      <c r="W103" s="4" t="s">
        <v>60</v>
      </c>
      <c r="X103" s="4" t="s">
        <v>41</v>
      </c>
      <c r="Y103" s="4"/>
      <c r="Z103" s="4" t="s">
        <v>46</v>
      </c>
      <c r="AA103" s="4" t="s">
        <v>327</v>
      </c>
      <c r="AB103" s="4" t="s">
        <v>238</v>
      </c>
      <c r="AC103" s="9">
        <v>1</v>
      </c>
      <c r="AD103" t="str">
        <f>VLOOKUP($T103,[1]NhanSu!$C$5:$M$229,11,0)</f>
        <v>SM0000198</v>
      </c>
    </row>
    <row r="104" spans="1:30" x14ac:dyDescent="0.45">
      <c r="A104" s="6" t="s">
        <v>10783</v>
      </c>
      <c r="B104" s="5">
        <v>320</v>
      </c>
      <c r="C104" s="5" t="s">
        <v>1413</v>
      </c>
      <c r="D104" s="5" t="s">
        <v>1414</v>
      </c>
      <c r="E104" s="5" t="s">
        <v>69</v>
      </c>
      <c r="F104" s="5" t="s">
        <v>53</v>
      </c>
      <c r="G104" s="5" t="s">
        <v>34</v>
      </c>
      <c r="H104" s="5" t="s">
        <v>35</v>
      </c>
      <c r="I104" s="5" t="s">
        <v>1415</v>
      </c>
      <c r="J104" s="5" t="s">
        <v>38</v>
      </c>
      <c r="K104" s="5" t="s">
        <v>38</v>
      </c>
      <c r="L104" s="5" t="s">
        <v>39</v>
      </c>
      <c r="M104" s="5" t="s">
        <v>38</v>
      </c>
      <c r="N104" s="5" t="s">
        <v>38</v>
      </c>
      <c r="O104" s="5" t="s">
        <v>39</v>
      </c>
      <c r="P104" s="5" t="s">
        <v>38</v>
      </c>
      <c r="Q104" s="5" t="s">
        <v>38</v>
      </c>
      <c r="R104" s="5" t="s">
        <v>40</v>
      </c>
      <c r="S104" s="5" t="s">
        <v>1416</v>
      </c>
      <c r="T104" s="5" t="s">
        <v>367</v>
      </c>
      <c r="U104" s="5" t="s">
        <v>59</v>
      </c>
      <c r="V104" s="5" t="s">
        <v>44</v>
      </c>
      <c r="W104" s="5" t="s">
        <v>154</v>
      </c>
      <c r="X104" s="5" t="s">
        <v>41</v>
      </c>
      <c r="Y104" s="5"/>
      <c r="Z104" s="5" t="s">
        <v>46</v>
      </c>
      <c r="AA104" s="5" t="s">
        <v>327</v>
      </c>
      <c r="AB104" s="5" t="s">
        <v>238</v>
      </c>
      <c r="AC104" s="7">
        <v>1</v>
      </c>
      <c r="AD104" t="str">
        <f>VLOOKUP($T104,[1]NhanSu!$C$5:$M$229,11,0)</f>
        <v>SM0000196</v>
      </c>
    </row>
    <row r="105" spans="1:30" x14ac:dyDescent="0.45">
      <c r="A105" s="8" t="s">
        <v>10783</v>
      </c>
      <c r="B105" s="4">
        <v>321</v>
      </c>
      <c r="C105" s="4" t="s">
        <v>1474</v>
      </c>
      <c r="D105" s="4" t="s">
        <v>1475</v>
      </c>
      <c r="E105" s="4" t="s">
        <v>376</v>
      </c>
      <c r="F105" s="4" t="s">
        <v>1476</v>
      </c>
      <c r="G105" s="4" t="s">
        <v>34</v>
      </c>
      <c r="H105" s="4" t="s">
        <v>685</v>
      </c>
      <c r="I105" s="4" t="s">
        <v>1477</v>
      </c>
      <c r="J105" s="4" t="s">
        <v>56</v>
      </c>
      <c r="K105" s="4" t="s">
        <v>38</v>
      </c>
      <c r="L105" s="4" t="s">
        <v>39</v>
      </c>
      <c r="M105" s="4" t="s">
        <v>56</v>
      </c>
      <c r="N105" s="4" t="s">
        <v>56</v>
      </c>
      <c r="O105" s="4" t="s">
        <v>39</v>
      </c>
      <c r="P105" s="4" t="s">
        <v>38</v>
      </c>
      <c r="Q105" s="4" t="s">
        <v>38</v>
      </c>
      <c r="R105" s="4" t="s">
        <v>40</v>
      </c>
      <c r="S105" s="4" t="s">
        <v>1478</v>
      </c>
      <c r="T105" s="4" t="s">
        <v>58</v>
      </c>
      <c r="U105" s="4" t="s">
        <v>59</v>
      </c>
      <c r="V105" s="4" t="s">
        <v>44</v>
      </c>
      <c r="W105" s="4" t="s">
        <v>60</v>
      </c>
      <c r="X105" s="4" t="s">
        <v>41</v>
      </c>
      <c r="Y105" s="4"/>
      <c r="Z105" s="4" t="s">
        <v>46</v>
      </c>
      <c r="AA105" s="4" t="s">
        <v>327</v>
      </c>
      <c r="AB105" s="4" t="s">
        <v>238</v>
      </c>
      <c r="AC105" s="9">
        <v>1</v>
      </c>
      <c r="AD105" t="str">
        <f>VLOOKUP($T105,[1]NhanSu!$C$5:$M$229,11,0)</f>
        <v>SM0000198</v>
      </c>
    </row>
    <row r="106" spans="1:30" x14ac:dyDescent="0.45">
      <c r="A106" s="6" t="s">
        <v>10783</v>
      </c>
      <c r="B106" s="5">
        <v>322</v>
      </c>
      <c r="C106" s="5" t="s">
        <v>1506</v>
      </c>
      <c r="D106" s="5" t="s">
        <v>1507</v>
      </c>
      <c r="E106" s="5" t="s">
        <v>206</v>
      </c>
      <c r="F106" s="5" t="s">
        <v>1509</v>
      </c>
      <c r="G106" s="5" t="s">
        <v>34</v>
      </c>
      <c r="H106" s="5" t="s">
        <v>685</v>
      </c>
      <c r="I106" s="5" t="s">
        <v>1510</v>
      </c>
      <c r="J106" s="5" t="s">
        <v>38</v>
      </c>
      <c r="K106" s="5" t="s">
        <v>38</v>
      </c>
      <c r="L106" s="5" t="s">
        <v>40</v>
      </c>
      <c r="M106" s="5" t="s">
        <v>38</v>
      </c>
      <c r="N106" s="5" t="s">
        <v>38</v>
      </c>
      <c r="O106" s="5" t="s">
        <v>40</v>
      </c>
      <c r="P106" s="5" t="s">
        <v>38</v>
      </c>
      <c r="Q106" s="5" t="s">
        <v>38</v>
      </c>
      <c r="R106" s="5" t="s">
        <v>40</v>
      </c>
      <c r="S106" s="5" t="s">
        <v>41</v>
      </c>
      <c r="T106" s="5" t="s">
        <v>153</v>
      </c>
      <c r="U106" s="5" t="s">
        <v>59</v>
      </c>
      <c r="V106" s="5" t="s">
        <v>44</v>
      </c>
      <c r="W106" s="5" t="s">
        <v>154</v>
      </c>
      <c r="X106" s="5" t="s">
        <v>41</v>
      </c>
      <c r="Y106" s="5"/>
      <c r="Z106" s="5" t="s">
        <v>46</v>
      </c>
      <c r="AA106" s="5" t="s">
        <v>327</v>
      </c>
      <c r="AB106" s="5" t="s">
        <v>238</v>
      </c>
      <c r="AC106" s="7">
        <v>1</v>
      </c>
      <c r="AD106" t="str">
        <f>VLOOKUP($T106,[1]NhanSu!$C$5:$M$229,11,0)</f>
        <v>SM0000197</v>
      </c>
    </row>
    <row r="107" spans="1:30" x14ac:dyDescent="0.45">
      <c r="A107" s="8" t="s">
        <v>10783</v>
      </c>
      <c r="B107" s="4">
        <v>323</v>
      </c>
      <c r="C107" s="4" t="s">
        <v>1526</v>
      </c>
      <c r="D107" s="4" t="s">
        <v>1527</v>
      </c>
      <c r="E107" s="4" t="s">
        <v>176</v>
      </c>
      <c r="F107" s="4" t="s">
        <v>53</v>
      </c>
      <c r="G107" s="4" t="s">
        <v>34</v>
      </c>
      <c r="H107" s="4" t="s">
        <v>54</v>
      </c>
      <c r="I107" s="4" t="s">
        <v>1528</v>
      </c>
      <c r="J107" s="4" t="s">
        <v>38</v>
      </c>
      <c r="K107" s="4" t="s">
        <v>38</v>
      </c>
      <c r="L107" s="4" t="s">
        <v>40</v>
      </c>
      <c r="M107" s="4" t="s">
        <v>38</v>
      </c>
      <c r="N107" s="4" t="s">
        <v>38</v>
      </c>
      <c r="O107" s="4" t="s">
        <v>40</v>
      </c>
      <c r="P107" s="4" t="s">
        <v>38</v>
      </c>
      <c r="Q107" s="4" t="s">
        <v>38</v>
      </c>
      <c r="R107" s="4" t="s">
        <v>40</v>
      </c>
      <c r="S107" s="4" t="s">
        <v>41</v>
      </c>
      <c r="T107" s="4" t="s">
        <v>58</v>
      </c>
      <c r="U107" s="4" t="s">
        <v>59</v>
      </c>
      <c r="V107" s="4" t="s">
        <v>44</v>
      </c>
      <c r="W107" s="4" t="s">
        <v>60</v>
      </c>
      <c r="X107" s="4" t="s">
        <v>41</v>
      </c>
      <c r="Y107" s="4"/>
      <c r="Z107" s="4" t="s">
        <v>46</v>
      </c>
      <c r="AA107" s="4" t="s">
        <v>327</v>
      </c>
      <c r="AB107" s="4" t="s">
        <v>238</v>
      </c>
      <c r="AC107" s="9">
        <v>1</v>
      </c>
      <c r="AD107" t="str">
        <f>VLOOKUP($T107,[1]NhanSu!$C$5:$M$229,11,0)</f>
        <v>SM0000198</v>
      </c>
    </row>
    <row r="108" spans="1:30" x14ac:dyDescent="0.45">
      <c r="A108" s="6" t="s">
        <v>10783</v>
      </c>
      <c r="B108" s="5">
        <v>324</v>
      </c>
      <c r="C108" s="5" t="s">
        <v>1532</v>
      </c>
      <c r="D108" s="5" t="s">
        <v>1533</v>
      </c>
      <c r="E108" s="5" t="s">
        <v>113</v>
      </c>
      <c r="F108" s="5" t="s">
        <v>53</v>
      </c>
      <c r="G108" s="5" t="s">
        <v>34</v>
      </c>
      <c r="H108" s="5" t="s">
        <v>54</v>
      </c>
      <c r="I108" s="5" t="s">
        <v>1534</v>
      </c>
      <c r="J108" s="5" t="s">
        <v>56</v>
      </c>
      <c r="K108" s="5" t="s">
        <v>56</v>
      </c>
      <c r="L108" s="5" t="s">
        <v>121</v>
      </c>
      <c r="M108" s="5" t="s">
        <v>37</v>
      </c>
      <c r="N108" s="5" t="s">
        <v>37</v>
      </c>
      <c r="O108" s="5" t="s">
        <v>39</v>
      </c>
      <c r="P108" s="5" t="s">
        <v>38</v>
      </c>
      <c r="Q108" s="5" t="s">
        <v>37</v>
      </c>
      <c r="R108" s="5" t="s">
        <v>39</v>
      </c>
      <c r="S108" s="5" t="s">
        <v>1535</v>
      </c>
      <c r="T108" s="5" t="s">
        <v>252</v>
      </c>
      <c r="U108" s="5" t="s">
        <v>59</v>
      </c>
      <c r="V108" s="5" t="s">
        <v>44</v>
      </c>
      <c r="W108" s="5" t="s">
        <v>60</v>
      </c>
      <c r="X108" s="5" t="s">
        <v>41</v>
      </c>
      <c r="Y108" s="5"/>
      <c r="Z108" s="5" t="s">
        <v>46</v>
      </c>
      <c r="AA108" s="5" t="s">
        <v>327</v>
      </c>
      <c r="AB108" s="5" t="s">
        <v>238</v>
      </c>
      <c r="AC108" s="7">
        <v>1</v>
      </c>
      <c r="AD108" t="str">
        <f>VLOOKUP($T108,[1]NhanSu!$C$5:$M$229,11,0)</f>
        <v>SM0000166</v>
      </c>
    </row>
    <row r="109" spans="1:30" x14ac:dyDescent="0.45">
      <c r="A109" s="8" t="s">
        <v>10783</v>
      </c>
      <c r="B109" s="4">
        <v>325</v>
      </c>
      <c r="C109" s="4" t="s">
        <v>1544</v>
      </c>
      <c r="D109" s="4" t="s">
        <v>1545</v>
      </c>
      <c r="E109" s="4" t="s">
        <v>206</v>
      </c>
      <c r="F109" s="4" t="s">
        <v>1546</v>
      </c>
      <c r="G109" s="4" t="s">
        <v>34</v>
      </c>
      <c r="H109" s="4" t="s">
        <v>319</v>
      </c>
      <c r="I109" s="4" t="s">
        <v>1547</v>
      </c>
      <c r="J109" s="4" t="s">
        <v>38</v>
      </c>
      <c r="K109" s="4" t="s">
        <v>38</v>
      </c>
      <c r="L109" s="4" t="s">
        <v>40</v>
      </c>
      <c r="M109" s="4" t="s">
        <v>38</v>
      </c>
      <c r="N109" s="4" t="s">
        <v>38</v>
      </c>
      <c r="O109" s="4" t="s">
        <v>40</v>
      </c>
      <c r="P109" s="4" t="s">
        <v>38</v>
      </c>
      <c r="Q109" s="4" t="s">
        <v>38</v>
      </c>
      <c r="R109" s="4" t="s">
        <v>40</v>
      </c>
      <c r="S109" s="4" t="s">
        <v>41</v>
      </c>
      <c r="T109" s="4" t="s">
        <v>153</v>
      </c>
      <c r="U109" s="4" t="s">
        <v>59</v>
      </c>
      <c r="V109" s="4" t="s">
        <v>44</v>
      </c>
      <c r="W109" s="4" t="s">
        <v>154</v>
      </c>
      <c r="X109" s="4" t="s">
        <v>41</v>
      </c>
      <c r="Y109" s="4"/>
      <c r="Z109" s="4" t="s">
        <v>46</v>
      </c>
      <c r="AA109" s="4" t="s">
        <v>327</v>
      </c>
      <c r="AB109" s="4" t="s">
        <v>238</v>
      </c>
      <c r="AC109" s="9">
        <v>1</v>
      </c>
      <c r="AD109" t="str">
        <f>VLOOKUP($T109,[1]NhanSu!$C$5:$M$229,11,0)</f>
        <v>SM0000197</v>
      </c>
    </row>
    <row r="110" spans="1:30" x14ac:dyDescent="0.45">
      <c r="A110" s="6" t="s">
        <v>10783</v>
      </c>
      <c r="B110" s="5">
        <v>326</v>
      </c>
      <c r="C110" s="5" t="s">
        <v>1567</v>
      </c>
      <c r="D110" s="5" t="s">
        <v>1568</v>
      </c>
      <c r="E110" s="5" t="s">
        <v>882</v>
      </c>
      <c r="F110" s="5" t="s">
        <v>53</v>
      </c>
      <c r="G110" s="5" t="s">
        <v>34</v>
      </c>
      <c r="H110" s="5" t="s">
        <v>54</v>
      </c>
      <c r="I110" s="5" t="s">
        <v>1569</v>
      </c>
      <c r="J110" s="5" t="s">
        <v>56</v>
      </c>
      <c r="K110" s="5" t="s">
        <v>38</v>
      </c>
      <c r="L110" s="5" t="s">
        <v>40</v>
      </c>
      <c r="M110" s="5" t="s">
        <v>56</v>
      </c>
      <c r="N110" s="5" t="s">
        <v>38</v>
      </c>
      <c r="O110" s="5" t="s">
        <v>39</v>
      </c>
      <c r="P110" s="5" t="s">
        <v>38</v>
      </c>
      <c r="Q110" s="5" t="s">
        <v>38</v>
      </c>
      <c r="R110" s="5" t="s">
        <v>40</v>
      </c>
      <c r="S110" s="5" t="s">
        <v>1570</v>
      </c>
      <c r="T110" s="5" t="s">
        <v>58</v>
      </c>
      <c r="U110" s="5" t="s">
        <v>59</v>
      </c>
      <c r="V110" s="5" t="s">
        <v>44</v>
      </c>
      <c r="W110" s="5" t="s">
        <v>60</v>
      </c>
      <c r="X110" s="5" t="s">
        <v>41</v>
      </c>
      <c r="Y110" s="5"/>
      <c r="Z110" s="5" t="s">
        <v>46</v>
      </c>
      <c r="AA110" s="5" t="s">
        <v>327</v>
      </c>
      <c r="AB110" s="5" t="s">
        <v>238</v>
      </c>
      <c r="AC110" s="7">
        <v>1</v>
      </c>
      <c r="AD110" t="str">
        <f>VLOOKUP($T110,[1]NhanSu!$C$5:$M$229,11,0)</f>
        <v>SM0000198</v>
      </c>
    </row>
    <row r="111" spans="1:30" x14ac:dyDescent="0.45">
      <c r="A111" s="8" t="s">
        <v>10783</v>
      </c>
      <c r="B111" s="4">
        <v>346</v>
      </c>
      <c r="C111" s="4" t="s">
        <v>2851</v>
      </c>
      <c r="D111" s="4" t="s">
        <v>2852</v>
      </c>
      <c r="E111" s="4" t="s">
        <v>212</v>
      </c>
      <c r="F111" s="4" t="s">
        <v>53</v>
      </c>
      <c r="G111" s="4" t="s">
        <v>34</v>
      </c>
      <c r="H111" s="4" t="s">
        <v>54</v>
      </c>
      <c r="I111" s="4" t="s">
        <v>2853</v>
      </c>
      <c r="J111" s="4" t="s">
        <v>38</v>
      </c>
      <c r="K111" s="4" t="s">
        <v>38</v>
      </c>
      <c r="L111" s="4" t="s">
        <v>40</v>
      </c>
      <c r="M111" s="4" t="s">
        <v>38</v>
      </c>
      <c r="N111" s="4" t="s">
        <v>38</v>
      </c>
      <c r="O111" s="4" t="s">
        <v>40</v>
      </c>
      <c r="P111" s="4" t="s">
        <v>37</v>
      </c>
      <c r="Q111" s="4" t="s">
        <v>37</v>
      </c>
      <c r="R111" s="4" t="s">
        <v>39</v>
      </c>
      <c r="S111" s="4" t="s">
        <v>41</v>
      </c>
      <c r="T111" s="4" t="s">
        <v>2356</v>
      </c>
      <c r="U111" s="4" t="s">
        <v>2357</v>
      </c>
      <c r="V111" s="4" t="s">
        <v>2052</v>
      </c>
      <c r="W111" s="4" t="s">
        <v>234</v>
      </c>
      <c r="X111" s="4"/>
      <c r="Y111" s="4"/>
      <c r="Z111" s="4" t="s">
        <v>46</v>
      </c>
      <c r="AA111" s="4" t="s">
        <v>570</v>
      </c>
      <c r="AB111" s="4" t="s">
        <v>238</v>
      </c>
      <c r="AC111" s="9">
        <v>1</v>
      </c>
      <c r="AD111" t="str">
        <f>VLOOKUP($T111,[1]NhanSu!$C$5:$M$229,11,0)</f>
        <v>SM0000071</v>
      </c>
    </row>
    <row r="112" spans="1:30" x14ac:dyDescent="0.45">
      <c r="A112" s="6" t="s">
        <v>10783</v>
      </c>
      <c r="B112" s="5">
        <v>347</v>
      </c>
      <c r="C112" s="5" t="s">
        <v>2872</v>
      </c>
      <c r="D112" s="5" t="s">
        <v>2873</v>
      </c>
      <c r="E112" s="5" t="s">
        <v>2016</v>
      </c>
      <c r="F112" s="5" t="s">
        <v>53</v>
      </c>
      <c r="G112" s="5" t="s">
        <v>34</v>
      </c>
      <c r="H112" s="5" t="s">
        <v>565</v>
      </c>
      <c r="I112" s="5" t="s">
        <v>2874</v>
      </c>
      <c r="J112" s="5" t="s">
        <v>37</v>
      </c>
      <c r="K112" s="5" t="s">
        <v>37</v>
      </c>
      <c r="L112" s="5" t="s">
        <v>39</v>
      </c>
      <c r="M112" s="5" t="s">
        <v>775</v>
      </c>
      <c r="N112" s="5" t="s">
        <v>37</v>
      </c>
      <c r="O112" s="5" t="s">
        <v>39</v>
      </c>
      <c r="P112" s="5" t="s">
        <v>37</v>
      </c>
      <c r="Q112" s="5" t="s">
        <v>38</v>
      </c>
      <c r="R112" s="5" t="s">
        <v>40</v>
      </c>
      <c r="S112" s="5" t="s">
        <v>41</v>
      </c>
      <c r="T112" s="5" t="s">
        <v>2356</v>
      </c>
      <c r="U112" s="5" t="s">
        <v>2357</v>
      </c>
      <c r="V112" s="5" t="s">
        <v>2052</v>
      </c>
      <c r="W112" s="5" t="s">
        <v>234</v>
      </c>
      <c r="X112" s="5"/>
      <c r="Y112" s="5"/>
      <c r="Z112" s="5" t="s">
        <v>46</v>
      </c>
      <c r="AA112" s="5" t="s">
        <v>570</v>
      </c>
      <c r="AB112" s="5" t="s">
        <v>238</v>
      </c>
      <c r="AC112" s="7">
        <v>1</v>
      </c>
      <c r="AD112" t="str">
        <f>VLOOKUP($T112,[1]NhanSu!$C$5:$M$229,11,0)</f>
        <v>SM0000071</v>
      </c>
    </row>
    <row r="113" spans="1:30" x14ac:dyDescent="0.45">
      <c r="A113" s="8" t="s">
        <v>10783</v>
      </c>
      <c r="B113" s="4">
        <v>456</v>
      </c>
      <c r="C113" s="4" t="s">
        <v>2926</v>
      </c>
      <c r="D113" s="4" t="s">
        <v>2927</v>
      </c>
      <c r="E113" s="4" t="s">
        <v>2928</v>
      </c>
      <c r="F113" s="4" t="s">
        <v>1623</v>
      </c>
      <c r="G113" s="4" t="s">
        <v>34</v>
      </c>
      <c r="H113" s="4" t="s">
        <v>54</v>
      </c>
      <c r="I113" s="4" t="s">
        <v>2929</v>
      </c>
      <c r="J113" s="4" t="s">
        <v>37</v>
      </c>
      <c r="K113" s="4" t="s">
        <v>56</v>
      </c>
      <c r="L113" s="4" t="s">
        <v>39</v>
      </c>
      <c r="M113" s="4" t="s">
        <v>56</v>
      </c>
      <c r="N113" s="4" t="s">
        <v>56</v>
      </c>
      <c r="O113" s="4" t="s">
        <v>39</v>
      </c>
      <c r="P113" s="4" t="s">
        <v>38</v>
      </c>
      <c r="Q113" s="4" t="s">
        <v>37</v>
      </c>
      <c r="R113" s="4" t="s">
        <v>39</v>
      </c>
      <c r="S113" s="4" t="s">
        <v>627</v>
      </c>
      <c r="T113" s="4" t="s">
        <v>2375</v>
      </c>
      <c r="U113" s="4" t="s">
        <v>2376</v>
      </c>
      <c r="V113" s="4" t="s">
        <v>2052</v>
      </c>
      <c r="W113" s="4" t="s">
        <v>154</v>
      </c>
      <c r="X113" s="4"/>
      <c r="Y113" s="4"/>
      <c r="Z113" s="4" t="s">
        <v>46</v>
      </c>
      <c r="AA113" s="4" t="s">
        <v>2930</v>
      </c>
      <c r="AB113" s="4" t="s">
        <v>238</v>
      </c>
      <c r="AC113" s="9">
        <v>1</v>
      </c>
      <c r="AD113" t="str">
        <f>VLOOKUP($T113,[1]NhanSu!$C$5:$M$229,11,0)</f>
        <v>SM0000068</v>
      </c>
    </row>
    <row r="114" spans="1:30" x14ac:dyDescent="0.45">
      <c r="A114" s="6" t="s">
        <v>10783</v>
      </c>
      <c r="B114" s="5">
        <v>457</v>
      </c>
      <c r="C114" s="5" t="s">
        <v>2954</v>
      </c>
      <c r="D114" s="5" t="s">
        <v>2955</v>
      </c>
      <c r="E114" s="5" t="s">
        <v>2956</v>
      </c>
      <c r="F114" s="5" t="s">
        <v>2957</v>
      </c>
      <c r="G114" s="5" t="s">
        <v>34</v>
      </c>
      <c r="H114" s="5" t="s">
        <v>565</v>
      </c>
      <c r="I114" s="5" t="s">
        <v>2958</v>
      </c>
      <c r="J114" s="5" t="s">
        <v>56</v>
      </c>
      <c r="K114" s="5" t="s">
        <v>56</v>
      </c>
      <c r="L114" s="5" t="s">
        <v>39</v>
      </c>
      <c r="M114" s="5" t="s">
        <v>56</v>
      </c>
      <c r="N114" s="5" t="s">
        <v>56</v>
      </c>
      <c r="O114" s="5" t="s">
        <v>39</v>
      </c>
      <c r="P114" s="5" t="s">
        <v>38</v>
      </c>
      <c r="Q114" s="5" t="s">
        <v>38</v>
      </c>
      <c r="R114" s="5" t="s">
        <v>40</v>
      </c>
      <c r="S114" s="5" t="s">
        <v>627</v>
      </c>
      <c r="T114" s="5" t="s">
        <v>2375</v>
      </c>
      <c r="U114" s="5" t="s">
        <v>2376</v>
      </c>
      <c r="V114" s="5" t="s">
        <v>2052</v>
      </c>
      <c r="W114" s="5" t="s">
        <v>154</v>
      </c>
      <c r="X114" s="5"/>
      <c r="Y114" s="5"/>
      <c r="Z114" s="5" t="s">
        <v>46</v>
      </c>
      <c r="AA114" s="5" t="s">
        <v>2930</v>
      </c>
      <c r="AB114" s="5" t="s">
        <v>238</v>
      </c>
      <c r="AC114" s="7">
        <v>1</v>
      </c>
      <c r="AD114" t="str">
        <f>VLOOKUP($T114,[1]NhanSu!$C$5:$M$229,11,0)</f>
        <v>SM0000068</v>
      </c>
    </row>
    <row r="115" spans="1:30" x14ac:dyDescent="0.45">
      <c r="A115" s="8" t="s">
        <v>10783</v>
      </c>
      <c r="B115" s="4">
        <v>462</v>
      </c>
      <c r="C115" s="4" t="s">
        <v>677</v>
      </c>
      <c r="D115" s="4" t="s">
        <v>678</v>
      </c>
      <c r="E115" s="4" t="s">
        <v>587</v>
      </c>
      <c r="F115" s="4" t="s">
        <v>53</v>
      </c>
      <c r="G115" s="4" t="s">
        <v>34</v>
      </c>
      <c r="H115" s="4" t="s">
        <v>54</v>
      </c>
      <c r="I115" s="4" t="s">
        <v>679</v>
      </c>
      <c r="J115" s="4" t="s">
        <v>38</v>
      </c>
      <c r="K115" s="4" t="s">
        <v>38</v>
      </c>
      <c r="L115" s="4" t="s">
        <v>40</v>
      </c>
      <c r="M115" s="4" t="s">
        <v>37</v>
      </c>
      <c r="N115" s="4" t="s">
        <v>37</v>
      </c>
      <c r="O115" s="4" t="s">
        <v>40</v>
      </c>
      <c r="P115" s="4" t="s">
        <v>38</v>
      </c>
      <c r="Q115" s="4" t="s">
        <v>38</v>
      </c>
      <c r="R115" s="4" t="s">
        <v>40</v>
      </c>
      <c r="S115" s="4" t="s">
        <v>41</v>
      </c>
      <c r="T115" s="4" t="s">
        <v>450</v>
      </c>
      <c r="U115" s="4" t="s">
        <v>451</v>
      </c>
      <c r="V115" s="4" t="s">
        <v>44</v>
      </c>
      <c r="W115" s="4" t="s">
        <v>452</v>
      </c>
      <c r="X115" s="4"/>
      <c r="Y115" s="4"/>
      <c r="Z115" s="4" t="s">
        <v>46</v>
      </c>
      <c r="AA115" s="4" t="s">
        <v>570</v>
      </c>
      <c r="AB115" s="4" t="s">
        <v>238</v>
      </c>
      <c r="AC115" s="9">
        <v>1</v>
      </c>
      <c r="AD115" t="str">
        <f>VLOOKUP($T115,[1]NhanSu!$C$5:$M$229,11,0)</f>
        <v>SM0000218</v>
      </c>
    </row>
    <row r="116" spans="1:30" x14ac:dyDescent="0.45">
      <c r="A116" s="6" t="s">
        <v>10783</v>
      </c>
      <c r="B116" s="5">
        <v>465</v>
      </c>
      <c r="C116" s="5" t="s">
        <v>945</v>
      </c>
      <c r="D116" s="5" t="s">
        <v>946</v>
      </c>
      <c r="E116" s="5" t="s">
        <v>587</v>
      </c>
      <c r="F116" s="5" t="s">
        <v>53</v>
      </c>
      <c r="G116" s="5" t="s">
        <v>34</v>
      </c>
      <c r="H116" s="5" t="s">
        <v>54</v>
      </c>
      <c r="I116" s="5" t="s">
        <v>947</v>
      </c>
      <c r="J116" s="5" t="s">
        <v>38</v>
      </c>
      <c r="K116" s="5" t="s">
        <v>38</v>
      </c>
      <c r="L116" s="5" t="s">
        <v>40</v>
      </c>
      <c r="M116" s="5" t="s">
        <v>37</v>
      </c>
      <c r="N116" s="5" t="s">
        <v>37</v>
      </c>
      <c r="O116" s="5" t="s">
        <v>40</v>
      </c>
      <c r="P116" s="5" t="s">
        <v>38</v>
      </c>
      <c r="Q116" s="5" t="s">
        <v>38</v>
      </c>
      <c r="R116" s="5" t="s">
        <v>40</v>
      </c>
      <c r="S116" s="5" t="s">
        <v>41</v>
      </c>
      <c r="T116" s="5" t="s">
        <v>450</v>
      </c>
      <c r="U116" s="5" t="s">
        <v>451</v>
      </c>
      <c r="V116" s="5" t="s">
        <v>44</v>
      </c>
      <c r="W116" s="5" t="s">
        <v>452</v>
      </c>
      <c r="X116" s="5"/>
      <c r="Y116" s="5"/>
      <c r="Z116" s="5" t="s">
        <v>46</v>
      </c>
      <c r="AA116" s="5" t="s">
        <v>570</v>
      </c>
      <c r="AB116" s="5" t="s">
        <v>238</v>
      </c>
      <c r="AC116" s="7">
        <v>1</v>
      </c>
      <c r="AD116" t="str">
        <f>VLOOKUP($T116,[1]NhanSu!$C$5:$M$229,11,0)</f>
        <v>SM0000218</v>
      </c>
    </row>
    <row r="117" spans="1:30" x14ac:dyDescent="0.45">
      <c r="A117" s="8" t="s">
        <v>10783</v>
      </c>
      <c r="B117" s="4">
        <v>466</v>
      </c>
      <c r="C117" s="4" t="s">
        <v>992</v>
      </c>
      <c r="D117" s="4" t="s">
        <v>993</v>
      </c>
      <c r="E117" s="4" t="s">
        <v>69</v>
      </c>
      <c r="F117" s="4" t="s">
        <v>53</v>
      </c>
      <c r="G117" s="4" t="s">
        <v>34</v>
      </c>
      <c r="H117" s="4" t="s">
        <v>54</v>
      </c>
      <c r="I117" s="4" t="s">
        <v>994</v>
      </c>
      <c r="J117" s="4" t="s">
        <v>38</v>
      </c>
      <c r="K117" s="4" t="s">
        <v>38</v>
      </c>
      <c r="L117" s="4" t="s">
        <v>40</v>
      </c>
      <c r="M117" s="4" t="s">
        <v>37</v>
      </c>
      <c r="N117" s="4" t="s">
        <v>37</v>
      </c>
      <c r="O117" s="4" t="s">
        <v>40</v>
      </c>
      <c r="P117" s="4" t="s">
        <v>38</v>
      </c>
      <c r="Q117" s="4" t="s">
        <v>38</v>
      </c>
      <c r="R117" s="4" t="s">
        <v>40</v>
      </c>
      <c r="S117" s="4" t="s">
        <v>41</v>
      </c>
      <c r="T117" s="4" t="s">
        <v>450</v>
      </c>
      <c r="U117" s="4" t="s">
        <v>451</v>
      </c>
      <c r="V117" s="4" t="s">
        <v>44</v>
      </c>
      <c r="W117" s="4" t="s">
        <v>452</v>
      </c>
      <c r="X117" s="4"/>
      <c r="Y117" s="4"/>
      <c r="Z117" s="4" t="s">
        <v>46</v>
      </c>
      <c r="AA117" s="4" t="s">
        <v>570</v>
      </c>
      <c r="AB117" s="4" t="s">
        <v>238</v>
      </c>
      <c r="AC117" s="9">
        <v>1</v>
      </c>
      <c r="AD117" t="str">
        <f>VLOOKUP($T117,[1]NhanSu!$C$5:$M$229,11,0)</f>
        <v>SM0000218</v>
      </c>
    </row>
    <row r="118" spans="1:30" x14ac:dyDescent="0.45">
      <c r="A118" s="6" t="s">
        <v>10783</v>
      </c>
      <c r="B118" s="5">
        <v>468</v>
      </c>
      <c r="C118" s="5" t="s">
        <v>1093</v>
      </c>
      <c r="D118" s="5" t="s">
        <v>1094</v>
      </c>
      <c r="E118" s="5" t="s">
        <v>109</v>
      </c>
      <c r="F118" s="5" t="s">
        <v>53</v>
      </c>
      <c r="G118" s="5" t="s">
        <v>34</v>
      </c>
      <c r="H118" s="5" t="s">
        <v>54</v>
      </c>
      <c r="I118" s="5" t="s">
        <v>1095</v>
      </c>
      <c r="J118" s="5" t="s">
        <v>38</v>
      </c>
      <c r="K118" s="5" t="s">
        <v>38</v>
      </c>
      <c r="L118" s="5" t="s">
        <v>40</v>
      </c>
      <c r="M118" s="5" t="s">
        <v>37</v>
      </c>
      <c r="N118" s="5" t="s">
        <v>37</v>
      </c>
      <c r="O118" s="5" t="s">
        <v>40</v>
      </c>
      <c r="P118" s="5" t="s">
        <v>38</v>
      </c>
      <c r="Q118" s="5" t="s">
        <v>38</v>
      </c>
      <c r="R118" s="5" t="s">
        <v>40</v>
      </c>
      <c r="S118" s="5" t="s">
        <v>41</v>
      </c>
      <c r="T118" s="5" t="s">
        <v>450</v>
      </c>
      <c r="U118" s="5" t="s">
        <v>451</v>
      </c>
      <c r="V118" s="5" t="s">
        <v>44</v>
      </c>
      <c r="W118" s="5" t="s">
        <v>452</v>
      </c>
      <c r="X118" s="5"/>
      <c r="Y118" s="5"/>
      <c r="Z118" s="5" t="s">
        <v>46</v>
      </c>
      <c r="AA118" s="5" t="s">
        <v>570</v>
      </c>
      <c r="AB118" s="5" t="s">
        <v>238</v>
      </c>
      <c r="AC118" s="7">
        <v>1</v>
      </c>
      <c r="AD118" t="str">
        <f>VLOOKUP($T118,[1]NhanSu!$C$5:$M$229,11,0)</f>
        <v>SM0000218</v>
      </c>
    </row>
    <row r="119" spans="1:30" x14ac:dyDescent="0.45">
      <c r="A119" s="8" t="s">
        <v>10783</v>
      </c>
      <c r="B119" s="4">
        <v>470</v>
      </c>
      <c r="C119" s="4" t="s">
        <v>1227</v>
      </c>
      <c r="D119" s="4" t="s">
        <v>1228</v>
      </c>
      <c r="E119" s="4" t="s">
        <v>1229</v>
      </c>
      <c r="F119" s="4" t="s">
        <v>53</v>
      </c>
      <c r="G119" s="4" t="s">
        <v>34</v>
      </c>
      <c r="H119" s="4" t="s">
        <v>54</v>
      </c>
      <c r="I119" s="4" t="s">
        <v>1230</v>
      </c>
      <c r="J119" s="4" t="s">
        <v>38</v>
      </c>
      <c r="K119" s="4" t="s">
        <v>38</v>
      </c>
      <c r="L119" s="4" t="s">
        <v>40</v>
      </c>
      <c r="M119" s="4" t="s">
        <v>37</v>
      </c>
      <c r="N119" s="4" t="s">
        <v>37</v>
      </c>
      <c r="O119" s="4" t="s">
        <v>40</v>
      </c>
      <c r="P119" s="4" t="s">
        <v>38</v>
      </c>
      <c r="Q119" s="4" t="s">
        <v>38</v>
      </c>
      <c r="R119" s="4" t="s">
        <v>40</v>
      </c>
      <c r="S119" s="4" t="s">
        <v>41</v>
      </c>
      <c r="T119" s="4" t="s">
        <v>450</v>
      </c>
      <c r="U119" s="4" t="s">
        <v>451</v>
      </c>
      <c r="V119" s="4" t="s">
        <v>44</v>
      </c>
      <c r="W119" s="4" t="s">
        <v>452</v>
      </c>
      <c r="X119" s="4"/>
      <c r="Y119" s="4"/>
      <c r="Z119" s="4" t="s">
        <v>46</v>
      </c>
      <c r="AA119" s="4" t="s">
        <v>570</v>
      </c>
      <c r="AB119" s="4" t="s">
        <v>238</v>
      </c>
      <c r="AC119" s="9">
        <v>1</v>
      </c>
      <c r="AD119" t="str">
        <f>VLOOKUP($T119,[1]NhanSu!$C$5:$M$229,11,0)</f>
        <v>SM0000218</v>
      </c>
    </row>
    <row r="120" spans="1:30" x14ac:dyDescent="0.45">
      <c r="A120" s="6" t="s">
        <v>10783</v>
      </c>
      <c r="B120" s="5">
        <v>471</v>
      </c>
      <c r="C120" s="5" t="s">
        <v>1231</v>
      </c>
      <c r="D120" s="5" t="s">
        <v>1232</v>
      </c>
      <c r="E120" s="5" t="s">
        <v>712</v>
      </c>
      <c r="F120" s="5" t="s">
        <v>53</v>
      </c>
      <c r="G120" s="5" t="s">
        <v>34</v>
      </c>
      <c r="H120" s="5" t="s">
        <v>54</v>
      </c>
      <c r="I120" s="5" t="s">
        <v>1233</v>
      </c>
      <c r="J120" s="5" t="s">
        <v>38</v>
      </c>
      <c r="K120" s="5" t="s">
        <v>38</v>
      </c>
      <c r="L120" s="5" t="s">
        <v>40</v>
      </c>
      <c r="M120" s="5" t="s">
        <v>37</v>
      </c>
      <c r="N120" s="5" t="s">
        <v>37</v>
      </c>
      <c r="O120" s="5" t="s">
        <v>40</v>
      </c>
      <c r="P120" s="5" t="s">
        <v>38</v>
      </c>
      <c r="Q120" s="5" t="s">
        <v>38</v>
      </c>
      <c r="R120" s="5" t="s">
        <v>40</v>
      </c>
      <c r="S120" s="5" t="s">
        <v>41</v>
      </c>
      <c r="T120" s="5" t="s">
        <v>450</v>
      </c>
      <c r="U120" s="5" t="s">
        <v>451</v>
      </c>
      <c r="V120" s="5" t="s">
        <v>44</v>
      </c>
      <c r="W120" s="5" t="s">
        <v>452</v>
      </c>
      <c r="X120" s="5"/>
      <c r="Y120" s="5"/>
      <c r="Z120" s="5" t="s">
        <v>46</v>
      </c>
      <c r="AA120" s="5" t="s">
        <v>570</v>
      </c>
      <c r="AB120" s="5" t="s">
        <v>238</v>
      </c>
      <c r="AC120" s="7">
        <v>1</v>
      </c>
      <c r="AD120" t="str">
        <f>VLOOKUP($T120,[1]NhanSu!$C$5:$M$229,11,0)</f>
        <v>SM0000218</v>
      </c>
    </row>
    <row r="121" spans="1:30" x14ac:dyDescent="0.45">
      <c r="A121" s="8" t="s">
        <v>10783</v>
      </c>
      <c r="B121" s="4">
        <v>473</v>
      </c>
      <c r="C121" s="4" t="s">
        <v>1240</v>
      </c>
      <c r="D121" s="4" t="s">
        <v>1241</v>
      </c>
      <c r="E121" s="4" t="s">
        <v>587</v>
      </c>
      <c r="F121" s="4" t="s">
        <v>53</v>
      </c>
      <c r="G121" s="4" t="s">
        <v>34</v>
      </c>
      <c r="H121" s="4" t="s">
        <v>54</v>
      </c>
      <c r="I121" s="4" t="s">
        <v>1242</v>
      </c>
      <c r="J121" s="4" t="s">
        <v>38</v>
      </c>
      <c r="K121" s="4" t="s">
        <v>38</v>
      </c>
      <c r="L121" s="4" t="s">
        <v>40</v>
      </c>
      <c r="M121" s="4" t="s">
        <v>37</v>
      </c>
      <c r="N121" s="4" t="s">
        <v>37</v>
      </c>
      <c r="O121" s="4" t="s">
        <v>39</v>
      </c>
      <c r="P121" s="4" t="s">
        <v>38</v>
      </c>
      <c r="Q121" s="4" t="s">
        <v>38</v>
      </c>
      <c r="R121" s="4" t="s">
        <v>40</v>
      </c>
      <c r="S121" s="4" t="s">
        <v>41</v>
      </c>
      <c r="T121" s="4" t="s">
        <v>450</v>
      </c>
      <c r="U121" s="4" t="s">
        <v>451</v>
      </c>
      <c r="V121" s="4" t="s">
        <v>44</v>
      </c>
      <c r="W121" s="4" t="s">
        <v>452</v>
      </c>
      <c r="X121" s="4"/>
      <c r="Y121" s="4"/>
      <c r="Z121" s="4" t="s">
        <v>46</v>
      </c>
      <c r="AA121" s="4" t="s">
        <v>570</v>
      </c>
      <c r="AB121" s="4" t="s">
        <v>238</v>
      </c>
      <c r="AC121" s="9">
        <v>1</v>
      </c>
      <c r="AD121" t="str">
        <f>VLOOKUP($T121,[1]NhanSu!$C$5:$M$229,11,0)</f>
        <v>SM0000218</v>
      </c>
    </row>
    <row r="122" spans="1:30" x14ac:dyDescent="0.45">
      <c r="A122" s="6" t="s">
        <v>10783</v>
      </c>
      <c r="B122" s="5">
        <v>474</v>
      </c>
      <c r="C122" s="5" t="s">
        <v>1245</v>
      </c>
      <c r="D122" s="5" t="s">
        <v>1246</v>
      </c>
      <c r="E122" s="5" t="s">
        <v>1247</v>
      </c>
      <c r="F122" s="5" t="s">
        <v>53</v>
      </c>
      <c r="G122" s="5" t="s">
        <v>34</v>
      </c>
      <c r="H122" s="5" t="s">
        <v>54</v>
      </c>
      <c r="I122" s="5" t="s">
        <v>1248</v>
      </c>
      <c r="J122" s="5" t="s">
        <v>38</v>
      </c>
      <c r="K122" s="5" t="s">
        <v>38</v>
      </c>
      <c r="L122" s="5" t="s">
        <v>40</v>
      </c>
      <c r="M122" s="5" t="s">
        <v>37</v>
      </c>
      <c r="N122" s="5" t="s">
        <v>37</v>
      </c>
      <c r="O122" s="5" t="s">
        <v>40</v>
      </c>
      <c r="P122" s="5" t="s">
        <v>38</v>
      </c>
      <c r="Q122" s="5" t="s">
        <v>38</v>
      </c>
      <c r="R122" s="5" t="s">
        <v>40</v>
      </c>
      <c r="S122" s="5" t="s">
        <v>41</v>
      </c>
      <c r="T122" s="5" t="s">
        <v>450</v>
      </c>
      <c r="U122" s="5" t="s">
        <v>451</v>
      </c>
      <c r="V122" s="5" t="s">
        <v>44</v>
      </c>
      <c r="W122" s="5" t="s">
        <v>452</v>
      </c>
      <c r="X122" s="5"/>
      <c r="Y122" s="5"/>
      <c r="Z122" s="5" t="s">
        <v>46</v>
      </c>
      <c r="AA122" s="5" t="s">
        <v>570</v>
      </c>
      <c r="AB122" s="5" t="s">
        <v>238</v>
      </c>
      <c r="AC122" s="7">
        <v>1</v>
      </c>
      <c r="AD122" t="str">
        <f>VLOOKUP($T122,[1]NhanSu!$C$5:$M$229,11,0)</f>
        <v>SM0000218</v>
      </c>
    </row>
    <row r="123" spans="1:30" x14ac:dyDescent="0.45">
      <c r="A123" s="8" t="s">
        <v>10783</v>
      </c>
      <c r="B123" s="4">
        <v>482</v>
      </c>
      <c r="C123" s="4" t="s">
        <v>1308</v>
      </c>
      <c r="D123" s="4" t="s">
        <v>1309</v>
      </c>
      <c r="E123" s="4" t="s">
        <v>1310</v>
      </c>
      <c r="F123" s="4" t="s">
        <v>426</v>
      </c>
      <c r="G123" s="4" t="s">
        <v>34</v>
      </c>
      <c r="H123" s="4" t="s">
        <v>54</v>
      </c>
      <c r="I123" s="4" t="s">
        <v>1311</v>
      </c>
      <c r="J123" s="4" t="s">
        <v>38</v>
      </c>
      <c r="K123" s="4" t="s">
        <v>38</v>
      </c>
      <c r="L123" s="4" t="s">
        <v>40</v>
      </c>
      <c r="M123" s="4" t="s">
        <v>38</v>
      </c>
      <c r="N123" s="4" t="s">
        <v>37</v>
      </c>
      <c r="O123" s="4" t="s">
        <v>39</v>
      </c>
      <c r="P123" s="4" t="s">
        <v>38</v>
      </c>
      <c r="Q123" s="4" t="s">
        <v>38</v>
      </c>
      <c r="R123" s="4" t="s">
        <v>40</v>
      </c>
      <c r="S123" s="4" t="s">
        <v>41</v>
      </c>
      <c r="T123" s="4" t="s">
        <v>450</v>
      </c>
      <c r="U123" s="4" t="s">
        <v>451</v>
      </c>
      <c r="V123" s="4" t="s">
        <v>44</v>
      </c>
      <c r="W123" s="4" t="s">
        <v>452</v>
      </c>
      <c r="X123" s="4"/>
      <c r="Y123" s="4"/>
      <c r="Z123" s="4" t="s">
        <v>46</v>
      </c>
      <c r="AA123" s="4" t="s">
        <v>570</v>
      </c>
      <c r="AB123" s="4" t="s">
        <v>238</v>
      </c>
      <c r="AC123" s="9">
        <v>1</v>
      </c>
      <c r="AD123" t="str">
        <f>VLOOKUP($T123,[1]NhanSu!$C$5:$M$229,11,0)</f>
        <v>SM0000218</v>
      </c>
    </row>
    <row r="124" spans="1:30" x14ac:dyDescent="0.45">
      <c r="A124" s="6" t="s">
        <v>28</v>
      </c>
      <c r="B124" s="5">
        <v>17</v>
      </c>
      <c r="C124" s="5" t="s">
        <v>29</v>
      </c>
      <c r="D124" s="5" t="s">
        <v>30</v>
      </c>
      <c r="E124" s="5" t="s">
        <v>32</v>
      </c>
      <c r="F124" s="5" t="s">
        <v>33</v>
      </c>
      <c r="G124" s="5" t="s">
        <v>34</v>
      </c>
      <c r="H124" s="5" t="s">
        <v>35</v>
      </c>
      <c r="I124" s="5" t="s">
        <v>36</v>
      </c>
      <c r="J124" s="5" t="s">
        <v>37</v>
      </c>
      <c r="K124" s="5" t="s">
        <v>38</v>
      </c>
      <c r="L124" s="5" t="s">
        <v>39</v>
      </c>
      <c r="M124" s="5" t="s">
        <v>37</v>
      </c>
      <c r="N124" s="5" t="s">
        <v>37</v>
      </c>
      <c r="O124" s="5" t="s">
        <v>39</v>
      </c>
      <c r="P124" s="5" t="s">
        <v>38</v>
      </c>
      <c r="Q124" s="5" t="s">
        <v>38</v>
      </c>
      <c r="R124" s="5" t="s">
        <v>40</v>
      </c>
      <c r="S124" s="5" t="s">
        <v>41</v>
      </c>
      <c r="T124" s="5" t="s">
        <v>42</v>
      </c>
      <c r="U124" s="5" t="s">
        <v>43</v>
      </c>
      <c r="V124" s="5" t="s">
        <v>44</v>
      </c>
      <c r="W124" s="5" t="s">
        <v>45</v>
      </c>
      <c r="X124" s="5"/>
      <c r="Y124" s="5"/>
      <c r="Z124" s="5" t="s">
        <v>46</v>
      </c>
      <c r="AA124" s="5" t="s">
        <v>47</v>
      </c>
      <c r="AB124" s="5" t="s">
        <v>48</v>
      </c>
      <c r="AC124" s="7">
        <v>1</v>
      </c>
      <c r="AD124" t="str">
        <f>VLOOKUP($T124,[1]NhanSu!$C$5:$M$229,11,0)</f>
        <v>SM0000211</v>
      </c>
    </row>
    <row r="125" spans="1:30" x14ac:dyDescent="0.45">
      <c r="A125" s="8" t="s">
        <v>28</v>
      </c>
      <c r="B125" s="4">
        <v>317</v>
      </c>
      <c r="C125" s="4" t="s">
        <v>72</v>
      </c>
      <c r="D125" s="4" t="s">
        <v>73</v>
      </c>
      <c r="E125" s="4" t="s">
        <v>75</v>
      </c>
      <c r="F125" s="4" t="s">
        <v>76</v>
      </c>
      <c r="G125" s="4" t="s">
        <v>34</v>
      </c>
      <c r="H125" s="4" t="s">
        <v>77</v>
      </c>
      <c r="I125" s="4" t="s">
        <v>78</v>
      </c>
      <c r="J125" s="4" t="s">
        <v>38</v>
      </c>
      <c r="K125" s="4" t="s">
        <v>38</v>
      </c>
      <c r="L125" s="4" t="s">
        <v>40</v>
      </c>
      <c r="M125" s="4" t="s">
        <v>38</v>
      </c>
      <c r="N125" s="4" t="s">
        <v>38</v>
      </c>
      <c r="O125" s="4" t="s">
        <v>40</v>
      </c>
      <c r="P125" s="4" t="s">
        <v>38</v>
      </c>
      <c r="Q125" s="4" t="s">
        <v>38</v>
      </c>
      <c r="R125" s="4" t="s">
        <v>40</v>
      </c>
      <c r="S125" s="4" t="s">
        <v>41</v>
      </c>
      <c r="T125" s="4" t="s">
        <v>79</v>
      </c>
      <c r="U125" s="4" t="s">
        <v>80</v>
      </c>
      <c r="V125" s="4" t="s">
        <v>44</v>
      </c>
      <c r="W125" s="4" t="s">
        <v>81</v>
      </c>
      <c r="X125" s="4"/>
      <c r="Y125" s="4"/>
      <c r="Z125" s="4" t="s">
        <v>46</v>
      </c>
      <c r="AA125" s="4" t="s">
        <v>82</v>
      </c>
      <c r="AB125" s="4" t="s">
        <v>83</v>
      </c>
      <c r="AC125" s="9">
        <v>1</v>
      </c>
      <c r="AD125" t="str">
        <f>VLOOKUP($T125,[1]NhanSu!$C$5:$M$229,11,0)</f>
        <v>SM0000225</v>
      </c>
    </row>
    <row r="126" spans="1:30" x14ac:dyDescent="0.45">
      <c r="A126" s="6" t="s">
        <v>28</v>
      </c>
      <c r="B126" s="5">
        <v>390</v>
      </c>
      <c r="C126" s="5" t="s">
        <v>95</v>
      </c>
      <c r="D126" s="5" t="s">
        <v>96</v>
      </c>
      <c r="E126" s="5" t="s">
        <v>98</v>
      </c>
      <c r="F126" s="5" t="s">
        <v>99</v>
      </c>
      <c r="G126" s="5" t="s">
        <v>34</v>
      </c>
      <c r="H126" s="5" t="s">
        <v>100</v>
      </c>
      <c r="I126" s="5" t="s">
        <v>101</v>
      </c>
      <c r="J126" s="5" t="s">
        <v>38</v>
      </c>
      <c r="K126" s="5" t="s">
        <v>38</v>
      </c>
      <c r="L126" s="5" t="s">
        <v>40</v>
      </c>
      <c r="M126" s="5" t="s">
        <v>37</v>
      </c>
      <c r="N126" s="5" t="s">
        <v>37</v>
      </c>
      <c r="O126" s="5" t="s">
        <v>39</v>
      </c>
      <c r="P126" s="5" t="s">
        <v>38</v>
      </c>
      <c r="Q126" s="5" t="s">
        <v>38</v>
      </c>
      <c r="R126" s="5" t="s">
        <v>40</v>
      </c>
      <c r="S126" s="5" t="s">
        <v>102</v>
      </c>
      <c r="T126" s="5" t="s">
        <v>103</v>
      </c>
      <c r="U126" s="5" t="s">
        <v>104</v>
      </c>
      <c r="V126" s="5" t="s">
        <v>44</v>
      </c>
      <c r="W126" s="5" t="s">
        <v>105</v>
      </c>
      <c r="X126" s="5"/>
      <c r="Y126" s="5"/>
      <c r="Z126" s="5" t="s">
        <v>46</v>
      </c>
      <c r="AA126" s="5" t="s">
        <v>47</v>
      </c>
      <c r="AB126" s="5" t="s">
        <v>48</v>
      </c>
      <c r="AC126" s="7">
        <v>1</v>
      </c>
      <c r="AD126" t="str">
        <f>VLOOKUP($T126,[1]NhanSu!$C$5:$M$229,11,0)</f>
        <v>SM0000090</v>
      </c>
    </row>
    <row r="127" spans="1:30" x14ac:dyDescent="0.45">
      <c r="A127" s="8" t="s">
        <v>28</v>
      </c>
      <c r="B127" s="4">
        <v>446</v>
      </c>
      <c r="C127" s="4" t="s">
        <v>125</v>
      </c>
      <c r="D127" s="4" t="s">
        <v>126</v>
      </c>
      <c r="E127" s="4" t="s">
        <v>128</v>
      </c>
      <c r="F127" s="4" t="s">
        <v>53</v>
      </c>
      <c r="G127" s="4" t="s">
        <v>34</v>
      </c>
      <c r="H127" s="4" t="s">
        <v>35</v>
      </c>
      <c r="I127" s="4" t="s">
        <v>129</v>
      </c>
      <c r="J127" s="4" t="s">
        <v>38</v>
      </c>
      <c r="K127" s="4" t="s">
        <v>38</v>
      </c>
      <c r="L127" s="4" t="s">
        <v>40</v>
      </c>
      <c r="M127" s="4" t="s">
        <v>38</v>
      </c>
      <c r="N127" s="4" t="s">
        <v>38</v>
      </c>
      <c r="O127" s="4" t="s">
        <v>40</v>
      </c>
      <c r="P127" s="4" t="s">
        <v>38</v>
      </c>
      <c r="Q127" s="4" t="s">
        <v>38</v>
      </c>
      <c r="R127" s="4" t="s">
        <v>40</v>
      </c>
      <c r="S127" s="4" t="s">
        <v>41</v>
      </c>
      <c r="T127" s="4" t="s">
        <v>42</v>
      </c>
      <c r="U127" s="4" t="s">
        <v>43</v>
      </c>
      <c r="V127" s="4" t="s">
        <v>44</v>
      </c>
      <c r="W127" s="4" t="s">
        <v>45</v>
      </c>
      <c r="X127" s="4"/>
      <c r="Y127" s="4"/>
      <c r="Z127" s="4" t="s">
        <v>46</v>
      </c>
      <c r="AA127" s="4" t="s">
        <v>48</v>
      </c>
      <c r="AB127" s="4" t="s">
        <v>83</v>
      </c>
      <c r="AC127" s="9">
        <v>1</v>
      </c>
      <c r="AD127" t="str">
        <f>VLOOKUP($T127,[1]NhanSu!$C$5:$M$229,11,0)</f>
        <v>SM0000211</v>
      </c>
    </row>
    <row r="128" spans="1:30" x14ac:dyDescent="0.45">
      <c r="A128" s="6" t="s">
        <v>28</v>
      </c>
      <c r="B128" s="5">
        <v>500</v>
      </c>
      <c r="C128" s="5" t="s">
        <v>140</v>
      </c>
      <c r="D128" s="5" t="s">
        <v>141</v>
      </c>
      <c r="E128" s="5" t="s">
        <v>143</v>
      </c>
      <c r="F128" s="5" t="s">
        <v>115</v>
      </c>
      <c r="G128" s="5" t="s">
        <v>34</v>
      </c>
      <c r="H128" s="5" t="s">
        <v>54</v>
      </c>
      <c r="I128" s="5" t="s">
        <v>144</v>
      </c>
      <c r="J128" s="5" t="s">
        <v>38</v>
      </c>
      <c r="K128" s="5" t="s">
        <v>38</v>
      </c>
      <c r="L128" s="5" t="s">
        <v>40</v>
      </c>
      <c r="M128" s="5" t="s">
        <v>37</v>
      </c>
      <c r="N128" s="5" t="s">
        <v>37</v>
      </c>
      <c r="O128" s="5" t="s">
        <v>39</v>
      </c>
      <c r="P128" s="5" t="s">
        <v>38</v>
      </c>
      <c r="Q128" s="5" t="s">
        <v>38</v>
      </c>
      <c r="R128" s="5" t="s">
        <v>40</v>
      </c>
      <c r="S128" s="5" t="s">
        <v>145</v>
      </c>
      <c r="T128" s="5" t="s">
        <v>103</v>
      </c>
      <c r="U128" s="5" t="s">
        <v>104</v>
      </c>
      <c r="V128" s="5" t="s">
        <v>44</v>
      </c>
      <c r="W128" s="5" t="s">
        <v>105</v>
      </c>
      <c r="X128" s="5"/>
      <c r="Y128" s="5"/>
      <c r="Z128" s="5" t="s">
        <v>46</v>
      </c>
      <c r="AA128" s="5" t="s">
        <v>47</v>
      </c>
      <c r="AB128" s="5" t="s">
        <v>48</v>
      </c>
      <c r="AC128" s="7">
        <v>1</v>
      </c>
      <c r="AD128" t="str">
        <f>VLOOKUP($T128,[1]NhanSu!$C$5:$M$229,11,0)</f>
        <v>SM0000090</v>
      </c>
    </row>
    <row r="129" spans="1:30" x14ac:dyDescent="0.45">
      <c r="A129" s="8" t="s">
        <v>28</v>
      </c>
      <c r="B129" s="4">
        <v>578</v>
      </c>
      <c r="C129" s="4" t="s">
        <v>160</v>
      </c>
      <c r="D129" s="4" t="s">
        <v>161</v>
      </c>
      <c r="E129" s="4" t="s">
        <v>162</v>
      </c>
      <c r="F129" s="4" t="s">
        <v>33</v>
      </c>
      <c r="G129" s="4" t="s">
        <v>34</v>
      </c>
      <c r="H129" s="4" t="s">
        <v>35</v>
      </c>
      <c r="I129" s="4" t="s">
        <v>163</v>
      </c>
      <c r="J129" s="4" t="s">
        <v>37</v>
      </c>
      <c r="K129" s="4" t="s">
        <v>37</v>
      </c>
      <c r="L129" s="4" t="s">
        <v>39</v>
      </c>
      <c r="M129" s="4" t="s">
        <v>37</v>
      </c>
      <c r="N129" s="4" t="s">
        <v>37</v>
      </c>
      <c r="O129" s="4" t="s">
        <v>39</v>
      </c>
      <c r="P129" s="4" t="s">
        <v>38</v>
      </c>
      <c r="Q129" s="4" t="s">
        <v>38</v>
      </c>
      <c r="R129" s="4" t="s">
        <v>40</v>
      </c>
      <c r="S129" s="4" t="s">
        <v>41</v>
      </c>
      <c r="T129" s="4" t="s">
        <v>42</v>
      </c>
      <c r="U129" s="4" t="s">
        <v>43</v>
      </c>
      <c r="V129" s="4" t="s">
        <v>44</v>
      </c>
      <c r="W129" s="4" t="s">
        <v>45</v>
      </c>
      <c r="X129" s="4"/>
      <c r="Y129" s="4"/>
      <c r="Z129" s="4" t="s">
        <v>46</v>
      </c>
      <c r="AA129" s="4" t="s">
        <v>48</v>
      </c>
      <c r="AB129" s="4" t="s">
        <v>83</v>
      </c>
      <c r="AC129" s="9">
        <v>1</v>
      </c>
      <c r="AD129" t="str">
        <f>VLOOKUP($T129,[1]NhanSu!$C$5:$M$229,11,0)</f>
        <v>SM0000211</v>
      </c>
    </row>
    <row r="130" spans="1:30" x14ac:dyDescent="0.45">
      <c r="A130" s="6" t="s">
        <v>28</v>
      </c>
      <c r="B130" s="5">
        <v>715</v>
      </c>
      <c r="C130" s="5" t="s">
        <v>209</v>
      </c>
      <c r="D130" s="5" t="s">
        <v>210</v>
      </c>
      <c r="E130" s="5" t="s">
        <v>212</v>
      </c>
      <c r="F130" s="5" t="s">
        <v>213</v>
      </c>
      <c r="G130" s="5" t="s">
        <v>34</v>
      </c>
      <c r="H130" s="5" t="s">
        <v>214</v>
      </c>
      <c r="I130" s="5" t="s">
        <v>215</v>
      </c>
      <c r="J130" s="5" t="s">
        <v>38</v>
      </c>
      <c r="K130" s="5" t="s">
        <v>38</v>
      </c>
      <c r="L130" s="5" t="s">
        <v>40</v>
      </c>
      <c r="M130" s="5" t="s">
        <v>37</v>
      </c>
      <c r="N130" s="5" t="s">
        <v>37</v>
      </c>
      <c r="O130" s="5" t="s">
        <v>39</v>
      </c>
      <c r="P130" s="5" t="s">
        <v>38</v>
      </c>
      <c r="Q130" s="5" t="s">
        <v>38</v>
      </c>
      <c r="R130" s="5" t="s">
        <v>40</v>
      </c>
      <c r="S130" s="5" t="s">
        <v>216</v>
      </c>
      <c r="T130" s="5" t="s">
        <v>103</v>
      </c>
      <c r="U130" s="5" t="s">
        <v>104</v>
      </c>
      <c r="V130" s="5" t="s">
        <v>44</v>
      </c>
      <c r="W130" s="5" t="s">
        <v>105</v>
      </c>
      <c r="X130" s="5"/>
      <c r="Y130" s="5"/>
      <c r="Z130" s="5" t="s">
        <v>46</v>
      </c>
      <c r="AA130" s="5" t="s">
        <v>47</v>
      </c>
      <c r="AB130" s="5" t="s">
        <v>48</v>
      </c>
      <c r="AC130" s="7">
        <v>1</v>
      </c>
      <c r="AD130" t="str">
        <f>VLOOKUP($T130,[1]NhanSu!$C$5:$M$229,11,0)</f>
        <v>SM0000090</v>
      </c>
    </row>
    <row r="131" spans="1:30" x14ac:dyDescent="0.45">
      <c r="A131" s="8" t="s">
        <v>28</v>
      </c>
      <c r="B131" s="4">
        <v>720</v>
      </c>
      <c r="C131" s="4" t="s">
        <v>221</v>
      </c>
      <c r="D131" s="4" t="s">
        <v>222</v>
      </c>
      <c r="E131" s="4" t="s">
        <v>219</v>
      </c>
      <c r="F131" s="4" t="s">
        <v>224</v>
      </c>
      <c r="G131" s="4" t="s">
        <v>34</v>
      </c>
      <c r="H131" s="4" t="s">
        <v>35</v>
      </c>
      <c r="I131" s="4" t="s">
        <v>225</v>
      </c>
      <c r="J131" s="4" t="s">
        <v>37</v>
      </c>
      <c r="K131" s="4" t="s">
        <v>37</v>
      </c>
      <c r="L131" s="4" t="s">
        <v>39</v>
      </c>
      <c r="M131" s="4" t="s">
        <v>56</v>
      </c>
      <c r="N131" s="4" t="s">
        <v>56</v>
      </c>
      <c r="O131" s="4" t="s">
        <v>39</v>
      </c>
      <c r="P131" s="4" t="s">
        <v>38</v>
      </c>
      <c r="Q131" s="4" t="s">
        <v>38</v>
      </c>
      <c r="R131" s="4" t="s">
        <v>40</v>
      </c>
      <c r="S131" s="4" t="s">
        <v>41</v>
      </c>
      <c r="T131" s="4" t="s">
        <v>42</v>
      </c>
      <c r="U131" s="4" t="s">
        <v>43</v>
      </c>
      <c r="V131" s="4" t="s">
        <v>44</v>
      </c>
      <c r="W131" s="4" t="s">
        <v>45</v>
      </c>
      <c r="X131" s="4"/>
      <c r="Y131" s="4"/>
      <c r="Z131" s="4" t="s">
        <v>46</v>
      </c>
      <c r="AA131" s="4" t="s">
        <v>47</v>
      </c>
      <c r="AB131" s="4" t="s">
        <v>48</v>
      </c>
      <c r="AC131" s="9">
        <v>1</v>
      </c>
      <c r="AD131" t="str">
        <f>VLOOKUP($T131,[1]NhanSu!$C$5:$M$229,11,0)</f>
        <v>SM0000211</v>
      </c>
    </row>
    <row r="132" spans="1:30" x14ac:dyDescent="0.45">
      <c r="A132" s="6" t="s">
        <v>28</v>
      </c>
      <c r="B132" s="5">
        <v>902</v>
      </c>
      <c r="C132" s="5" t="s">
        <v>239</v>
      </c>
      <c r="D132" s="5" t="s">
        <v>240</v>
      </c>
      <c r="E132" s="5" t="s">
        <v>241</v>
      </c>
      <c r="F132" s="5" t="s">
        <v>53</v>
      </c>
      <c r="G132" s="5" t="s">
        <v>177</v>
      </c>
      <c r="H132" s="5" t="s">
        <v>54</v>
      </c>
      <c r="I132" s="5" t="s">
        <v>242</v>
      </c>
      <c r="J132" s="5" t="s">
        <v>38</v>
      </c>
      <c r="K132" s="5" t="s">
        <v>38</v>
      </c>
      <c r="L132" s="5" t="s">
        <v>40</v>
      </c>
      <c r="M132" s="5" t="s">
        <v>38</v>
      </c>
      <c r="N132" s="5" t="s">
        <v>38</v>
      </c>
      <c r="O132" s="5" t="s">
        <v>40</v>
      </c>
      <c r="P132" s="5" t="s">
        <v>38</v>
      </c>
      <c r="Q132" s="5" t="s">
        <v>38</v>
      </c>
      <c r="R132" s="5" t="s">
        <v>40</v>
      </c>
      <c r="S132" s="5" t="s">
        <v>243</v>
      </c>
      <c r="T132" s="5" t="s">
        <v>244</v>
      </c>
      <c r="U132" s="5" t="s">
        <v>245</v>
      </c>
      <c r="V132" s="5" t="s">
        <v>44</v>
      </c>
      <c r="W132" s="5" t="s">
        <v>246</v>
      </c>
      <c r="X132" s="5"/>
      <c r="Y132" s="5"/>
      <c r="Z132" s="5" t="s">
        <v>46</v>
      </c>
      <c r="AA132" s="5" t="s">
        <v>247</v>
      </c>
      <c r="AB132" s="5" t="s">
        <v>83</v>
      </c>
      <c r="AC132" s="7">
        <v>1</v>
      </c>
      <c r="AD132" t="str">
        <f>VLOOKUP($T132,[1]NhanSu!$C$5:$M$229,11,0)</f>
        <v>SM0000201</v>
      </c>
    </row>
    <row r="133" spans="1:30" x14ac:dyDescent="0.45">
      <c r="A133" s="8" t="s">
        <v>28</v>
      </c>
      <c r="B133" s="4">
        <v>1117</v>
      </c>
      <c r="C133" s="4" t="s">
        <v>305</v>
      </c>
      <c r="D133" s="4" t="s">
        <v>306</v>
      </c>
      <c r="E133" s="4" t="s">
        <v>307</v>
      </c>
      <c r="F133" s="4" t="s">
        <v>53</v>
      </c>
      <c r="G133" s="4" t="s">
        <v>34</v>
      </c>
      <c r="H133" s="4" t="s">
        <v>54</v>
      </c>
      <c r="I133" s="4" t="s">
        <v>308</v>
      </c>
      <c r="J133" s="4" t="s">
        <v>38</v>
      </c>
      <c r="K133" s="4" t="s">
        <v>37</v>
      </c>
      <c r="L133" s="4" t="s">
        <v>40</v>
      </c>
      <c r="M133" s="4" t="s">
        <v>38</v>
      </c>
      <c r="N133" s="4" t="s">
        <v>38</v>
      </c>
      <c r="O133" s="4" t="s">
        <v>40</v>
      </c>
      <c r="P133" s="4" t="s">
        <v>38</v>
      </c>
      <c r="Q133" s="4" t="s">
        <v>37</v>
      </c>
      <c r="R133" s="4" t="s">
        <v>40</v>
      </c>
      <c r="S133" s="4" t="s">
        <v>41</v>
      </c>
      <c r="T133" s="4" t="s">
        <v>309</v>
      </c>
      <c r="U133" s="4" t="s">
        <v>245</v>
      </c>
      <c r="V133" s="4" t="s">
        <v>44</v>
      </c>
      <c r="W133" s="4" t="s">
        <v>246</v>
      </c>
      <c r="X133" s="4"/>
      <c r="Y133" s="4"/>
      <c r="Z133" s="4" t="s">
        <v>46</v>
      </c>
      <c r="AA133" s="4" t="s">
        <v>247</v>
      </c>
      <c r="AB133" s="4" t="s">
        <v>83</v>
      </c>
      <c r="AC133" s="9">
        <v>1</v>
      </c>
      <c r="AD133" t="str">
        <f>VLOOKUP($T133,[1]NhanSu!$C$5:$M$229,11,0)</f>
        <v>SM0000086</v>
      </c>
    </row>
    <row r="134" spans="1:30" x14ac:dyDescent="0.45">
      <c r="A134" s="6" t="s">
        <v>28</v>
      </c>
      <c r="B134" s="5">
        <v>1148</v>
      </c>
      <c r="C134" s="5" t="s">
        <v>315</v>
      </c>
      <c r="D134" s="5" t="s">
        <v>316</v>
      </c>
      <c r="E134" s="5" t="s">
        <v>317</v>
      </c>
      <c r="F134" s="5" t="s">
        <v>318</v>
      </c>
      <c r="G134" s="5" t="s">
        <v>34</v>
      </c>
      <c r="H134" s="5" t="s">
        <v>319</v>
      </c>
      <c r="I134" s="5" t="s">
        <v>320</v>
      </c>
      <c r="J134" s="5" t="s">
        <v>38</v>
      </c>
      <c r="K134" s="5" t="s">
        <v>38</v>
      </c>
      <c r="L134" s="5" t="s">
        <v>40</v>
      </c>
      <c r="M134" s="5" t="s">
        <v>38</v>
      </c>
      <c r="N134" s="5" t="s">
        <v>38</v>
      </c>
      <c r="O134" s="5" t="s">
        <v>40</v>
      </c>
      <c r="P134" s="5" t="s">
        <v>38</v>
      </c>
      <c r="Q134" s="5" t="s">
        <v>38</v>
      </c>
      <c r="R134" s="5" t="s">
        <v>40</v>
      </c>
      <c r="S134" s="5" t="s">
        <v>41</v>
      </c>
      <c r="T134" s="5" t="s">
        <v>79</v>
      </c>
      <c r="U134" s="5" t="s">
        <v>80</v>
      </c>
      <c r="V134" s="5" t="s">
        <v>44</v>
      </c>
      <c r="W134" s="5" t="s">
        <v>81</v>
      </c>
      <c r="X134" s="5"/>
      <c r="Y134" s="5"/>
      <c r="Z134" s="5" t="s">
        <v>46</v>
      </c>
      <c r="AA134" s="5" t="s">
        <v>82</v>
      </c>
      <c r="AB134" s="5" t="s">
        <v>83</v>
      </c>
      <c r="AC134" s="7">
        <v>1</v>
      </c>
      <c r="AD134" t="str">
        <f>VLOOKUP($T134,[1]NhanSu!$C$5:$M$229,11,0)</f>
        <v>SM0000225</v>
      </c>
    </row>
    <row r="135" spans="1:30" x14ac:dyDescent="0.45">
      <c r="A135" s="8" t="s">
        <v>28</v>
      </c>
      <c r="B135" s="4">
        <v>1208</v>
      </c>
      <c r="C135" s="4" t="s">
        <v>328</v>
      </c>
      <c r="D135" s="4" t="s">
        <v>329</v>
      </c>
      <c r="E135" s="4" t="s">
        <v>223</v>
      </c>
      <c r="F135" s="4" t="s">
        <v>331</v>
      </c>
      <c r="G135" s="4" t="s">
        <v>34</v>
      </c>
      <c r="H135" s="4" t="s">
        <v>332</v>
      </c>
      <c r="I135" s="4" t="s">
        <v>333</v>
      </c>
      <c r="J135" s="4" t="s">
        <v>37</v>
      </c>
      <c r="K135" s="4" t="s">
        <v>37</v>
      </c>
      <c r="L135" s="4" t="s">
        <v>39</v>
      </c>
      <c r="M135" s="4" t="s">
        <v>56</v>
      </c>
      <c r="N135" s="4" t="s">
        <v>56</v>
      </c>
      <c r="O135" s="4" t="s">
        <v>39</v>
      </c>
      <c r="P135" s="4" t="s">
        <v>38</v>
      </c>
      <c r="Q135" s="4" t="s">
        <v>38</v>
      </c>
      <c r="R135" s="4" t="s">
        <v>39</v>
      </c>
      <c r="S135" s="4" t="s">
        <v>334</v>
      </c>
      <c r="T135" s="4" t="s">
        <v>335</v>
      </c>
      <c r="U135" s="4" t="s">
        <v>43</v>
      </c>
      <c r="V135" s="4" t="s">
        <v>44</v>
      </c>
      <c r="W135" s="4" t="s">
        <v>45</v>
      </c>
      <c r="X135" s="4"/>
      <c r="Y135" s="4"/>
      <c r="Z135" s="4" t="s">
        <v>46</v>
      </c>
      <c r="AA135" s="4" t="s">
        <v>47</v>
      </c>
      <c r="AB135" s="4" t="s">
        <v>48</v>
      </c>
      <c r="AC135" s="9">
        <v>1</v>
      </c>
      <c r="AD135" t="str">
        <f>VLOOKUP($T135,[1]NhanSu!$C$5:$M$229,11,0)</f>
        <v>SM0000184</v>
      </c>
    </row>
    <row r="136" spans="1:30" x14ac:dyDescent="0.45">
      <c r="A136" s="6" t="s">
        <v>28</v>
      </c>
      <c r="B136" s="5">
        <v>1221</v>
      </c>
      <c r="C136" s="5" t="s">
        <v>342</v>
      </c>
      <c r="D136" s="5" t="s">
        <v>343</v>
      </c>
      <c r="E136" s="5" t="s">
        <v>176</v>
      </c>
      <c r="F136" s="5" t="s">
        <v>166</v>
      </c>
      <c r="G136" s="5" t="s">
        <v>34</v>
      </c>
      <c r="H136" s="5" t="s">
        <v>345</v>
      </c>
      <c r="I136" s="5" t="s">
        <v>346</v>
      </c>
      <c r="J136" s="5" t="s">
        <v>37</v>
      </c>
      <c r="K136" s="5" t="s">
        <v>38</v>
      </c>
      <c r="L136" s="5" t="s">
        <v>39</v>
      </c>
      <c r="M136" s="5" t="s">
        <v>37</v>
      </c>
      <c r="N136" s="5" t="s">
        <v>56</v>
      </c>
      <c r="O136" s="5" t="s">
        <v>39</v>
      </c>
      <c r="P136" s="5" t="s">
        <v>38</v>
      </c>
      <c r="Q136" s="5" t="s">
        <v>38</v>
      </c>
      <c r="R136" s="5" t="s">
        <v>39</v>
      </c>
      <c r="S136" s="5" t="s">
        <v>347</v>
      </c>
      <c r="T136" s="5" t="s">
        <v>335</v>
      </c>
      <c r="U136" s="5" t="s">
        <v>43</v>
      </c>
      <c r="V136" s="5" t="s">
        <v>44</v>
      </c>
      <c r="W136" s="5" t="s">
        <v>45</v>
      </c>
      <c r="X136" s="5"/>
      <c r="Y136" s="5"/>
      <c r="Z136" s="5" t="s">
        <v>46</v>
      </c>
      <c r="AA136" s="5" t="s">
        <v>47</v>
      </c>
      <c r="AB136" s="5" t="s">
        <v>48</v>
      </c>
      <c r="AC136" s="7">
        <v>1</v>
      </c>
      <c r="AD136" t="str">
        <f>VLOOKUP($T136,[1]NhanSu!$C$5:$M$229,11,0)</f>
        <v>SM0000184</v>
      </c>
    </row>
    <row r="137" spans="1:30" x14ac:dyDescent="0.45">
      <c r="A137" s="8" t="s">
        <v>28</v>
      </c>
      <c r="B137" s="4">
        <v>1244</v>
      </c>
      <c r="C137" s="4" t="s">
        <v>348</v>
      </c>
      <c r="D137" s="4" t="s">
        <v>349</v>
      </c>
      <c r="E137" s="4" t="s">
        <v>206</v>
      </c>
      <c r="F137" s="4" t="s">
        <v>53</v>
      </c>
      <c r="G137" s="4" t="s">
        <v>34</v>
      </c>
      <c r="H137" s="4" t="s">
        <v>350</v>
      </c>
      <c r="I137" s="4" t="s">
        <v>351</v>
      </c>
      <c r="J137" s="4" t="s">
        <v>37</v>
      </c>
      <c r="K137" s="4" t="s">
        <v>37</v>
      </c>
      <c r="L137" s="4" t="s">
        <v>39</v>
      </c>
      <c r="M137" s="4" t="s">
        <v>56</v>
      </c>
      <c r="N137" s="4" t="s">
        <v>38</v>
      </c>
      <c r="O137" s="4" t="s">
        <v>39</v>
      </c>
      <c r="P137" s="4" t="s">
        <v>38</v>
      </c>
      <c r="Q137" s="4" t="s">
        <v>38</v>
      </c>
      <c r="R137" s="4" t="s">
        <v>39</v>
      </c>
      <c r="S137" s="4" t="s">
        <v>334</v>
      </c>
      <c r="T137" s="4" t="s">
        <v>335</v>
      </c>
      <c r="U137" s="4" t="s">
        <v>43</v>
      </c>
      <c r="V137" s="4" t="s">
        <v>44</v>
      </c>
      <c r="W137" s="4" t="s">
        <v>45</v>
      </c>
      <c r="X137" s="4"/>
      <c r="Y137" s="4"/>
      <c r="Z137" s="4" t="s">
        <v>46</v>
      </c>
      <c r="AA137" s="4" t="s">
        <v>47</v>
      </c>
      <c r="AB137" s="4" t="s">
        <v>48</v>
      </c>
      <c r="AC137" s="9">
        <v>1</v>
      </c>
      <c r="AD137" t="str">
        <f>VLOOKUP($T137,[1]NhanSu!$C$5:$M$229,11,0)</f>
        <v>SM0000184</v>
      </c>
    </row>
    <row r="138" spans="1:30" x14ac:dyDescent="0.45">
      <c r="A138" s="6" t="s">
        <v>28</v>
      </c>
      <c r="B138" s="5">
        <v>1254</v>
      </c>
      <c r="C138" s="5" t="s">
        <v>352</v>
      </c>
      <c r="D138" s="5" t="s">
        <v>353</v>
      </c>
      <c r="E138" s="5" t="s">
        <v>355</v>
      </c>
      <c r="F138" s="5" t="s">
        <v>166</v>
      </c>
      <c r="G138" s="5" t="s">
        <v>34</v>
      </c>
      <c r="H138" s="5" t="s">
        <v>356</v>
      </c>
      <c r="I138" s="5" t="s">
        <v>357</v>
      </c>
      <c r="J138" s="5" t="s">
        <v>37</v>
      </c>
      <c r="K138" s="5" t="s">
        <v>38</v>
      </c>
      <c r="L138" s="5" t="s">
        <v>39</v>
      </c>
      <c r="M138" s="5" t="s">
        <v>56</v>
      </c>
      <c r="N138" s="5" t="s">
        <v>56</v>
      </c>
      <c r="O138" s="5" t="s">
        <v>39</v>
      </c>
      <c r="P138" s="5" t="s">
        <v>38</v>
      </c>
      <c r="Q138" s="5" t="s">
        <v>38</v>
      </c>
      <c r="R138" s="5" t="s">
        <v>40</v>
      </c>
      <c r="S138" s="5" t="s">
        <v>358</v>
      </c>
      <c r="T138" s="5" t="s">
        <v>335</v>
      </c>
      <c r="U138" s="5" t="s">
        <v>43</v>
      </c>
      <c r="V138" s="5" t="s">
        <v>44</v>
      </c>
      <c r="W138" s="5" t="s">
        <v>45</v>
      </c>
      <c r="X138" s="5"/>
      <c r="Y138" s="5"/>
      <c r="Z138" s="5" t="s">
        <v>46</v>
      </c>
      <c r="AA138" s="5" t="s">
        <v>48</v>
      </c>
      <c r="AB138" s="5" t="s">
        <v>48</v>
      </c>
      <c r="AC138" s="7">
        <v>1</v>
      </c>
      <c r="AD138" t="str">
        <f>VLOOKUP($T138,[1]NhanSu!$C$5:$M$229,11,0)</f>
        <v>SM0000184</v>
      </c>
    </row>
    <row r="139" spans="1:30" x14ac:dyDescent="0.45">
      <c r="A139" s="8" t="s">
        <v>28</v>
      </c>
      <c r="B139" s="4">
        <v>1487</v>
      </c>
      <c r="C139" s="4" t="s">
        <v>374</v>
      </c>
      <c r="D139" s="4" t="s">
        <v>375</v>
      </c>
      <c r="E139" s="4" t="s">
        <v>376</v>
      </c>
      <c r="F139" s="4" t="s">
        <v>377</v>
      </c>
      <c r="G139" s="4" t="s">
        <v>34</v>
      </c>
      <c r="H139" s="4" t="s">
        <v>378</v>
      </c>
      <c r="I139" s="4" t="s">
        <v>379</v>
      </c>
      <c r="J139" s="4" t="s">
        <v>38</v>
      </c>
      <c r="K139" s="4" t="s">
        <v>38</v>
      </c>
      <c r="L139" s="4" t="s">
        <v>39</v>
      </c>
      <c r="M139" s="4" t="s">
        <v>38</v>
      </c>
      <c r="N139" s="4" t="s">
        <v>56</v>
      </c>
      <c r="O139" s="4" t="s">
        <v>121</v>
      </c>
      <c r="P139" s="4" t="s">
        <v>38</v>
      </c>
      <c r="Q139" s="4" t="s">
        <v>38</v>
      </c>
      <c r="R139" s="4" t="s">
        <v>39</v>
      </c>
      <c r="S139" s="4" t="s">
        <v>380</v>
      </c>
      <c r="T139" s="4" t="s">
        <v>335</v>
      </c>
      <c r="U139" s="4" t="s">
        <v>43</v>
      </c>
      <c r="V139" s="4" t="s">
        <v>44</v>
      </c>
      <c r="W139" s="4" t="s">
        <v>45</v>
      </c>
      <c r="X139" s="4"/>
      <c r="Y139" s="4"/>
      <c r="Z139" s="4" t="s">
        <v>46</v>
      </c>
      <c r="AA139" s="4" t="s">
        <v>47</v>
      </c>
      <c r="AB139" s="4" t="s">
        <v>48</v>
      </c>
      <c r="AC139" s="9">
        <v>1</v>
      </c>
      <c r="AD139" t="str">
        <f>VLOOKUP($T139,[1]NhanSu!$C$5:$M$229,11,0)</f>
        <v>SM0000184</v>
      </c>
    </row>
    <row r="140" spans="1:30" x14ac:dyDescent="0.45">
      <c r="A140" s="6" t="s">
        <v>28</v>
      </c>
      <c r="B140" s="5">
        <v>1594</v>
      </c>
      <c r="C140" s="5" t="s">
        <v>391</v>
      </c>
      <c r="D140" s="5" t="s">
        <v>392</v>
      </c>
      <c r="E140" s="5" t="s">
        <v>256</v>
      </c>
      <c r="F140" s="5" t="s">
        <v>393</v>
      </c>
      <c r="G140" s="5" t="s">
        <v>34</v>
      </c>
      <c r="H140" s="5" t="s">
        <v>35</v>
      </c>
      <c r="I140" s="5" t="s">
        <v>394</v>
      </c>
      <c r="J140" s="5" t="s">
        <v>37</v>
      </c>
      <c r="K140" s="5" t="s">
        <v>56</v>
      </c>
      <c r="L140" s="5" t="s">
        <v>39</v>
      </c>
      <c r="M140" s="5" t="s">
        <v>56</v>
      </c>
      <c r="N140" s="5" t="s">
        <v>56</v>
      </c>
      <c r="O140" s="5" t="s">
        <v>39</v>
      </c>
      <c r="P140" s="5" t="s">
        <v>38</v>
      </c>
      <c r="Q140" s="5" t="s">
        <v>38</v>
      </c>
      <c r="R140" s="5" t="s">
        <v>39</v>
      </c>
      <c r="S140" s="5" t="s">
        <v>41</v>
      </c>
      <c r="T140" s="5" t="s">
        <v>395</v>
      </c>
      <c r="U140" s="5" t="s">
        <v>396</v>
      </c>
      <c r="V140" s="5" t="s">
        <v>44</v>
      </c>
      <c r="W140" s="5" t="s">
        <v>397</v>
      </c>
      <c r="X140" s="5"/>
      <c r="Y140" s="5"/>
      <c r="Z140" s="5" t="s">
        <v>46</v>
      </c>
      <c r="AA140" s="5" t="s">
        <v>398</v>
      </c>
      <c r="AB140" s="5" t="s">
        <v>83</v>
      </c>
      <c r="AC140" s="7">
        <v>1</v>
      </c>
      <c r="AD140" t="str">
        <f>VLOOKUP($T140,[1]NhanSu!$C$5:$M$229,11,0)</f>
        <v>SM0000168</v>
      </c>
    </row>
    <row r="141" spans="1:30" x14ac:dyDescent="0.45">
      <c r="A141" s="8" t="s">
        <v>28</v>
      </c>
      <c r="B141" s="4">
        <v>1611</v>
      </c>
      <c r="C141" s="4" t="s">
        <v>399</v>
      </c>
      <c r="D141" s="4" t="s">
        <v>400</v>
      </c>
      <c r="E141" s="4" t="s">
        <v>212</v>
      </c>
      <c r="F141" s="4" t="s">
        <v>401</v>
      </c>
      <c r="G141" s="4" t="s">
        <v>34</v>
      </c>
      <c r="H141" s="4" t="s">
        <v>402</v>
      </c>
      <c r="I141" s="4" t="s">
        <v>403</v>
      </c>
      <c r="J141" s="4" t="s">
        <v>38</v>
      </c>
      <c r="K141" s="4" t="s">
        <v>38</v>
      </c>
      <c r="L141" s="4" t="s">
        <v>39</v>
      </c>
      <c r="M141" s="4" t="s">
        <v>38</v>
      </c>
      <c r="N141" s="4" t="s">
        <v>38</v>
      </c>
      <c r="O141" s="4" t="s">
        <v>39</v>
      </c>
      <c r="P141" s="4" t="s">
        <v>38</v>
      </c>
      <c r="Q141" s="4" t="s">
        <v>37</v>
      </c>
      <c r="R141" s="4" t="s">
        <v>39</v>
      </c>
      <c r="S141" s="4" t="s">
        <v>404</v>
      </c>
      <c r="T141" s="4" t="s">
        <v>335</v>
      </c>
      <c r="U141" s="4" t="s">
        <v>43</v>
      </c>
      <c r="V141" s="4" t="s">
        <v>44</v>
      </c>
      <c r="W141" s="4" t="s">
        <v>45</v>
      </c>
      <c r="X141" s="4"/>
      <c r="Y141" s="4"/>
      <c r="Z141" s="4" t="s">
        <v>46</v>
      </c>
      <c r="AA141" s="4" t="s">
        <v>47</v>
      </c>
      <c r="AB141" s="4" t="s">
        <v>48</v>
      </c>
      <c r="AC141" s="9">
        <v>1</v>
      </c>
      <c r="AD141" t="str">
        <f>VLOOKUP($T141,[1]NhanSu!$C$5:$M$229,11,0)</f>
        <v>SM0000184</v>
      </c>
    </row>
    <row r="142" spans="1:30" x14ac:dyDescent="0.45">
      <c r="A142" s="6" t="s">
        <v>28</v>
      </c>
      <c r="B142" s="5">
        <v>1622</v>
      </c>
      <c r="C142" s="5" t="s">
        <v>409</v>
      </c>
      <c r="D142" s="5" t="s">
        <v>410</v>
      </c>
      <c r="E142" s="5" t="s">
        <v>411</v>
      </c>
      <c r="F142" s="5" t="s">
        <v>224</v>
      </c>
      <c r="G142" s="5" t="s">
        <v>34</v>
      </c>
      <c r="H142" s="5" t="s">
        <v>54</v>
      </c>
      <c r="I142" s="5" t="s">
        <v>412</v>
      </c>
      <c r="J142" s="5" t="s">
        <v>38</v>
      </c>
      <c r="K142" s="5" t="s">
        <v>38</v>
      </c>
      <c r="L142" s="5" t="s">
        <v>40</v>
      </c>
      <c r="M142" s="5" t="s">
        <v>38</v>
      </c>
      <c r="N142" s="5" t="s">
        <v>38</v>
      </c>
      <c r="O142" s="5" t="s">
        <v>40</v>
      </c>
      <c r="P142" s="5" t="s">
        <v>38</v>
      </c>
      <c r="Q142" s="5" t="s">
        <v>38</v>
      </c>
      <c r="R142" s="5" t="s">
        <v>40</v>
      </c>
      <c r="S142" s="5" t="s">
        <v>413</v>
      </c>
      <c r="T142" s="5" t="s">
        <v>244</v>
      </c>
      <c r="U142" s="5" t="s">
        <v>245</v>
      </c>
      <c r="V142" s="5" t="s">
        <v>44</v>
      </c>
      <c r="W142" s="5" t="s">
        <v>246</v>
      </c>
      <c r="X142" s="5"/>
      <c r="Y142" s="5"/>
      <c r="Z142" s="5" t="s">
        <v>46</v>
      </c>
      <c r="AA142" s="5" t="s">
        <v>247</v>
      </c>
      <c r="AB142" s="5" t="s">
        <v>83</v>
      </c>
      <c r="AC142" s="7">
        <v>1</v>
      </c>
      <c r="AD142" t="str">
        <f>VLOOKUP($T142,[1]NhanSu!$C$5:$M$229,11,0)</f>
        <v>SM0000201</v>
      </c>
    </row>
    <row r="143" spans="1:30" x14ac:dyDescent="0.45">
      <c r="A143" s="8" t="s">
        <v>28</v>
      </c>
      <c r="B143" s="4">
        <v>1738</v>
      </c>
      <c r="C143" s="4" t="s">
        <v>429</v>
      </c>
      <c r="D143" s="4" t="s">
        <v>430</v>
      </c>
      <c r="E143" s="4" t="s">
        <v>431</v>
      </c>
      <c r="F143" s="4" t="s">
        <v>432</v>
      </c>
      <c r="G143" s="4" t="s">
        <v>34</v>
      </c>
      <c r="H143" s="4" t="s">
        <v>433</v>
      </c>
      <c r="I143" s="4" t="s">
        <v>434</v>
      </c>
      <c r="J143" s="4" t="s">
        <v>38</v>
      </c>
      <c r="K143" s="4" t="s">
        <v>38</v>
      </c>
      <c r="L143" s="4" t="s">
        <v>40</v>
      </c>
      <c r="M143" s="4" t="s">
        <v>38</v>
      </c>
      <c r="N143" s="4" t="s">
        <v>38</v>
      </c>
      <c r="O143" s="4" t="s">
        <v>39</v>
      </c>
      <c r="P143" s="4" t="s">
        <v>38</v>
      </c>
      <c r="Q143" s="4" t="s">
        <v>37</v>
      </c>
      <c r="R143" s="4" t="s">
        <v>40</v>
      </c>
      <c r="S143" s="4" t="s">
        <v>41</v>
      </c>
      <c r="T143" s="4" t="s">
        <v>309</v>
      </c>
      <c r="U143" s="4" t="s">
        <v>245</v>
      </c>
      <c r="V143" s="4" t="s">
        <v>44</v>
      </c>
      <c r="W143" s="4" t="s">
        <v>246</v>
      </c>
      <c r="X143" s="4"/>
      <c r="Y143" s="4"/>
      <c r="Z143" s="4" t="s">
        <v>46</v>
      </c>
      <c r="AA143" s="4" t="s">
        <v>247</v>
      </c>
      <c r="AB143" s="4" t="s">
        <v>83</v>
      </c>
      <c r="AC143" s="9">
        <v>1</v>
      </c>
      <c r="AD143" t="str">
        <f>VLOOKUP($T143,[1]NhanSu!$C$5:$M$229,11,0)</f>
        <v>SM0000086</v>
      </c>
    </row>
    <row r="144" spans="1:30" x14ac:dyDescent="0.45">
      <c r="A144" s="6" t="s">
        <v>28</v>
      </c>
      <c r="B144" s="5">
        <v>1794</v>
      </c>
      <c r="C144" s="5" t="s">
        <v>481</v>
      </c>
      <c r="D144" s="5" t="s">
        <v>482</v>
      </c>
      <c r="E144" s="5" t="s">
        <v>32</v>
      </c>
      <c r="F144" s="5" t="s">
        <v>53</v>
      </c>
      <c r="G144" s="5" t="s">
        <v>34</v>
      </c>
      <c r="H144" s="5" t="s">
        <v>54</v>
      </c>
      <c r="I144" s="5" t="s">
        <v>483</v>
      </c>
      <c r="J144" s="5" t="s">
        <v>38</v>
      </c>
      <c r="K144" s="5" t="s">
        <v>38</v>
      </c>
      <c r="L144" s="5" t="s">
        <v>40</v>
      </c>
      <c r="M144" s="5" t="s">
        <v>37</v>
      </c>
      <c r="N144" s="5" t="s">
        <v>37</v>
      </c>
      <c r="O144" s="5" t="s">
        <v>39</v>
      </c>
      <c r="P144" s="5" t="s">
        <v>38</v>
      </c>
      <c r="Q144" s="5" t="s">
        <v>38</v>
      </c>
      <c r="R144" s="5" t="s">
        <v>39</v>
      </c>
      <c r="S144" s="5" t="s">
        <v>41</v>
      </c>
      <c r="T144" s="5" t="s">
        <v>484</v>
      </c>
      <c r="U144" s="5" t="s">
        <v>485</v>
      </c>
      <c r="V144" s="5" t="s">
        <v>44</v>
      </c>
      <c r="W144" s="5" t="s">
        <v>81</v>
      </c>
      <c r="X144" s="5"/>
      <c r="Y144" s="5"/>
      <c r="Z144" s="5" t="s">
        <v>46</v>
      </c>
      <c r="AA144" s="5" t="s">
        <v>486</v>
      </c>
      <c r="AB144" s="5" t="s">
        <v>48</v>
      </c>
      <c r="AC144" s="7">
        <v>1</v>
      </c>
      <c r="AD144" t="str">
        <f>VLOOKUP($T144,[1]NhanSu!$C$5:$M$229,11,0)</f>
        <v>SM0000204</v>
      </c>
    </row>
    <row r="145" spans="1:30" x14ac:dyDescent="0.45">
      <c r="A145" s="8" t="s">
        <v>28</v>
      </c>
      <c r="B145" s="4">
        <v>1871</v>
      </c>
      <c r="C145" s="4" t="s">
        <v>497</v>
      </c>
      <c r="D145" s="4" t="s">
        <v>498</v>
      </c>
      <c r="E145" s="4" t="s">
        <v>157</v>
      </c>
      <c r="F145" s="4" t="s">
        <v>53</v>
      </c>
      <c r="G145" s="4" t="s">
        <v>34</v>
      </c>
      <c r="H145" s="4" t="s">
        <v>54</v>
      </c>
      <c r="I145" s="4" t="s">
        <v>500</v>
      </c>
      <c r="J145" s="4" t="s">
        <v>37</v>
      </c>
      <c r="K145" s="4" t="s">
        <v>38</v>
      </c>
      <c r="L145" s="4" t="s">
        <v>40</v>
      </c>
      <c r="M145" s="4" t="s">
        <v>37</v>
      </c>
      <c r="N145" s="4" t="s">
        <v>37</v>
      </c>
      <c r="O145" s="4" t="s">
        <v>39</v>
      </c>
      <c r="P145" s="4" t="s">
        <v>38</v>
      </c>
      <c r="Q145" s="4" t="s">
        <v>37</v>
      </c>
      <c r="R145" s="4" t="s">
        <v>40</v>
      </c>
      <c r="S145" s="4" t="s">
        <v>41</v>
      </c>
      <c r="T145" s="4" t="s">
        <v>501</v>
      </c>
      <c r="U145" s="4" t="s">
        <v>485</v>
      </c>
      <c r="V145" s="4" t="s">
        <v>44</v>
      </c>
      <c r="W145" s="4" t="s">
        <v>81</v>
      </c>
      <c r="X145" s="4"/>
      <c r="Y145" s="4"/>
      <c r="Z145" s="4" t="s">
        <v>46</v>
      </c>
      <c r="AA145" s="4" t="s">
        <v>486</v>
      </c>
      <c r="AB145" s="4" t="s">
        <v>48</v>
      </c>
      <c r="AC145" s="9">
        <v>1</v>
      </c>
      <c r="AD145" t="str">
        <f>VLOOKUP($T145,[1]NhanSu!$C$5:$M$229,11,0)</f>
        <v>SM0000213</v>
      </c>
    </row>
    <row r="146" spans="1:30" x14ac:dyDescent="0.45">
      <c r="A146" s="6" t="s">
        <v>28</v>
      </c>
      <c r="B146" s="5">
        <v>1936</v>
      </c>
      <c r="C146" s="5" t="s">
        <v>543</v>
      </c>
      <c r="D146" s="5" t="s">
        <v>544</v>
      </c>
      <c r="E146" s="5" t="s">
        <v>522</v>
      </c>
      <c r="F146" s="5" t="s">
        <v>545</v>
      </c>
      <c r="G146" s="5" t="s">
        <v>34</v>
      </c>
      <c r="H146" s="5" t="s">
        <v>546</v>
      </c>
      <c r="I146" s="5" t="s">
        <v>547</v>
      </c>
      <c r="J146" s="5" t="s">
        <v>37</v>
      </c>
      <c r="K146" s="5" t="s">
        <v>38</v>
      </c>
      <c r="L146" s="5" t="s">
        <v>40</v>
      </c>
      <c r="M146" s="5" t="s">
        <v>38</v>
      </c>
      <c r="N146" s="5" t="s">
        <v>38</v>
      </c>
      <c r="O146" s="5" t="s">
        <v>40</v>
      </c>
      <c r="P146" s="5" t="s">
        <v>38</v>
      </c>
      <c r="Q146" s="5" t="s">
        <v>37</v>
      </c>
      <c r="R146" s="5" t="s">
        <v>40</v>
      </c>
      <c r="S146" s="5" t="s">
        <v>41</v>
      </c>
      <c r="T146" s="5" t="s">
        <v>438</v>
      </c>
      <c r="U146" s="5" t="s">
        <v>80</v>
      </c>
      <c r="V146" s="5" t="s">
        <v>44</v>
      </c>
      <c r="W146" s="5" t="s">
        <v>81</v>
      </c>
      <c r="X146" s="5"/>
      <c r="Y146" s="5"/>
      <c r="Z146" s="5" t="s">
        <v>46</v>
      </c>
      <c r="AA146" s="5" t="s">
        <v>82</v>
      </c>
      <c r="AB146" s="5" t="s">
        <v>83</v>
      </c>
      <c r="AC146" s="7">
        <v>1</v>
      </c>
      <c r="AD146" t="str">
        <f>VLOOKUP($T146,[1]NhanSu!$C$5:$M$229,11,0)</f>
        <v>SM0000209</v>
      </c>
    </row>
    <row r="147" spans="1:30" x14ac:dyDescent="0.45">
      <c r="A147" s="8" t="s">
        <v>28</v>
      </c>
      <c r="B147" s="4">
        <v>1954</v>
      </c>
      <c r="C147" s="4" t="s">
        <v>557</v>
      </c>
      <c r="D147" s="4" t="s">
        <v>558</v>
      </c>
      <c r="E147" s="4" t="s">
        <v>255</v>
      </c>
      <c r="F147" s="4" t="s">
        <v>559</v>
      </c>
      <c r="G147" s="4" t="s">
        <v>34</v>
      </c>
      <c r="H147" s="4" t="s">
        <v>35</v>
      </c>
      <c r="I147" s="4" t="s">
        <v>560</v>
      </c>
      <c r="J147" s="4" t="s">
        <v>56</v>
      </c>
      <c r="K147" s="4" t="s">
        <v>56</v>
      </c>
      <c r="L147" s="4" t="s">
        <v>39</v>
      </c>
      <c r="M147" s="4" t="s">
        <v>37</v>
      </c>
      <c r="N147" s="4" t="s">
        <v>56</v>
      </c>
      <c r="O147" s="4" t="s">
        <v>39</v>
      </c>
      <c r="P147" s="4" t="s">
        <v>38</v>
      </c>
      <c r="Q147" s="4" t="s">
        <v>37</v>
      </c>
      <c r="R147" s="4" t="s">
        <v>39</v>
      </c>
      <c r="S147" s="4" t="s">
        <v>41</v>
      </c>
      <c r="T147" s="4" t="s">
        <v>395</v>
      </c>
      <c r="U147" s="4" t="s">
        <v>396</v>
      </c>
      <c r="V147" s="4" t="s">
        <v>44</v>
      </c>
      <c r="W147" s="4" t="s">
        <v>397</v>
      </c>
      <c r="X147" s="4"/>
      <c r="Y147" s="4"/>
      <c r="Z147" s="4" t="s">
        <v>46</v>
      </c>
      <c r="AA147" s="4" t="s">
        <v>398</v>
      </c>
      <c r="AB147" s="4" t="s">
        <v>83</v>
      </c>
      <c r="AC147" s="9">
        <v>1</v>
      </c>
      <c r="AD147" t="str">
        <f>VLOOKUP($T147,[1]NhanSu!$C$5:$M$229,11,0)</f>
        <v>SM0000168</v>
      </c>
    </row>
    <row r="148" spans="1:30" x14ac:dyDescent="0.45">
      <c r="A148" s="6" t="s">
        <v>28</v>
      </c>
      <c r="B148" s="5">
        <v>1966</v>
      </c>
      <c r="C148" s="5" t="s">
        <v>561</v>
      </c>
      <c r="D148" s="5" t="s">
        <v>562</v>
      </c>
      <c r="E148" s="5" t="s">
        <v>563</v>
      </c>
      <c r="F148" s="5" t="s">
        <v>564</v>
      </c>
      <c r="G148" s="5" t="s">
        <v>34</v>
      </c>
      <c r="H148" s="5" t="s">
        <v>565</v>
      </c>
      <c r="I148" s="5" t="s">
        <v>566</v>
      </c>
      <c r="J148" s="5" t="s">
        <v>38</v>
      </c>
      <c r="K148" s="5" t="s">
        <v>38</v>
      </c>
      <c r="L148" s="5" t="s">
        <v>39</v>
      </c>
      <c r="M148" s="5" t="s">
        <v>38</v>
      </c>
      <c r="N148" s="5" t="s">
        <v>38</v>
      </c>
      <c r="O148" s="5" t="s">
        <v>40</v>
      </c>
      <c r="P148" s="5" t="s">
        <v>38</v>
      </c>
      <c r="Q148" s="5" t="s">
        <v>37</v>
      </c>
      <c r="R148" s="5" t="s">
        <v>40</v>
      </c>
      <c r="S148" s="5" t="s">
        <v>41</v>
      </c>
      <c r="T148" s="5" t="s">
        <v>438</v>
      </c>
      <c r="U148" s="5" t="s">
        <v>80</v>
      </c>
      <c r="V148" s="5" t="s">
        <v>44</v>
      </c>
      <c r="W148" s="5" t="s">
        <v>81</v>
      </c>
      <c r="X148" s="5"/>
      <c r="Y148" s="5"/>
      <c r="Z148" s="5" t="s">
        <v>46</v>
      </c>
      <c r="AA148" s="5" t="s">
        <v>82</v>
      </c>
      <c r="AB148" s="5" t="s">
        <v>83</v>
      </c>
      <c r="AC148" s="7">
        <v>1</v>
      </c>
      <c r="AD148" t="str">
        <f>VLOOKUP($T148,[1]NhanSu!$C$5:$M$229,11,0)</f>
        <v>SM0000209</v>
      </c>
    </row>
    <row r="149" spans="1:30" x14ac:dyDescent="0.45">
      <c r="A149" s="8" t="s">
        <v>28</v>
      </c>
      <c r="B149" s="4">
        <v>2066</v>
      </c>
      <c r="C149" s="4" t="s">
        <v>613</v>
      </c>
      <c r="D149" s="4" t="s">
        <v>614</v>
      </c>
      <c r="E149" s="4" t="s">
        <v>615</v>
      </c>
      <c r="F149" s="4" t="s">
        <v>616</v>
      </c>
      <c r="G149" s="4" t="s">
        <v>150</v>
      </c>
      <c r="H149" s="4" t="s">
        <v>54</v>
      </c>
      <c r="I149" s="4" t="s">
        <v>617</v>
      </c>
      <c r="J149" s="4" t="s">
        <v>38</v>
      </c>
      <c r="K149" s="4" t="s">
        <v>38</v>
      </c>
      <c r="L149" s="4" t="s">
        <v>40</v>
      </c>
      <c r="M149" s="4" t="s">
        <v>38</v>
      </c>
      <c r="N149" s="4" t="s">
        <v>38</v>
      </c>
      <c r="O149" s="4" t="s">
        <v>40</v>
      </c>
      <c r="P149" s="4" t="s">
        <v>38</v>
      </c>
      <c r="Q149" s="4" t="s">
        <v>38</v>
      </c>
      <c r="R149" s="4" t="s">
        <v>40</v>
      </c>
      <c r="S149" s="4" t="s">
        <v>41</v>
      </c>
      <c r="T149" s="4" t="s">
        <v>602</v>
      </c>
      <c r="U149" s="4" t="s">
        <v>485</v>
      </c>
      <c r="V149" s="4" t="s">
        <v>44</v>
      </c>
      <c r="W149" s="4" t="s">
        <v>81</v>
      </c>
      <c r="X149" s="4"/>
      <c r="Y149" s="4"/>
      <c r="Z149" s="4" t="s">
        <v>46</v>
      </c>
      <c r="AA149" s="4" t="s">
        <v>486</v>
      </c>
      <c r="AB149" s="4" t="s">
        <v>48</v>
      </c>
      <c r="AC149" s="9">
        <v>1</v>
      </c>
      <c r="AD149" t="str">
        <f>VLOOKUP($T149,[1]NhanSu!$C$5:$M$229,11,0)</f>
        <v>SM0000206</v>
      </c>
    </row>
    <row r="150" spans="1:30" x14ac:dyDescent="0.45">
      <c r="A150" s="6" t="s">
        <v>28</v>
      </c>
      <c r="B150" s="5">
        <v>2078</v>
      </c>
      <c r="C150" s="5" t="s">
        <v>625</v>
      </c>
      <c r="D150" s="5" t="s">
        <v>626</v>
      </c>
      <c r="E150" s="5" t="s">
        <v>628</v>
      </c>
      <c r="F150" s="5" t="s">
        <v>629</v>
      </c>
      <c r="G150" s="5" t="s">
        <v>34</v>
      </c>
      <c r="H150" s="5" t="s">
        <v>54</v>
      </c>
      <c r="I150" s="5" t="s">
        <v>630</v>
      </c>
      <c r="J150" s="5" t="s">
        <v>41</v>
      </c>
      <c r="K150" s="5" t="s">
        <v>41</v>
      </c>
      <c r="L150" s="5" t="s">
        <v>41</v>
      </c>
      <c r="M150" s="5" t="s">
        <v>41</v>
      </c>
      <c r="N150" s="5" t="s">
        <v>41</v>
      </c>
      <c r="O150" s="5" t="s">
        <v>41</v>
      </c>
      <c r="P150" s="5" t="s">
        <v>41</v>
      </c>
      <c r="Q150" s="5" t="s">
        <v>41</v>
      </c>
      <c r="R150" s="5" t="s">
        <v>41</v>
      </c>
      <c r="S150" s="5" t="s">
        <v>41</v>
      </c>
      <c r="T150" s="5" t="s">
        <v>484</v>
      </c>
      <c r="U150" s="5" t="s">
        <v>485</v>
      </c>
      <c r="V150" s="5" t="s">
        <v>44</v>
      </c>
      <c r="W150" s="5" t="s">
        <v>81</v>
      </c>
      <c r="X150" s="5"/>
      <c r="Y150" s="5"/>
      <c r="Z150" s="5" t="s">
        <v>46</v>
      </c>
      <c r="AA150" s="5" t="s">
        <v>486</v>
      </c>
      <c r="AB150" s="5" t="s">
        <v>48</v>
      </c>
      <c r="AC150" s="7">
        <v>1</v>
      </c>
      <c r="AD150" t="str">
        <f>VLOOKUP($T150,[1]NhanSu!$C$5:$M$229,11,0)</f>
        <v>SM0000204</v>
      </c>
    </row>
    <row r="151" spans="1:30" x14ac:dyDescent="0.45">
      <c r="A151" s="8" t="s">
        <v>28</v>
      </c>
      <c r="B151" s="4">
        <v>2107</v>
      </c>
      <c r="C151" s="4" t="s">
        <v>646</v>
      </c>
      <c r="D151" s="4" t="s">
        <v>647</v>
      </c>
      <c r="E151" s="4" t="s">
        <v>648</v>
      </c>
      <c r="F151" s="4" t="s">
        <v>649</v>
      </c>
      <c r="G151" s="4" t="s">
        <v>34</v>
      </c>
      <c r="H151" s="4" t="s">
        <v>550</v>
      </c>
      <c r="I151" s="4" t="s">
        <v>650</v>
      </c>
      <c r="J151" s="4" t="s">
        <v>38</v>
      </c>
      <c r="K151" s="4" t="s">
        <v>38</v>
      </c>
      <c r="L151" s="4" t="s">
        <v>39</v>
      </c>
      <c r="M151" s="4" t="s">
        <v>38</v>
      </c>
      <c r="N151" s="4" t="s">
        <v>38</v>
      </c>
      <c r="O151" s="4" t="s">
        <v>40</v>
      </c>
      <c r="P151" s="4" t="s">
        <v>38</v>
      </c>
      <c r="Q151" s="4" t="s">
        <v>37</v>
      </c>
      <c r="R151" s="4" t="s">
        <v>40</v>
      </c>
      <c r="S151" s="4" t="s">
        <v>41</v>
      </c>
      <c r="T151" s="4" t="s">
        <v>438</v>
      </c>
      <c r="U151" s="4" t="s">
        <v>80</v>
      </c>
      <c r="V151" s="4" t="s">
        <v>44</v>
      </c>
      <c r="W151" s="4" t="s">
        <v>81</v>
      </c>
      <c r="X151" s="4"/>
      <c r="Y151" s="4"/>
      <c r="Z151" s="4" t="s">
        <v>46</v>
      </c>
      <c r="AA151" s="4" t="s">
        <v>82</v>
      </c>
      <c r="AB151" s="4" t="s">
        <v>83</v>
      </c>
      <c r="AC151" s="9">
        <v>1</v>
      </c>
      <c r="AD151" t="str">
        <f>VLOOKUP($T151,[1]NhanSu!$C$5:$M$229,11,0)</f>
        <v>SM0000209</v>
      </c>
    </row>
    <row r="152" spans="1:30" x14ac:dyDescent="0.45">
      <c r="A152" s="6" t="s">
        <v>28</v>
      </c>
      <c r="B152" s="5">
        <v>2126</v>
      </c>
      <c r="C152" s="5" t="s">
        <v>651</v>
      </c>
      <c r="D152" s="5" t="s">
        <v>652</v>
      </c>
      <c r="E152" s="5" t="s">
        <v>206</v>
      </c>
      <c r="F152" s="5" t="s">
        <v>653</v>
      </c>
      <c r="G152" s="5" t="s">
        <v>34</v>
      </c>
      <c r="H152" s="5" t="s">
        <v>402</v>
      </c>
      <c r="I152" s="5" t="s">
        <v>654</v>
      </c>
      <c r="J152" s="5" t="s">
        <v>38</v>
      </c>
      <c r="K152" s="5" t="s">
        <v>38</v>
      </c>
      <c r="L152" s="5" t="s">
        <v>40</v>
      </c>
      <c r="M152" s="5" t="s">
        <v>38</v>
      </c>
      <c r="N152" s="5" t="s">
        <v>38</v>
      </c>
      <c r="O152" s="5" t="s">
        <v>40</v>
      </c>
      <c r="P152" s="5" t="s">
        <v>38</v>
      </c>
      <c r="Q152" s="5" t="s">
        <v>38</v>
      </c>
      <c r="R152" s="5" t="s">
        <v>40</v>
      </c>
      <c r="S152" s="5" t="s">
        <v>41</v>
      </c>
      <c r="T152" s="5" t="s">
        <v>602</v>
      </c>
      <c r="U152" s="5" t="s">
        <v>485</v>
      </c>
      <c r="V152" s="5" t="s">
        <v>44</v>
      </c>
      <c r="W152" s="5" t="s">
        <v>81</v>
      </c>
      <c r="X152" s="5"/>
      <c r="Y152" s="5"/>
      <c r="Z152" s="5" t="s">
        <v>46</v>
      </c>
      <c r="AA152" s="5" t="s">
        <v>486</v>
      </c>
      <c r="AB152" s="5" t="s">
        <v>48</v>
      </c>
      <c r="AC152" s="7">
        <v>1</v>
      </c>
      <c r="AD152" t="str">
        <f>VLOOKUP($T152,[1]NhanSu!$C$5:$M$229,11,0)</f>
        <v>SM0000206</v>
      </c>
    </row>
    <row r="153" spans="1:30" x14ac:dyDescent="0.45">
      <c r="A153" s="8" t="s">
        <v>28</v>
      </c>
      <c r="B153" s="4">
        <v>2151</v>
      </c>
      <c r="C153" s="4" t="s">
        <v>663</v>
      </c>
      <c r="D153" s="4" t="s">
        <v>664</v>
      </c>
      <c r="E153" s="4" t="s">
        <v>296</v>
      </c>
      <c r="F153" s="4" t="s">
        <v>666</v>
      </c>
      <c r="G153" s="4" t="s">
        <v>34</v>
      </c>
      <c r="H153" s="4" t="s">
        <v>54</v>
      </c>
      <c r="I153" s="4" t="s">
        <v>667</v>
      </c>
      <c r="J153" s="4" t="s">
        <v>38</v>
      </c>
      <c r="K153" s="4" t="s">
        <v>38</v>
      </c>
      <c r="L153" s="4" t="s">
        <v>39</v>
      </c>
      <c r="M153" s="4" t="s">
        <v>38</v>
      </c>
      <c r="N153" s="4" t="s">
        <v>38</v>
      </c>
      <c r="O153" s="4" t="s">
        <v>39</v>
      </c>
      <c r="P153" s="4" t="s">
        <v>38</v>
      </c>
      <c r="Q153" s="4" t="s">
        <v>38</v>
      </c>
      <c r="R153" s="4" t="s">
        <v>40</v>
      </c>
      <c r="S153" s="4" t="s">
        <v>41</v>
      </c>
      <c r="T153" s="4" t="s">
        <v>484</v>
      </c>
      <c r="U153" s="4" t="s">
        <v>485</v>
      </c>
      <c r="V153" s="4" t="s">
        <v>44</v>
      </c>
      <c r="W153" s="4" t="s">
        <v>81</v>
      </c>
      <c r="X153" s="4"/>
      <c r="Y153" s="4"/>
      <c r="Z153" s="4" t="s">
        <v>46</v>
      </c>
      <c r="AA153" s="4" t="s">
        <v>486</v>
      </c>
      <c r="AB153" s="4" t="s">
        <v>48</v>
      </c>
      <c r="AC153" s="9">
        <v>1</v>
      </c>
      <c r="AD153" t="str">
        <f>VLOOKUP($T153,[1]NhanSu!$C$5:$M$229,11,0)</f>
        <v>SM0000204</v>
      </c>
    </row>
    <row r="154" spans="1:30" x14ac:dyDescent="0.45">
      <c r="A154" s="6" t="s">
        <v>28</v>
      </c>
      <c r="B154" s="5">
        <v>2231</v>
      </c>
      <c r="C154" s="5" t="s">
        <v>704</v>
      </c>
      <c r="D154" s="5" t="s">
        <v>705</v>
      </c>
      <c r="E154" s="5" t="s">
        <v>706</v>
      </c>
      <c r="F154" s="5" t="s">
        <v>707</v>
      </c>
      <c r="G154" s="5" t="s">
        <v>34</v>
      </c>
      <c r="H154" s="5" t="s">
        <v>708</v>
      </c>
      <c r="I154" s="5" t="s">
        <v>709</v>
      </c>
      <c r="J154" s="5" t="s">
        <v>38</v>
      </c>
      <c r="K154" s="5" t="s">
        <v>38</v>
      </c>
      <c r="L154" s="5" t="s">
        <v>40</v>
      </c>
      <c r="M154" s="5" t="s">
        <v>38</v>
      </c>
      <c r="N154" s="5" t="s">
        <v>38</v>
      </c>
      <c r="O154" s="5" t="s">
        <v>40</v>
      </c>
      <c r="P154" s="5" t="s">
        <v>38</v>
      </c>
      <c r="Q154" s="5" t="s">
        <v>38</v>
      </c>
      <c r="R154" s="5" t="s">
        <v>40</v>
      </c>
      <c r="S154" s="5" t="s">
        <v>41</v>
      </c>
      <c r="T154" s="5" t="s">
        <v>79</v>
      </c>
      <c r="U154" s="5" t="s">
        <v>80</v>
      </c>
      <c r="V154" s="5" t="s">
        <v>44</v>
      </c>
      <c r="W154" s="5" t="s">
        <v>81</v>
      </c>
      <c r="X154" s="5"/>
      <c r="Y154" s="5"/>
      <c r="Z154" s="5" t="s">
        <v>46</v>
      </c>
      <c r="AA154" s="5" t="s">
        <v>82</v>
      </c>
      <c r="AB154" s="5" t="s">
        <v>83</v>
      </c>
      <c r="AC154" s="7">
        <v>1</v>
      </c>
      <c r="AD154" t="str">
        <f>VLOOKUP($T154,[1]NhanSu!$C$5:$M$229,11,0)</f>
        <v>SM0000225</v>
      </c>
    </row>
    <row r="155" spans="1:30" x14ac:dyDescent="0.45">
      <c r="A155" s="8" t="s">
        <v>28</v>
      </c>
      <c r="B155" s="4">
        <v>2278</v>
      </c>
      <c r="C155" s="4" t="s">
        <v>726</v>
      </c>
      <c r="D155" s="4" t="s">
        <v>727</v>
      </c>
      <c r="E155" s="4" t="s">
        <v>729</v>
      </c>
      <c r="F155" s="4" t="s">
        <v>707</v>
      </c>
      <c r="G155" s="4" t="s">
        <v>34</v>
      </c>
      <c r="H155" s="4" t="s">
        <v>54</v>
      </c>
      <c r="I155" s="4" t="s">
        <v>730</v>
      </c>
      <c r="J155" s="4" t="s">
        <v>38</v>
      </c>
      <c r="K155" s="4" t="s">
        <v>38</v>
      </c>
      <c r="L155" s="4" t="s">
        <v>40</v>
      </c>
      <c r="M155" s="4" t="s">
        <v>38</v>
      </c>
      <c r="N155" s="4" t="s">
        <v>38</v>
      </c>
      <c r="O155" s="4" t="s">
        <v>40</v>
      </c>
      <c r="P155" s="4" t="s">
        <v>38</v>
      </c>
      <c r="Q155" s="4" t="s">
        <v>38</v>
      </c>
      <c r="R155" s="4" t="s">
        <v>40</v>
      </c>
      <c r="S155" s="4" t="s">
        <v>41</v>
      </c>
      <c r="T155" s="4" t="s">
        <v>79</v>
      </c>
      <c r="U155" s="4" t="s">
        <v>80</v>
      </c>
      <c r="V155" s="4" t="s">
        <v>44</v>
      </c>
      <c r="W155" s="4" t="s">
        <v>81</v>
      </c>
      <c r="X155" s="4"/>
      <c r="Y155" s="4"/>
      <c r="Z155" s="4" t="s">
        <v>46</v>
      </c>
      <c r="AA155" s="4" t="s">
        <v>82</v>
      </c>
      <c r="AB155" s="4" t="s">
        <v>83</v>
      </c>
      <c r="AC155" s="9">
        <v>1</v>
      </c>
      <c r="AD155" t="str">
        <f>VLOOKUP($T155,[1]NhanSu!$C$5:$M$229,11,0)</f>
        <v>SM0000225</v>
      </c>
    </row>
    <row r="156" spans="1:30" x14ac:dyDescent="0.45">
      <c r="A156" s="6" t="s">
        <v>28</v>
      </c>
      <c r="B156" s="5">
        <v>2364</v>
      </c>
      <c r="C156" s="5" t="s">
        <v>817</v>
      </c>
      <c r="D156" s="5" t="s">
        <v>818</v>
      </c>
      <c r="E156" s="5" t="s">
        <v>98</v>
      </c>
      <c r="F156" s="5" t="s">
        <v>819</v>
      </c>
      <c r="G156" s="5" t="s">
        <v>34</v>
      </c>
      <c r="H156" s="5" t="s">
        <v>54</v>
      </c>
      <c r="I156" s="5" t="s">
        <v>820</v>
      </c>
      <c r="J156" s="5" t="s">
        <v>38</v>
      </c>
      <c r="K156" s="5" t="s">
        <v>38</v>
      </c>
      <c r="L156" s="5" t="s">
        <v>40</v>
      </c>
      <c r="M156" s="5" t="s">
        <v>37</v>
      </c>
      <c r="N156" s="5" t="s">
        <v>37</v>
      </c>
      <c r="O156" s="5" t="s">
        <v>39</v>
      </c>
      <c r="P156" s="5" t="s">
        <v>38</v>
      </c>
      <c r="Q156" s="5" t="s">
        <v>38</v>
      </c>
      <c r="R156" s="5" t="s">
        <v>40</v>
      </c>
      <c r="S156" s="5" t="s">
        <v>41</v>
      </c>
      <c r="T156" s="5" t="s">
        <v>602</v>
      </c>
      <c r="U156" s="5" t="s">
        <v>485</v>
      </c>
      <c r="V156" s="5" t="s">
        <v>44</v>
      </c>
      <c r="W156" s="5" t="s">
        <v>81</v>
      </c>
      <c r="X156" s="5"/>
      <c r="Y156" s="5"/>
      <c r="Z156" s="5" t="s">
        <v>46</v>
      </c>
      <c r="AA156" s="5" t="s">
        <v>486</v>
      </c>
      <c r="AB156" s="5" t="s">
        <v>48</v>
      </c>
      <c r="AC156" s="7">
        <v>1</v>
      </c>
      <c r="AD156" t="str">
        <f>VLOOKUP($T156,[1]NhanSu!$C$5:$M$229,11,0)</f>
        <v>SM0000206</v>
      </c>
    </row>
    <row r="157" spans="1:30" x14ac:dyDescent="0.45">
      <c r="A157" s="8" t="s">
        <v>28</v>
      </c>
      <c r="B157" s="4">
        <v>2419</v>
      </c>
      <c r="C157" s="4" t="s">
        <v>851</v>
      </c>
      <c r="D157" s="4" t="s">
        <v>852</v>
      </c>
      <c r="E157" s="4" t="s">
        <v>91</v>
      </c>
      <c r="F157" s="4" t="s">
        <v>762</v>
      </c>
      <c r="G157" s="4" t="s">
        <v>34</v>
      </c>
      <c r="H157" s="4" t="s">
        <v>54</v>
      </c>
      <c r="I157" s="4" t="s">
        <v>854</v>
      </c>
      <c r="J157" s="4" t="s">
        <v>38</v>
      </c>
      <c r="K157" s="4" t="s">
        <v>38</v>
      </c>
      <c r="L157" s="4" t="s">
        <v>40</v>
      </c>
      <c r="M157" s="4" t="s">
        <v>37</v>
      </c>
      <c r="N157" s="4" t="s">
        <v>37</v>
      </c>
      <c r="O157" s="4" t="s">
        <v>39</v>
      </c>
      <c r="P157" s="4" t="s">
        <v>38</v>
      </c>
      <c r="Q157" s="4" t="s">
        <v>56</v>
      </c>
      <c r="R157" s="4" t="s">
        <v>39</v>
      </c>
      <c r="S157" s="4" t="s">
        <v>41</v>
      </c>
      <c r="T157" s="4" t="s">
        <v>602</v>
      </c>
      <c r="U157" s="4" t="s">
        <v>485</v>
      </c>
      <c r="V157" s="4" t="s">
        <v>44</v>
      </c>
      <c r="W157" s="4" t="s">
        <v>81</v>
      </c>
      <c r="X157" s="4"/>
      <c r="Y157" s="4"/>
      <c r="Z157" s="4" t="s">
        <v>46</v>
      </c>
      <c r="AA157" s="4" t="s">
        <v>486</v>
      </c>
      <c r="AB157" s="4" t="s">
        <v>48</v>
      </c>
      <c r="AC157" s="9">
        <v>1</v>
      </c>
      <c r="AD157" t="str">
        <f>VLOOKUP($T157,[1]NhanSu!$C$5:$M$229,11,0)</f>
        <v>SM0000206</v>
      </c>
    </row>
    <row r="158" spans="1:30" x14ac:dyDescent="0.45">
      <c r="A158" s="6" t="s">
        <v>28</v>
      </c>
      <c r="B158" s="5">
        <v>2476</v>
      </c>
      <c r="C158" s="5" t="s">
        <v>871</v>
      </c>
      <c r="D158" s="5" t="s">
        <v>872</v>
      </c>
      <c r="E158" s="5" t="s">
        <v>874</v>
      </c>
      <c r="F158" s="5" t="s">
        <v>875</v>
      </c>
      <c r="G158" s="5" t="s">
        <v>34</v>
      </c>
      <c r="H158" s="5" t="s">
        <v>54</v>
      </c>
      <c r="I158" s="5" t="s">
        <v>876</v>
      </c>
      <c r="J158" s="5" t="s">
        <v>38</v>
      </c>
      <c r="K158" s="5" t="s">
        <v>38</v>
      </c>
      <c r="L158" s="5" t="s">
        <v>40</v>
      </c>
      <c r="M158" s="5" t="s">
        <v>37</v>
      </c>
      <c r="N158" s="5" t="s">
        <v>37</v>
      </c>
      <c r="O158" s="5" t="s">
        <v>39</v>
      </c>
      <c r="P158" s="5" t="s">
        <v>38</v>
      </c>
      <c r="Q158" s="5" t="s">
        <v>38</v>
      </c>
      <c r="R158" s="5" t="s">
        <v>40</v>
      </c>
      <c r="S158" s="5" t="s">
        <v>41</v>
      </c>
      <c r="T158" s="5" t="s">
        <v>484</v>
      </c>
      <c r="U158" s="5" t="s">
        <v>485</v>
      </c>
      <c r="V158" s="5" t="s">
        <v>44</v>
      </c>
      <c r="W158" s="5" t="s">
        <v>81</v>
      </c>
      <c r="X158" s="5"/>
      <c r="Y158" s="5"/>
      <c r="Z158" s="5" t="s">
        <v>46</v>
      </c>
      <c r="AA158" s="5" t="s">
        <v>486</v>
      </c>
      <c r="AB158" s="5" t="s">
        <v>48</v>
      </c>
      <c r="AC158" s="7">
        <v>1</v>
      </c>
      <c r="AD158" t="str">
        <f>VLOOKUP($T158,[1]NhanSu!$C$5:$M$229,11,0)</f>
        <v>SM0000204</v>
      </c>
    </row>
    <row r="159" spans="1:30" x14ac:dyDescent="0.45">
      <c r="A159" s="8" t="s">
        <v>28</v>
      </c>
      <c r="B159" s="4">
        <v>2483</v>
      </c>
      <c r="C159" s="4" t="s">
        <v>880</v>
      </c>
      <c r="D159" s="4" t="s">
        <v>881</v>
      </c>
      <c r="E159" s="4" t="s">
        <v>883</v>
      </c>
      <c r="F159" s="4" t="s">
        <v>884</v>
      </c>
      <c r="G159" s="4" t="s">
        <v>34</v>
      </c>
      <c r="H159" s="4" t="s">
        <v>54</v>
      </c>
      <c r="I159" s="4" t="s">
        <v>885</v>
      </c>
      <c r="J159" s="4" t="s">
        <v>56</v>
      </c>
      <c r="K159" s="4" t="s">
        <v>56</v>
      </c>
      <c r="L159" s="4" t="s">
        <v>39</v>
      </c>
      <c r="M159" s="4" t="s">
        <v>38</v>
      </c>
      <c r="N159" s="4" t="s">
        <v>56</v>
      </c>
      <c r="O159" s="4" t="s">
        <v>39</v>
      </c>
      <c r="P159" s="4" t="s">
        <v>38</v>
      </c>
      <c r="Q159" s="4" t="s">
        <v>37</v>
      </c>
      <c r="R159" s="4" t="s">
        <v>39</v>
      </c>
      <c r="S159" s="4" t="s">
        <v>886</v>
      </c>
      <c r="T159" s="4" t="s">
        <v>395</v>
      </c>
      <c r="U159" s="4" t="s">
        <v>396</v>
      </c>
      <c r="V159" s="4" t="s">
        <v>44</v>
      </c>
      <c r="W159" s="4" t="s">
        <v>397</v>
      </c>
      <c r="X159" s="4"/>
      <c r="Y159" s="4"/>
      <c r="Z159" s="4" t="s">
        <v>46</v>
      </c>
      <c r="AA159" s="4" t="s">
        <v>398</v>
      </c>
      <c r="AB159" s="4" t="s">
        <v>83</v>
      </c>
      <c r="AC159" s="9">
        <v>1</v>
      </c>
      <c r="AD159" t="str">
        <f>VLOOKUP($T159,[1]NhanSu!$C$5:$M$229,11,0)</f>
        <v>SM0000168</v>
      </c>
    </row>
    <row r="160" spans="1:30" x14ac:dyDescent="0.45">
      <c r="A160" s="6" t="s">
        <v>28</v>
      </c>
      <c r="B160" s="5">
        <v>2643</v>
      </c>
      <c r="C160" s="5" t="s">
        <v>1013</v>
      </c>
      <c r="D160" s="5" t="s">
        <v>1014</v>
      </c>
      <c r="E160" s="5" t="s">
        <v>1016</v>
      </c>
      <c r="F160" s="5" t="s">
        <v>1017</v>
      </c>
      <c r="G160" s="5" t="s">
        <v>34</v>
      </c>
      <c r="H160" s="5" t="s">
        <v>54</v>
      </c>
      <c r="I160" s="5" t="s">
        <v>1018</v>
      </c>
      <c r="J160" s="5" t="s">
        <v>38</v>
      </c>
      <c r="K160" s="5" t="s">
        <v>38</v>
      </c>
      <c r="L160" s="5" t="s">
        <v>40</v>
      </c>
      <c r="M160" s="5" t="s">
        <v>38</v>
      </c>
      <c r="N160" s="5" t="s">
        <v>56</v>
      </c>
      <c r="O160" s="5" t="s">
        <v>39</v>
      </c>
      <c r="P160" s="5" t="s">
        <v>38</v>
      </c>
      <c r="Q160" s="5" t="s">
        <v>38</v>
      </c>
      <c r="R160" s="5" t="s">
        <v>40</v>
      </c>
      <c r="S160" s="5" t="s">
        <v>41</v>
      </c>
      <c r="T160" s="5" t="s">
        <v>602</v>
      </c>
      <c r="U160" s="5" t="s">
        <v>485</v>
      </c>
      <c r="V160" s="5" t="s">
        <v>44</v>
      </c>
      <c r="W160" s="5" t="s">
        <v>81</v>
      </c>
      <c r="X160" s="5"/>
      <c r="Y160" s="5"/>
      <c r="Z160" s="5" t="s">
        <v>46</v>
      </c>
      <c r="AA160" s="5" t="s">
        <v>486</v>
      </c>
      <c r="AB160" s="5" t="s">
        <v>48</v>
      </c>
      <c r="AC160" s="7">
        <v>1</v>
      </c>
      <c r="AD160" t="str">
        <f>VLOOKUP($T160,[1]NhanSu!$C$5:$M$229,11,0)</f>
        <v>SM0000206</v>
      </c>
    </row>
    <row r="161" spans="1:30" x14ac:dyDescent="0.45">
      <c r="A161" s="8" t="s">
        <v>28</v>
      </c>
      <c r="B161" s="4">
        <v>2853</v>
      </c>
      <c r="C161" s="4" t="s">
        <v>1152</v>
      </c>
      <c r="D161" s="4" t="s">
        <v>1153</v>
      </c>
      <c r="E161" s="4" t="s">
        <v>1155</v>
      </c>
      <c r="F161" s="4" t="s">
        <v>1156</v>
      </c>
      <c r="G161" s="4" t="s">
        <v>34</v>
      </c>
      <c r="H161" s="4" t="s">
        <v>555</v>
      </c>
      <c r="I161" s="4" t="s">
        <v>1157</v>
      </c>
      <c r="J161" s="4" t="s">
        <v>56</v>
      </c>
      <c r="K161" s="4" t="s">
        <v>37</v>
      </c>
      <c r="L161" s="4" t="s">
        <v>39</v>
      </c>
      <c r="M161" s="4" t="s">
        <v>37</v>
      </c>
      <c r="N161" s="4" t="s">
        <v>56</v>
      </c>
      <c r="O161" s="4" t="s">
        <v>39</v>
      </c>
      <c r="P161" s="4" t="s">
        <v>38</v>
      </c>
      <c r="Q161" s="4" t="s">
        <v>37</v>
      </c>
      <c r="R161" s="4" t="s">
        <v>39</v>
      </c>
      <c r="S161" s="4" t="s">
        <v>41</v>
      </c>
      <c r="T161" s="4" t="s">
        <v>501</v>
      </c>
      <c r="U161" s="4" t="s">
        <v>485</v>
      </c>
      <c r="V161" s="4" t="s">
        <v>44</v>
      </c>
      <c r="W161" s="4" t="s">
        <v>81</v>
      </c>
      <c r="X161" s="4"/>
      <c r="Y161" s="4"/>
      <c r="Z161" s="4" t="s">
        <v>46</v>
      </c>
      <c r="AA161" s="4" t="s">
        <v>486</v>
      </c>
      <c r="AB161" s="4" t="s">
        <v>48</v>
      </c>
      <c r="AC161" s="9">
        <v>1</v>
      </c>
      <c r="AD161" t="str">
        <f>VLOOKUP($T161,[1]NhanSu!$C$5:$M$229,11,0)</f>
        <v>SM0000213</v>
      </c>
    </row>
    <row r="162" spans="1:30" x14ac:dyDescent="0.45">
      <c r="A162" s="6" t="s">
        <v>28</v>
      </c>
      <c r="B162" s="5">
        <v>2875</v>
      </c>
      <c r="C162" s="5" t="s">
        <v>1170</v>
      </c>
      <c r="D162" s="5" t="s">
        <v>1171</v>
      </c>
      <c r="E162" s="5" t="s">
        <v>74</v>
      </c>
      <c r="F162" s="5" t="s">
        <v>1173</v>
      </c>
      <c r="G162" s="5" t="s">
        <v>34</v>
      </c>
      <c r="H162" s="5" t="s">
        <v>54</v>
      </c>
      <c r="I162" s="5" t="s">
        <v>1174</v>
      </c>
      <c r="J162" s="5" t="s">
        <v>37</v>
      </c>
      <c r="K162" s="5" t="s">
        <v>37</v>
      </c>
      <c r="L162" s="5" t="s">
        <v>40</v>
      </c>
      <c r="M162" s="5" t="s">
        <v>56</v>
      </c>
      <c r="N162" s="5" t="s">
        <v>56</v>
      </c>
      <c r="O162" s="5" t="s">
        <v>39</v>
      </c>
      <c r="P162" s="5" t="s">
        <v>38</v>
      </c>
      <c r="Q162" s="5" t="s">
        <v>38</v>
      </c>
      <c r="R162" s="5" t="s">
        <v>40</v>
      </c>
      <c r="S162" s="5" t="s">
        <v>41</v>
      </c>
      <c r="T162" s="5" t="s">
        <v>501</v>
      </c>
      <c r="U162" s="5" t="s">
        <v>485</v>
      </c>
      <c r="V162" s="5" t="s">
        <v>44</v>
      </c>
      <c r="W162" s="5" t="s">
        <v>81</v>
      </c>
      <c r="X162" s="5"/>
      <c r="Y162" s="5"/>
      <c r="Z162" s="5" t="s">
        <v>46</v>
      </c>
      <c r="AA162" s="5" t="s">
        <v>486</v>
      </c>
      <c r="AB162" s="5" t="s">
        <v>48</v>
      </c>
      <c r="AC162" s="7">
        <v>1</v>
      </c>
      <c r="AD162" t="str">
        <f>VLOOKUP($T162,[1]NhanSu!$C$5:$M$229,11,0)</f>
        <v>SM0000213</v>
      </c>
    </row>
    <row r="163" spans="1:30" x14ac:dyDescent="0.45">
      <c r="A163" s="8" t="s">
        <v>28</v>
      </c>
      <c r="B163" s="4">
        <v>3153</v>
      </c>
      <c r="C163" s="4" t="s">
        <v>1367</v>
      </c>
      <c r="D163" s="4" t="s">
        <v>1368</v>
      </c>
      <c r="E163" s="4" t="s">
        <v>108</v>
      </c>
      <c r="F163" s="4" t="s">
        <v>53</v>
      </c>
      <c r="G163" s="4" t="s">
        <v>34</v>
      </c>
      <c r="H163" s="4" t="s">
        <v>54</v>
      </c>
      <c r="I163" s="4" t="s">
        <v>1369</v>
      </c>
      <c r="J163" s="4" t="s">
        <v>38</v>
      </c>
      <c r="K163" s="4" t="s">
        <v>38</v>
      </c>
      <c r="L163" s="4" t="s">
        <v>40</v>
      </c>
      <c r="M163" s="4" t="s">
        <v>38</v>
      </c>
      <c r="N163" s="4" t="s">
        <v>38</v>
      </c>
      <c r="O163" s="4" t="s">
        <v>40</v>
      </c>
      <c r="P163" s="4" t="s">
        <v>38</v>
      </c>
      <c r="Q163" s="4" t="s">
        <v>38</v>
      </c>
      <c r="R163" s="4" t="s">
        <v>40</v>
      </c>
      <c r="S163" s="4" t="s">
        <v>41</v>
      </c>
      <c r="T163" s="4" t="s">
        <v>602</v>
      </c>
      <c r="U163" s="4" t="s">
        <v>485</v>
      </c>
      <c r="V163" s="4" t="s">
        <v>44</v>
      </c>
      <c r="W163" s="4" t="s">
        <v>81</v>
      </c>
      <c r="X163" s="4"/>
      <c r="Y163" s="4"/>
      <c r="Z163" s="4" t="s">
        <v>46</v>
      </c>
      <c r="AA163" s="4" t="s">
        <v>486</v>
      </c>
      <c r="AB163" s="4" t="s">
        <v>48</v>
      </c>
      <c r="AC163" s="9">
        <v>1</v>
      </c>
      <c r="AD163" t="str">
        <f>VLOOKUP($T163,[1]NhanSu!$C$5:$M$229,11,0)</f>
        <v>SM0000206</v>
      </c>
    </row>
    <row r="164" spans="1:30" x14ac:dyDescent="0.45">
      <c r="A164" s="6" t="s">
        <v>28</v>
      </c>
      <c r="B164" s="5">
        <v>3164</v>
      </c>
      <c r="C164" s="5" t="s">
        <v>1370</v>
      </c>
      <c r="D164" s="5" t="s">
        <v>1371</v>
      </c>
      <c r="E164" s="5" t="s">
        <v>1373</v>
      </c>
      <c r="F164" s="5" t="s">
        <v>1374</v>
      </c>
      <c r="G164" s="5" t="s">
        <v>34</v>
      </c>
      <c r="H164" s="5" t="s">
        <v>620</v>
      </c>
      <c r="I164" s="5" t="s">
        <v>1375</v>
      </c>
      <c r="J164" s="5" t="s">
        <v>38</v>
      </c>
      <c r="K164" s="5" t="s">
        <v>38</v>
      </c>
      <c r="L164" s="5" t="s">
        <v>40</v>
      </c>
      <c r="M164" s="5" t="s">
        <v>38</v>
      </c>
      <c r="N164" s="5" t="s">
        <v>38</v>
      </c>
      <c r="O164" s="5" t="s">
        <v>40</v>
      </c>
      <c r="P164" s="5" t="s">
        <v>38</v>
      </c>
      <c r="Q164" s="5" t="s">
        <v>38</v>
      </c>
      <c r="R164" s="5" t="s">
        <v>40</v>
      </c>
      <c r="S164" s="5" t="s">
        <v>41</v>
      </c>
      <c r="T164" s="5" t="s">
        <v>602</v>
      </c>
      <c r="U164" s="5" t="s">
        <v>485</v>
      </c>
      <c r="V164" s="5" t="s">
        <v>44</v>
      </c>
      <c r="W164" s="5" t="s">
        <v>81</v>
      </c>
      <c r="X164" s="5"/>
      <c r="Y164" s="5"/>
      <c r="Z164" s="5" t="s">
        <v>46</v>
      </c>
      <c r="AA164" s="5" t="s">
        <v>486</v>
      </c>
      <c r="AB164" s="5" t="s">
        <v>48</v>
      </c>
      <c r="AC164" s="7">
        <v>1</v>
      </c>
      <c r="AD164" t="str">
        <f>VLOOKUP($T164,[1]NhanSu!$C$5:$M$229,11,0)</f>
        <v>SM0000206</v>
      </c>
    </row>
    <row r="165" spans="1:30" x14ac:dyDescent="0.45">
      <c r="A165" s="8" t="s">
        <v>28</v>
      </c>
      <c r="B165" s="4">
        <v>3208</v>
      </c>
      <c r="C165" s="4" t="s">
        <v>1421</v>
      </c>
      <c r="D165" s="4" t="s">
        <v>1422</v>
      </c>
      <c r="E165" s="4" t="s">
        <v>376</v>
      </c>
      <c r="F165" s="4" t="s">
        <v>1423</v>
      </c>
      <c r="G165" s="4" t="s">
        <v>34</v>
      </c>
      <c r="H165" s="4" t="s">
        <v>54</v>
      </c>
      <c r="I165" s="4" t="s">
        <v>1424</v>
      </c>
      <c r="J165" s="4" t="s">
        <v>37</v>
      </c>
      <c r="K165" s="4" t="s">
        <v>37</v>
      </c>
      <c r="L165" s="4" t="s">
        <v>40</v>
      </c>
      <c r="M165" s="4" t="s">
        <v>38</v>
      </c>
      <c r="N165" s="4" t="s">
        <v>56</v>
      </c>
      <c r="O165" s="4" t="s">
        <v>40</v>
      </c>
      <c r="P165" s="4" t="s">
        <v>38</v>
      </c>
      <c r="Q165" s="4" t="s">
        <v>37</v>
      </c>
      <c r="R165" s="4" t="s">
        <v>40</v>
      </c>
      <c r="S165" s="4" t="s">
        <v>41</v>
      </c>
      <c r="T165" s="4" t="s">
        <v>501</v>
      </c>
      <c r="U165" s="4" t="s">
        <v>485</v>
      </c>
      <c r="V165" s="4" t="s">
        <v>44</v>
      </c>
      <c r="W165" s="4" t="s">
        <v>81</v>
      </c>
      <c r="X165" s="4"/>
      <c r="Y165" s="4"/>
      <c r="Z165" s="4" t="s">
        <v>46</v>
      </c>
      <c r="AA165" s="4" t="s">
        <v>486</v>
      </c>
      <c r="AB165" s="4" t="s">
        <v>48</v>
      </c>
      <c r="AC165" s="9">
        <v>1</v>
      </c>
      <c r="AD165" t="str">
        <f>VLOOKUP($T165,[1]NhanSu!$C$5:$M$229,11,0)</f>
        <v>SM0000213</v>
      </c>
    </row>
    <row r="166" spans="1:30" x14ac:dyDescent="0.45">
      <c r="A166" s="6" t="s">
        <v>28</v>
      </c>
      <c r="B166" s="5">
        <v>3216</v>
      </c>
      <c r="C166" s="5" t="s">
        <v>1434</v>
      </c>
      <c r="D166" s="5" t="s">
        <v>1435</v>
      </c>
      <c r="E166" s="5" t="s">
        <v>1436</v>
      </c>
      <c r="F166" s="5" t="s">
        <v>70</v>
      </c>
      <c r="G166" s="5" t="s">
        <v>34</v>
      </c>
      <c r="H166" s="5" t="s">
        <v>54</v>
      </c>
      <c r="I166" s="5" t="s">
        <v>1437</v>
      </c>
      <c r="J166" s="5" t="s">
        <v>37</v>
      </c>
      <c r="K166" s="5" t="s">
        <v>37</v>
      </c>
      <c r="L166" s="5" t="s">
        <v>39</v>
      </c>
      <c r="M166" s="5" t="s">
        <v>37</v>
      </c>
      <c r="N166" s="5" t="s">
        <v>56</v>
      </c>
      <c r="O166" s="5" t="s">
        <v>39</v>
      </c>
      <c r="P166" s="5" t="s">
        <v>38</v>
      </c>
      <c r="Q166" s="5" t="s">
        <v>38</v>
      </c>
      <c r="R166" s="5" t="s">
        <v>40</v>
      </c>
      <c r="S166" s="5" t="s">
        <v>41</v>
      </c>
      <c r="T166" s="5" t="s">
        <v>501</v>
      </c>
      <c r="U166" s="5" t="s">
        <v>485</v>
      </c>
      <c r="V166" s="5" t="s">
        <v>44</v>
      </c>
      <c r="W166" s="5" t="s">
        <v>81</v>
      </c>
      <c r="X166" s="5"/>
      <c r="Y166" s="5"/>
      <c r="Z166" s="5" t="s">
        <v>46</v>
      </c>
      <c r="AA166" s="5" t="s">
        <v>486</v>
      </c>
      <c r="AB166" s="5" t="s">
        <v>48</v>
      </c>
      <c r="AC166" s="7">
        <v>1</v>
      </c>
      <c r="AD166" t="str">
        <f>VLOOKUP($T166,[1]NhanSu!$C$5:$M$229,11,0)</f>
        <v>SM0000213</v>
      </c>
    </row>
    <row r="167" spans="1:30" x14ac:dyDescent="0.45">
      <c r="A167" s="8" t="s">
        <v>28</v>
      </c>
      <c r="B167" s="4">
        <v>3217</v>
      </c>
      <c r="C167" s="4" t="s">
        <v>1438</v>
      </c>
      <c r="D167" s="4" t="s">
        <v>1439</v>
      </c>
      <c r="E167" s="4" t="s">
        <v>148</v>
      </c>
      <c r="F167" s="4" t="s">
        <v>441</v>
      </c>
      <c r="G167" s="4" t="s">
        <v>34</v>
      </c>
      <c r="H167" s="4" t="s">
        <v>171</v>
      </c>
      <c r="I167" s="4" t="s">
        <v>1440</v>
      </c>
      <c r="J167" s="4" t="s">
        <v>38</v>
      </c>
      <c r="K167" s="4" t="s">
        <v>37</v>
      </c>
      <c r="L167" s="4" t="s">
        <v>39</v>
      </c>
      <c r="M167" s="4" t="s">
        <v>38</v>
      </c>
      <c r="N167" s="4" t="s">
        <v>38</v>
      </c>
      <c r="O167" s="4" t="s">
        <v>40</v>
      </c>
      <c r="P167" s="4" t="s">
        <v>38</v>
      </c>
      <c r="Q167" s="4" t="s">
        <v>37</v>
      </c>
      <c r="R167" s="4" t="s">
        <v>40</v>
      </c>
      <c r="S167" s="4" t="s">
        <v>41</v>
      </c>
      <c r="T167" s="4" t="s">
        <v>438</v>
      </c>
      <c r="U167" s="4" t="s">
        <v>80</v>
      </c>
      <c r="V167" s="4" t="s">
        <v>44</v>
      </c>
      <c r="W167" s="4" t="s">
        <v>81</v>
      </c>
      <c r="X167" s="4"/>
      <c r="Y167" s="4"/>
      <c r="Z167" s="4" t="s">
        <v>46</v>
      </c>
      <c r="AA167" s="4" t="s">
        <v>82</v>
      </c>
      <c r="AB167" s="4" t="s">
        <v>83</v>
      </c>
      <c r="AC167" s="9">
        <v>1</v>
      </c>
      <c r="AD167" t="str">
        <f>VLOOKUP($T167,[1]NhanSu!$C$5:$M$229,11,0)</f>
        <v>SM0000209</v>
      </c>
    </row>
    <row r="168" spans="1:30" x14ac:dyDescent="0.45">
      <c r="A168" s="6" t="s">
        <v>28</v>
      </c>
      <c r="B168" s="5">
        <v>3218</v>
      </c>
      <c r="C168" s="5" t="s">
        <v>1441</v>
      </c>
      <c r="D168" s="5" t="s">
        <v>1442</v>
      </c>
      <c r="E168" s="5" t="s">
        <v>1444</v>
      </c>
      <c r="F168" s="5" t="s">
        <v>1445</v>
      </c>
      <c r="G168" s="5" t="s">
        <v>34</v>
      </c>
      <c r="H168" s="5" t="s">
        <v>834</v>
      </c>
      <c r="I168" s="5" t="s">
        <v>1446</v>
      </c>
      <c r="J168" s="5" t="s">
        <v>38</v>
      </c>
      <c r="K168" s="5" t="s">
        <v>38</v>
      </c>
      <c r="L168" s="5" t="s">
        <v>40</v>
      </c>
      <c r="M168" s="5" t="s">
        <v>37</v>
      </c>
      <c r="N168" s="5" t="s">
        <v>38</v>
      </c>
      <c r="O168" s="5" t="s">
        <v>39</v>
      </c>
      <c r="P168" s="5" t="s">
        <v>38</v>
      </c>
      <c r="Q168" s="5" t="s">
        <v>38</v>
      </c>
      <c r="R168" s="5" t="s">
        <v>40</v>
      </c>
      <c r="S168" s="5" t="s">
        <v>41</v>
      </c>
      <c r="T168" s="5" t="s">
        <v>79</v>
      </c>
      <c r="U168" s="5" t="s">
        <v>80</v>
      </c>
      <c r="V168" s="5" t="s">
        <v>44</v>
      </c>
      <c r="W168" s="5" t="s">
        <v>81</v>
      </c>
      <c r="X168" s="5"/>
      <c r="Y168" s="5"/>
      <c r="Z168" s="5" t="s">
        <v>46</v>
      </c>
      <c r="AA168" s="5" t="s">
        <v>82</v>
      </c>
      <c r="AB168" s="5" t="s">
        <v>83</v>
      </c>
      <c r="AC168" s="7">
        <v>1</v>
      </c>
      <c r="AD168" t="str">
        <f>VLOOKUP($T168,[1]NhanSu!$C$5:$M$229,11,0)</f>
        <v>SM0000225</v>
      </c>
    </row>
    <row r="169" spans="1:30" x14ac:dyDescent="0.45">
      <c r="A169" s="8" t="s">
        <v>28</v>
      </c>
      <c r="B169" s="4">
        <v>3219</v>
      </c>
      <c r="C169" s="4" t="s">
        <v>1447</v>
      </c>
      <c r="D169" s="4" t="s">
        <v>1448</v>
      </c>
      <c r="E169" s="4" t="s">
        <v>1449</v>
      </c>
      <c r="F169" s="4" t="s">
        <v>1450</v>
      </c>
      <c r="G169" s="4" t="s">
        <v>34</v>
      </c>
      <c r="H169" s="4" t="s">
        <v>54</v>
      </c>
      <c r="I169" s="4" t="s">
        <v>1451</v>
      </c>
      <c r="J169" s="4" t="s">
        <v>38</v>
      </c>
      <c r="K169" s="4" t="s">
        <v>38</v>
      </c>
      <c r="L169" s="4" t="s">
        <v>40</v>
      </c>
      <c r="M169" s="4" t="s">
        <v>56</v>
      </c>
      <c r="N169" s="4" t="s">
        <v>56</v>
      </c>
      <c r="O169" s="4" t="s">
        <v>39</v>
      </c>
      <c r="P169" s="4" t="s">
        <v>38</v>
      </c>
      <c r="Q169" s="4" t="s">
        <v>38</v>
      </c>
      <c r="R169" s="4" t="s">
        <v>40</v>
      </c>
      <c r="S169" s="4" t="s">
        <v>1452</v>
      </c>
      <c r="T169" s="4" t="s">
        <v>79</v>
      </c>
      <c r="U169" s="4" t="s">
        <v>80</v>
      </c>
      <c r="V169" s="4" t="s">
        <v>44</v>
      </c>
      <c r="W169" s="4" t="s">
        <v>81</v>
      </c>
      <c r="X169" s="4" t="s">
        <v>46</v>
      </c>
      <c r="Y169" s="4"/>
      <c r="Z169" s="4" t="s">
        <v>46</v>
      </c>
      <c r="AA169" s="4" t="s">
        <v>82</v>
      </c>
      <c r="AB169" s="4" t="s">
        <v>83</v>
      </c>
      <c r="AC169" s="9">
        <v>1</v>
      </c>
      <c r="AD169" t="str">
        <f>VLOOKUP($T169,[1]NhanSu!$C$5:$M$229,11,0)</f>
        <v>SM0000225</v>
      </c>
    </row>
    <row r="170" spans="1:30" x14ac:dyDescent="0.45">
      <c r="A170" s="6" t="s">
        <v>28</v>
      </c>
      <c r="B170" s="5">
        <v>3220</v>
      </c>
      <c r="C170" s="5" t="s">
        <v>1453</v>
      </c>
      <c r="D170" s="5" t="s">
        <v>881</v>
      </c>
      <c r="E170" s="5" t="s">
        <v>138</v>
      </c>
      <c r="F170" s="5" t="s">
        <v>1454</v>
      </c>
      <c r="G170" s="5" t="s">
        <v>34</v>
      </c>
      <c r="H170" s="5" t="s">
        <v>35</v>
      </c>
      <c r="I170" s="5" t="s">
        <v>1455</v>
      </c>
      <c r="J170" s="5" t="s">
        <v>38</v>
      </c>
      <c r="K170" s="5" t="s">
        <v>38</v>
      </c>
      <c r="L170" s="5" t="s">
        <v>39</v>
      </c>
      <c r="M170" s="5" t="s">
        <v>38</v>
      </c>
      <c r="N170" s="5" t="s">
        <v>38</v>
      </c>
      <c r="O170" s="5" t="s">
        <v>40</v>
      </c>
      <c r="P170" s="5" t="s">
        <v>38</v>
      </c>
      <c r="Q170" s="5" t="s">
        <v>38</v>
      </c>
      <c r="R170" s="5" t="s">
        <v>40</v>
      </c>
      <c r="S170" s="5" t="s">
        <v>41</v>
      </c>
      <c r="T170" s="5" t="s">
        <v>438</v>
      </c>
      <c r="U170" s="5" t="s">
        <v>80</v>
      </c>
      <c r="V170" s="5" t="s">
        <v>44</v>
      </c>
      <c r="W170" s="5" t="s">
        <v>81</v>
      </c>
      <c r="X170" s="5"/>
      <c r="Y170" s="5"/>
      <c r="Z170" s="5" t="s">
        <v>46</v>
      </c>
      <c r="AA170" s="5" t="s">
        <v>82</v>
      </c>
      <c r="AB170" s="5" t="s">
        <v>83</v>
      </c>
      <c r="AC170" s="7">
        <v>1</v>
      </c>
      <c r="AD170" t="str">
        <f>VLOOKUP($T170,[1]NhanSu!$C$5:$M$229,11,0)</f>
        <v>SM0000209</v>
      </c>
    </row>
    <row r="171" spans="1:30" x14ac:dyDescent="0.45">
      <c r="A171" s="8" t="s">
        <v>28</v>
      </c>
      <c r="B171" s="4">
        <v>3222</v>
      </c>
      <c r="C171" s="4" t="s">
        <v>1461</v>
      </c>
      <c r="D171" s="4" t="s">
        <v>1462</v>
      </c>
      <c r="E171" s="4" t="s">
        <v>1463</v>
      </c>
      <c r="F171" s="4" t="s">
        <v>1464</v>
      </c>
      <c r="G171" s="4" t="s">
        <v>34</v>
      </c>
      <c r="H171" s="4" t="s">
        <v>133</v>
      </c>
      <c r="I171" s="4" t="s">
        <v>1465</v>
      </c>
      <c r="J171" s="4" t="s">
        <v>38</v>
      </c>
      <c r="K171" s="4" t="s">
        <v>38</v>
      </c>
      <c r="L171" s="4" t="s">
        <v>40</v>
      </c>
      <c r="M171" s="4" t="s">
        <v>38</v>
      </c>
      <c r="N171" s="4" t="s">
        <v>56</v>
      </c>
      <c r="O171" s="4" t="s">
        <v>39</v>
      </c>
      <c r="P171" s="4" t="s">
        <v>38</v>
      </c>
      <c r="Q171" s="4" t="s">
        <v>38</v>
      </c>
      <c r="R171" s="4" t="s">
        <v>40</v>
      </c>
      <c r="S171" s="4" t="s">
        <v>41</v>
      </c>
      <c r="T171" s="4" t="s">
        <v>602</v>
      </c>
      <c r="U171" s="4" t="s">
        <v>485</v>
      </c>
      <c r="V171" s="4" t="s">
        <v>44</v>
      </c>
      <c r="W171" s="4" t="s">
        <v>81</v>
      </c>
      <c r="X171" s="4"/>
      <c r="Y171" s="4"/>
      <c r="Z171" s="4" t="s">
        <v>46</v>
      </c>
      <c r="AA171" s="4" t="s">
        <v>486</v>
      </c>
      <c r="AB171" s="4" t="s">
        <v>48</v>
      </c>
      <c r="AC171" s="9">
        <v>1</v>
      </c>
      <c r="AD171" t="str">
        <f>VLOOKUP($T171,[1]NhanSu!$C$5:$M$229,11,0)</f>
        <v>SM0000206</v>
      </c>
    </row>
    <row r="172" spans="1:30" x14ac:dyDescent="0.45">
      <c r="A172" s="6" t="s">
        <v>28</v>
      </c>
      <c r="B172" s="5">
        <v>3231</v>
      </c>
      <c r="C172" s="5" t="s">
        <v>1479</v>
      </c>
      <c r="D172" s="5" t="s">
        <v>1480</v>
      </c>
      <c r="E172" s="5" t="s">
        <v>1481</v>
      </c>
      <c r="F172" s="5" t="s">
        <v>1482</v>
      </c>
      <c r="G172" s="5" t="s">
        <v>34</v>
      </c>
      <c r="H172" s="5" t="s">
        <v>1483</v>
      </c>
      <c r="I172" s="5" t="s">
        <v>1484</v>
      </c>
      <c r="J172" s="5" t="s">
        <v>38</v>
      </c>
      <c r="K172" s="5" t="s">
        <v>38</v>
      </c>
      <c r="L172" s="5" t="s">
        <v>40</v>
      </c>
      <c r="M172" s="5" t="s">
        <v>38</v>
      </c>
      <c r="N172" s="5" t="s">
        <v>56</v>
      </c>
      <c r="O172" s="5" t="s">
        <v>39</v>
      </c>
      <c r="P172" s="5" t="s">
        <v>38</v>
      </c>
      <c r="Q172" s="5" t="s">
        <v>38</v>
      </c>
      <c r="R172" s="5" t="s">
        <v>40</v>
      </c>
      <c r="S172" s="5" t="s">
        <v>41</v>
      </c>
      <c r="T172" s="5" t="s">
        <v>79</v>
      </c>
      <c r="U172" s="5" t="s">
        <v>80</v>
      </c>
      <c r="V172" s="5" t="s">
        <v>44</v>
      </c>
      <c r="W172" s="5" t="s">
        <v>81</v>
      </c>
      <c r="X172" s="5"/>
      <c r="Y172" s="5"/>
      <c r="Z172" s="5" t="s">
        <v>46</v>
      </c>
      <c r="AA172" s="5" t="s">
        <v>82</v>
      </c>
      <c r="AB172" s="5" t="s">
        <v>83</v>
      </c>
      <c r="AC172" s="7">
        <v>1</v>
      </c>
      <c r="AD172" t="str">
        <f>VLOOKUP($T172,[1]NhanSu!$C$5:$M$229,11,0)</f>
        <v>SM0000225</v>
      </c>
    </row>
    <row r="173" spans="1:30" x14ac:dyDescent="0.45">
      <c r="A173" s="8" t="s">
        <v>28</v>
      </c>
      <c r="B173" s="4">
        <v>3237</v>
      </c>
      <c r="C173" s="4" t="s">
        <v>1485</v>
      </c>
      <c r="D173" s="4" t="s">
        <v>1486</v>
      </c>
      <c r="E173" s="4" t="s">
        <v>1487</v>
      </c>
      <c r="F173" s="4" t="s">
        <v>1488</v>
      </c>
      <c r="G173" s="4" t="s">
        <v>34</v>
      </c>
      <c r="H173" s="4" t="s">
        <v>1483</v>
      </c>
      <c r="I173" s="4" t="s">
        <v>1489</v>
      </c>
      <c r="J173" s="4" t="s">
        <v>38</v>
      </c>
      <c r="K173" s="4" t="s">
        <v>38</v>
      </c>
      <c r="L173" s="4" t="s">
        <v>40</v>
      </c>
      <c r="M173" s="4" t="s">
        <v>37</v>
      </c>
      <c r="N173" s="4" t="s">
        <v>38</v>
      </c>
      <c r="O173" s="4" t="s">
        <v>40</v>
      </c>
      <c r="P173" s="4" t="s">
        <v>38</v>
      </c>
      <c r="Q173" s="4" t="s">
        <v>38</v>
      </c>
      <c r="R173" s="4" t="s">
        <v>40</v>
      </c>
      <c r="S173" s="4" t="s">
        <v>41</v>
      </c>
      <c r="T173" s="4" t="s">
        <v>79</v>
      </c>
      <c r="U173" s="4" t="s">
        <v>80</v>
      </c>
      <c r="V173" s="4" t="s">
        <v>44</v>
      </c>
      <c r="W173" s="4" t="s">
        <v>81</v>
      </c>
      <c r="X173" s="4"/>
      <c r="Y173" s="4"/>
      <c r="Z173" s="4" t="s">
        <v>46</v>
      </c>
      <c r="AA173" s="4" t="s">
        <v>82</v>
      </c>
      <c r="AB173" s="4" t="s">
        <v>83</v>
      </c>
      <c r="AC173" s="9">
        <v>1</v>
      </c>
      <c r="AD173" t="str">
        <f>VLOOKUP($T173,[1]NhanSu!$C$5:$M$229,11,0)</f>
        <v>SM0000225</v>
      </c>
    </row>
    <row r="174" spans="1:30" x14ac:dyDescent="0.45">
      <c r="A174" s="6" t="s">
        <v>28</v>
      </c>
      <c r="B174" s="5">
        <v>3242</v>
      </c>
      <c r="C174" s="5" t="s">
        <v>1501</v>
      </c>
      <c r="D174" s="5" t="s">
        <v>1502</v>
      </c>
      <c r="E174" s="5" t="s">
        <v>1503</v>
      </c>
      <c r="F174" s="5" t="s">
        <v>1504</v>
      </c>
      <c r="G174" s="5" t="s">
        <v>34</v>
      </c>
      <c r="H174" s="5" t="s">
        <v>565</v>
      </c>
      <c r="I174" s="5" t="s">
        <v>1505</v>
      </c>
      <c r="J174" s="5" t="s">
        <v>38</v>
      </c>
      <c r="K174" s="5" t="s">
        <v>38</v>
      </c>
      <c r="L174" s="5" t="s">
        <v>40</v>
      </c>
      <c r="M174" s="5" t="s">
        <v>38</v>
      </c>
      <c r="N174" s="5" t="s">
        <v>38</v>
      </c>
      <c r="O174" s="5" t="s">
        <v>40</v>
      </c>
      <c r="P174" s="5" t="s">
        <v>38</v>
      </c>
      <c r="Q174" s="5" t="s">
        <v>38</v>
      </c>
      <c r="R174" s="5" t="s">
        <v>40</v>
      </c>
      <c r="S174" s="5" t="s">
        <v>41</v>
      </c>
      <c r="T174" s="5" t="s">
        <v>79</v>
      </c>
      <c r="U174" s="5" t="s">
        <v>80</v>
      </c>
      <c r="V174" s="5" t="s">
        <v>44</v>
      </c>
      <c r="W174" s="5" t="s">
        <v>81</v>
      </c>
      <c r="X174" s="5"/>
      <c r="Y174" s="5"/>
      <c r="Z174" s="5" t="s">
        <v>46</v>
      </c>
      <c r="AA174" s="5" t="s">
        <v>82</v>
      </c>
      <c r="AB174" s="5" t="s">
        <v>83</v>
      </c>
      <c r="AC174" s="7">
        <v>1</v>
      </c>
      <c r="AD174" t="str">
        <f>VLOOKUP($T174,[1]NhanSu!$C$5:$M$229,11,0)</f>
        <v>SM0000225</v>
      </c>
    </row>
    <row r="175" spans="1:30" x14ac:dyDescent="0.45">
      <c r="A175" s="8" t="s">
        <v>28</v>
      </c>
      <c r="B175" s="4">
        <v>3255</v>
      </c>
      <c r="C175" s="4" t="s">
        <v>1517</v>
      </c>
      <c r="D175" s="4" t="s">
        <v>1518</v>
      </c>
      <c r="E175" s="4" t="s">
        <v>1519</v>
      </c>
      <c r="F175" s="4" t="s">
        <v>1520</v>
      </c>
      <c r="G175" s="4" t="s">
        <v>177</v>
      </c>
      <c r="H175" s="4" t="s">
        <v>917</v>
      </c>
      <c r="I175" s="4" t="s">
        <v>1521</v>
      </c>
      <c r="J175" s="4" t="s">
        <v>38</v>
      </c>
      <c r="K175" s="4" t="s">
        <v>38</v>
      </c>
      <c r="L175" s="4" t="s">
        <v>40</v>
      </c>
      <c r="M175" s="4" t="s">
        <v>56</v>
      </c>
      <c r="N175" s="4" t="s">
        <v>38</v>
      </c>
      <c r="O175" s="4" t="s">
        <v>39</v>
      </c>
      <c r="P175" s="4" t="s">
        <v>38</v>
      </c>
      <c r="Q175" s="4" t="s">
        <v>38</v>
      </c>
      <c r="R175" s="4" t="s">
        <v>40</v>
      </c>
      <c r="S175" s="4" t="s">
        <v>1522</v>
      </c>
      <c r="T175" s="4" t="s">
        <v>79</v>
      </c>
      <c r="U175" s="4" t="s">
        <v>80</v>
      </c>
      <c r="V175" s="4" t="s">
        <v>44</v>
      </c>
      <c r="W175" s="4" t="s">
        <v>81</v>
      </c>
      <c r="X175" s="4"/>
      <c r="Y175" s="4"/>
      <c r="Z175" s="4" t="s">
        <v>46</v>
      </c>
      <c r="AA175" s="4" t="s">
        <v>82</v>
      </c>
      <c r="AB175" s="4" t="s">
        <v>83</v>
      </c>
      <c r="AC175" s="9">
        <v>1</v>
      </c>
      <c r="AD175" t="str">
        <f>VLOOKUP($T175,[1]NhanSu!$C$5:$M$229,11,0)</f>
        <v>SM0000225</v>
      </c>
    </row>
    <row r="176" spans="1:30" x14ac:dyDescent="0.45">
      <c r="A176" s="6" t="s">
        <v>28</v>
      </c>
      <c r="B176" s="5">
        <v>3276</v>
      </c>
      <c r="C176" s="5" t="s">
        <v>1552</v>
      </c>
      <c r="D176" s="5" t="s">
        <v>1553</v>
      </c>
      <c r="E176" s="5" t="s">
        <v>1555</v>
      </c>
      <c r="F176" s="5" t="s">
        <v>653</v>
      </c>
      <c r="G176" s="5" t="s">
        <v>34</v>
      </c>
      <c r="H176" s="5" t="s">
        <v>842</v>
      </c>
      <c r="I176" s="5" t="s">
        <v>1556</v>
      </c>
      <c r="J176" s="5" t="s">
        <v>38</v>
      </c>
      <c r="K176" s="5" t="s">
        <v>38</v>
      </c>
      <c r="L176" s="5" t="s">
        <v>40</v>
      </c>
      <c r="M176" s="5" t="s">
        <v>38</v>
      </c>
      <c r="N176" s="5" t="s">
        <v>37</v>
      </c>
      <c r="O176" s="5" t="s">
        <v>39</v>
      </c>
      <c r="P176" s="5" t="s">
        <v>38</v>
      </c>
      <c r="Q176" s="5" t="s">
        <v>38</v>
      </c>
      <c r="R176" s="5" t="s">
        <v>40</v>
      </c>
      <c r="S176" s="5" t="s">
        <v>1557</v>
      </c>
      <c r="T176" s="5" t="s">
        <v>103</v>
      </c>
      <c r="U176" s="5" t="s">
        <v>104</v>
      </c>
      <c r="V176" s="5" t="s">
        <v>44</v>
      </c>
      <c r="W176" s="5" t="s">
        <v>105</v>
      </c>
      <c r="X176" s="5"/>
      <c r="Y176" s="5"/>
      <c r="Z176" s="5" t="s">
        <v>46</v>
      </c>
      <c r="AA176" s="5" t="s">
        <v>47</v>
      </c>
      <c r="AB176" s="5" t="s">
        <v>48</v>
      </c>
      <c r="AC176" s="7">
        <v>1</v>
      </c>
      <c r="AD176" t="str">
        <f>VLOOKUP($T176,[1]NhanSu!$C$5:$M$229,11,0)</f>
        <v>SM0000090</v>
      </c>
    </row>
    <row r="177" spans="1:30" x14ac:dyDescent="0.45">
      <c r="A177" s="8" t="s">
        <v>28</v>
      </c>
      <c r="B177" s="4">
        <v>3280</v>
      </c>
      <c r="C177" s="4" t="s">
        <v>1558</v>
      </c>
      <c r="D177" s="4" t="s">
        <v>1559</v>
      </c>
      <c r="E177" s="4" t="s">
        <v>1560</v>
      </c>
      <c r="F177" s="4" t="s">
        <v>1561</v>
      </c>
      <c r="G177" s="4" t="s">
        <v>177</v>
      </c>
      <c r="H177" s="4" t="s">
        <v>1188</v>
      </c>
      <c r="I177" s="4" t="s">
        <v>1562</v>
      </c>
      <c r="J177" s="4" t="s">
        <v>38</v>
      </c>
      <c r="K177" s="4" t="s">
        <v>38</v>
      </c>
      <c r="L177" s="4" t="s">
        <v>40</v>
      </c>
      <c r="M177" s="4" t="s">
        <v>37</v>
      </c>
      <c r="N177" s="4" t="s">
        <v>38</v>
      </c>
      <c r="O177" s="4" t="s">
        <v>39</v>
      </c>
      <c r="P177" s="4" t="s">
        <v>38</v>
      </c>
      <c r="Q177" s="4" t="s">
        <v>38</v>
      </c>
      <c r="R177" s="4" t="s">
        <v>40</v>
      </c>
      <c r="S177" s="4" t="s">
        <v>41</v>
      </c>
      <c r="T177" s="4" t="s">
        <v>79</v>
      </c>
      <c r="U177" s="4" t="s">
        <v>80</v>
      </c>
      <c r="V177" s="4" t="s">
        <v>44</v>
      </c>
      <c r="W177" s="4" t="s">
        <v>81</v>
      </c>
      <c r="X177" s="4"/>
      <c r="Y177" s="4"/>
      <c r="Z177" s="4" t="s">
        <v>46</v>
      </c>
      <c r="AA177" s="4" t="s">
        <v>82</v>
      </c>
      <c r="AB177" s="4" t="s">
        <v>83</v>
      </c>
      <c r="AC177" s="9">
        <v>1</v>
      </c>
      <c r="AD177" t="str">
        <f>VLOOKUP($T177,[1]NhanSu!$C$5:$M$229,11,0)</f>
        <v>SM0000225</v>
      </c>
    </row>
    <row r="178" spans="1:30" x14ac:dyDescent="0.45">
      <c r="A178" s="6" t="s">
        <v>1593</v>
      </c>
      <c r="B178" s="5">
        <v>290</v>
      </c>
      <c r="C178" s="5" t="s">
        <v>1619</v>
      </c>
      <c r="D178" s="5" t="s">
        <v>1620</v>
      </c>
      <c r="E178" s="5" t="s">
        <v>1622</v>
      </c>
      <c r="F178" s="5" t="s">
        <v>1623</v>
      </c>
      <c r="G178" s="5" t="s">
        <v>1624</v>
      </c>
      <c r="H178" s="5" t="s">
        <v>1184</v>
      </c>
      <c r="I178" s="5" t="s">
        <v>1625</v>
      </c>
      <c r="J178" s="5" t="s">
        <v>38</v>
      </c>
      <c r="K178" s="5" t="s">
        <v>38</v>
      </c>
      <c r="L178" s="5" t="s">
        <v>40</v>
      </c>
      <c r="M178" s="5" t="s">
        <v>56</v>
      </c>
      <c r="N178" s="5" t="s">
        <v>37</v>
      </c>
      <c r="O178" s="5" t="s">
        <v>39</v>
      </c>
      <c r="P178" s="5" t="s">
        <v>38</v>
      </c>
      <c r="Q178" s="5" t="s">
        <v>38</v>
      </c>
      <c r="R178" s="5" t="s">
        <v>39</v>
      </c>
      <c r="S178" s="5" t="s">
        <v>41</v>
      </c>
      <c r="T178" s="5" t="s">
        <v>1626</v>
      </c>
      <c r="U178" s="5" t="s">
        <v>1627</v>
      </c>
      <c r="V178" s="5" t="s">
        <v>1602</v>
      </c>
      <c r="W178" s="5" t="s">
        <v>1628</v>
      </c>
      <c r="X178" s="5" t="s">
        <v>46</v>
      </c>
      <c r="Y178" s="5"/>
      <c r="Z178" s="5" t="s">
        <v>46</v>
      </c>
      <c r="AA178" s="5" t="s">
        <v>1629</v>
      </c>
      <c r="AB178" s="5" t="s">
        <v>1630</v>
      </c>
      <c r="AC178" s="7">
        <v>1</v>
      </c>
      <c r="AD178" t="str">
        <f>VLOOKUP($T178,[1]NhanSu!$C$5:$M$229,11,0)</f>
        <v>SM0000079</v>
      </c>
    </row>
    <row r="179" spans="1:30" x14ac:dyDescent="0.45">
      <c r="A179" s="8" t="s">
        <v>1593</v>
      </c>
      <c r="B179" s="4">
        <v>319</v>
      </c>
      <c r="C179" s="4" t="s">
        <v>1635</v>
      </c>
      <c r="D179" s="4" t="s">
        <v>1636</v>
      </c>
      <c r="E179" s="4" t="s">
        <v>1637</v>
      </c>
      <c r="F179" s="4" t="s">
        <v>1638</v>
      </c>
      <c r="G179" s="4" t="s">
        <v>34</v>
      </c>
      <c r="H179" s="4" t="s">
        <v>1639</v>
      </c>
      <c r="I179" s="4" t="s">
        <v>1640</v>
      </c>
      <c r="J179" s="4" t="s">
        <v>38</v>
      </c>
      <c r="K179" s="4" t="s">
        <v>38</v>
      </c>
      <c r="L179" s="4" t="s">
        <v>39</v>
      </c>
      <c r="M179" s="4" t="s">
        <v>56</v>
      </c>
      <c r="N179" s="4" t="s">
        <v>37</v>
      </c>
      <c r="O179" s="4" t="s">
        <v>121</v>
      </c>
      <c r="P179" s="4" t="s">
        <v>38</v>
      </c>
      <c r="Q179" s="4" t="s">
        <v>38</v>
      </c>
      <c r="R179" s="4" t="s">
        <v>39</v>
      </c>
      <c r="S179" s="4" t="s">
        <v>41</v>
      </c>
      <c r="T179" s="4" t="s">
        <v>1641</v>
      </c>
      <c r="U179" s="4" t="s">
        <v>1642</v>
      </c>
      <c r="V179" s="4" t="s">
        <v>1602</v>
      </c>
      <c r="W179" s="4" t="s">
        <v>105</v>
      </c>
      <c r="X179" s="4"/>
      <c r="Y179" s="4"/>
      <c r="Z179" s="4" t="s">
        <v>46</v>
      </c>
      <c r="AA179" s="4" t="s">
        <v>1643</v>
      </c>
      <c r="AB179" s="4"/>
      <c r="AC179" s="9">
        <v>1</v>
      </c>
      <c r="AD179" t="str">
        <f>VLOOKUP($T179,[1]NhanSu!$C$5:$M$229,11,0)</f>
        <v>SM0000185</v>
      </c>
    </row>
    <row r="180" spans="1:30" x14ac:dyDescent="0.45">
      <c r="A180" s="6" t="s">
        <v>1593</v>
      </c>
      <c r="B180" s="5">
        <v>320</v>
      </c>
      <c r="C180" s="5" t="s">
        <v>1644</v>
      </c>
      <c r="D180" s="5" t="s">
        <v>1645</v>
      </c>
      <c r="E180" s="5" t="s">
        <v>1646</v>
      </c>
      <c r="F180" s="5" t="s">
        <v>1647</v>
      </c>
      <c r="G180" s="5" t="s">
        <v>34</v>
      </c>
      <c r="H180" s="5" t="s">
        <v>1648</v>
      </c>
      <c r="I180" s="5" t="s">
        <v>1649</v>
      </c>
      <c r="J180" s="5" t="s">
        <v>38</v>
      </c>
      <c r="K180" s="5" t="s">
        <v>56</v>
      </c>
      <c r="L180" s="5" t="s">
        <v>39</v>
      </c>
      <c r="M180" s="5" t="s">
        <v>38</v>
      </c>
      <c r="N180" s="5" t="s">
        <v>38</v>
      </c>
      <c r="O180" s="5" t="s">
        <v>39</v>
      </c>
      <c r="P180" s="5" t="s">
        <v>38</v>
      </c>
      <c r="Q180" s="5" t="s">
        <v>38</v>
      </c>
      <c r="R180" s="5" t="s">
        <v>40</v>
      </c>
      <c r="S180" s="5" t="s">
        <v>1650</v>
      </c>
      <c r="T180" s="5" t="s">
        <v>1651</v>
      </c>
      <c r="U180" s="5" t="s">
        <v>1652</v>
      </c>
      <c r="V180" s="5" t="s">
        <v>1602</v>
      </c>
      <c r="W180" s="5" t="s">
        <v>1653</v>
      </c>
      <c r="X180" s="5"/>
      <c r="Y180" s="5"/>
      <c r="Z180" s="5" t="s">
        <v>46</v>
      </c>
      <c r="AA180" s="5" t="s">
        <v>1654</v>
      </c>
      <c r="AB180" s="5" t="s">
        <v>1630</v>
      </c>
      <c r="AC180" s="7">
        <v>1</v>
      </c>
      <c r="AD180" t="str">
        <f>VLOOKUP($T180,[1]NhanSu!$C$5:$M$229,11,0)</f>
        <v>SM0000223</v>
      </c>
    </row>
    <row r="181" spans="1:30" x14ac:dyDescent="0.45">
      <c r="A181" s="8" t="s">
        <v>1593</v>
      </c>
      <c r="B181" s="4">
        <v>323</v>
      </c>
      <c r="C181" s="4" t="s">
        <v>1655</v>
      </c>
      <c r="D181" s="4" t="s">
        <v>1656</v>
      </c>
      <c r="E181" s="4" t="s">
        <v>1657</v>
      </c>
      <c r="F181" s="4" t="s">
        <v>426</v>
      </c>
      <c r="G181" s="4" t="s">
        <v>34</v>
      </c>
      <c r="H181" s="4" t="s">
        <v>1658</v>
      </c>
      <c r="I181" s="4" t="s">
        <v>1659</v>
      </c>
      <c r="J181" s="4" t="s">
        <v>37</v>
      </c>
      <c r="K181" s="4" t="s">
        <v>37</v>
      </c>
      <c r="L181" s="4" t="s">
        <v>39</v>
      </c>
      <c r="M181" s="4" t="s">
        <v>38</v>
      </c>
      <c r="N181" s="4" t="s">
        <v>38</v>
      </c>
      <c r="O181" s="4" t="s">
        <v>40</v>
      </c>
      <c r="P181" s="4" t="s">
        <v>38</v>
      </c>
      <c r="Q181" s="4" t="s">
        <v>56</v>
      </c>
      <c r="R181" s="4" t="s">
        <v>39</v>
      </c>
      <c r="S181" s="4" t="s">
        <v>1660</v>
      </c>
      <c r="T181" s="4" t="s">
        <v>1651</v>
      </c>
      <c r="U181" s="4" t="s">
        <v>1652</v>
      </c>
      <c r="V181" s="4" t="s">
        <v>1602</v>
      </c>
      <c r="W181" s="4" t="s">
        <v>1653</v>
      </c>
      <c r="X181" s="4"/>
      <c r="Y181" s="4"/>
      <c r="Z181" s="4" t="s">
        <v>46</v>
      </c>
      <c r="AA181" s="4" t="s">
        <v>1654</v>
      </c>
      <c r="AB181" s="4" t="s">
        <v>1630</v>
      </c>
      <c r="AC181" s="9">
        <v>1</v>
      </c>
      <c r="AD181" t="str">
        <f>VLOOKUP($T181,[1]NhanSu!$C$5:$M$229,11,0)</f>
        <v>SM0000223</v>
      </c>
    </row>
    <row r="182" spans="1:30" x14ac:dyDescent="0.45">
      <c r="A182" s="6" t="s">
        <v>1593</v>
      </c>
      <c r="B182" s="5">
        <v>413</v>
      </c>
      <c r="C182" s="5" t="s">
        <v>1673</v>
      </c>
      <c r="D182" s="5" t="s">
        <v>1674</v>
      </c>
      <c r="E182" s="5" t="s">
        <v>1675</v>
      </c>
      <c r="F182" s="5" t="s">
        <v>1676</v>
      </c>
      <c r="G182" s="5" t="s">
        <v>34</v>
      </c>
      <c r="H182" s="5" t="s">
        <v>214</v>
      </c>
      <c r="I182" s="5" t="s">
        <v>1677</v>
      </c>
      <c r="J182" s="5" t="s">
        <v>38</v>
      </c>
      <c r="K182" s="5" t="s">
        <v>38</v>
      </c>
      <c r="L182" s="5" t="s">
        <v>40</v>
      </c>
      <c r="M182" s="5" t="s">
        <v>37</v>
      </c>
      <c r="N182" s="5" t="s">
        <v>56</v>
      </c>
      <c r="O182" s="5" t="s">
        <v>39</v>
      </c>
      <c r="P182" s="5" t="s">
        <v>38</v>
      </c>
      <c r="Q182" s="5" t="s">
        <v>38</v>
      </c>
      <c r="R182" s="5" t="s">
        <v>39</v>
      </c>
      <c r="S182" s="5" t="s">
        <v>41</v>
      </c>
      <c r="T182" s="5" t="s">
        <v>1626</v>
      </c>
      <c r="U182" s="5" t="s">
        <v>1627</v>
      </c>
      <c r="V182" s="5" t="s">
        <v>1602</v>
      </c>
      <c r="W182" s="5" t="s">
        <v>1628</v>
      </c>
      <c r="X182" s="5"/>
      <c r="Y182" s="5"/>
      <c r="Z182" s="5" t="s">
        <v>46</v>
      </c>
      <c r="AA182" s="5" t="s">
        <v>1629</v>
      </c>
      <c r="AB182" s="5" t="s">
        <v>1630</v>
      </c>
      <c r="AC182" s="7">
        <v>1</v>
      </c>
      <c r="AD182" t="str">
        <f>VLOOKUP($T182,[1]NhanSu!$C$5:$M$229,11,0)</f>
        <v>SM0000079</v>
      </c>
    </row>
    <row r="183" spans="1:30" x14ac:dyDescent="0.45">
      <c r="A183" s="8" t="s">
        <v>1593</v>
      </c>
      <c r="B183" s="4">
        <v>483</v>
      </c>
      <c r="C183" s="4" t="s">
        <v>1682</v>
      </c>
      <c r="D183" s="4" t="s">
        <v>1683</v>
      </c>
      <c r="E183" s="4" t="s">
        <v>265</v>
      </c>
      <c r="F183" s="4" t="s">
        <v>1471</v>
      </c>
      <c r="G183" s="4" t="s">
        <v>34</v>
      </c>
      <c r="H183" s="4" t="s">
        <v>402</v>
      </c>
      <c r="I183" s="4" t="s">
        <v>1685</v>
      </c>
      <c r="J183" s="4" t="s">
        <v>38</v>
      </c>
      <c r="K183" s="4" t="s">
        <v>38</v>
      </c>
      <c r="L183" s="4" t="s">
        <v>40</v>
      </c>
      <c r="M183" s="4" t="s">
        <v>37</v>
      </c>
      <c r="N183" s="4" t="s">
        <v>56</v>
      </c>
      <c r="O183" s="4" t="s">
        <v>39</v>
      </c>
      <c r="P183" s="4" t="s">
        <v>38</v>
      </c>
      <c r="Q183" s="4" t="s">
        <v>38</v>
      </c>
      <c r="R183" s="4" t="s">
        <v>39</v>
      </c>
      <c r="S183" s="4" t="s">
        <v>41</v>
      </c>
      <c r="T183" s="4" t="s">
        <v>1626</v>
      </c>
      <c r="U183" s="4" t="s">
        <v>1627</v>
      </c>
      <c r="V183" s="4" t="s">
        <v>1602</v>
      </c>
      <c r="W183" s="4" t="s">
        <v>1628</v>
      </c>
      <c r="X183" s="4"/>
      <c r="Y183" s="4"/>
      <c r="Z183" s="4" t="s">
        <v>46</v>
      </c>
      <c r="AA183" s="4" t="s">
        <v>1629</v>
      </c>
      <c r="AB183" s="4" t="s">
        <v>1630</v>
      </c>
      <c r="AC183" s="9">
        <v>1</v>
      </c>
      <c r="AD183" t="str">
        <f>VLOOKUP($T183,[1]NhanSu!$C$5:$M$229,11,0)</f>
        <v>SM0000079</v>
      </c>
    </row>
    <row r="184" spans="1:30" x14ac:dyDescent="0.45">
      <c r="A184" s="6" t="s">
        <v>1593</v>
      </c>
      <c r="B184" s="5">
        <v>851</v>
      </c>
      <c r="C184" s="5" t="s">
        <v>1722</v>
      </c>
      <c r="D184" s="5" t="s">
        <v>1723</v>
      </c>
      <c r="E184" s="5" t="s">
        <v>1724</v>
      </c>
      <c r="F184" s="5" t="s">
        <v>53</v>
      </c>
      <c r="G184" s="5" t="s">
        <v>34</v>
      </c>
      <c r="H184" s="5" t="s">
        <v>54</v>
      </c>
      <c r="I184" s="5" t="s">
        <v>755</v>
      </c>
      <c r="J184" s="5" t="s">
        <v>38</v>
      </c>
      <c r="K184" s="5" t="s">
        <v>38</v>
      </c>
      <c r="L184" s="5" t="s">
        <v>40</v>
      </c>
      <c r="M184" s="5" t="s">
        <v>38</v>
      </c>
      <c r="N184" s="5" t="s">
        <v>38</v>
      </c>
      <c r="O184" s="5" t="s">
        <v>40</v>
      </c>
      <c r="P184" s="5" t="s">
        <v>38</v>
      </c>
      <c r="Q184" s="5" t="s">
        <v>38</v>
      </c>
      <c r="R184" s="5" t="s">
        <v>40</v>
      </c>
      <c r="S184" s="5" t="s">
        <v>41</v>
      </c>
      <c r="T184" s="5" t="s">
        <v>1725</v>
      </c>
      <c r="U184" s="5" t="s">
        <v>1726</v>
      </c>
      <c r="V184" s="5" t="s">
        <v>1602</v>
      </c>
      <c r="W184" s="5" t="s">
        <v>1653</v>
      </c>
      <c r="X184" s="5"/>
      <c r="Y184" s="5"/>
      <c r="Z184" s="5" t="s">
        <v>46</v>
      </c>
      <c r="AA184" s="5" t="s">
        <v>1654</v>
      </c>
      <c r="AB184" s="5"/>
      <c r="AC184" s="7">
        <v>1</v>
      </c>
      <c r="AD184" t="str">
        <f>VLOOKUP($T184,[1]NhanSu!$C$5:$M$229,11,0)</f>
        <v>SM0000221</v>
      </c>
    </row>
    <row r="185" spans="1:30" x14ac:dyDescent="0.45">
      <c r="A185" s="8" t="s">
        <v>1593</v>
      </c>
      <c r="B185" s="4">
        <v>855</v>
      </c>
      <c r="C185" s="4" t="s">
        <v>1727</v>
      </c>
      <c r="D185" s="4" t="s">
        <v>781</v>
      </c>
      <c r="E185" s="4" t="s">
        <v>407</v>
      </c>
      <c r="F185" s="4" t="s">
        <v>53</v>
      </c>
      <c r="G185" s="4" t="s">
        <v>34</v>
      </c>
      <c r="H185" s="4" t="s">
        <v>54</v>
      </c>
      <c r="I185" s="4" t="s">
        <v>1728</v>
      </c>
      <c r="J185" s="4" t="s">
        <v>38</v>
      </c>
      <c r="K185" s="4" t="s">
        <v>38</v>
      </c>
      <c r="L185" s="4" t="s">
        <v>40</v>
      </c>
      <c r="M185" s="4" t="s">
        <v>38</v>
      </c>
      <c r="N185" s="4" t="s">
        <v>38</v>
      </c>
      <c r="O185" s="4" t="s">
        <v>39</v>
      </c>
      <c r="P185" s="4" t="s">
        <v>38</v>
      </c>
      <c r="Q185" s="4" t="s">
        <v>38</v>
      </c>
      <c r="R185" s="4" t="s">
        <v>40</v>
      </c>
      <c r="S185" s="4" t="s">
        <v>41</v>
      </c>
      <c r="T185" s="4" t="s">
        <v>1725</v>
      </c>
      <c r="U185" s="4" t="s">
        <v>1726</v>
      </c>
      <c r="V185" s="4" t="s">
        <v>1602</v>
      </c>
      <c r="W185" s="4" t="s">
        <v>1653</v>
      </c>
      <c r="X185" s="4"/>
      <c r="Y185" s="4"/>
      <c r="Z185" s="4" t="s">
        <v>46</v>
      </c>
      <c r="AA185" s="4" t="s">
        <v>1654</v>
      </c>
      <c r="AB185" s="4"/>
      <c r="AC185" s="9">
        <v>1</v>
      </c>
      <c r="AD185" t="str">
        <f>VLOOKUP($T185,[1]NhanSu!$C$5:$M$229,11,0)</f>
        <v>SM0000221</v>
      </c>
    </row>
    <row r="186" spans="1:30" x14ac:dyDescent="0.45">
      <c r="A186" s="6" t="s">
        <v>1593</v>
      </c>
      <c r="B186" s="5">
        <v>1036</v>
      </c>
      <c r="C186" s="5" t="s">
        <v>1756</v>
      </c>
      <c r="D186" s="5" t="s">
        <v>1757</v>
      </c>
      <c r="E186" s="5" t="s">
        <v>128</v>
      </c>
      <c r="F186" s="5" t="s">
        <v>53</v>
      </c>
      <c r="G186" s="5" t="s">
        <v>34</v>
      </c>
      <c r="H186" s="5" t="s">
        <v>402</v>
      </c>
      <c r="I186" s="5" t="s">
        <v>1758</v>
      </c>
      <c r="J186" s="5" t="s">
        <v>37</v>
      </c>
      <c r="K186" s="5" t="s">
        <v>37</v>
      </c>
      <c r="L186" s="5" t="s">
        <v>39</v>
      </c>
      <c r="M186" s="5" t="s">
        <v>56</v>
      </c>
      <c r="N186" s="5" t="s">
        <v>56</v>
      </c>
      <c r="O186" s="5" t="s">
        <v>39</v>
      </c>
      <c r="P186" s="5" t="s">
        <v>38</v>
      </c>
      <c r="Q186" s="5" t="s">
        <v>38</v>
      </c>
      <c r="R186" s="5" t="s">
        <v>40</v>
      </c>
      <c r="S186" s="5" t="s">
        <v>41</v>
      </c>
      <c r="T186" s="5" t="s">
        <v>1617</v>
      </c>
      <c r="U186" s="5" t="s">
        <v>1618</v>
      </c>
      <c r="V186" s="5" t="s">
        <v>1602</v>
      </c>
      <c r="W186" s="5" t="s">
        <v>246</v>
      </c>
      <c r="X186" s="5"/>
      <c r="Y186" s="5"/>
      <c r="Z186" s="5" t="s">
        <v>46</v>
      </c>
      <c r="AA186" s="5" t="s">
        <v>1654</v>
      </c>
      <c r="AB186" s="5" t="s">
        <v>1630</v>
      </c>
      <c r="AC186" s="7">
        <v>1</v>
      </c>
      <c r="AD186" t="str">
        <f>VLOOKUP($T186,[1]NhanSu!$C$5:$M$229,11,0)</f>
        <v>SM0000222</v>
      </c>
    </row>
    <row r="187" spans="1:30" x14ac:dyDescent="0.45">
      <c r="A187" s="8" t="s">
        <v>1593</v>
      </c>
      <c r="B187" s="4">
        <v>1092</v>
      </c>
      <c r="C187" s="4" t="s">
        <v>1779</v>
      </c>
      <c r="D187" s="4" t="s">
        <v>1780</v>
      </c>
      <c r="E187" s="4" t="s">
        <v>1781</v>
      </c>
      <c r="F187" s="4" t="s">
        <v>1782</v>
      </c>
      <c r="G187" s="4" t="s">
        <v>34</v>
      </c>
      <c r="H187" s="4" t="s">
        <v>1648</v>
      </c>
      <c r="I187" s="4" t="s">
        <v>1783</v>
      </c>
      <c r="J187" s="4" t="s">
        <v>37</v>
      </c>
      <c r="K187" s="4" t="s">
        <v>37</v>
      </c>
      <c r="L187" s="4" t="s">
        <v>39</v>
      </c>
      <c r="M187" s="4" t="s">
        <v>37</v>
      </c>
      <c r="N187" s="4" t="s">
        <v>37</v>
      </c>
      <c r="O187" s="4" t="s">
        <v>39</v>
      </c>
      <c r="P187" s="4" t="s">
        <v>38</v>
      </c>
      <c r="Q187" s="4" t="s">
        <v>38</v>
      </c>
      <c r="R187" s="4" t="s">
        <v>39</v>
      </c>
      <c r="S187" s="4" t="s">
        <v>1784</v>
      </c>
      <c r="T187" s="4" t="s">
        <v>1651</v>
      </c>
      <c r="U187" s="4" t="s">
        <v>1652</v>
      </c>
      <c r="V187" s="4" t="s">
        <v>1602</v>
      </c>
      <c r="W187" s="4" t="s">
        <v>1653</v>
      </c>
      <c r="X187" s="4"/>
      <c r="Y187" s="4"/>
      <c r="Z187" s="4" t="s">
        <v>46</v>
      </c>
      <c r="AA187" s="4" t="s">
        <v>1654</v>
      </c>
      <c r="AB187" s="4" t="s">
        <v>1630</v>
      </c>
      <c r="AC187" s="9">
        <v>1</v>
      </c>
      <c r="AD187" t="str">
        <f>VLOOKUP($T187,[1]NhanSu!$C$5:$M$229,11,0)</f>
        <v>SM0000223</v>
      </c>
    </row>
    <row r="188" spans="1:30" x14ac:dyDescent="0.45">
      <c r="A188" s="6" t="s">
        <v>1593</v>
      </c>
      <c r="B188" s="5">
        <v>1118</v>
      </c>
      <c r="C188" s="5" t="s">
        <v>1790</v>
      </c>
      <c r="D188" s="5" t="s">
        <v>1791</v>
      </c>
      <c r="E188" s="5" t="s">
        <v>1695</v>
      </c>
      <c r="F188" s="5" t="s">
        <v>325</v>
      </c>
      <c r="G188" s="5" t="s">
        <v>34</v>
      </c>
      <c r="H188" s="5" t="s">
        <v>171</v>
      </c>
      <c r="I188" s="5" t="s">
        <v>1793</v>
      </c>
      <c r="J188" s="5" t="s">
        <v>37</v>
      </c>
      <c r="K188" s="5" t="s">
        <v>37</v>
      </c>
      <c r="L188" s="5" t="s">
        <v>39</v>
      </c>
      <c r="M188" s="5" t="s">
        <v>775</v>
      </c>
      <c r="N188" s="5" t="s">
        <v>56</v>
      </c>
      <c r="O188" s="5" t="s">
        <v>121</v>
      </c>
      <c r="P188" s="5" t="s">
        <v>38</v>
      </c>
      <c r="Q188" s="5" t="s">
        <v>38</v>
      </c>
      <c r="R188" s="5" t="s">
        <v>40</v>
      </c>
      <c r="S188" s="5" t="s">
        <v>1794</v>
      </c>
      <c r="T188" s="5" t="s">
        <v>1617</v>
      </c>
      <c r="U188" s="5" t="s">
        <v>1618</v>
      </c>
      <c r="V188" s="5" t="s">
        <v>1602</v>
      </c>
      <c r="W188" s="5" t="s">
        <v>246</v>
      </c>
      <c r="X188" s="5"/>
      <c r="Y188" s="5"/>
      <c r="Z188" s="5" t="s">
        <v>46</v>
      </c>
      <c r="AA188" s="5" t="s">
        <v>1654</v>
      </c>
      <c r="AB188" s="5" t="s">
        <v>1630</v>
      </c>
      <c r="AC188" s="7">
        <v>1</v>
      </c>
      <c r="AD188" t="str">
        <f>VLOOKUP($T188,[1]NhanSu!$C$5:$M$229,11,0)</f>
        <v>SM0000222</v>
      </c>
    </row>
    <row r="189" spans="1:30" x14ac:dyDescent="0.45">
      <c r="A189" s="8" t="s">
        <v>1593</v>
      </c>
      <c r="B189" s="4">
        <v>1128</v>
      </c>
      <c r="C189" s="4" t="s">
        <v>1795</v>
      </c>
      <c r="D189" s="4" t="s">
        <v>1796</v>
      </c>
      <c r="E189" s="4" t="s">
        <v>1797</v>
      </c>
      <c r="F189" s="4" t="s">
        <v>1798</v>
      </c>
      <c r="G189" s="4" t="s">
        <v>34</v>
      </c>
      <c r="H189" s="4" t="s">
        <v>1188</v>
      </c>
      <c r="I189" s="4" t="s">
        <v>1799</v>
      </c>
      <c r="J189" s="4" t="s">
        <v>37</v>
      </c>
      <c r="K189" s="4" t="s">
        <v>37</v>
      </c>
      <c r="L189" s="4" t="s">
        <v>39</v>
      </c>
      <c r="M189" s="4" t="s">
        <v>775</v>
      </c>
      <c r="N189" s="4" t="s">
        <v>1034</v>
      </c>
      <c r="O189" s="4" t="s">
        <v>39</v>
      </c>
      <c r="P189" s="4" t="s">
        <v>38</v>
      </c>
      <c r="Q189" s="4" t="s">
        <v>38</v>
      </c>
      <c r="R189" s="4" t="s">
        <v>40</v>
      </c>
      <c r="S189" s="4" t="s">
        <v>41</v>
      </c>
      <c r="T189" s="4" t="s">
        <v>1617</v>
      </c>
      <c r="U189" s="4" t="s">
        <v>1618</v>
      </c>
      <c r="V189" s="4" t="s">
        <v>1602</v>
      </c>
      <c r="W189" s="4" t="s">
        <v>246</v>
      </c>
      <c r="X189" s="4"/>
      <c r="Y189" s="4"/>
      <c r="Z189" s="4" t="s">
        <v>46</v>
      </c>
      <c r="AA189" s="4" t="s">
        <v>1654</v>
      </c>
      <c r="AB189" s="4" t="s">
        <v>1630</v>
      </c>
      <c r="AC189" s="9">
        <v>1</v>
      </c>
      <c r="AD189" t="str">
        <f>VLOOKUP($T189,[1]NhanSu!$C$5:$M$229,11,0)</f>
        <v>SM0000222</v>
      </c>
    </row>
    <row r="190" spans="1:30" x14ac:dyDescent="0.45">
      <c r="A190" s="6" t="s">
        <v>1593</v>
      </c>
      <c r="B190" s="5">
        <v>1201</v>
      </c>
      <c r="C190" s="5" t="s">
        <v>1806</v>
      </c>
      <c r="D190" s="5" t="s">
        <v>1807</v>
      </c>
      <c r="E190" s="5" t="s">
        <v>1808</v>
      </c>
      <c r="F190" s="5" t="s">
        <v>166</v>
      </c>
      <c r="G190" s="5" t="s">
        <v>34</v>
      </c>
      <c r="H190" s="5" t="s">
        <v>35</v>
      </c>
      <c r="I190" s="5" t="s">
        <v>1809</v>
      </c>
      <c r="J190" s="5" t="s">
        <v>38</v>
      </c>
      <c r="K190" s="5" t="s">
        <v>38</v>
      </c>
      <c r="L190" s="5" t="s">
        <v>40</v>
      </c>
      <c r="M190" s="5" t="s">
        <v>37</v>
      </c>
      <c r="N190" s="5" t="s">
        <v>37</v>
      </c>
      <c r="O190" s="5" t="s">
        <v>39</v>
      </c>
      <c r="P190" s="5" t="s">
        <v>38</v>
      </c>
      <c r="Q190" s="5" t="s">
        <v>38</v>
      </c>
      <c r="R190" s="5" t="s">
        <v>40</v>
      </c>
      <c r="S190" s="5" t="s">
        <v>41</v>
      </c>
      <c r="T190" s="5" t="s">
        <v>1767</v>
      </c>
      <c r="U190" s="5" t="s">
        <v>1718</v>
      </c>
      <c r="V190" s="5" t="s">
        <v>1602</v>
      </c>
      <c r="W190" s="5" t="s">
        <v>81</v>
      </c>
      <c r="X190" s="5"/>
      <c r="Y190" s="5"/>
      <c r="Z190" s="5" t="s">
        <v>46</v>
      </c>
      <c r="AA190" s="5" t="s">
        <v>1630</v>
      </c>
      <c r="AB190" s="5"/>
      <c r="AC190" s="7">
        <v>1</v>
      </c>
      <c r="AD190" t="str">
        <f>VLOOKUP($T190,[1]NhanSu!$C$5:$M$229,11,0)</f>
        <v>SM0000076</v>
      </c>
    </row>
    <row r="191" spans="1:30" x14ac:dyDescent="0.45">
      <c r="A191" s="8" t="s">
        <v>1593</v>
      </c>
      <c r="B191" s="4">
        <v>1378</v>
      </c>
      <c r="C191" s="4" t="s">
        <v>1839</v>
      </c>
      <c r="D191" s="4" t="s">
        <v>1840</v>
      </c>
      <c r="E191" s="4" t="s">
        <v>212</v>
      </c>
      <c r="F191" s="4" t="s">
        <v>325</v>
      </c>
      <c r="G191" s="4" t="s">
        <v>150</v>
      </c>
      <c r="H191" s="4" t="s">
        <v>54</v>
      </c>
      <c r="I191" s="4" t="s">
        <v>1841</v>
      </c>
      <c r="J191" s="4" t="s">
        <v>38</v>
      </c>
      <c r="K191" s="4" t="s">
        <v>38</v>
      </c>
      <c r="L191" s="4" t="s">
        <v>40</v>
      </c>
      <c r="M191" s="4" t="s">
        <v>56</v>
      </c>
      <c r="N191" s="4" t="s">
        <v>56</v>
      </c>
      <c r="O191" s="4" t="s">
        <v>39</v>
      </c>
      <c r="P191" s="4" t="s">
        <v>38</v>
      </c>
      <c r="Q191" s="4" t="s">
        <v>38</v>
      </c>
      <c r="R191" s="4" t="s">
        <v>39</v>
      </c>
      <c r="S191" s="4" t="s">
        <v>41</v>
      </c>
      <c r="T191" s="4" t="s">
        <v>1626</v>
      </c>
      <c r="U191" s="4" t="s">
        <v>1627</v>
      </c>
      <c r="V191" s="4" t="s">
        <v>1602</v>
      </c>
      <c r="W191" s="4" t="s">
        <v>1628</v>
      </c>
      <c r="X191" s="4"/>
      <c r="Y191" s="4"/>
      <c r="Z191" s="4" t="s">
        <v>46</v>
      </c>
      <c r="AA191" s="4" t="s">
        <v>1842</v>
      </c>
      <c r="AB191" s="4" t="s">
        <v>1630</v>
      </c>
      <c r="AC191" s="9">
        <v>1</v>
      </c>
      <c r="AD191" t="str">
        <f>VLOOKUP($T191,[1]NhanSu!$C$5:$M$229,11,0)</f>
        <v>SM0000079</v>
      </c>
    </row>
    <row r="192" spans="1:30" x14ac:dyDescent="0.45">
      <c r="A192" s="6" t="s">
        <v>1593</v>
      </c>
      <c r="B192" s="5">
        <v>1393</v>
      </c>
      <c r="C192" s="5" t="s">
        <v>1843</v>
      </c>
      <c r="D192" s="5" t="s">
        <v>1844</v>
      </c>
      <c r="E192" s="5" t="s">
        <v>127</v>
      </c>
      <c r="F192" s="5" t="s">
        <v>1676</v>
      </c>
      <c r="G192" s="5" t="s">
        <v>150</v>
      </c>
      <c r="H192" s="5" t="s">
        <v>214</v>
      </c>
      <c r="I192" s="5" t="s">
        <v>1845</v>
      </c>
      <c r="J192" s="5" t="s">
        <v>38</v>
      </c>
      <c r="K192" s="5" t="s">
        <v>38</v>
      </c>
      <c r="L192" s="5" t="s">
        <v>40</v>
      </c>
      <c r="M192" s="5" t="s">
        <v>37</v>
      </c>
      <c r="N192" s="5" t="s">
        <v>37</v>
      </c>
      <c r="O192" s="5" t="s">
        <v>39</v>
      </c>
      <c r="P192" s="5" t="s">
        <v>38</v>
      </c>
      <c r="Q192" s="5" t="s">
        <v>38</v>
      </c>
      <c r="R192" s="5" t="s">
        <v>39</v>
      </c>
      <c r="S192" s="5" t="s">
        <v>41</v>
      </c>
      <c r="T192" s="5" t="s">
        <v>1626</v>
      </c>
      <c r="U192" s="5" t="s">
        <v>1627</v>
      </c>
      <c r="V192" s="5" t="s">
        <v>1602</v>
      </c>
      <c r="W192" s="5" t="s">
        <v>1628</v>
      </c>
      <c r="X192" s="5"/>
      <c r="Y192" s="5"/>
      <c r="Z192" s="5" t="s">
        <v>46</v>
      </c>
      <c r="AA192" s="5" t="s">
        <v>1842</v>
      </c>
      <c r="AB192" s="5" t="s">
        <v>1630</v>
      </c>
      <c r="AC192" s="7">
        <v>1</v>
      </c>
      <c r="AD192" t="str">
        <f>VLOOKUP($T192,[1]NhanSu!$C$5:$M$229,11,0)</f>
        <v>SM0000079</v>
      </c>
    </row>
    <row r="193" spans="1:30" x14ac:dyDescent="0.45">
      <c r="A193" s="8" t="s">
        <v>1593</v>
      </c>
      <c r="B193" s="4">
        <v>1395</v>
      </c>
      <c r="C193" s="4" t="s">
        <v>1846</v>
      </c>
      <c r="D193" s="4" t="s">
        <v>1847</v>
      </c>
      <c r="E193" s="4" t="s">
        <v>1848</v>
      </c>
      <c r="F193" s="4" t="s">
        <v>53</v>
      </c>
      <c r="G193" s="4" t="s">
        <v>1624</v>
      </c>
      <c r="H193" s="4" t="s">
        <v>685</v>
      </c>
      <c r="I193" s="4" t="s">
        <v>1849</v>
      </c>
      <c r="J193" s="4" t="s">
        <v>38</v>
      </c>
      <c r="K193" s="4" t="s">
        <v>38</v>
      </c>
      <c r="L193" s="4" t="s">
        <v>40</v>
      </c>
      <c r="M193" s="4" t="s">
        <v>56</v>
      </c>
      <c r="N193" s="4" t="s">
        <v>56</v>
      </c>
      <c r="O193" s="4" t="s">
        <v>39</v>
      </c>
      <c r="P193" s="4" t="s">
        <v>38</v>
      </c>
      <c r="Q193" s="4" t="s">
        <v>38</v>
      </c>
      <c r="R193" s="4" t="s">
        <v>39</v>
      </c>
      <c r="S193" s="4" t="s">
        <v>41</v>
      </c>
      <c r="T193" s="4" t="s">
        <v>1626</v>
      </c>
      <c r="U193" s="4" t="s">
        <v>1627</v>
      </c>
      <c r="V193" s="4" t="s">
        <v>1602</v>
      </c>
      <c r="W193" s="4" t="s">
        <v>1628</v>
      </c>
      <c r="X193" s="4"/>
      <c r="Y193" s="4"/>
      <c r="Z193" s="4" t="s">
        <v>46</v>
      </c>
      <c r="AA193" s="4" t="s">
        <v>1842</v>
      </c>
      <c r="AB193" s="4" t="s">
        <v>1630</v>
      </c>
      <c r="AC193" s="9">
        <v>1</v>
      </c>
      <c r="AD193" t="str">
        <f>VLOOKUP($T193,[1]NhanSu!$C$5:$M$229,11,0)</f>
        <v>SM0000079</v>
      </c>
    </row>
    <row r="194" spans="1:30" x14ac:dyDescent="0.45">
      <c r="A194" s="6" t="s">
        <v>1593</v>
      </c>
      <c r="B194" s="5">
        <v>1461</v>
      </c>
      <c r="C194" s="5" t="s">
        <v>1855</v>
      </c>
      <c r="D194" s="5" t="s">
        <v>1856</v>
      </c>
      <c r="E194" s="5" t="s">
        <v>285</v>
      </c>
      <c r="F194" s="5" t="s">
        <v>53</v>
      </c>
      <c r="G194" s="5" t="s">
        <v>34</v>
      </c>
      <c r="H194" s="5" t="s">
        <v>171</v>
      </c>
      <c r="I194" s="5" t="s">
        <v>1857</v>
      </c>
      <c r="J194" s="5" t="s">
        <v>37</v>
      </c>
      <c r="K194" s="5" t="s">
        <v>38</v>
      </c>
      <c r="L194" s="5" t="s">
        <v>39</v>
      </c>
      <c r="M194" s="5" t="s">
        <v>775</v>
      </c>
      <c r="N194" s="5" t="s">
        <v>1034</v>
      </c>
      <c r="O194" s="5" t="s">
        <v>39</v>
      </c>
      <c r="P194" s="5" t="s">
        <v>38</v>
      </c>
      <c r="Q194" s="5" t="s">
        <v>38</v>
      </c>
      <c r="R194" s="5" t="s">
        <v>40</v>
      </c>
      <c r="S194" s="5" t="s">
        <v>41</v>
      </c>
      <c r="T194" s="5" t="s">
        <v>1617</v>
      </c>
      <c r="U194" s="5" t="s">
        <v>1618</v>
      </c>
      <c r="V194" s="5" t="s">
        <v>1602</v>
      </c>
      <c r="W194" s="5" t="s">
        <v>246</v>
      </c>
      <c r="X194" s="5"/>
      <c r="Y194" s="5"/>
      <c r="Z194" s="5" t="s">
        <v>46</v>
      </c>
      <c r="AA194" s="5" t="s">
        <v>1630</v>
      </c>
      <c r="AB194" s="5" t="s">
        <v>1672</v>
      </c>
      <c r="AC194" s="7">
        <v>1</v>
      </c>
      <c r="AD194" t="str">
        <f>VLOOKUP($T194,[1]NhanSu!$C$5:$M$229,11,0)</f>
        <v>SM0000222</v>
      </c>
    </row>
    <row r="195" spans="1:30" x14ac:dyDescent="0.45">
      <c r="A195" s="8" t="s">
        <v>1593</v>
      </c>
      <c r="B195" s="4">
        <v>1499</v>
      </c>
      <c r="C195" s="4" t="s">
        <v>1863</v>
      </c>
      <c r="D195" s="4" t="s">
        <v>1864</v>
      </c>
      <c r="E195" s="4" t="s">
        <v>1866</v>
      </c>
      <c r="F195" s="4" t="s">
        <v>325</v>
      </c>
      <c r="G195" s="4" t="s">
        <v>1624</v>
      </c>
      <c r="H195" s="4" t="s">
        <v>214</v>
      </c>
      <c r="I195" s="4" t="s">
        <v>1867</v>
      </c>
      <c r="J195" s="4" t="s">
        <v>38</v>
      </c>
      <c r="K195" s="4" t="s">
        <v>38</v>
      </c>
      <c r="L195" s="4" t="s">
        <v>39</v>
      </c>
      <c r="M195" s="4" t="s">
        <v>56</v>
      </c>
      <c r="N195" s="4" t="s">
        <v>56</v>
      </c>
      <c r="O195" s="4" t="s">
        <v>39</v>
      </c>
      <c r="P195" s="4" t="s">
        <v>38</v>
      </c>
      <c r="Q195" s="4" t="s">
        <v>37</v>
      </c>
      <c r="R195" s="4" t="s">
        <v>39</v>
      </c>
      <c r="S195" s="4" t="s">
        <v>41</v>
      </c>
      <c r="T195" s="4" t="s">
        <v>1626</v>
      </c>
      <c r="U195" s="4" t="s">
        <v>1627</v>
      </c>
      <c r="V195" s="4" t="s">
        <v>1602</v>
      </c>
      <c r="W195" s="4" t="s">
        <v>1628</v>
      </c>
      <c r="X195" s="4"/>
      <c r="Y195" s="4"/>
      <c r="Z195" s="4" t="s">
        <v>46</v>
      </c>
      <c r="AA195" s="4" t="s">
        <v>1842</v>
      </c>
      <c r="AB195" s="4" t="s">
        <v>1630</v>
      </c>
      <c r="AC195" s="9">
        <v>1</v>
      </c>
      <c r="AD195" t="str">
        <f>VLOOKUP($T195,[1]NhanSu!$C$5:$M$229,11,0)</f>
        <v>SM0000079</v>
      </c>
    </row>
    <row r="196" spans="1:30" x14ac:dyDescent="0.45">
      <c r="A196" s="6" t="s">
        <v>1593</v>
      </c>
      <c r="B196" s="5">
        <v>1506</v>
      </c>
      <c r="C196" s="5" t="s">
        <v>1868</v>
      </c>
      <c r="D196" s="5" t="s">
        <v>1869</v>
      </c>
      <c r="E196" s="5" t="s">
        <v>674</v>
      </c>
      <c r="F196" s="5" t="s">
        <v>1871</v>
      </c>
      <c r="G196" s="5" t="s">
        <v>1624</v>
      </c>
      <c r="H196" s="5" t="s">
        <v>54</v>
      </c>
      <c r="I196" s="5" t="s">
        <v>1700</v>
      </c>
      <c r="J196" s="5" t="s">
        <v>38</v>
      </c>
      <c r="K196" s="5" t="s">
        <v>38</v>
      </c>
      <c r="L196" s="5" t="s">
        <v>39</v>
      </c>
      <c r="M196" s="5" t="s">
        <v>56</v>
      </c>
      <c r="N196" s="5" t="s">
        <v>56</v>
      </c>
      <c r="O196" s="5" t="s">
        <v>39</v>
      </c>
      <c r="P196" s="5" t="s">
        <v>38</v>
      </c>
      <c r="Q196" s="5" t="s">
        <v>37</v>
      </c>
      <c r="R196" s="5" t="s">
        <v>39</v>
      </c>
      <c r="S196" s="5" t="s">
        <v>41</v>
      </c>
      <c r="T196" s="5" t="s">
        <v>1626</v>
      </c>
      <c r="U196" s="5" t="s">
        <v>1627</v>
      </c>
      <c r="V196" s="5" t="s">
        <v>1602</v>
      </c>
      <c r="W196" s="5" t="s">
        <v>1628</v>
      </c>
      <c r="X196" s="5"/>
      <c r="Y196" s="5"/>
      <c r="Z196" s="5" t="s">
        <v>46</v>
      </c>
      <c r="AA196" s="5" t="s">
        <v>1842</v>
      </c>
      <c r="AB196" s="5" t="s">
        <v>1630</v>
      </c>
      <c r="AC196" s="7">
        <v>1</v>
      </c>
      <c r="AD196" t="str">
        <f>VLOOKUP($T196,[1]NhanSu!$C$5:$M$229,11,0)</f>
        <v>SM0000079</v>
      </c>
    </row>
    <row r="197" spans="1:30" x14ac:dyDescent="0.45">
      <c r="A197" s="8" t="s">
        <v>1593</v>
      </c>
      <c r="B197" s="4">
        <v>1518</v>
      </c>
      <c r="C197" s="4" t="s">
        <v>1872</v>
      </c>
      <c r="D197" s="4" t="s">
        <v>1873</v>
      </c>
      <c r="E197" s="4" t="s">
        <v>563</v>
      </c>
      <c r="F197" s="4" t="s">
        <v>53</v>
      </c>
      <c r="G197" s="4" t="s">
        <v>1624</v>
      </c>
      <c r="H197" s="4" t="s">
        <v>54</v>
      </c>
      <c r="I197" s="4" t="s">
        <v>1874</v>
      </c>
      <c r="J197" s="4" t="s">
        <v>38</v>
      </c>
      <c r="K197" s="4" t="s">
        <v>38</v>
      </c>
      <c r="L197" s="4" t="s">
        <v>39</v>
      </c>
      <c r="M197" s="4" t="s">
        <v>56</v>
      </c>
      <c r="N197" s="4" t="s">
        <v>56</v>
      </c>
      <c r="O197" s="4" t="s">
        <v>39</v>
      </c>
      <c r="P197" s="4" t="s">
        <v>37</v>
      </c>
      <c r="Q197" s="4" t="s">
        <v>37</v>
      </c>
      <c r="R197" s="4" t="s">
        <v>39</v>
      </c>
      <c r="S197" s="4" t="s">
        <v>41</v>
      </c>
      <c r="T197" s="4" t="s">
        <v>1626</v>
      </c>
      <c r="U197" s="4" t="s">
        <v>1627</v>
      </c>
      <c r="V197" s="4" t="s">
        <v>1602</v>
      </c>
      <c r="W197" s="4" t="s">
        <v>1628</v>
      </c>
      <c r="X197" s="4"/>
      <c r="Y197" s="4"/>
      <c r="Z197" s="4" t="s">
        <v>46</v>
      </c>
      <c r="AA197" s="4" t="s">
        <v>1842</v>
      </c>
      <c r="AB197" s="4" t="s">
        <v>1630</v>
      </c>
      <c r="AC197" s="9">
        <v>1</v>
      </c>
      <c r="AD197" t="str">
        <f>VLOOKUP($T197,[1]NhanSu!$C$5:$M$229,11,0)</f>
        <v>SM0000079</v>
      </c>
    </row>
    <row r="198" spans="1:30" x14ac:dyDescent="0.45">
      <c r="A198" s="6" t="s">
        <v>1593</v>
      </c>
      <c r="B198" s="5">
        <v>1528</v>
      </c>
      <c r="C198" s="5" t="s">
        <v>1875</v>
      </c>
      <c r="D198" s="5" t="s">
        <v>1876</v>
      </c>
      <c r="E198" s="5" t="s">
        <v>1812</v>
      </c>
      <c r="F198" s="5" t="s">
        <v>166</v>
      </c>
      <c r="G198" s="5" t="s">
        <v>177</v>
      </c>
      <c r="H198" s="5" t="s">
        <v>1877</v>
      </c>
      <c r="I198" s="5" t="s">
        <v>1878</v>
      </c>
      <c r="J198" s="5" t="s">
        <v>37</v>
      </c>
      <c r="K198" s="5" t="s">
        <v>56</v>
      </c>
      <c r="L198" s="5" t="s">
        <v>40</v>
      </c>
      <c r="M198" s="5" t="s">
        <v>775</v>
      </c>
      <c r="N198" s="5" t="s">
        <v>775</v>
      </c>
      <c r="O198" s="5" t="s">
        <v>39</v>
      </c>
      <c r="P198" s="5" t="s">
        <v>38</v>
      </c>
      <c r="Q198" s="5" t="s">
        <v>38</v>
      </c>
      <c r="R198" s="5" t="s">
        <v>39</v>
      </c>
      <c r="S198" s="5" t="s">
        <v>41</v>
      </c>
      <c r="T198" s="5" t="s">
        <v>1626</v>
      </c>
      <c r="U198" s="5" t="s">
        <v>1627</v>
      </c>
      <c r="V198" s="5" t="s">
        <v>1602</v>
      </c>
      <c r="W198" s="5" t="s">
        <v>1628</v>
      </c>
      <c r="X198" s="5"/>
      <c r="Y198" s="5"/>
      <c r="Z198" s="5" t="s">
        <v>46</v>
      </c>
      <c r="AA198" s="5" t="s">
        <v>1842</v>
      </c>
      <c r="AB198" s="5" t="s">
        <v>1630</v>
      </c>
      <c r="AC198" s="7">
        <v>1</v>
      </c>
      <c r="AD198" t="str">
        <f>VLOOKUP($T198,[1]NhanSu!$C$5:$M$229,11,0)</f>
        <v>SM0000079</v>
      </c>
    </row>
    <row r="199" spans="1:30" x14ac:dyDescent="0.45">
      <c r="A199" s="8" t="s">
        <v>1593</v>
      </c>
      <c r="B199" s="4">
        <v>1626</v>
      </c>
      <c r="C199" s="4" t="s">
        <v>1884</v>
      </c>
      <c r="D199" s="4" t="s">
        <v>1885</v>
      </c>
      <c r="E199" s="4" t="s">
        <v>1881</v>
      </c>
      <c r="F199" s="4" t="s">
        <v>1887</v>
      </c>
      <c r="G199" s="4" t="s">
        <v>34</v>
      </c>
      <c r="H199" s="4" t="s">
        <v>1877</v>
      </c>
      <c r="I199" s="4" t="s">
        <v>1888</v>
      </c>
      <c r="J199" s="4" t="s">
        <v>37</v>
      </c>
      <c r="K199" s="4" t="s">
        <v>56</v>
      </c>
      <c r="L199" s="4" t="s">
        <v>39</v>
      </c>
      <c r="M199" s="4" t="s">
        <v>37</v>
      </c>
      <c r="N199" s="4" t="s">
        <v>37</v>
      </c>
      <c r="O199" s="4" t="s">
        <v>39</v>
      </c>
      <c r="P199" s="4" t="s">
        <v>37</v>
      </c>
      <c r="Q199" s="4" t="s">
        <v>37</v>
      </c>
      <c r="R199" s="4" t="s">
        <v>39</v>
      </c>
      <c r="S199" s="4" t="s">
        <v>1889</v>
      </c>
      <c r="T199" s="4" t="s">
        <v>1641</v>
      </c>
      <c r="U199" s="4" t="s">
        <v>1642</v>
      </c>
      <c r="V199" s="4" t="s">
        <v>1602</v>
      </c>
      <c r="W199" s="4" t="s">
        <v>105</v>
      </c>
      <c r="X199" s="4"/>
      <c r="Y199" s="4"/>
      <c r="Z199" s="4" t="s">
        <v>46</v>
      </c>
      <c r="AA199" s="4" t="s">
        <v>1643</v>
      </c>
      <c r="AB199" s="4"/>
      <c r="AC199" s="9">
        <v>1</v>
      </c>
      <c r="AD199" t="str">
        <f>VLOOKUP($T199,[1]NhanSu!$C$5:$M$229,11,0)</f>
        <v>SM0000185</v>
      </c>
    </row>
    <row r="200" spans="1:30" x14ac:dyDescent="0.45">
      <c r="A200" s="6" t="s">
        <v>1593</v>
      </c>
      <c r="B200" s="5">
        <v>1752</v>
      </c>
      <c r="C200" s="5" t="s">
        <v>1906</v>
      </c>
      <c r="D200" s="5" t="s">
        <v>1907</v>
      </c>
      <c r="E200" s="5" t="s">
        <v>1633</v>
      </c>
      <c r="F200" s="5" t="s">
        <v>325</v>
      </c>
      <c r="G200" s="5" t="s">
        <v>1624</v>
      </c>
      <c r="H200" s="5" t="s">
        <v>402</v>
      </c>
      <c r="I200" s="5" t="s">
        <v>1909</v>
      </c>
      <c r="J200" s="5" t="s">
        <v>38</v>
      </c>
      <c r="K200" s="5" t="s">
        <v>38</v>
      </c>
      <c r="L200" s="5" t="s">
        <v>39</v>
      </c>
      <c r="M200" s="5" t="s">
        <v>37</v>
      </c>
      <c r="N200" s="5" t="s">
        <v>37</v>
      </c>
      <c r="O200" s="5" t="s">
        <v>39</v>
      </c>
      <c r="P200" s="5" t="s">
        <v>38</v>
      </c>
      <c r="Q200" s="5" t="s">
        <v>38</v>
      </c>
      <c r="R200" s="5" t="s">
        <v>39</v>
      </c>
      <c r="S200" s="5" t="s">
        <v>41</v>
      </c>
      <c r="T200" s="5" t="s">
        <v>1626</v>
      </c>
      <c r="U200" s="5" t="s">
        <v>1627</v>
      </c>
      <c r="V200" s="5" t="s">
        <v>1602</v>
      </c>
      <c r="W200" s="5" t="s">
        <v>1628</v>
      </c>
      <c r="X200" s="5"/>
      <c r="Y200" s="5"/>
      <c r="Z200" s="5" t="s">
        <v>46</v>
      </c>
      <c r="AA200" s="5" t="s">
        <v>1842</v>
      </c>
      <c r="AB200" s="5" t="s">
        <v>1630</v>
      </c>
      <c r="AC200" s="7">
        <v>1</v>
      </c>
      <c r="AD200" t="str">
        <f>VLOOKUP($T200,[1]NhanSu!$C$5:$M$229,11,0)</f>
        <v>SM0000079</v>
      </c>
    </row>
    <row r="201" spans="1:30" x14ac:dyDescent="0.45">
      <c r="A201" s="8" t="s">
        <v>1593</v>
      </c>
      <c r="B201" s="4">
        <v>1793</v>
      </c>
      <c r="C201" s="4" t="s">
        <v>1910</v>
      </c>
      <c r="D201" s="4" t="s">
        <v>1911</v>
      </c>
      <c r="E201" s="4" t="s">
        <v>1913</v>
      </c>
      <c r="F201" s="4" t="s">
        <v>1914</v>
      </c>
      <c r="G201" s="4" t="s">
        <v>34</v>
      </c>
      <c r="H201" s="4" t="s">
        <v>685</v>
      </c>
      <c r="I201" s="4" t="s">
        <v>1915</v>
      </c>
      <c r="J201" s="4" t="s">
        <v>56</v>
      </c>
      <c r="K201" s="4" t="s">
        <v>38</v>
      </c>
      <c r="L201" s="4" t="s">
        <v>39</v>
      </c>
      <c r="M201" s="4" t="s">
        <v>1034</v>
      </c>
      <c r="N201" s="4" t="s">
        <v>1034</v>
      </c>
      <c r="O201" s="4" t="s">
        <v>121</v>
      </c>
      <c r="P201" s="4" t="s">
        <v>38</v>
      </c>
      <c r="Q201" s="4" t="s">
        <v>38</v>
      </c>
      <c r="R201" s="4" t="s">
        <v>39</v>
      </c>
      <c r="S201" s="4" t="s">
        <v>1916</v>
      </c>
      <c r="T201" s="4" t="s">
        <v>1617</v>
      </c>
      <c r="U201" s="4" t="s">
        <v>1618</v>
      </c>
      <c r="V201" s="4" t="s">
        <v>1602</v>
      </c>
      <c r="W201" s="4" t="s">
        <v>246</v>
      </c>
      <c r="X201" s="4"/>
      <c r="Y201" s="4"/>
      <c r="Z201" s="4" t="s">
        <v>46</v>
      </c>
      <c r="AA201" s="4" t="s">
        <v>1654</v>
      </c>
      <c r="AB201" s="4" t="s">
        <v>159</v>
      </c>
      <c r="AC201" s="9">
        <v>1</v>
      </c>
      <c r="AD201" t="str">
        <f>VLOOKUP($T201,[1]NhanSu!$C$5:$M$229,11,0)</f>
        <v>SM0000222</v>
      </c>
    </row>
    <row r="202" spans="1:30" x14ac:dyDescent="0.45">
      <c r="A202" s="6" t="s">
        <v>1593</v>
      </c>
      <c r="B202" s="5">
        <v>1806</v>
      </c>
      <c r="C202" s="5" t="s">
        <v>1922</v>
      </c>
      <c r="D202" s="5" t="s">
        <v>1923</v>
      </c>
      <c r="E202" s="5" t="s">
        <v>1554</v>
      </c>
      <c r="F202" s="5" t="s">
        <v>1804</v>
      </c>
      <c r="G202" s="5" t="s">
        <v>34</v>
      </c>
      <c r="H202" s="5" t="s">
        <v>1924</v>
      </c>
      <c r="I202" s="5" t="s">
        <v>1925</v>
      </c>
      <c r="J202" s="5" t="s">
        <v>37</v>
      </c>
      <c r="K202" s="5" t="s">
        <v>37</v>
      </c>
      <c r="L202" s="5" t="s">
        <v>39</v>
      </c>
      <c r="M202" s="5" t="s">
        <v>37</v>
      </c>
      <c r="N202" s="5" t="s">
        <v>37</v>
      </c>
      <c r="O202" s="5" t="s">
        <v>39</v>
      </c>
      <c r="P202" s="5" t="s">
        <v>37</v>
      </c>
      <c r="Q202" s="5" t="s">
        <v>37</v>
      </c>
      <c r="R202" s="5" t="s">
        <v>39</v>
      </c>
      <c r="S202" s="5" t="s">
        <v>41</v>
      </c>
      <c r="T202" s="5" t="s">
        <v>1641</v>
      </c>
      <c r="U202" s="5" t="s">
        <v>1642</v>
      </c>
      <c r="V202" s="5" t="s">
        <v>1602</v>
      </c>
      <c r="W202" s="5" t="s">
        <v>45</v>
      </c>
      <c r="X202" s="5"/>
      <c r="Y202" s="5"/>
      <c r="Z202" s="5" t="s">
        <v>46</v>
      </c>
      <c r="AA202" s="5" t="s">
        <v>1643</v>
      </c>
      <c r="AB202" s="5" t="s">
        <v>159</v>
      </c>
      <c r="AC202" s="7">
        <v>1</v>
      </c>
      <c r="AD202" t="str">
        <f>VLOOKUP($T202,[1]NhanSu!$C$5:$M$229,11,0)</f>
        <v>SM0000185</v>
      </c>
    </row>
    <row r="203" spans="1:30" x14ac:dyDescent="0.45">
      <c r="A203" s="8" t="s">
        <v>1593</v>
      </c>
      <c r="B203" s="4">
        <v>1818</v>
      </c>
      <c r="C203" s="4" t="s">
        <v>1926</v>
      </c>
      <c r="D203" s="4" t="s">
        <v>1927</v>
      </c>
      <c r="E203" s="4" t="s">
        <v>1928</v>
      </c>
      <c r="F203" s="4" t="s">
        <v>417</v>
      </c>
      <c r="G203" s="4" t="s">
        <v>34</v>
      </c>
      <c r="H203" s="4" t="s">
        <v>1929</v>
      </c>
      <c r="I203" s="4" t="s">
        <v>1930</v>
      </c>
      <c r="J203" s="4" t="s">
        <v>38</v>
      </c>
      <c r="K203" s="4" t="s">
        <v>38</v>
      </c>
      <c r="L203" s="4" t="s">
        <v>39</v>
      </c>
      <c r="M203" s="4" t="s">
        <v>38</v>
      </c>
      <c r="N203" s="4" t="s">
        <v>37</v>
      </c>
      <c r="O203" s="4" t="s">
        <v>39</v>
      </c>
      <c r="P203" s="4" t="s">
        <v>38</v>
      </c>
      <c r="Q203" s="4" t="s">
        <v>38</v>
      </c>
      <c r="R203" s="4" t="s">
        <v>39</v>
      </c>
      <c r="S203" s="4" t="s">
        <v>41</v>
      </c>
      <c r="T203" s="4" t="s">
        <v>1641</v>
      </c>
      <c r="U203" s="4" t="s">
        <v>1642</v>
      </c>
      <c r="V203" s="4" t="s">
        <v>1602</v>
      </c>
      <c r="W203" s="4" t="s">
        <v>45</v>
      </c>
      <c r="X203" s="4"/>
      <c r="Y203" s="4"/>
      <c r="Z203" s="4" t="s">
        <v>46</v>
      </c>
      <c r="AA203" s="4" t="s">
        <v>1643</v>
      </c>
      <c r="AB203" s="4" t="s">
        <v>159</v>
      </c>
      <c r="AC203" s="9">
        <v>1</v>
      </c>
      <c r="AD203" t="str">
        <f>VLOOKUP($T203,[1]NhanSu!$C$5:$M$229,11,0)</f>
        <v>SM0000185</v>
      </c>
    </row>
    <row r="204" spans="1:30" x14ac:dyDescent="0.45">
      <c r="A204" s="6" t="s">
        <v>1593</v>
      </c>
      <c r="B204" s="5">
        <v>1824</v>
      </c>
      <c r="C204" s="5" t="s">
        <v>1931</v>
      </c>
      <c r="D204" s="5" t="s">
        <v>1932</v>
      </c>
      <c r="E204" s="5" t="s">
        <v>1714</v>
      </c>
      <c r="F204" s="5" t="s">
        <v>417</v>
      </c>
      <c r="G204" s="5" t="s">
        <v>34</v>
      </c>
      <c r="H204" s="5" t="s">
        <v>378</v>
      </c>
      <c r="I204" s="5" t="s">
        <v>1925</v>
      </c>
      <c r="J204" s="5" t="s">
        <v>38</v>
      </c>
      <c r="K204" s="5" t="s">
        <v>38</v>
      </c>
      <c r="L204" s="5" t="s">
        <v>39</v>
      </c>
      <c r="M204" s="5" t="s">
        <v>37</v>
      </c>
      <c r="N204" s="5" t="s">
        <v>37</v>
      </c>
      <c r="O204" s="5" t="s">
        <v>39</v>
      </c>
      <c r="P204" s="5" t="s">
        <v>38</v>
      </c>
      <c r="Q204" s="5" t="s">
        <v>37</v>
      </c>
      <c r="R204" s="5" t="s">
        <v>39</v>
      </c>
      <c r="S204" s="5" t="s">
        <v>41</v>
      </c>
      <c r="T204" s="5" t="s">
        <v>1641</v>
      </c>
      <c r="U204" s="5" t="s">
        <v>1642</v>
      </c>
      <c r="V204" s="5" t="s">
        <v>1602</v>
      </c>
      <c r="W204" s="5" t="s">
        <v>45</v>
      </c>
      <c r="X204" s="5"/>
      <c r="Y204" s="5"/>
      <c r="Z204" s="5" t="s">
        <v>46</v>
      </c>
      <c r="AA204" s="5" t="s">
        <v>1643</v>
      </c>
      <c r="AB204" s="5" t="s">
        <v>94</v>
      </c>
      <c r="AC204" s="7">
        <v>1</v>
      </c>
      <c r="AD204" t="str">
        <f>VLOOKUP($T204,[1]NhanSu!$C$5:$M$229,11,0)</f>
        <v>SM0000185</v>
      </c>
    </row>
    <row r="205" spans="1:30" x14ac:dyDescent="0.45">
      <c r="A205" s="8" t="s">
        <v>1593</v>
      </c>
      <c r="B205" s="4">
        <v>3060</v>
      </c>
      <c r="C205" s="4" t="s">
        <v>2025</v>
      </c>
      <c r="D205" s="4" t="s">
        <v>2026</v>
      </c>
      <c r="E205" s="4" t="s">
        <v>2027</v>
      </c>
      <c r="F205" s="4" t="s">
        <v>166</v>
      </c>
      <c r="G205" s="4" t="s">
        <v>34</v>
      </c>
      <c r="H205" s="4" t="s">
        <v>214</v>
      </c>
      <c r="I205" s="4" t="s">
        <v>2028</v>
      </c>
      <c r="J205" s="4" t="s">
        <v>38</v>
      </c>
      <c r="K205" s="4" t="s">
        <v>38</v>
      </c>
      <c r="L205" s="4" t="s">
        <v>40</v>
      </c>
      <c r="M205" s="4" t="s">
        <v>775</v>
      </c>
      <c r="N205" s="4" t="s">
        <v>56</v>
      </c>
      <c r="O205" s="4" t="s">
        <v>121</v>
      </c>
      <c r="P205" s="4" t="s">
        <v>38</v>
      </c>
      <c r="Q205" s="4" t="s">
        <v>38</v>
      </c>
      <c r="R205" s="4" t="s">
        <v>39</v>
      </c>
      <c r="S205" s="4" t="s">
        <v>2029</v>
      </c>
      <c r="T205" s="4" t="s">
        <v>1641</v>
      </c>
      <c r="U205" s="4" t="s">
        <v>1642</v>
      </c>
      <c r="V205" s="4" t="s">
        <v>1602</v>
      </c>
      <c r="W205" s="4" t="s">
        <v>105</v>
      </c>
      <c r="X205" s="4"/>
      <c r="Y205" s="4"/>
      <c r="Z205" s="4" t="s">
        <v>46</v>
      </c>
      <c r="AA205" s="4" t="s">
        <v>1643</v>
      </c>
      <c r="AB205" s="4"/>
      <c r="AC205" s="9">
        <v>1</v>
      </c>
      <c r="AD205" t="str">
        <f>VLOOKUP($T205,[1]NhanSu!$C$5:$M$229,11,0)</f>
        <v>SM0000185</v>
      </c>
    </row>
    <row r="206" spans="1:30" x14ac:dyDescent="0.45">
      <c r="A206" s="6" t="s">
        <v>2046</v>
      </c>
      <c r="B206" s="5">
        <v>79</v>
      </c>
      <c r="C206" s="5" t="s">
        <v>2068</v>
      </c>
      <c r="D206" s="5" t="s">
        <v>2069</v>
      </c>
      <c r="E206" s="5" t="s">
        <v>2070</v>
      </c>
      <c r="F206" s="5" t="s">
        <v>2071</v>
      </c>
      <c r="G206" s="5" t="s">
        <v>34</v>
      </c>
      <c r="H206" s="5" t="s">
        <v>1188</v>
      </c>
      <c r="I206" s="5" t="s">
        <v>2072</v>
      </c>
      <c r="J206" s="5" t="s">
        <v>775</v>
      </c>
      <c r="K206" s="5" t="s">
        <v>775</v>
      </c>
      <c r="L206" s="5" t="s">
        <v>40</v>
      </c>
      <c r="M206" s="5" t="s">
        <v>56</v>
      </c>
      <c r="N206" s="5" t="s">
        <v>775</v>
      </c>
      <c r="O206" s="5" t="s">
        <v>39</v>
      </c>
      <c r="P206" s="5" t="s">
        <v>775</v>
      </c>
      <c r="Q206" s="5" t="s">
        <v>775</v>
      </c>
      <c r="R206" s="5" t="s">
        <v>40</v>
      </c>
      <c r="S206" s="5" t="s">
        <v>41</v>
      </c>
      <c r="T206" s="5" t="s">
        <v>2062</v>
      </c>
      <c r="U206" s="5" t="s">
        <v>2063</v>
      </c>
      <c r="V206" s="5" t="s">
        <v>2052</v>
      </c>
      <c r="W206" s="5" t="s">
        <v>2053</v>
      </c>
      <c r="X206" s="5"/>
      <c r="Y206" s="5"/>
      <c r="Z206" s="5" t="s">
        <v>46</v>
      </c>
      <c r="AA206" s="5" t="s">
        <v>48</v>
      </c>
      <c r="AB206" s="5" t="s">
        <v>1672</v>
      </c>
      <c r="AC206" s="7">
        <v>1</v>
      </c>
      <c r="AD206" t="str">
        <f>VLOOKUP($T206,[1]NhanSu!$C$5:$M$229,11,0)</f>
        <v>SM0000146</v>
      </c>
    </row>
    <row r="207" spans="1:30" x14ac:dyDescent="0.45">
      <c r="A207" s="8" t="s">
        <v>2046</v>
      </c>
      <c r="B207" s="4">
        <v>130</v>
      </c>
      <c r="C207" s="4" t="s">
        <v>2098</v>
      </c>
      <c r="D207" s="4" t="s">
        <v>2099</v>
      </c>
      <c r="E207" s="4" t="s">
        <v>1699</v>
      </c>
      <c r="F207" s="4" t="s">
        <v>2100</v>
      </c>
      <c r="G207" s="4" t="s">
        <v>34</v>
      </c>
      <c r="H207" s="4" t="s">
        <v>54</v>
      </c>
      <c r="I207" s="4" t="s">
        <v>2101</v>
      </c>
      <c r="J207" s="4" t="s">
        <v>775</v>
      </c>
      <c r="K207" s="4" t="s">
        <v>775</v>
      </c>
      <c r="L207" s="4" t="s">
        <v>40</v>
      </c>
      <c r="M207" s="4" t="s">
        <v>56</v>
      </c>
      <c r="N207" s="4" t="s">
        <v>775</v>
      </c>
      <c r="O207" s="4" t="s">
        <v>39</v>
      </c>
      <c r="P207" s="4" t="s">
        <v>775</v>
      </c>
      <c r="Q207" s="4" t="s">
        <v>775</v>
      </c>
      <c r="R207" s="4" t="s">
        <v>40</v>
      </c>
      <c r="S207" s="4" t="s">
        <v>41</v>
      </c>
      <c r="T207" s="4" t="s">
        <v>2062</v>
      </c>
      <c r="U207" s="4" t="s">
        <v>2063</v>
      </c>
      <c r="V207" s="4" t="s">
        <v>2052</v>
      </c>
      <c r="W207" s="4" t="s">
        <v>2053</v>
      </c>
      <c r="X207" s="4"/>
      <c r="Y207" s="4"/>
      <c r="Z207" s="4" t="s">
        <v>46</v>
      </c>
      <c r="AA207" s="4" t="s">
        <v>2102</v>
      </c>
      <c r="AB207" s="4" t="s">
        <v>48</v>
      </c>
      <c r="AC207" s="9">
        <v>1</v>
      </c>
      <c r="AD207" t="str">
        <f>VLOOKUP($T207,[1]NhanSu!$C$5:$M$229,11,0)</f>
        <v>SM0000146</v>
      </c>
    </row>
    <row r="208" spans="1:30" x14ac:dyDescent="0.45">
      <c r="A208" s="6" t="s">
        <v>2046</v>
      </c>
      <c r="B208" s="5">
        <v>176</v>
      </c>
      <c r="C208" s="5" t="s">
        <v>2108</v>
      </c>
      <c r="D208" s="5" t="s">
        <v>2109</v>
      </c>
      <c r="E208" s="5" t="s">
        <v>742</v>
      </c>
      <c r="F208" s="5" t="s">
        <v>53</v>
      </c>
      <c r="G208" s="5" t="s">
        <v>34</v>
      </c>
      <c r="H208" s="5" t="s">
        <v>171</v>
      </c>
      <c r="I208" s="5" t="s">
        <v>2110</v>
      </c>
      <c r="J208" s="5" t="s">
        <v>38</v>
      </c>
      <c r="K208" s="5" t="s">
        <v>38</v>
      </c>
      <c r="L208" s="5" t="s">
        <v>40</v>
      </c>
      <c r="M208" s="5" t="s">
        <v>37</v>
      </c>
      <c r="N208" s="5" t="s">
        <v>37</v>
      </c>
      <c r="O208" s="5" t="s">
        <v>39</v>
      </c>
      <c r="P208" s="5" t="s">
        <v>38</v>
      </c>
      <c r="Q208" s="5" t="s">
        <v>38</v>
      </c>
      <c r="R208" s="5" t="s">
        <v>40</v>
      </c>
      <c r="S208" s="5" t="s">
        <v>2111</v>
      </c>
      <c r="T208" s="5" t="s">
        <v>2096</v>
      </c>
      <c r="U208" s="5" t="s">
        <v>2097</v>
      </c>
      <c r="V208" s="5" t="s">
        <v>2052</v>
      </c>
      <c r="W208" s="5" t="s">
        <v>2053</v>
      </c>
      <c r="X208" s="5"/>
      <c r="Y208" s="5"/>
      <c r="Z208" s="5" t="s">
        <v>46</v>
      </c>
      <c r="AA208" s="5" t="s">
        <v>2102</v>
      </c>
      <c r="AB208" s="5" t="s">
        <v>48</v>
      </c>
      <c r="AC208" s="7">
        <v>1</v>
      </c>
      <c r="AD208" t="str">
        <f>VLOOKUP($T208,[1]NhanSu!$C$5:$M$229,11,0)</f>
        <v>SM0000067</v>
      </c>
    </row>
    <row r="209" spans="1:30" x14ac:dyDescent="0.45">
      <c r="A209" s="8" t="s">
        <v>2046</v>
      </c>
      <c r="B209" s="4">
        <v>161</v>
      </c>
      <c r="C209" s="4" t="s">
        <v>2112</v>
      </c>
      <c r="D209" s="4" t="s">
        <v>2113</v>
      </c>
      <c r="E209" s="4" t="s">
        <v>176</v>
      </c>
      <c r="F209" s="4" t="s">
        <v>53</v>
      </c>
      <c r="G209" s="4" t="s">
        <v>34</v>
      </c>
      <c r="H209" s="4" t="s">
        <v>54</v>
      </c>
      <c r="I209" s="4"/>
      <c r="J209" s="4" t="s">
        <v>37</v>
      </c>
      <c r="K209" s="4" t="s">
        <v>37</v>
      </c>
      <c r="L209" s="4" t="s">
        <v>39</v>
      </c>
      <c r="M209" s="4" t="s">
        <v>37</v>
      </c>
      <c r="N209" s="4" t="s">
        <v>37</v>
      </c>
      <c r="O209" s="4" t="s">
        <v>39</v>
      </c>
      <c r="P209" s="4" t="s">
        <v>38</v>
      </c>
      <c r="Q209" s="4" t="s">
        <v>38</v>
      </c>
      <c r="R209" s="4" t="s">
        <v>40</v>
      </c>
      <c r="S209" s="4" t="s">
        <v>41</v>
      </c>
      <c r="T209" s="4" t="s">
        <v>2114</v>
      </c>
      <c r="U209" s="4" t="s">
        <v>2115</v>
      </c>
      <c r="V209" s="4" t="s">
        <v>2052</v>
      </c>
      <c r="W209" s="4" t="s">
        <v>2053</v>
      </c>
      <c r="X209" s="4"/>
      <c r="Y209" s="4"/>
      <c r="Z209" s="4" t="s">
        <v>46</v>
      </c>
      <c r="AA209" s="4" t="s">
        <v>2116</v>
      </c>
      <c r="AB209" s="4" t="s">
        <v>48</v>
      </c>
      <c r="AC209" s="9">
        <v>1</v>
      </c>
      <c r="AD209" t="str">
        <f>VLOOKUP($T209,[1]NhanSu!$C$5:$M$229,11,0)</f>
        <v>SM0000228</v>
      </c>
    </row>
    <row r="210" spans="1:30" x14ac:dyDescent="0.45">
      <c r="A210" s="6" t="s">
        <v>2046</v>
      </c>
      <c r="B210" s="5">
        <v>182</v>
      </c>
      <c r="C210" s="5" t="s">
        <v>2132</v>
      </c>
      <c r="D210" s="5" t="s">
        <v>2133</v>
      </c>
      <c r="E210" s="5" t="s">
        <v>2134</v>
      </c>
      <c r="F210" s="5" t="s">
        <v>581</v>
      </c>
      <c r="G210" s="5" t="s">
        <v>34</v>
      </c>
      <c r="H210" s="5" t="s">
        <v>54</v>
      </c>
      <c r="I210" s="5"/>
      <c r="J210" s="5" t="s">
        <v>37</v>
      </c>
      <c r="K210" s="5" t="s">
        <v>37</v>
      </c>
      <c r="L210" s="5" t="s">
        <v>39</v>
      </c>
      <c r="M210" s="5" t="s">
        <v>37</v>
      </c>
      <c r="N210" s="5" t="s">
        <v>37</v>
      </c>
      <c r="O210" s="5" t="s">
        <v>39</v>
      </c>
      <c r="P210" s="5" t="s">
        <v>38</v>
      </c>
      <c r="Q210" s="5" t="s">
        <v>38</v>
      </c>
      <c r="R210" s="5" t="s">
        <v>40</v>
      </c>
      <c r="S210" s="5" t="s">
        <v>41</v>
      </c>
      <c r="T210" s="5" t="s">
        <v>2114</v>
      </c>
      <c r="U210" s="5" t="s">
        <v>2115</v>
      </c>
      <c r="V210" s="5" t="s">
        <v>2052</v>
      </c>
      <c r="W210" s="5" t="s">
        <v>2053</v>
      </c>
      <c r="X210" s="5"/>
      <c r="Y210" s="5"/>
      <c r="Z210" s="5" t="s">
        <v>46</v>
      </c>
      <c r="AA210" s="5" t="s">
        <v>2116</v>
      </c>
      <c r="AB210" s="5" t="s">
        <v>48</v>
      </c>
      <c r="AC210" s="7">
        <v>1</v>
      </c>
      <c r="AD210" t="str">
        <f>VLOOKUP($T210,[1]NhanSu!$C$5:$M$229,11,0)</f>
        <v>SM0000228</v>
      </c>
    </row>
    <row r="211" spans="1:30" x14ac:dyDescent="0.45">
      <c r="A211" s="8" t="s">
        <v>2046</v>
      </c>
      <c r="B211" s="4">
        <v>255</v>
      </c>
      <c r="C211" s="4" t="s">
        <v>2146</v>
      </c>
      <c r="D211" s="4" t="s">
        <v>2147</v>
      </c>
      <c r="E211" s="4" t="s">
        <v>97</v>
      </c>
      <c r="F211" s="4" t="s">
        <v>2149</v>
      </c>
      <c r="G211" s="4" t="s">
        <v>34</v>
      </c>
      <c r="H211" s="4" t="s">
        <v>917</v>
      </c>
      <c r="I211" s="4" t="s">
        <v>2150</v>
      </c>
      <c r="J211" s="4" t="s">
        <v>38</v>
      </c>
      <c r="K211" s="4" t="s">
        <v>37</v>
      </c>
      <c r="L211" s="4" t="s">
        <v>40</v>
      </c>
      <c r="M211" s="4" t="s">
        <v>38</v>
      </c>
      <c r="N211" s="4" t="s">
        <v>37</v>
      </c>
      <c r="O211" s="4" t="s">
        <v>40</v>
      </c>
      <c r="P211" s="4" t="s">
        <v>37</v>
      </c>
      <c r="Q211" s="4" t="s">
        <v>56</v>
      </c>
      <c r="R211" s="4" t="s">
        <v>39</v>
      </c>
      <c r="S211" s="4" t="s">
        <v>41</v>
      </c>
      <c r="T211" s="4" t="s">
        <v>2076</v>
      </c>
      <c r="U211" s="4" t="s">
        <v>2077</v>
      </c>
      <c r="V211" s="4" t="s">
        <v>2052</v>
      </c>
      <c r="W211" s="4" t="s">
        <v>2053</v>
      </c>
      <c r="X211" s="4"/>
      <c r="Y211" s="4"/>
      <c r="Z211" s="4" t="s">
        <v>46</v>
      </c>
      <c r="AA211" s="4" t="s">
        <v>2116</v>
      </c>
      <c r="AB211" s="4" t="s">
        <v>48</v>
      </c>
      <c r="AC211" s="9">
        <v>1</v>
      </c>
      <c r="AD211" t="str">
        <f>VLOOKUP($T211,[1]NhanSu!$C$5:$M$229,11,0)</f>
        <v>SM0000229</v>
      </c>
    </row>
    <row r="212" spans="1:30" x14ac:dyDescent="0.45">
      <c r="A212" s="6" t="s">
        <v>2046</v>
      </c>
      <c r="B212" s="5">
        <v>268</v>
      </c>
      <c r="C212" s="5" t="s">
        <v>2158</v>
      </c>
      <c r="D212" s="5" t="s">
        <v>2159</v>
      </c>
      <c r="E212" s="5" t="s">
        <v>1680</v>
      </c>
      <c r="F212" s="5" t="s">
        <v>166</v>
      </c>
      <c r="G212" s="5" t="s">
        <v>34</v>
      </c>
      <c r="H212" s="5" t="s">
        <v>54</v>
      </c>
      <c r="I212" s="5" t="s">
        <v>2160</v>
      </c>
      <c r="J212" s="5" t="s">
        <v>775</v>
      </c>
      <c r="K212" s="5" t="s">
        <v>775</v>
      </c>
      <c r="L212" s="5" t="s">
        <v>39</v>
      </c>
      <c r="M212" s="5" t="s">
        <v>56</v>
      </c>
      <c r="N212" s="5" t="s">
        <v>775</v>
      </c>
      <c r="O212" s="5" t="s">
        <v>39</v>
      </c>
      <c r="P212" s="5" t="s">
        <v>775</v>
      </c>
      <c r="Q212" s="5" t="s">
        <v>775</v>
      </c>
      <c r="R212" s="5" t="s">
        <v>40</v>
      </c>
      <c r="S212" s="5" t="s">
        <v>41</v>
      </c>
      <c r="T212" s="5" t="s">
        <v>2062</v>
      </c>
      <c r="U212" s="5" t="s">
        <v>2063</v>
      </c>
      <c r="V212" s="5" t="s">
        <v>2052</v>
      </c>
      <c r="W212" s="5" t="s">
        <v>2053</v>
      </c>
      <c r="X212" s="5"/>
      <c r="Y212" s="5"/>
      <c r="Z212" s="5" t="s">
        <v>46</v>
      </c>
      <c r="AA212" s="5" t="s">
        <v>2102</v>
      </c>
      <c r="AB212" s="5" t="s">
        <v>48</v>
      </c>
      <c r="AC212" s="7">
        <v>1</v>
      </c>
      <c r="AD212" t="str">
        <f>VLOOKUP($T212,[1]NhanSu!$C$5:$M$229,11,0)</f>
        <v>SM0000146</v>
      </c>
    </row>
    <row r="213" spans="1:30" x14ac:dyDescent="0.45">
      <c r="A213" s="8" t="s">
        <v>2046</v>
      </c>
      <c r="B213" s="4">
        <v>248</v>
      </c>
      <c r="C213" s="4" t="s">
        <v>2171</v>
      </c>
      <c r="D213" s="4" t="s">
        <v>2172</v>
      </c>
      <c r="E213" s="4" t="s">
        <v>2173</v>
      </c>
      <c r="F213" s="4" t="s">
        <v>325</v>
      </c>
      <c r="G213" s="4" t="s">
        <v>34</v>
      </c>
      <c r="H213" s="4" t="s">
        <v>54</v>
      </c>
      <c r="I213" s="4"/>
      <c r="J213" s="4" t="s">
        <v>56</v>
      </c>
      <c r="K213" s="4" t="s">
        <v>38</v>
      </c>
      <c r="L213" s="4" t="s">
        <v>39</v>
      </c>
      <c r="M213" s="4" t="s">
        <v>37</v>
      </c>
      <c r="N213" s="4" t="s">
        <v>37</v>
      </c>
      <c r="O213" s="4" t="s">
        <v>39</v>
      </c>
      <c r="P213" s="4" t="s">
        <v>38</v>
      </c>
      <c r="Q213" s="4" t="s">
        <v>38</v>
      </c>
      <c r="R213" s="4" t="s">
        <v>40</v>
      </c>
      <c r="S213" s="4" t="s">
        <v>41</v>
      </c>
      <c r="T213" s="4" t="s">
        <v>2114</v>
      </c>
      <c r="U213" s="4" t="s">
        <v>2115</v>
      </c>
      <c r="V213" s="4" t="s">
        <v>2052</v>
      </c>
      <c r="W213" s="4" t="s">
        <v>2053</v>
      </c>
      <c r="X213" s="4"/>
      <c r="Y213" s="4"/>
      <c r="Z213" s="4" t="s">
        <v>46</v>
      </c>
      <c r="AA213" s="4" t="s">
        <v>2116</v>
      </c>
      <c r="AB213" s="4" t="s">
        <v>48</v>
      </c>
      <c r="AC213" s="9">
        <v>1</v>
      </c>
      <c r="AD213" t="str">
        <f>VLOOKUP($T213,[1]NhanSu!$C$5:$M$229,11,0)</f>
        <v>SM0000228</v>
      </c>
    </row>
    <row r="214" spans="1:30" x14ac:dyDescent="0.45">
      <c r="A214" s="6" t="s">
        <v>2046</v>
      </c>
      <c r="B214" s="5">
        <v>259</v>
      </c>
      <c r="C214" s="5" t="s">
        <v>2180</v>
      </c>
      <c r="D214" s="5" t="s">
        <v>2181</v>
      </c>
      <c r="E214" s="5" t="s">
        <v>2182</v>
      </c>
      <c r="F214" s="5" t="s">
        <v>325</v>
      </c>
      <c r="G214" s="5" t="s">
        <v>34</v>
      </c>
      <c r="H214" s="5" t="s">
        <v>54</v>
      </c>
      <c r="I214" s="5"/>
      <c r="J214" s="5" t="s">
        <v>37</v>
      </c>
      <c r="K214" s="5" t="s">
        <v>37</v>
      </c>
      <c r="L214" s="5" t="s">
        <v>39</v>
      </c>
      <c r="M214" s="5" t="s">
        <v>37</v>
      </c>
      <c r="N214" s="5" t="s">
        <v>37</v>
      </c>
      <c r="O214" s="5" t="s">
        <v>39</v>
      </c>
      <c r="P214" s="5" t="s">
        <v>38</v>
      </c>
      <c r="Q214" s="5" t="s">
        <v>38</v>
      </c>
      <c r="R214" s="5" t="s">
        <v>40</v>
      </c>
      <c r="S214" s="5" t="s">
        <v>41</v>
      </c>
      <c r="T214" s="5" t="s">
        <v>2114</v>
      </c>
      <c r="U214" s="5" t="s">
        <v>2115</v>
      </c>
      <c r="V214" s="5" t="s">
        <v>2052</v>
      </c>
      <c r="W214" s="5" t="s">
        <v>2053</v>
      </c>
      <c r="X214" s="5"/>
      <c r="Y214" s="5"/>
      <c r="Z214" s="5" t="s">
        <v>46</v>
      </c>
      <c r="AA214" s="5" t="s">
        <v>2116</v>
      </c>
      <c r="AB214" s="5" t="s">
        <v>48</v>
      </c>
      <c r="AC214" s="7">
        <v>1</v>
      </c>
      <c r="AD214" t="str">
        <f>VLOOKUP($T214,[1]NhanSu!$C$5:$M$229,11,0)</f>
        <v>SM0000228</v>
      </c>
    </row>
    <row r="215" spans="1:30" x14ac:dyDescent="0.45">
      <c r="A215" s="8" t="s">
        <v>2046</v>
      </c>
      <c r="B215" s="4">
        <v>407</v>
      </c>
      <c r="C215" s="4" t="s">
        <v>2263</v>
      </c>
      <c r="D215" s="4" t="s">
        <v>2264</v>
      </c>
      <c r="E215" s="4" t="s">
        <v>138</v>
      </c>
      <c r="F215" s="4" t="s">
        <v>2265</v>
      </c>
      <c r="G215" s="4" t="s">
        <v>34</v>
      </c>
      <c r="H215" s="4" t="s">
        <v>54</v>
      </c>
      <c r="I215" s="4"/>
      <c r="J215" s="4" t="s">
        <v>37</v>
      </c>
      <c r="K215" s="4" t="s">
        <v>38</v>
      </c>
      <c r="L215" s="4" t="s">
        <v>40</v>
      </c>
      <c r="M215" s="4" t="s">
        <v>37</v>
      </c>
      <c r="N215" s="4" t="s">
        <v>56</v>
      </c>
      <c r="O215" s="4" t="s">
        <v>39</v>
      </c>
      <c r="P215" s="4" t="s">
        <v>38</v>
      </c>
      <c r="Q215" s="4" t="s">
        <v>38</v>
      </c>
      <c r="R215" s="4" t="s">
        <v>40</v>
      </c>
      <c r="S215" s="4" t="s">
        <v>41</v>
      </c>
      <c r="T215" s="4" t="s">
        <v>2114</v>
      </c>
      <c r="U215" s="4" t="s">
        <v>2115</v>
      </c>
      <c r="V215" s="4" t="s">
        <v>2052</v>
      </c>
      <c r="W215" s="4" t="s">
        <v>2053</v>
      </c>
      <c r="X215" s="4"/>
      <c r="Y215" s="4"/>
      <c r="Z215" s="4" t="s">
        <v>46</v>
      </c>
      <c r="AA215" s="4" t="s">
        <v>2116</v>
      </c>
      <c r="AB215" s="4" t="s">
        <v>48</v>
      </c>
      <c r="AC215" s="9">
        <v>1</v>
      </c>
      <c r="AD215" t="str">
        <f>VLOOKUP($T215,[1]NhanSu!$C$5:$M$229,11,0)</f>
        <v>SM0000228</v>
      </c>
    </row>
    <row r="216" spans="1:30" x14ac:dyDescent="0.45">
      <c r="A216" s="6" t="s">
        <v>2046</v>
      </c>
      <c r="B216" s="5">
        <v>410</v>
      </c>
      <c r="C216" s="5" t="s">
        <v>2266</v>
      </c>
      <c r="D216" s="5" t="s">
        <v>2267</v>
      </c>
      <c r="E216" s="5" t="s">
        <v>98</v>
      </c>
      <c r="F216" s="5" t="s">
        <v>115</v>
      </c>
      <c r="G216" s="5" t="s">
        <v>34</v>
      </c>
      <c r="H216" s="5" t="s">
        <v>54</v>
      </c>
      <c r="I216" s="5"/>
      <c r="J216" s="5" t="s">
        <v>38</v>
      </c>
      <c r="K216" s="5" t="s">
        <v>38</v>
      </c>
      <c r="L216" s="5" t="s">
        <v>40</v>
      </c>
      <c r="M216" s="5" t="s">
        <v>38</v>
      </c>
      <c r="N216" s="5" t="s">
        <v>38</v>
      </c>
      <c r="O216" s="5" t="s">
        <v>40</v>
      </c>
      <c r="P216" s="5" t="s">
        <v>38</v>
      </c>
      <c r="Q216" s="5" t="s">
        <v>38</v>
      </c>
      <c r="R216" s="5" t="s">
        <v>40</v>
      </c>
      <c r="S216" s="5" t="s">
        <v>41</v>
      </c>
      <c r="T216" s="5" t="s">
        <v>2114</v>
      </c>
      <c r="U216" s="5" t="s">
        <v>2115</v>
      </c>
      <c r="V216" s="5" t="s">
        <v>2052</v>
      </c>
      <c r="W216" s="5" t="s">
        <v>2053</v>
      </c>
      <c r="X216" s="5"/>
      <c r="Y216" s="5"/>
      <c r="Z216" s="5" t="s">
        <v>46</v>
      </c>
      <c r="AA216" s="5" t="s">
        <v>2116</v>
      </c>
      <c r="AB216" s="5" t="s">
        <v>48</v>
      </c>
      <c r="AC216" s="7">
        <v>1</v>
      </c>
      <c r="AD216" t="str">
        <f>VLOOKUP($T216,[1]NhanSu!$C$5:$M$229,11,0)</f>
        <v>SM0000228</v>
      </c>
    </row>
    <row r="217" spans="1:30" x14ac:dyDescent="0.45">
      <c r="A217" s="8" t="s">
        <v>2046</v>
      </c>
      <c r="B217" s="4">
        <v>417</v>
      </c>
      <c r="C217" s="4" t="s">
        <v>2270</v>
      </c>
      <c r="D217" s="4" t="s">
        <v>2271</v>
      </c>
      <c r="E217" s="4" t="s">
        <v>113</v>
      </c>
      <c r="F217" s="4" t="s">
        <v>325</v>
      </c>
      <c r="G217" s="4" t="s">
        <v>34</v>
      </c>
      <c r="H217" s="4" t="s">
        <v>54</v>
      </c>
      <c r="I217" s="4"/>
      <c r="J217" s="4" t="s">
        <v>56</v>
      </c>
      <c r="K217" s="4" t="s">
        <v>38</v>
      </c>
      <c r="L217" s="4" t="s">
        <v>39</v>
      </c>
      <c r="M217" s="4" t="s">
        <v>37</v>
      </c>
      <c r="N217" s="4" t="s">
        <v>38</v>
      </c>
      <c r="O217" s="4" t="s">
        <v>39</v>
      </c>
      <c r="P217" s="4" t="s">
        <v>38</v>
      </c>
      <c r="Q217" s="4" t="s">
        <v>38</v>
      </c>
      <c r="R217" s="4" t="s">
        <v>40</v>
      </c>
      <c r="S217" s="4" t="s">
        <v>41</v>
      </c>
      <c r="T217" s="4" t="s">
        <v>2114</v>
      </c>
      <c r="U217" s="4" t="s">
        <v>2115</v>
      </c>
      <c r="V217" s="4" t="s">
        <v>2052</v>
      </c>
      <c r="W217" s="4" t="s">
        <v>2053</v>
      </c>
      <c r="X217" s="4"/>
      <c r="Y217" s="4"/>
      <c r="Z217" s="4" t="s">
        <v>46</v>
      </c>
      <c r="AA217" s="4" t="s">
        <v>2116</v>
      </c>
      <c r="AB217" s="4" t="s">
        <v>48</v>
      </c>
      <c r="AC217" s="9">
        <v>1</v>
      </c>
      <c r="AD217" t="str">
        <f>VLOOKUP($T217,[1]NhanSu!$C$5:$M$229,11,0)</f>
        <v>SM0000228</v>
      </c>
    </row>
    <row r="218" spans="1:30" x14ac:dyDescent="0.45">
      <c r="A218" s="6" t="s">
        <v>2046</v>
      </c>
      <c r="B218" s="5">
        <v>1365</v>
      </c>
      <c r="C218" s="5" t="s">
        <v>2434</v>
      </c>
      <c r="D218" s="5" t="s">
        <v>2435</v>
      </c>
      <c r="E218" s="5" t="s">
        <v>2436</v>
      </c>
      <c r="F218" s="5" t="s">
        <v>325</v>
      </c>
      <c r="G218" s="5" t="s">
        <v>150</v>
      </c>
      <c r="H218" s="5" t="s">
        <v>332</v>
      </c>
      <c r="I218" s="5" t="s">
        <v>2257</v>
      </c>
      <c r="J218" s="5" t="s">
        <v>38</v>
      </c>
      <c r="K218" s="5" t="s">
        <v>38</v>
      </c>
      <c r="L218" s="5" t="s">
        <v>40</v>
      </c>
      <c r="M218" s="5" t="s">
        <v>37</v>
      </c>
      <c r="N218" s="5" t="s">
        <v>37</v>
      </c>
      <c r="O218" s="5" t="s">
        <v>39</v>
      </c>
      <c r="P218" s="5" t="s">
        <v>38</v>
      </c>
      <c r="Q218" s="5" t="s">
        <v>38</v>
      </c>
      <c r="R218" s="5" t="s">
        <v>40</v>
      </c>
      <c r="S218" s="5" t="s">
        <v>2437</v>
      </c>
      <c r="T218" s="5" t="s">
        <v>2096</v>
      </c>
      <c r="U218" s="5" t="s">
        <v>2097</v>
      </c>
      <c r="V218" s="5" t="s">
        <v>2052</v>
      </c>
      <c r="W218" s="5" t="s">
        <v>2053</v>
      </c>
      <c r="X218" s="5"/>
      <c r="Y218" s="5"/>
      <c r="Z218" s="5" t="s">
        <v>46</v>
      </c>
      <c r="AA218" s="5" t="s">
        <v>2102</v>
      </c>
      <c r="AB218" s="5" t="s">
        <v>48</v>
      </c>
      <c r="AC218" s="7">
        <v>1</v>
      </c>
      <c r="AD218" t="str">
        <f>VLOOKUP($T218,[1]NhanSu!$C$5:$M$229,11,0)</f>
        <v>SM0000067</v>
      </c>
    </row>
    <row r="219" spans="1:30" x14ac:dyDescent="0.45">
      <c r="A219" s="8" t="s">
        <v>2046</v>
      </c>
      <c r="B219" s="4">
        <v>1675</v>
      </c>
      <c r="C219" s="4" t="s">
        <v>2553</v>
      </c>
      <c r="D219" s="4" t="s">
        <v>2554</v>
      </c>
      <c r="E219" s="4" t="s">
        <v>2556</v>
      </c>
      <c r="F219" s="4" t="s">
        <v>2405</v>
      </c>
      <c r="G219" s="4" t="s">
        <v>34</v>
      </c>
      <c r="H219" s="4" t="s">
        <v>54</v>
      </c>
      <c r="I219" s="4" t="s">
        <v>2557</v>
      </c>
      <c r="J219" s="4" t="s">
        <v>775</v>
      </c>
      <c r="K219" s="4" t="s">
        <v>775</v>
      </c>
      <c r="L219" s="4" t="s">
        <v>40</v>
      </c>
      <c r="M219" s="4" t="s">
        <v>56</v>
      </c>
      <c r="N219" s="4" t="s">
        <v>775</v>
      </c>
      <c r="O219" s="4" t="s">
        <v>40</v>
      </c>
      <c r="P219" s="4" t="s">
        <v>775</v>
      </c>
      <c r="Q219" s="4" t="s">
        <v>775</v>
      </c>
      <c r="R219" s="4" t="s">
        <v>40</v>
      </c>
      <c r="S219" s="4" t="s">
        <v>41</v>
      </c>
      <c r="T219" s="4" t="s">
        <v>2062</v>
      </c>
      <c r="U219" s="4" t="s">
        <v>2063</v>
      </c>
      <c r="V219" s="4" t="s">
        <v>2052</v>
      </c>
      <c r="W219" s="4" t="s">
        <v>2053</v>
      </c>
      <c r="X219" s="4"/>
      <c r="Y219" s="4"/>
      <c r="Z219" s="4" t="s">
        <v>46</v>
      </c>
      <c r="AA219" s="4" t="s">
        <v>2102</v>
      </c>
      <c r="AB219" s="4" t="s">
        <v>48</v>
      </c>
      <c r="AC219" s="9">
        <v>1</v>
      </c>
      <c r="AD219" t="str">
        <f>VLOOKUP($T219,[1]NhanSu!$C$5:$M$229,11,0)</f>
        <v>SM0000146</v>
      </c>
    </row>
    <row r="220" spans="1:30" x14ac:dyDescent="0.45">
      <c r="A220" s="6" t="s">
        <v>2046</v>
      </c>
      <c r="B220" s="5">
        <v>1972</v>
      </c>
      <c r="C220" s="5" t="s">
        <v>2692</v>
      </c>
      <c r="D220" s="5" t="s">
        <v>2693</v>
      </c>
      <c r="E220" s="5" t="s">
        <v>682</v>
      </c>
      <c r="F220" s="5" t="s">
        <v>53</v>
      </c>
      <c r="G220" s="5" t="s">
        <v>150</v>
      </c>
      <c r="H220" s="5" t="s">
        <v>54</v>
      </c>
      <c r="I220" s="5" t="s">
        <v>2694</v>
      </c>
      <c r="J220" s="5" t="s">
        <v>38</v>
      </c>
      <c r="K220" s="5" t="s">
        <v>38</v>
      </c>
      <c r="L220" s="5" t="s">
        <v>40</v>
      </c>
      <c r="M220" s="5" t="s">
        <v>37</v>
      </c>
      <c r="N220" s="5" t="s">
        <v>37</v>
      </c>
      <c r="O220" s="5" t="s">
        <v>40</v>
      </c>
      <c r="P220" s="5" t="s">
        <v>38</v>
      </c>
      <c r="Q220" s="5" t="s">
        <v>38</v>
      </c>
      <c r="R220" s="5" t="s">
        <v>40</v>
      </c>
      <c r="S220" s="5" t="s">
        <v>2695</v>
      </c>
      <c r="T220" s="5" t="s">
        <v>2096</v>
      </c>
      <c r="U220" s="5" t="s">
        <v>2097</v>
      </c>
      <c r="V220" s="5" t="s">
        <v>2052</v>
      </c>
      <c r="W220" s="5" t="s">
        <v>2053</v>
      </c>
      <c r="X220" s="5"/>
      <c r="Y220" s="5"/>
      <c r="Z220" s="5" t="s">
        <v>46</v>
      </c>
      <c r="AA220" s="5" t="s">
        <v>2102</v>
      </c>
      <c r="AB220" s="5" t="s">
        <v>48</v>
      </c>
      <c r="AC220" s="7">
        <v>1</v>
      </c>
      <c r="AD220" t="str">
        <f>VLOOKUP($T220,[1]NhanSu!$C$5:$M$229,11,0)</f>
        <v>SM0000067</v>
      </c>
    </row>
    <row r="221" spans="1:30" x14ac:dyDescent="0.45">
      <c r="A221" s="8" t="s">
        <v>2046</v>
      </c>
      <c r="B221" s="4">
        <v>2282</v>
      </c>
      <c r="C221" s="4" t="s">
        <v>2787</v>
      </c>
      <c r="D221" s="4" t="s">
        <v>2788</v>
      </c>
      <c r="E221" s="4" t="s">
        <v>2790</v>
      </c>
      <c r="F221" s="4" t="s">
        <v>325</v>
      </c>
      <c r="G221" s="4" t="s">
        <v>34</v>
      </c>
      <c r="H221" s="4" t="s">
        <v>565</v>
      </c>
      <c r="I221" s="4" t="s">
        <v>2257</v>
      </c>
      <c r="J221" s="4" t="s">
        <v>38</v>
      </c>
      <c r="K221" s="4" t="s">
        <v>38</v>
      </c>
      <c r="L221" s="4" t="s">
        <v>40</v>
      </c>
      <c r="M221" s="4" t="s">
        <v>37</v>
      </c>
      <c r="N221" s="4" t="s">
        <v>37</v>
      </c>
      <c r="O221" s="4" t="s">
        <v>40</v>
      </c>
      <c r="P221" s="4" t="s">
        <v>38</v>
      </c>
      <c r="Q221" s="4" t="s">
        <v>38</v>
      </c>
      <c r="R221" s="4" t="s">
        <v>40</v>
      </c>
      <c r="S221" s="4" t="s">
        <v>2791</v>
      </c>
      <c r="T221" s="4" t="s">
        <v>2096</v>
      </c>
      <c r="U221" s="4" t="s">
        <v>2097</v>
      </c>
      <c r="V221" s="4" t="s">
        <v>2052</v>
      </c>
      <c r="W221" s="4" t="s">
        <v>2053</v>
      </c>
      <c r="X221" s="4"/>
      <c r="Y221" s="4"/>
      <c r="Z221" s="4" t="s">
        <v>46</v>
      </c>
      <c r="AA221" s="4" t="s">
        <v>2102</v>
      </c>
      <c r="AB221" s="4" t="s">
        <v>48</v>
      </c>
      <c r="AC221" s="9">
        <v>1</v>
      </c>
      <c r="AD221" t="str">
        <f>VLOOKUP($T221,[1]NhanSu!$C$5:$M$229,11,0)</f>
        <v>SM0000067</v>
      </c>
    </row>
    <row r="222" spans="1:30" x14ac:dyDescent="0.45">
      <c r="A222" s="6" t="s">
        <v>2046</v>
      </c>
      <c r="B222" s="5">
        <v>2518</v>
      </c>
      <c r="C222" s="5" t="s">
        <v>2826</v>
      </c>
      <c r="D222" s="5" t="s">
        <v>2758</v>
      </c>
      <c r="E222" s="5" t="s">
        <v>742</v>
      </c>
      <c r="F222" s="5" t="s">
        <v>280</v>
      </c>
      <c r="G222" s="5" t="s">
        <v>34</v>
      </c>
      <c r="H222" s="5" t="s">
        <v>54</v>
      </c>
      <c r="I222" s="5" t="s">
        <v>2828</v>
      </c>
      <c r="J222" s="5" t="s">
        <v>38</v>
      </c>
      <c r="K222" s="5" t="s">
        <v>38</v>
      </c>
      <c r="L222" s="5" t="s">
        <v>40</v>
      </c>
      <c r="M222" s="5" t="s">
        <v>38</v>
      </c>
      <c r="N222" s="5" t="s">
        <v>38</v>
      </c>
      <c r="O222" s="5" t="s">
        <v>40</v>
      </c>
      <c r="P222" s="5" t="s">
        <v>38</v>
      </c>
      <c r="Q222" s="5" t="s">
        <v>38</v>
      </c>
      <c r="R222" s="5" t="s">
        <v>40</v>
      </c>
      <c r="S222" s="5" t="s">
        <v>41</v>
      </c>
      <c r="T222" s="5" t="s">
        <v>2050</v>
      </c>
      <c r="U222" s="5" t="s">
        <v>2051</v>
      </c>
      <c r="V222" s="5" t="s">
        <v>2052</v>
      </c>
      <c r="W222" s="5" t="s">
        <v>2053</v>
      </c>
      <c r="X222" s="5"/>
      <c r="Y222" s="5"/>
      <c r="Z222" s="5" t="s">
        <v>46</v>
      </c>
      <c r="AA222" s="5" t="s">
        <v>2116</v>
      </c>
      <c r="AB222" s="5" t="s">
        <v>48</v>
      </c>
      <c r="AC222" s="7">
        <v>1</v>
      </c>
      <c r="AD222" t="str">
        <f>VLOOKUP($T222,[1]NhanSu!$C$5:$M$229,11,0)</f>
        <v>SM0000227</v>
      </c>
    </row>
    <row r="223" spans="1:30" x14ac:dyDescent="0.45">
      <c r="A223" s="8" t="s">
        <v>2046</v>
      </c>
      <c r="B223" s="4">
        <v>2561</v>
      </c>
      <c r="C223" s="4" t="s">
        <v>2846</v>
      </c>
      <c r="D223" s="4" t="s">
        <v>2847</v>
      </c>
      <c r="E223" s="4" t="s">
        <v>2789</v>
      </c>
      <c r="F223" s="4" t="s">
        <v>2405</v>
      </c>
      <c r="G223" s="4" t="s">
        <v>34</v>
      </c>
      <c r="H223" s="4" t="s">
        <v>54</v>
      </c>
      <c r="I223" s="4" t="s">
        <v>2848</v>
      </c>
      <c r="J223" s="4" t="s">
        <v>775</v>
      </c>
      <c r="K223" s="4" t="s">
        <v>775</v>
      </c>
      <c r="L223" s="4" t="s">
        <v>40</v>
      </c>
      <c r="M223" s="4" t="s">
        <v>775</v>
      </c>
      <c r="N223" s="4" t="s">
        <v>775</v>
      </c>
      <c r="O223" s="4" t="s">
        <v>39</v>
      </c>
      <c r="P223" s="4" t="s">
        <v>775</v>
      </c>
      <c r="Q223" s="4" t="s">
        <v>775</v>
      </c>
      <c r="R223" s="4" t="s">
        <v>40</v>
      </c>
      <c r="S223" s="4" t="s">
        <v>41</v>
      </c>
      <c r="T223" s="4" t="s">
        <v>2062</v>
      </c>
      <c r="U223" s="4" t="s">
        <v>2063</v>
      </c>
      <c r="V223" s="4" t="s">
        <v>2052</v>
      </c>
      <c r="W223" s="4" t="s">
        <v>2053</v>
      </c>
      <c r="X223" s="4"/>
      <c r="Y223" s="4"/>
      <c r="Z223" s="4" t="s">
        <v>46</v>
      </c>
      <c r="AA223" s="4" t="s">
        <v>2102</v>
      </c>
      <c r="AB223" s="4" t="s">
        <v>48</v>
      </c>
      <c r="AC223" s="9">
        <v>1</v>
      </c>
      <c r="AD223" t="str">
        <f>VLOOKUP($T223,[1]NhanSu!$C$5:$M$229,11,0)</f>
        <v>SM0000146</v>
      </c>
    </row>
    <row r="224" spans="1:30" x14ac:dyDescent="0.45">
      <c r="A224" s="6" t="s">
        <v>2046</v>
      </c>
      <c r="B224" s="5">
        <v>2616</v>
      </c>
      <c r="C224" s="5" t="s">
        <v>2854</v>
      </c>
      <c r="D224" s="5" t="s">
        <v>2855</v>
      </c>
      <c r="E224" s="5" t="s">
        <v>291</v>
      </c>
      <c r="F224" s="5" t="s">
        <v>441</v>
      </c>
      <c r="G224" s="5" t="s">
        <v>34</v>
      </c>
      <c r="H224" s="5" t="s">
        <v>54</v>
      </c>
      <c r="I224" s="5" t="s">
        <v>2856</v>
      </c>
      <c r="J224" s="5" t="s">
        <v>38</v>
      </c>
      <c r="K224" s="5" t="s">
        <v>38</v>
      </c>
      <c r="L224" s="5" t="s">
        <v>40</v>
      </c>
      <c r="M224" s="5" t="s">
        <v>38</v>
      </c>
      <c r="N224" s="5" t="s">
        <v>38</v>
      </c>
      <c r="O224" s="5" t="s">
        <v>40</v>
      </c>
      <c r="P224" s="5" t="s">
        <v>38</v>
      </c>
      <c r="Q224" s="5" t="s">
        <v>38</v>
      </c>
      <c r="R224" s="5" t="s">
        <v>40</v>
      </c>
      <c r="S224" s="5" t="s">
        <v>41</v>
      </c>
      <c r="T224" s="5" t="s">
        <v>2050</v>
      </c>
      <c r="U224" s="5" t="s">
        <v>2051</v>
      </c>
      <c r="V224" s="5" t="s">
        <v>2052</v>
      </c>
      <c r="W224" s="5" t="s">
        <v>2053</v>
      </c>
      <c r="X224" s="5"/>
      <c r="Y224" s="5"/>
      <c r="Z224" s="5" t="s">
        <v>46</v>
      </c>
      <c r="AA224" s="5" t="s">
        <v>2116</v>
      </c>
      <c r="AB224" s="5" t="s">
        <v>48</v>
      </c>
      <c r="AC224" s="7">
        <v>1</v>
      </c>
      <c r="AD224" t="str">
        <f>VLOOKUP($T224,[1]NhanSu!$C$5:$M$229,11,0)</f>
        <v>SM0000227</v>
      </c>
    </row>
    <row r="225" spans="1:30" x14ac:dyDescent="0.45">
      <c r="A225" s="8" t="s">
        <v>2046</v>
      </c>
      <c r="B225" s="4">
        <v>2882</v>
      </c>
      <c r="C225" s="4" t="s">
        <v>2891</v>
      </c>
      <c r="D225" s="4" t="s">
        <v>2892</v>
      </c>
      <c r="E225" s="4" t="s">
        <v>32</v>
      </c>
      <c r="F225" s="4" t="s">
        <v>166</v>
      </c>
      <c r="G225" s="4" t="s">
        <v>34</v>
      </c>
      <c r="H225" s="4" t="s">
        <v>54</v>
      </c>
      <c r="I225" s="4" t="s">
        <v>2893</v>
      </c>
      <c r="J225" s="4" t="s">
        <v>775</v>
      </c>
      <c r="K225" s="4" t="s">
        <v>775</v>
      </c>
      <c r="L225" s="4" t="s">
        <v>40</v>
      </c>
      <c r="M225" s="4" t="s">
        <v>56</v>
      </c>
      <c r="N225" s="4" t="s">
        <v>56</v>
      </c>
      <c r="O225" s="4" t="s">
        <v>39</v>
      </c>
      <c r="P225" s="4" t="s">
        <v>1034</v>
      </c>
      <c r="Q225" s="4" t="s">
        <v>775</v>
      </c>
      <c r="R225" s="4" t="s">
        <v>40</v>
      </c>
      <c r="S225" s="4" t="s">
        <v>41</v>
      </c>
      <c r="T225" s="4" t="s">
        <v>2062</v>
      </c>
      <c r="U225" s="4" t="s">
        <v>2063</v>
      </c>
      <c r="V225" s="4" t="s">
        <v>2052</v>
      </c>
      <c r="W225" s="4" t="s">
        <v>2053</v>
      </c>
      <c r="X225" s="4"/>
      <c r="Y225" s="4"/>
      <c r="Z225" s="4" t="s">
        <v>46</v>
      </c>
      <c r="AA225" s="4" t="s">
        <v>48</v>
      </c>
      <c r="AB225" s="4" t="s">
        <v>1672</v>
      </c>
      <c r="AC225" s="9">
        <v>1</v>
      </c>
      <c r="AD225" t="str">
        <f>VLOOKUP($T225,[1]NhanSu!$C$5:$M$229,11,0)</f>
        <v>SM0000146</v>
      </c>
    </row>
    <row r="226" spans="1:30" x14ac:dyDescent="0.45">
      <c r="A226" s="6" t="s">
        <v>2046</v>
      </c>
      <c r="B226" s="5">
        <v>2888</v>
      </c>
      <c r="C226" s="5" t="s">
        <v>2894</v>
      </c>
      <c r="D226" s="5" t="s">
        <v>2895</v>
      </c>
      <c r="E226" s="5" t="s">
        <v>2896</v>
      </c>
      <c r="F226" s="5" t="s">
        <v>53</v>
      </c>
      <c r="G226" s="5" t="s">
        <v>150</v>
      </c>
      <c r="H226" s="5" t="s">
        <v>54</v>
      </c>
      <c r="I226" s="5" t="s">
        <v>2897</v>
      </c>
      <c r="J226" s="5" t="s">
        <v>37</v>
      </c>
      <c r="K226" s="5" t="s">
        <v>775</v>
      </c>
      <c r="L226" s="5" t="s">
        <v>40</v>
      </c>
      <c r="M226" s="5" t="s">
        <v>56</v>
      </c>
      <c r="N226" s="5" t="s">
        <v>56</v>
      </c>
      <c r="O226" s="5" t="s">
        <v>39</v>
      </c>
      <c r="P226" s="5" t="s">
        <v>775</v>
      </c>
      <c r="Q226" s="5" t="s">
        <v>775</v>
      </c>
      <c r="R226" s="5" t="s">
        <v>40</v>
      </c>
      <c r="S226" s="5" t="s">
        <v>41</v>
      </c>
      <c r="T226" s="5" t="s">
        <v>2062</v>
      </c>
      <c r="U226" s="5" t="s">
        <v>2063</v>
      </c>
      <c r="V226" s="5" t="s">
        <v>2052</v>
      </c>
      <c r="W226" s="5" t="s">
        <v>2053</v>
      </c>
      <c r="X226" s="5"/>
      <c r="Y226" s="5"/>
      <c r="Z226" s="5" t="s">
        <v>46</v>
      </c>
      <c r="AA226" s="5" t="s">
        <v>48</v>
      </c>
      <c r="AB226" s="5" t="s">
        <v>1672</v>
      </c>
      <c r="AC226" s="7">
        <v>1</v>
      </c>
      <c r="AD226" t="str">
        <f>VLOOKUP($T226,[1]NhanSu!$C$5:$M$229,11,0)</f>
        <v>SM0000146</v>
      </c>
    </row>
    <row r="227" spans="1:30" x14ac:dyDescent="0.45">
      <c r="A227" s="8" t="s">
        <v>2046</v>
      </c>
      <c r="B227" s="4">
        <v>2941</v>
      </c>
      <c r="C227" s="4" t="s">
        <v>2931</v>
      </c>
      <c r="D227" s="4" t="s">
        <v>2932</v>
      </c>
      <c r="E227" s="4" t="s">
        <v>219</v>
      </c>
      <c r="F227" s="4" t="s">
        <v>53</v>
      </c>
      <c r="G227" s="4" t="s">
        <v>34</v>
      </c>
      <c r="H227" s="4" t="s">
        <v>507</v>
      </c>
      <c r="I227" s="4"/>
      <c r="J227" s="4" t="s">
        <v>56</v>
      </c>
      <c r="K227" s="4" t="s">
        <v>56</v>
      </c>
      <c r="L227" s="4" t="s">
        <v>39</v>
      </c>
      <c r="M227" s="4" t="s">
        <v>56</v>
      </c>
      <c r="N227" s="4" t="s">
        <v>56</v>
      </c>
      <c r="O227" s="4" t="s">
        <v>39</v>
      </c>
      <c r="P227" s="4" t="s">
        <v>38</v>
      </c>
      <c r="Q227" s="4" t="s">
        <v>38</v>
      </c>
      <c r="R227" s="4" t="s">
        <v>39</v>
      </c>
      <c r="S227" s="4" t="s">
        <v>41</v>
      </c>
      <c r="T227" s="4" t="s">
        <v>2114</v>
      </c>
      <c r="U227" s="4" t="s">
        <v>2115</v>
      </c>
      <c r="V227" s="4" t="s">
        <v>2052</v>
      </c>
      <c r="W227" s="4" t="s">
        <v>2053</v>
      </c>
      <c r="X227" s="4"/>
      <c r="Y227" s="4"/>
      <c r="Z227" s="4" t="s">
        <v>46</v>
      </c>
      <c r="AA227" s="4" t="s">
        <v>2116</v>
      </c>
      <c r="AB227" s="4" t="s">
        <v>48</v>
      </c>
      <c r="AC227" s="9">
        <v>1</v>
      </c>
      <c r="AD227" t="str">
        <f>VLOOKUP($T227,[1]NhanSu!$C$5:$M$229,11,0)</f>
        <v>SM0000228</v>
      </c>
    </row>
    <row r="228" spans="1:30" x14ac:dyDescent="0.45">
      <c r="A228" s="6" t="s">
        <v>2046</v>
      </c>
      <c r="B228" s="5">
        <v>2962</v>
      </c>
      <c r="C228" s="5" t="s">
        <v>2936</v>
      </c>
      <c r="D228" s="5" t="s">
        <v>2937</v>
      </c>
      <c r="E228" s="5" t="s">
        <v>219</v>
      </c>
      <c r="F228" s="5" t="s">
        <v>581</v>
      </c>
      <c r="G228" s="5" t="s">
        <v>34</v>
      </c>
      <c r="H228" s="5" t="s">
        <v>54</v>
      </c>
      <c r="I228" s="5"/>
      <c r="J228" s="5" t="s">
        <v>56</v>
      </c>
      <c r="K228" s="5" t="s">
        <v>775</v>
      </c>
      <c r="L228" s="5" t="s">
        <v>39</v>
      </c>
      <c r="M228" s="5" t="s">
        <v>37</v>
      </c>
      <c r="N228" s="5" t="s">
        <v>775</v>
      </c>
      <c r="O228" s="5" t="s">
        <v>39</v>
      </c>
      <c r="P228" s="5" t="s">
        <v>38</v>
      </c>
      <c r="Q228" s="5" t="s">
        <v>38</v>
      </c>
      <c r="R228" s="5" t="s">
        <v>40</v>
      </c>
      <c r="S228" s="5" t="s">
        <v>41</v>
      </c>
      <c r="T228" s="5" t="s">
        <v>2114</v>
      </c>
      <c r="U228" s="5" t="s">
        <v>2115</v>
      </c>
      <c r="V228" s="5" t="s">
        <v>2052</v>
      </c>
      <c r="W228" s="5" t="s">
        <v>2053</v>
      </c>
      <c r="X228" s="5"/>
      <c r="Y228" s="5"/>
      <c r="Z228" s="5" t="s">
        <v>46</v>
      </c>
      <c r="AA228" s="5" t="s">
        <v>2116</v>
      </c>
      <c r="AB228" s="5" t="s">
        <v>48</v>
      </c>
      <c r="AC228" s="7">
        <v>1</v>
      </c>
      <c r="AD228" t="str">
        <f>VLOOKUP($T228,[1]NhanSu!$C$5:$M$229,11,0)</f>
        <v>SM0000228</v>
      </c>
    </row>
    <row r="229" spans="1:30" x14ac:dyDescent="0.45">
      <c r="A229" s="8" t="s">
        <v>2964</v>
      </c>
      <c r="B229" s="4"/>
      <c r="C229" s="4" t="s">
        <v>1712</v>
      </c>
      <c r="D229" s="4" t="s">
        <v>1713</v>
      </c>
      <c r="E229" s="4" t="s">
        <v>1714</v>
      </c>
      <c r="F229" s="4" t="s">
        <v>401</v>
      </c>
      <c r="G229" s="4" t="s">
        <v>34</v>
      </c>
      <c r="H229" s="4" t="s">
        <v>1715</v>
      </c>
      <c r="I229" s="4" t="s">
        <v>1716</v>
      </c>
      <c r="J229" s="4" t="s">
        <v>56</v>
      </c>
      <c r="K229" s="4" t="s">
        <v>56</v>
      </c>
      <c r="L229" s="4" t="s">
        <v>39</v>
      </c>
      <c r="M229" s="4" t="s">
        <v>56</v>
      </c>
      <c r="N229" s="4" t="s">
        <v>56</v>
      </c>
      <c r="O229" s="4" t="s">
        <v>39</v>
      </c>
      <c r="P229" s="4" t="s">
        <v>56</v>
      </c>
      <c r="Q229" s="4" t="s">
        <v>56</v>
      </c>
      <c r="R229" s="4" t="s">
        <v>39</v>
      </c>
      <c r="S229" s="4" t="s">
        <v>41</v>
      </c>
      <c r="T229" s="4" t="s">
        <v>1717</v>
      </c>
      <c r="U229" s="4" t="s">
        <v>1718</v>
      </c>
      <c r="V229" s="4" t="s">
        <v>1602</v>
      </c>
      <c r="W229" s="4" t="s">
        <v>1719</v>
      </c>
      <c r="X229" s="4"/>
      <c r="Y229" s="4"/>
      <c r="Z229" s="4" t="s">
        <v>46</v>
      </c>
      <c r="AA229" s="4" t="s">
        <v>1720</v>
      </c>
      <c r="AB229" s="4" t="s">
        <v>1721</v>
      </c>
      <c r="AC229" s="9">
        <v>1</v>
      </c>
      <c r="AD229" t="str">
        <f>VLOOKUP($T229,[1]NhanSu!$C$5:$M$229,11,0)</f>
        <v>SM0000075</v>
      </c>
    </row>
    <row r="230" spans="1:30" x14ac:dyDescent="0.45">
      <c r="A230" s="6" t="s">
        <v>2964</v>
      </c>
      <c r="B230" s="5"/>
      <c r="C230" s="5" t="s">
        <v>1743</v>
      </c>
      <c r="D230" s="5" t="s">
        <v>1744</v>
      </c>
      <c r="E230" s="5" t="s">
        <v>1745</v>
      </c>
      <c r="F230" s="5" t="s">
        <v>325</v>
      </c>
      <c r="G230" s="5" t="s">
        <v>34</v>
      </c>
      <c r="H230" s="5" t="s">
        <v>1746</v>
      </c>
      <c r="I230" s="5" t="s">
        <v>1747</v>
      </c>
      <c r="J230" s="5" t="s">
        <v>56</v>
      </c>
      <c r="K230" s="5" t="s">
        <v>56</v>
      </c>
      <c r="L230" s="5" t="s">
        <v>39</v>
      </c>
      <c r="M230" s="5" t="s">
        <v>56</v>
      </c>
      <c r="N230" s="5" t="s">
        <v>56</v>
      </c>
      <c r="O230" s="5" t="s">
        <v>39</v>
      </c>
      <c r="P230" s="5" t="s">
        <v>56</v>
      </c>
      <c r="Q230" s="5" t="s">
        <v>56</v>
      </c>
      <c r="R230" s="5" t="s">
        <v>39</v>
      </c>
      <c r="S230" s="5" t="s">
        <v>41</v>
      </c>
      <c r="T230" s="5" t="s">
        <v>1717</v>
      </c>
      <c r="U230" s="5" t="s">
        <v>1718</v>
      </c>
      <c r="V230" s="5" t="s">
        <v>1602</v>
      </c>
      <c r="W230" s="5" t="s">
        <v>1719</v>
      </c>
      <c r="X230" s="5"/>
      <c r="Y230" s="5"/>
      <c r="Z230" s="5" t="s">
        <v>46</v>
      </c>
      <c r="AA230" s="5" t="s">
        <v>1720</v>
      </c>
      <c r="AB230" s="5" t="s">
        <v>1721</v>
      </c>
      <c r="AC230" s="7">
        <v>1</v>
      </c>
      <c r="AD230" t="str">
        <f>VLOOKUP($T230,[1]NhanSu!$C$5:$M$229,11,0)</f>
        <v>SM0000075</v>
      </c>
    </row>
    <row r="231" spans="1:30" x14ac:dyDescent="0.45">
      <c r="A231" s="8" t="s">
        <v>2964</v>
      </c>
      <c r="B231" s="4"/>
      <c r="C231" s="4" t="s">
        <v>1748</v>
      </c>
      <c r="D231" s="4" t="s">
        <v>1749</v>
      </c>
      <c r="E231" s="4" t="s">
        <v>1360</v>
      </c>
      <c r="F231" s="4" t="s">
        <v>325</v>
      </c>
      <c r="G231" s="4" t="s">
        <v>34</v>
      </c>
      <c r="H231" s="4" t="s">
        <v>1750</v>
      </c>
      <c r="I231" s="4" t="s">
        <v>1751</v>
      </c>
      <c r="J231" s="4" t="s">
        <v>56</v>
      </c>
      <c r="K231" s="4" t="s">
        <v>56</v>
      </c>
      <c r="L231" s="4" t="s">
        <v>39</v>
      </c>
      <c r="M231" s="4" t="s">
        <v>56</v>
      </c>
      <c r="N231" s="4" t="s">
        <v>56</v>
      </c>
      <c r="O231" s="4" t="s">
        <v>39</v>
      </c>
      <c r="P231" s="4" t="s">
        <v>56</v>
      </c>
      <c r="Q231" s="4" t="s">
        <v>56</v>
      </c>
      <c r="R231" s="4" t="s">
        <v>39</v>
      </c>
      <c r="S231" s="4" t="s">
        <v>41</v>
      </c>
      <c r="T231" s="4" t="s">
        <v>1717</v>
      </c>
      <c r="U231" s="4" t="s">
        <v>1718</v>
      </c>
      <c r="V231" s="4" t="s">
        <v>1602</v>
      </c>
      <c r="W231" s="4" t="s">
        <v>1719</v>
      </c>
      <c r="X231" s="4"/>
      <c r="Y231" s="4"/>
      <c r="Z231" s="4" t="s">
        <v>46</v>
      </c>
      <c r="AA231" s="4" t="s">
        <v>1720</v>
      </c>
      <c r="AB231" s="4" t="s">
        <v>1721</v>
      </c>
      <c r="AC231" s="9">
        <v>1</v>
      </c>
      <c r="AD231" t="str">
        <f>VLOOKUP($T231,[1]NhanSu!$C$5:$M$229,11,0)</f>
        <v>SM0000075</v>
      </c>
    </row>
    <row r="232" spans="1:30" x14ac:dyDescent="0.45">
      <c r="A232" s="6" t="s">
        <v>2964</v>
      </c>
      <c r="B232" s="5"/>
      <c r="C232" s="5" t="s">
        <v>1763</v>
      </c>
      <c r="D232" s="5" t="s">
        <v>1764</v>
      </c>
      <c r="E232" s="5" t="s">
        <v>1765</v>
      </c>
      <c r="F232" s="5" t="s">
        <v>1471</v>
      </c>
      <c r="G232" s="5" t="s">
        <v>34</v>
      </c>
      <c r="H232" s="5" t="s">
        <v>1746</v>
      </c>
      <c r="I232" s="5" t="s">
        <v>1766</v>
      </c>
      <c r="J232" s="5" t="s">
        <v>38</v>
      </c>
      <c r="K232" s="5" t="s">
        <v>38</v>
      </c>
      <c r="L232" s="5" t="s">
        <v>40</v>
      </c>
      <c r="M232" s="5" t="s">
        <v>37</v>
      </c>
      <c r="N232" s="5" t="s">
        <v>37</v>
      </c>
      <c r="O232" s="5" t="s">
        <v>39</v>
      </c>
      <c r="P232" s="5" t="s">
        <v>38</v>
      </c>
      <c r="Q232" s="5" t="s">
        <v>38</v>
      </c>
      <c r="R232" s="5" t="s">
        <v>40</v>
      </c>
      <c r="S232" s="5" t="s">
        <v>41</v>
      </c>
      <c r="T232" s="5" t="s">
        <v>1767</v>
      </c>
      <c r="U232" s="5" t="s">
        <v>1718</v>
      </c>
      <c r="V232" s="5" t="s">
        <v>1602</v>
      </c>
      <c r="W232" s="5" t="s">
        <v>81</v>
      </c>
      <c r="X232" s="5"/>
      <c r="Y232" s="5"/>
      <c r="Z232" s="5" t="s">
        <v>46</v>
      </c>
      <c r="AA232" s="5" t="s">
        <v>1720</v>
      </c>
      <c r="AB232" s="5" t="s">
        <v>1721</v>
      </c>
      <c r="AC232" s="7">
        <v>1</v>
      </c>
      <c r="AD232" t="str">
        <f>VLOOKUP($T232,[1]NhanSu!$C$5:$M$229,11,0)</f>
        <v>SM0000076</v>
      </c>
    </row>
    <row r="233" spans="1:30" x14ac:dyDescent="0.45">
      <c r="A233" s="8" t="s">
        <v>2964</v>
      </c>
      <c r="B233" s="4"/>
      <c r="C233" s="4" t="s">
        <v>1768</v>
      </c>
      <c r="D233" s="4" t="s">
        <v>1769</v>
      </c>
      <c r="E233" s="4" t="s">
        <v>1770</v>
      </c>
      <c r="F233" s="4" t="s">
        <v>166</v>
      </c>
      <c r="G233" s="4" t="s">
        <v>34</v>
      </c>
      <c r="H233" s="4" t="s">
        <v>1263</v>
      </c>
      <c r="I233" s="4" t="s">
        <v>1771</v>
      </c>
      <c r="J233" s="4" t="s">
        <v>38</v>
      </c>
      <c r="K233" s="4" t="s">
        <v>38</v>
      </c>
      <c r="L233" s="4" t="s">
        <v>40</v>
      </c>
      <c r="M233" s="4" t="s">
        <v>37</v>
      </c>
      <c r="N233" s="4" t="s">
        <v>37</v>
      </c>
      <c r="O233" s="4" t="s">
        <v>39</v>
      </c>
      <c r="P233" s="4" t="s">
        <v>38</v>
      </c>
      <c r="Q233" s="4" t="s">
        <v>38</v>
      </c>
      <c r="R233" s="4" t="s">
        <v>40</v>
      </c>
      <c r="S233" s="4" t="s">
        <v>41</v>
      </c>
      <c r="T233" s="4" t="s">
        <v>1767</v>
      </c>
      <c r="U233" s="4" t="s">
        <v>1718</v>
      </c>
      <c r="V233" s="4" t="s">
        <v>1602</v>
      </c>
      <c r="W233" s="4" t="s">
        <v>81</v>
      </c>
      <c r="X233" s="4"/>
      <c r="Y233" s="4"/>
      <c r="Z233" s="4" t="s">
        <v>46</v>
      </c>
      <c r="AA233" s="4" t="s">
        <v>1720</v>
      </c>
      <c r="AB233" s="4" t="s">
        <v>1721</v>
      </c>
      <c r="AC233" s="9">
        <v>1</v>
      </c>
      <c r="AD233" t="str">
        <f>VLOOKUP($T233,[1]NhanSu!$C$5:$M$229,11,0)</f>
        <v>SM0000076</v>
      </c>
    </row>
    <row r="234" spans="1:30" x14ac:dyDescent="0.45">
      <c r="A234" s="6" t="s">
        <v>2964</v>
      </c>
      <c r="B234" s="5"/>
      <c r="C234" s="5" t="s">
        <v>1821</v>
      </c>
      <c r="D234" s="5" t="s">
        <v>1822</v>
      </c>
      <c r="E234" s="5" t="s">
        <v>1823</v>
      </c>
      <c r="F234" s="5" t="s">
        <v>426</v>
      </c>
      <c r="G234" s="5" t="s">
        <v>150</v>
      </c>
      <c r="H234" s="5" t="s">
        <v>620</v>
      </c>
      <c r="I234" s="5" t="s">
        <v>1824</v>
      </c>
      <c r="J234" s="5" t="s">
        <v>56</v>
      </c>
      <c r="K234" s="5" t="s">
        <v>56</v>
      </c>
      <c r="L234" s="5" t="s">
        <v>39</v>
      </c>
      <c r="M234" s="5" t="s">
        <v>775</v>
      </c>
      <c r="N234" s="5" t="s">
        <v>775</v>
      </c>
      <c r="O234" s="5" t="s">
        <v>39</v>
      </c>
      <c r="P234" s="5" t="s">
        <v>56</v>
      </c>
      <c r="Q234" s="5" t="s">
        <v>56</v>
      </c>
      <c r="R234" s="5" t="s">
        <v>39</v>
      </c>
      <c r="S234" s="5" t="s">
        <v>41</v>
      </c>
      <c r="T234" s="5" t="s">
        <v>1717</v>
      </c>
      <c r="U234" s="5" t="s">
        <v>1718</v>
      </c>
      <c r="V234" s="5" t="s">
        <v>1602</v>
      </c>
      <c r="W234" s="5" t="s">
        <v>1719</v>
      </c>
      <c r="X234" s="5"/>
      <c r="Y234" s="5"/>
      <c r="Z234" s="5" t="s">
        <v>46</v>
      </c>
      <c r="AA234" s="5" t="s">
        <v>1720</v>
      </c>
      <c r="AB234" s="5" t="s">
        <v>1721</v>
      </c>
      <c r="AC234" s="7">
        <v>1</v>
      </c>
      <c r="AD234" t="str">
        <f>VLOOKUP($T234,[1]NhanSu!$C$5:$M$229,11,0)</f>
        <v>SM0000075</v>
      </c>
    </row>
    <row r="235" spans="1:30" x14ac:dyDescent="0.45">
      <c r="A235" s="8" t="s">
        <v>2964</v>
      </c>
      <c r="B235" s="4"/>
      <c r="C235" s="4" t="s">
        <v>1858</v>
      </c>
      <c r="D235" s="4" t="s">
        <v>1859</v>
      </c>
      <c r="E235" s="4" t="s">
        <v>1621</v>
      </c>
      <c r="F235" s="4" t="s">
        <v>1861</v>
      </c>
      <c r="G235" s="4" t="s">
        <v>34</v>
      </c>
      <c r="H235" s="4" t="s">
        <v>345</v>
      </c>
      <c r="I235" s="4" t="s">
        <v>1862</v>
      </c>
      <c r="J235" s="4" t="s">
        <v>56</v>
      </c>
      <c r="K235" s="4" t="s">
        <v>56</v>
      </c>
      <c r="L235" s="4" t="s">
        <v>39</v>
      </c>
      <c r="M235" s="4" t="s">
        <v>56</v>
      </c>
      <c r="N235" s="4" t="s">
        <v>56</v>
      </c>
      <c r="O235" s="4" t="s">
        <v>39</v>
      </c>
      <c r="P235" s="4" t="s">
        <v>56</v>
      </c>
      <c r="Q235" s="4" t="s">
        <v>56</v>
      </c>
      <c r="R235" s="4" t="s">
        <v>39</v>
      </c>
      <c r="S235" s="4" t="s">
        <v>41</v>
      </c>
      <c r="T235" s="4" t="s">
        <v>1717</v>
      </c>
      <c r="U235" s="4" t="s">
        <v>1718</v>
      </c>
      <c r="V235" s="4" t="s">
        <v>1602</v>
      </c>
      <c r="W235" s="4" t="s">
        <v>1719</v>
      </c>
      <c r="X235" s="4"/>
      <c r="Y235" s="4"/>
      <c r="Z235" s="4" t="s">
        <v>46</v>
      </c>
      <c r="AA235" s="4" t="s">
        <v>1720</v>
      </c>
      <c r="AB235" s="4" t="s">
        <v>1721</v>
      </c>
      <c r="AC235" s="9">
        <v>1</v>
      </c>
      <c r="AD235" t="str">
        <f>VLOOKUP($T235,[1]NhanSu!$C$5:$M$229,11,0)</f>
        <v>SM0000075</v>
      </c>
    </row>
    <row r="236" spans="1:30" x14ac:dyDescent="0.45">
      <c r="A236" s="6" t="s">
        <v>2964</v>
      </c>
      <c r="B236" s="5"/>
      <c r="C236" s="5" t="s">
        <v>1879</v>
      </c>
      <c r="D236" s="5" t="s">
        <v>1880</v>
      </c>
      <c r="E236" s="5" t="s">
        <v>1695</v>
      </c>
      <c r="F236" s="5" t="s">
        <v>1882</v>
      </c>
      <c r="G236" s="5" t="s">
        <v>34</v>
      </c>
      <c r="H236" s="5" t="s">
        <v>345</v>
      </c>
      <c r="I236" s="5" t="s">
        <v>1883</v>
      </c>
      <c r="J236" s="5" t="s">
        <v>38</v>
      </c>
      <c r="K236" s="5" t="s">
        <v>38</v>
      </c>
      <c r="L236" s="5" t="s">
        <v>40</v>
      </c>
      <c r="M236" s="5" t="s">
        <v>37</v>
      </c>
      <c r="N236" s="5" t="s">
        <v>37</v>
      </c>
      <c r="O236" s="5" t="s">
        <v>39</v>
      </c>
      <c r="P236" s="5" t="s">
        <v>38</v>
      </c>
      <c r="Q236" s="5" t="s">
        <v>38</v>
      </c>
      <c r="R236" s="5" t="s">
        <v>40</v>
      </c>
      <c r="S236" s="5" t="s">
        <v>41</v>
      </c>
      <c r="T236" s="5" t="s">
        <v>1767</v>
      </c>
      <c r="U236" s="5" t="s">
        <v>1718</v>
      </c>
      <c r="V236" s="5" t="s">
        <v>1602</v>
      </c>
      <c r="W236" s="5" t="s">
        <v>81</v>
      </c>
      <c r="X236" s="5"/>
      <c r="Y236" s="5"/>
      <c r="Z236" s="5" t="s">
        <v>46</v>
      </c>
      <c r="AA236" s="5" t="s">
        <v>1720</v>
      </c>
      <c r="AB236" s="5" t="s">
        <v>1721</v>
      </c>
      <c r="AC236" s="7">
        <v>1</v>
      </c>
      <c r="AD236" t="str">
        <f>VLOOKUP($T236,[1]NhanSu!$C$5:$M$229,11,0)</f>
        <v>SM0000076</v>
      </c>
    </row>
    <row r="237" spans="1:30" x14ac:dyDescent="0.45">
      <c r="A237" s="8" t="s">
        <v>2964</v>
      </c>
      <c r="B237" s="4"/>
      <c r="C237" s="4" t="s">
        <v>1900</v>
      </c>
      <c r="D237" s="4" t="s">
        <v>1901</v>
      </c>
      <c r="E237" s="4" t="s">
        <v>1902</v>
      </c>
      <c r="F237" s="4" t="s">
        <v>1903</v>
      </c>
      <c r="G237" s="4" t="s">
        <v>34</v>
      </c>
      <c r="H237" s="4" t="s">
        <v>1904</v>
      </c>
      <c r="I237" s="4" t="s">
        <v>1905</v>
      </c>
      <c r="J237" s="4" t="s">
        <v>38</v>
      </c>
      <c r="K237" s="4" t="s">
        <v>38</v>
      </c>
      <c r="L237" s="4" t="s">
        <v>40</v>
      </c>
      <c r="M237" s="4" t="s">
        <v>37</v>
      </c>
      <c r="N237" s="4" t="s">
        <v>37</v>
      </c>
      <c r="O237" s="4" t="s">
        <v>39</v>
      </c>
      <c r="P237" s="4" t="s">
        <v>38</v>
      </c>
      <c r="Q237" s="4" t="s">
        <v>38</v>
      </c>
      <c r="R237" s="4" t="s">
        <v>40</v>
      </c>
      <c r="S237" s="4" t="s">
        <v>41</v>
      </c>
      <c r="T237" s="4" t="s">
        <v>1767</v>
      </c>
      <c r="U237" s="4" t="s">
        <v>1718</v>
      </c>
      <c r="V237" s="4" t="s">
        <v>1602</v>
      </c>
      <c r="W237" s="4" t="s">
        <v>81</v>
      </c>
      <c r="X237" s="4"/>
      <c r="Y237" s="4"/>
      <c r="Z237" s="4" t="s">
        <v>46</v>
      </c>
      <c r="AA237" s="4" t="s">
        <v>1720</v>
      </c>
      <c r="AB237" s="4" t="s">
        <v>1721</v>
      </c>
      <c r="AC237" s="9">
        <v>1</v>
      </c>
      <c r="AD237" t="str">
        <f>VLOOKUP($T237,[1]NhanSu!$C$5:$M$229,11,0)</f>
        <v>SM0000076</v>
      </c>
    </row>
    <row r="238" spans="1:30" x14ac:dyDescent="0.45">
      <c r="A238" s="6" t="s">
        <v>2965</v>
      </c>
      <c r="B238" s="5">
        <v>822</v>
      </c>
      <c r="C238" s="5" t="s">
        <v>2979</v>
      </c>
      <c r="D238" s="5" t="s">
        <v>2980</v>
      </c>
      <c r="E238" s="5" t="s">
        <v>92</v>
      </c>
      <c r="F238" s="5" t="s">
        <v>819</v>
      </c>
      <c r="G238" s="5" t="s">
        <v>34</v>
      </c>
      <c r="H238" s="5" t="s">
        <v>54</v>
      </c>
      <c r="I238" s="5" t="s">
        <v>2981</v>
      </c>
      <c r="J238" s="5" t="s">
        <v>37</v>
      </c>
      <c r="K238" s="5" t="s">
        <v>37</v>
      </c>
      <c r="L238" s="5" t="s">
        <v>39</v>
      </c>
      <c r="M238" s="5" t="s">
        <v>37</v>
      </c>
      <c r="N238" s="5" t="s">
        <v>37</v>
      </c>
      <c r="O238" s="5" t="s">
        <v>39</v>
      </c>
      <c r="P238" s="5" t="s">
        <v>38</v>
      </c>
      <c r="Q238" s="5" t="s">
        <v>38</v>
      </c>
      <c r="R238" s="5" t="s">
        <v>40</v>
      </c>
      <c r="S238" s="5" t="s">
        <v>2982</v>
      </c>
      <c r="T238" s="5" t="s">
        <v>2976</v>
      </c>
      <c r="U238" s="5" t="s">
        <v>2977</v>
      </c>
      <c r="V238" s="5" t="s">
        <v>2971</v>
      </c>
      <c r="W238" s="5" t="s">
        <v>2978</v>
      </c>
      <c r="X238" s="5"/>
      <c r="Y238" s="5"/>
      <c r="Z238" s="5" t="s">
        <v>46</v>
      </c>
      <c r="AA238" s="5" t="s">
        <v>2983</v>
      </c>
      <c r="AB238" s="5" t="s">
        <v>117</v>
      </c>
      <c r="AC238" s="7">
        <v>1</v>
      </c>
      <c r="AD238" t="str">
        <f>VLOOKUP($T238,[1]NhanSu!$C$5:$M$229,11,0)</f>
        <v>SM0000007</v>
      </c>
    </row>
    <row r="239" spans="1:30" x14ac:dyDescent="0.45">
      <c r="A239" s="8" t="s">
        <v>2965</v>
      </c>
      <c r="B239" s="4">
        <v>832</v>
      </c>
      <c r="C239" s="4" t="s">
        <v>2984</v>
      </c>
      <c r="D239" s="4" t="s">
        <v>2985</v>
      </c>
      <c r="E239" s="4" t="s">
        <v>563</v>
      </c>
      <c r="F239" s="4" t="s">
        <v>2986</v>
      </c>
      <c r="G239" s="4" t="s">
        <v>34</v>
      </c>
      <c r="H239" s="4" t="s">
        <v>54</v>
      </c>
      <c r="I239" s="4" t="s">
        <v>2987</v>
      </c>
      <c r="J239" s="4" t="s">
        <v>37</v>
      </c>
      <c r="K239" s="4" t="s">
        <v>37</v>
      </c>
      <c r="L239" s="4" t="s">
        <v>39</v>
      </c>
      <c r="M239" s="4" t="s">
        <v>37</v>
      </c>
      <c r="N239" s="4" t="s">
        <v>37</v>
      </c>
      <c r="O239" s="4" t="s">
        <v>39</v>
      </c>
      <c r="P239" s="4" t="s">
        <v>38</v>
      </c>
      <c r="Q239" s="4" t="s">
        <v>38</v>
      </c>
      <c r="R239" s="4" t="s">
        <v>40</v>
      </c>
      <c r="S239" s="4" t="s">
        <v>2988</v>
      </c>
      <c r="T239" s="4" t="s">
        <v>2976</v>
      </c>
      <c r="U239" s="4" t="s">
        <v>2977</v>
      </c>
      <c r="V239" s="4" t="s">
        <v>2971</v>
      </c>
      <c r="W239" s="4" t="s">
        <v>2972</v>
      </c>
      <c r="X239" s="4"/>
      <c r="Y239" s="4"/>
      <c r="Z239" s="4" t="s">
        <v>46</v>
      </c>
      <c r="AA239" s="4" t="s">
        <v>2983</v>
      </c>
      <c r="AB239" s="4" t="s">
        <v>117</v>
      </c>
      <c r="AC239" s="9">
        <v>1</v>
      </c>
      <c r="AD239" t="str">
        <f>VLOOKUP($T239,[1]NhanSu!$C$5:$M$229,11,0)</f>
        <v>SM0000007</v>
      </c>
    </row>
    <row r="240" spans="1:30" x14ac:dyDescent="0.45">
      <c r="A240" s="6" t="s">
        <v>2965</v>
      </c>
      <c r="B240" s="5">
        <v>879</v>
      </c>
      <c r="C240" s="5" t="s">
        <v>2989</v>
      </c>
      <c r="D240" s="5" t="s">
        <v>2990</v>
      </c>
      <c r="E240" s="5" t="s">
        <v>219</v>
      </c>
      <c r="F240" s="5" t="s">
        <v>535</v>
      </c>
      <c r="G240" s="5" t="s">
        <v>177</v>
      </c>
      <c r="H240" s="5" t="s">
        <v>54</v>
      </c>
      <c r="I240" s="5" t="s">
        <v>2991</v>
      </c>
      <c r="J240" s="5" t="s">
        <v>56</v>
      </c>
      <c r="K240" s="5" t="s">
        <v>56</v>
      </c>
      <c r="L240" s="5" t="s">
        <v>39</v>
      </c>
      <c r="M240" s="5" t="s">
        <v>56</v>
      </c>
      <c r="N240" s="5" t="s">
        <v>56</v>
      </c>
      <c r="O240" s="5" t="s">
        <v>39</v>
      </c>
      <c r="P240" s="5" t="s">
        <v>56</v>
      </c>
      <c r="Q240" s="5" t="s">
        <v>56</v>
      </c>
      <c r="R240" s="5" t="s">
        <v>39</v>
      </c>
      <c r="S240" s="5" t="s">
        <v>2992</v>
      </c>
      <c r="T240" s="5" t="s">
        <v>2976</v>
      </c>
      <c r="U240" s="5" t="s">
        <v>2977</v>
      </c>
      <c r="V240" s="5" t="s">
        <v>2971</v>
      </c>
      <c r="W240" s="5" t="s">
        <v>2972</v>
      </c>
      <c r="X240" s="5"/>
      <c r="Y240" s="5"/>
      <c r="Z240" s="5" t="s">
        <v>46</v>
      </c>
      <c r="AA240" s="5" t="s">
        <v>2983</v>
      </c>
      <c r="AB240" s="5" t="s">
        <v>117</v>
      </c>
      <c r="AC240" s="7">
        <v>1</v>
      </c>
      <c r="AD240" t="str">
        <f>VLOOKUP($T240,[1]NhanSu!$C$5:$M$229,11,0)</f>
        <v>SM0000007</v>
      </c>
    </row>
    <row r="241" spans="1:30" x14ac:dyDescent="0.45">
      <c r="A241" s="8" t="s">
        <v>2965</v>
      </c>
      <c r="B241" s="4">
        <v>922</v>
      </c>
      <c r="C241" s="4" t="s">
        <v>3032</v>
      </c>
      <c r="D241" s="4" t="s">
        <v>3033</v>
      </c>
      <c r="E241" s="4" t="s">
        <v>529</v>
      </c>
      <c r="F241" s="4" t="s">
        <v>2204</v>
      </c>
      <c r="G241" s="4" t="s">
        <v>34</v>
      </c>
      <c r="H241" s="4" t="s">
        <v>54</v>
      </c>
      <c r="I241" s="4" t="s">
        <v>3034</v>
      </c>
      <c r="J241" s="4" t="s">
        <v>38</v>
      </c>
      <c r="K241" s="4" t="s">
        <v>38</v>
      </c>
      <c r="L241" s="4" t="s">
        <v>40</v>
      </c>
      <c r="M241" s="4" t="s">
        <v>38</v>
      </c>
      <c r="N241" s="4" t="s">
        <v>38</v>
      </c>
      <c r="O241" s="4" t="s">
        <v>40</v>
      </c>
      <c r="P241" s="4" t="s">
        <v>38</v>
      </c>
      <c r="Q241" s="4" t="s">
        <v>38</v>
      </c>
      <c r="R241" s="4" t="s">
        <v>40</v>
      </c>
      <c r="S241" s="4" t="s">
        <v>41</v>
      </c>
      <c r="T241" s="4" t="s">
        <v>3035</v>
      </c>
      <c r="U241" s="4" t="s">
        <v>2998</v>
      </c>
      <c r="V241" s="4" t="s">
        <v>2971</v>
      </c>
      <c r="W241" s="4" t="s">
        <v>2972</v>
      </c>
      <c r="X241" s="4"/>
      <c r="Y241" s="4"/>
      <c r="Z241" s="4" t="s">
        <v>46</v>
      </c>
      <c r="AA241" s="4" t="s">
        <v>3036</v>
      </c>
      <c r="AB241" s="4"/>
      <c r="AC241" s="9">
        <v>1</v>
      </c>
      <c r="AD241" t="str">
        <f>VLOOKUP($T241,[1]NhanSu!$C$5:$M$229,11,0)</f>
        <v>SM0000012</v>
      </c>
    </row>
    <row r="242" spans="1:30" x14ac:dyDescent="0.45">
      <c r="A242" s="6" t="s">
        <v>2965</v>
      </c>
      <c r="B242" s="5">
        <v>925</v>
      </c>
      <c r="C242" s="5" t="s">
        <v>3040</v>
      </c>
      <c r="D242" s="5" t="s">
        <v>3041</v>
      </c>
      <c r="E242" s="5" t="s">
        <v>212</v>
      </c>
      <c r="F242" s="5" t="s">
        <v>3042</v>
      </c>
      <c r="G242" s="5" t="s">
        <v>34</v>
      </c>
      <c r="H242" s="5" t="s">
        <v>54</v>
      </c>
      <c r="I242" s="5" t="s">
        <v>3043</v>
      </c>
      <c r="J242" s="5" t="s">
        <v>38</v>
      </c>
      <c r="K242" s="5" t="s">
        <v>38</v>
      </c>
      <c r="L242" s="5" t="s">
        <v>39</v>
      </c>
      <c r="M242" s="5" t="s">
        <v>38</v>
      </c>
      <c r="N242" s="5" t="s">
        <v>38</v>
      </c>
      <c r="O242" s="5" t="s">
        <v>39</v>
      </c>
      <c r="P242" s="5" t="s">
        <v>38</v>
      </c>
      <c r="Q242" s="5" t="s">
        <v>38</v>
      </c>
      <c r="R242" s="5" t="s">
        <v>39</v>
      </c>
      <c r="S242" s="5" t="s">
        <v>3044</v>
      </c>
      <c r="T242" s="5" t="s">
        <v>3045</v>
      </c>
      <c r="U242" s="5" t="s">
        <v>3046</v>
      </c>
      <c r="V242" s="5" t="s">
        <v>2971</v>
      </c>
      <c r="W242" s="5" t="s">
        <v>2972</v>
      </c>
      <c r="X242" s="5"/>
      <c r="Y242" s="5"/>
      <c r="Z242" s="5" t="s">
        <v>46</v>
      </c>
      <c r="AA242" s="5" t="s">
        <v>2983</v>
      </c>
      <c r="AB242" s="5" t="s">
        <v>117</v>
      </c>
      <c r="AC242" s="7">
        <v>1</v>
      </c>
      <c r="AD242" t="str">
        <f>VLOOKUP($T242,[1]NhanSu!$C$5:$M$229,11,0)</f>
        <v>SM0000016</v>
      </c>
    </row>
    <row r="243" spans="1:30" x14ac:dyDescent="0.45">
      <c r="A243" s="8" t="s">
        <v>2965</v>
      </c>
      <c r="B243" s="4">
        <v>947</v>
      </c>
      <c r="C243" s="4" t="s">
        <v>3054</v>
      </c>
      <c r="D243" s="4" t="s">
        <v>3055</v>
      </c>
      <c r="E243" s="4" t="s">
        <v>74</v>
      </c>
      <c r="F243" s="4" t="s">
        <v>224</v>
      </c>
      <c r="G243" s="4" t="s">
        <v>34</v>
      </c>
      <c r="H243" s="4" t="s">
        <v>54</v>
      </c>
      <c r="I243" s="4" t="s">
        <v>3056</v>
      </c>
      <c r="J243" s="4" t="s">
        <v>38</v>
      </c>
      <c r="K243" s="4" t="s">
        <v>38</v>
      </c>
      <c r="L243" s="4" t="s">
        <v>39</v>
      </c>
      <c r="M243" s="4" t="s">
        <v>37</v>
      </c>
      <c r="N243" s="4" t="s">
        <v>37</v>
      </c>
      <c r="O243" s="4" t="s">
        <v>39</v>
      </c>
      <c r="P243" s="4" t="s">
        <v>38</v>
      </c>
      <c r="Q243" s="4" t="s">
        <v>38</v>
      </c>
      <c r="R243" s="4" t="s">
        <v>39</v>
      </c>
      <c r="S243" s="4" t="s">
        <v>41</v>
      </c>
      <c r="T243" s="4" t="s">
        <v>3057</v>
      </c>
      <c r="U243" s="4" t="s">
        <v>2970</v>
      </c>
      <c r="V243" s="4" t="s">
        <v>2971</v>
      </c>
      <c r="W243" s="4" t="s">
        <v>2972</v>
      </c>
      <c r="X243" s="4"/>
      <c r="Y243" s="4"/>
      <c r="Z243" s="4" t="s">
        <v>46</v>
      </c>
      <c r="AA243" s="4" t="s">
        <v>3058</v>
      </c>
      <c r="AB243" s="4" t="s">
        <v>2999</v>
      </c>
      <c r="AC243" s="9">
        <v>1</v>
      </c>
      <c r="AD243" t="str">
        <f>VLOOKUP($T243,[1]NhanSu!$C$5:$M$229,11,0)</f>
        <v>SM0000009</v>
      </c>
    </row>
    <row r="244" spans="1:30" x14ac:dyDescent="0.45">
      <c r="A244" s="6" t="s">
        <v>2965</v>
      </c>
      <c r="B244" s="5">
        <v>959</v>
      </c>
      <c r="C244" s="5" t="s">
        <v>3067</v>
      </c>
      <c r="D244" s="5" t="s">
        <v>3068</v>
      </c>
      <c r="E244" s="5" t="s">
        <v>431</v>
      </c>
      <c r="F244" s="5" t="s">
        <v>3069</v>
      </c>
      <c r="G244" s="5" t="s">
        <v>34</v>
      </c>
      <c r="H244" s="5" t="s">
        <v>685</v>
      </c>
      <c r="I244" s="5" t="s">
        <v>3070</v>
      </c>
      <c r="J244" s="5" t="s">
        <v>38</v>
      </c>
      <c r="K244" s="5" t="s">
        <v>38</v>
      </c>
      <c r="L244" s="5" t="s">
        <v>40</v>
      </c>
      <c r="M244" s="5" t="s">
        <v>38</v>
      </c>
      <c r="N244" s="5" t="s">
        <v>38</v>
      </c>
      <c r="O244" s="5" t="s">
        <v>40</v>
      </c>
      <c r="P244" s="5" t="s">
        <v>38</v>
      </c>
      <c r="Q244" s="5" t="s">
        <v>38</v>
      </c>
      <c r="R244" s="5" t="s">
        <v>40</v>
      </c>
      <c r="S244" s="5" t="s">
        <v>41</v>
      </c>
      <c r="T244" s="5" t="s">
        <v>2997</v>
      </c>
      <c r="U244" s="5" t="s">
        <v>2998</v>
      </c>
      <c r="V244" s="5" t="s">
        <v>2971</v>
      </c>
      <c r="W244" s="5" t="s">
        <v>2972</v>
      </c>
      <c r="X244" s="5"/>
      <c r="Y244" s="5"/>
      <c r="Z244" s="5" t="s">
        <v>46</v>
      </c>
      <c r="AA244" s="5" t="s">
        <v>3058</v>
      </c>
      <c r="AB244" s="5" t="s">
        <v>2999</v>
      </c>
      <c r="AC244" s="7">
        <v>1</v>
      </c>
      <c r="AD244" t="str">
        <f>VLOOKUP($T244,[1]NhanSu!$C$5:$M$229,11,0)</f>
        <v>SM0000164</v>
      </c>
    </row>
    <row r="245" spans="1:30" x14ac:dyDescent="0.45">
      <c r="A245" s="8" t="s">
        <v>2965</v>
      </c>
      <c r="B245" s="4">
        <v>1017</v>
      </c>
      <c r="C245" s="4" t="s">
        <v>3093</v>
      </c>
      <c r="D245" s="4" t="s">
        <v>3094</v>
      </c>
      <c r="E245" s="4" t="s">
        <v>98</v>
      </c>
      <c r="F245" s="4" t="s">
        <v>3095</v>
      </c>
      <c r="G245" s="4" t="s">
        <v>177</v>
      </c>
      <c r="H245" s="4" t="s">
        <v>54</v>
      </c>
      <c r="I245" s="4" t="s">
        <v>3096</v>
      </c>
      <c r="J245" s="4" t="s">
        <v>38</v>
      </c>
      <c r="K245" s="4" t="s">
        <v>38</v>
      </c>
      <c r="L245" s="4" t="s">
        <v>40</v>
      </c>
      <c r="M245" s="4" t="s">
        <v>38</v>
      </c>
      <c r="N245" s="4" t="s">
        <v>37</v>
      </c>
      <c r="O245" s="4" t="s">
        <v>39</v>
      </c>
      <c r="P245" s="4" t="s">
        <v>38</v>
      </c>
      <c r="Q245" s="4" t="s">
        <v>38</v>
      </c>
      <c r="R245" s="4" t="s">
        <v>40</v>
      </c>
      <c r="S245" s="4" t="s">
        <v>3097</v>
      </c>
      <c r="T245" s="4" t="s">
        <v>3020</v>
      </c>
      <c r="U245" s="4" t="s">
        <v>3021</v>
      </c>
      <c r="V245" s="4" t="s">
        <v>2971</v>
      </c>
      <c r="W245" s="4" t="s">
        <v>2972</v>
      </c>
      <c r="X245" s="4"/>
      <c r="Y245" s="4"/>
      <c r="Z245" s="4" t="s">
        <v>46</v>
      </c>
      <c r="AA245" s="4" t="s">
        <v>3058</v>
      </c>
      <c r="AB245" s="4" t="s">
        <v>2999</v>
      </c>
      <c r="AC245" s="9">
        <v>1</v>
      </c>
      <c r="AD245" t="str">
        <f>VLOOKUP($T245,[1]NhanSu!$C$5:$M$229,11,0)</f>
        <v>SM0000008</v>
      </c>
    </row>
    <row r="246" spans="1:30" x14ac:dyDescent="0.45">
      <c r="A246" s="6" t="s">
        <v>2965</v>
      </c>
      <c r="B246" s="5">
        <v>1050</v>
      </c>
      <c r="C246" s="5" t="s">
        <v>3113</v>
      </c>
      <c r="D246" s="5" t="s">
        <v>3114</v>
      </c>
      <c r="E246" s="5" t="s">
        <v>771</v>
      </c>
      <c r="F246" s="5" t="s">
        <v>3115</v>
      </c>
      <c r="G246" s="5" t="s">
        <v>177</v>
      </c>
      <c r="H246" s="5" t="s">
        <v>546</v>
      </c>
      <c r="I246" s="5" t="s">
        <v>3116</v>
      </c>
      <c r="J246" s="5" t="s">
        <v>38</v>
      </c>
      <c r="K246" s="5" t="s">
        <v>38</v>
      </c>
      <c r="L246" s="5" t="s">
        <v>40</v>
      </c>
      <c r="M246" s="5" t="s">
        <v>38</v>
      </c>
      <c r="N246" s="5" t="s">
        <v>56</v>
      </c>
      <c r="O246" s="5" t="s">
        <v>39</v>
      </c>
      <c r="P246" s="5" t="s">
        <v>38</v>
      </c>
      <c r="Q246" s="5" t="s">
        <v>38</v>
      </c>
      <c r="R246" s="5" t="s">
        <v>40</v>
      </c>
      <c r="S246" s="5" t="s">
        <v>3117</v>
      </c>
      <c r="T246" s="5" t="s">
        <v>3020</v>
      </c>
      <c r="U246" s="5" t="s">
        <v>3021</v>
      </c>
      <c r="V246" s="5" t="s">
        <v>2971</v>
      </c>
      <c r="W246" s="5" t="s">
        <v>2972</v>
      </c>
      <c r="X246" s="5"/>
      <c r="Y246" s="5"/>
      <c r="Z246" s="5" t="s">
        <v>46</v>
      </c>
      <c r="AA246" s="5" t="s">
        <v>3036</v>
      </c>
      <c r="AB246" s="5" t="s">
        <v>117</v>
      </c>
      <c r="AC246" s="7">
        <v>1</v>
      </c>
      <c r="AD246" t="str">
        <f>VLOOKUP($T246,[1]NhanSu!$C$5:$M$229,11,0)</f>
        <v>SM0000008</v>
      </c>
    </row>
    <row r="247" spans="1:30" x14ac:dyDescent="0.45">
      <c r="A247" s="8" t="s">
        <v>2965</v>
      </c>
      <c r="B247" s="4">
        <v>1051</v>
      </c>
      <c r="C247" s="4" t="s">
        <v>3118</v>
      </c>
      <c r="D247" s="4" t="s">
        <v>3119</v>
      </c>
      <c r="E247" s="4" t="s">
        <v>682</v>
      </c>
      <c r="F247" s="4" t="s">
        <v>401</v>
      </c>
      <c r="G247" s="4" t="s">
        <v>34</v>
      </c>
      <c r="H247" s="4" t="s">
        <v>214</v>
      </c>
      <c r="I247" s="4" t="s">
        <v>3120</v>
      </c>
      <c r="J247" s="4" t="s">
        <v>38</v>
      </c>
      <c r="K247" s="4" t="s">
        <v>38</v>
      </c>
      <c r="L247" s="4" t="s">
        <v>40</v>
      </c>
      <c r="M247" s="4" t="s">
        <v>38</v>
      </c>
      <c r="N247" s="4" t="s">
        <v>38</v>
      </c>
      <c r="O247" s="4" t="s">
        <v>40</v>
      </c>
      <c r="P247" s="4" t="s">
        <v>38</v>
      </c>
      <c r="Q247" s="4" t="s">
        <v>38</v>
      </c>
      <c r="R247" s="4" t="s">
        <v>40</v>
      </c>
      <c r="S247" s="4" t="s">
        <v>3121</v>
      </c>
      <c r="T247" s="4" t="s">
        <v>3035</v>
      </c>
      <c r="U247" s="4" t="s">
        <v>2998</v>
      </c>
      <c r="V247" s="4" t="s">
        <v>2971</v>
      </c>
      <c r="W247" s="4" t="s">
        <v>2978</v>
      </c>
      <c r="X247" s="4"/>
      <c r="Y247" s="4"/>
      <c r="Z247" s="4" t="s">
        <v>46</v>
      </c>
      <c r="AA247" s="4" t="s">
        <v>3036</v>
      </c>
      <c r="AB247" s="4" t="s">
        <v>2999</v>
      </c>
      <c r="AC247" s="9">
        <v>1</v>
      </c>
      <c r="AD247" t="str">
        <f>VLOOKUP($T247,[1]NhanSu!$C$5:$M$229,11,0)</f>
        <v>SM0000012</v>
      </c>
    </row>
    <row r="248" spans="1:30" x14ac:dyDescent="0.45">
      <c r="A248" s="6" t="s">
        <v>2965</v>
      </c>
      <c r="B248" s="5">
        <v>1068</v>
      </c>
      <c r="C248" s="5" t="s">
        <v>3129</v>
      </c>
      <c r="D248" s="5" t="s">
        <v>3130</v>
      </c>
      <c r="E248" s="5" t="s">
        <v>3131</v>
      </c>
      <c r="F248" s="5" t="s">
        <v>53</v>
      </c>
      <c r="G248" s="5" t="s">
        <v>34</v>
      </c>
      <c r="H248" s="5" t="s">
        <v>54</v>
      </c>
      <c r="I248" s="5" t="s">
        <v>3132</v>
      </c>
      <c r="J248" s="5" t="s">
        <v>38</v>
      </c>
      <c r="K248" s="5" t="s">
        <v>38</v>
      </c>
      <c r="L248" s="5" t="s">
        <v>40</v>
      </c>
      <c r="M248" s="5" t="s">
        <v>38</v>
      </c>
      <c r="N248" s="5" t="s">
        <v>38</v>
      </c>
      <c r="O248" s="5" t="s">
        <v>39</v>
      </c>
      <c r="P248" s="5" t="s">
        <v>38</v>
      </c>
      <c r="Q248" s="5" t="s">
        <v>38</v>
      </c>
      <c r="R248" s="5" t="s">
        <v>40</v>
      </c>
      <c r="S248" s="5" t="s">
        <v>41</v>
      </c>
      <c r="T248" s="5" t="s">
        <v>2969</v>
      </c>
      <c r="U248" s="5" t="s">
        <v>2970</v>
      </c>
      <c r="V248" s="5" t="s">
        <v>2971</v>
      </c>
      <c r="W248" s="5" t="s">
        <v>2972</v>
      </c>
      <c r="X248" s="5"/>
      <c r="Y248" s="5"/>
      <c r="Z248" s="5" t="s">
        <v>46</v>
      </c>
      <c r="AA248" s="5" t="s">
        <v>3058</v>
      </c>
      <c r="AB248" s="5" t="s">
        <v>2999</v>
      </c>
      <c r="AC248" s="7">
        <v>1</v>
      </c>
      <c r="AD248" t="str">
        <f>VLOOKUP($T248,[1]NhanSu!$C$5:$M$229,11,0)</f>
        <v>SM0000181</v>
      </c>
    </row>
    <row r="249" spans="1:30" x14ac:dyDescent="0.45">
      <c r="A249" s="8" t="s">
        <v>2965</v>
      </c>
      <c r="B249" s="4">
        <v>1070</v>
      </c>
      <c r="C249" s="4" t="s">
        <v>3133</v>
      </c>
      <c r="D249" s="4" t="s">
        <v>3134</v>
      </c>
      <c r="E249" s="4" t="s">
        <v>3135</v>
      </c>
      <c r="F249" s="4" t="s">
        <v>401</v>
      </c>
      <c r="G249" s="4" t="s">
        <v>34</v>
      </c>
      <c r="H249" s="4" t="s">
        <v>620</v>
      </c>
      <c r="I249" s="4" t="s">
        <v>3136</v>
      </c>
      <c r="J249" s="4" t="s">
        <v>38</v>
      </c>
      <c r="K249" s="4" t="s">
        <v>38</v>
      </c>
      <c r="L249" s="4" t="s">
        <v>40</v>
      </c>
      <c r="M249" s="4" t="s">
        <v>38</v>
      </c>
      <c r="N249" s="4" t="s">
        <v>38</v>
      </c>
      <c r="O249" s="4" t="s">
        <v>39</v>
      </c>
      <c r="P249" s="4" t="s">
        <v>38</v>
      </c>
      <c r="Q249" s="4" t="s">
        <v>38</v>
      </c>
      <c r="R249" s="4" t="s">
        <v>40</v>
      </c>
      <c r="S249" s="4" t="s">
        <v>41</v>
      </c>
      <c r="T249" s="4" t="s">
        <v>2969</v>
      </c>
      <c r="U249" s="4" t="s">
        <v>2970</v>
      </c>
      <c r="V249" s="4" t="s">
        <v>2971</v>
      </c>
      <c r="W249" s="4" t="s">
        <v>2972</v>
      </c>
      <c r="X249" s="4"/>
      <c r="Y249" s="4"/>
      <c r="Z249" s="4" t="s">
        <v>46</v>
      </c>
      <c r="AA249" s="4" t="s">
        <v>3058</v>
      </c>
      <c r="AB249" s="4" t="s">
        <v>3012</v>
      </c>
      <c r="AC249" s="9">
        <v>1</v>
      </c>
      <c r="AD249" t="str">
        <f>VLOOKUP($T249,[1]NhanSu!$C$5:$M$229,11,0)</f>
        <v>SM0000181</v>
      </c>
    </row>
    <row r="250" spans="1:30" x14ac:dyDescent="0.45">
      <c r="A250" s="6" t="s">
        <v>2965</v>
      </c>
      <c r="B250" s="5">
        <v>1073</v>
      </c>
      <c r="C250" s="5" t="s">
        <v>3137</v>
      </c>
      <c r="D250" s="5" t="s">
        <v>3138</v>
      </c>
      <c r="E250" s="5" t="s">
        <v>3139</v>
      </c>
      <c r="F250" s="5" t="s">
        <v>53</v>
      </c>
      <c r="G250" s="5" t="s">
        <v>34</v>
      </c>
      <c r="H250" s="5" t="s">
        <v>340</v>
      </c>
      <c r="I250" s="5" t="s">
        <v>3140</v>
      </c>
      <c r="J250" s="5" t="s">
        <v>38</v>
      </c>
      <c r="K250" s="5" t="s">
        <v>38</v>
      </c>
      <c r="L250" s="5" t="s">
        <v>40</v>
      </c>
      <c r="M250" s="5" t="s">
        <v>37</v>
      </c>
      <c r="N250" s="5" t="s">
        <v>37</v>
      </c>
      <c r="O250" s="5" t="s">
        <v>39</v>
      </c>
      <c r="P250" s="5" t="s">
        <v>38</v>
      </c>
      <c r="Q250" s="5" t="s">
        <v>38</v>
      </c>
      <c r="R250" s="5" t="s">
        <v>40</v>
      </c>
      <c r="S250" s="5" t="s">
        <v>41</v>
      </c>
      <c r="T250" s="5" t="s">
        <v>2969</v>
      </c>
      <c r="U250" s="5" t="s">
        <v>2970</v>
      </c>
      <c r="V250" s="5" t="s">
        <v>2971</v>
      </c>
      <c r="W250" s="5" t="s">
        <v>2972</v>
      </c>
      <c r="X250" s="5"/>
      <c r="Y250" s="5"/>
      <c r="Z250" s="5" t="s">
        <v>46</v>
      </c>
      <c r="AA250" s="5" t="s">
        <v>3058</v>
      </c>
      <c r="AB250" s="5" t="s">
        <v>3012</v>
      </c>
      <c r="AC250" s="7">
        <v>1</v>
      </c>
      <c r="AD250" t="str">
        <f>VLOOKUP($T250,[1]NhanSu!$C$5:$M$229,11,0)</f>
        <v>SM0000181</v>
      </c>
    </row>
    <row r="251" spans="1:30" x14ac:dyDescent="0.45">
      <c r="A251" s="8" t="s">
        <v>2965</v>
      </c>
      <c r="B251" s="4">
        <v>1101</v>
      </c>
      <c r="C251" s="4" t="s">
        <v>3141</v>
      </c>
      <c r="D251" s="4" t="s">
        <v>3142</v>
      </c>
      <c r="E251" s="4" t="s">
        <v>108</v>
      </c>
      <c r="F251" s="4" t="s">
        <v>53</v>
      </c>
      <c r="G251" s="4" t="s">
        <v>177</v>
      </c>
      <c r="H251" s="4" t="s">
        <v>685</v>
      </c>
      <c r="I251" s="4" t="s">
        <v>3143</v>
      </c>
      <c r="J251" s="4" t="s">
        <v>38</v>
      </c>
      <c r="K251" s="4" t="s">
        <v>38</v>
      </c>
      <c r="L251" s="4" t="s">
        <v>40</v>
      </c>
      <c r="M251" s="4" t="s">
        <v>38</v>
      </c>
      <c r="N251" s="4" t="s">
        <v>56</v>
      </c>
      <c r="O251" s="4" t="s">
        <v>39</v>
      </c>
      <c r="P251" s="4" t="s">
        <v>38</v>
      </c>
      <c r="Q251" s="4" t="s">
        <v>38</v>
      </c>
      <c r="R251" s="4" t="s">
        <v>40</v>
      </c>
      <c r="S251" s="4" t="s">
        <v>3144</v>
      </c>
      <c r="T251" s="4" t="s">
        <v>3020</v>
      </c>
      <c r="U251" s="4" t="s">
        <v>3021</v>
      </c>
      <c r="V251" s="4" t="s">
        <v>2971</v>
      </c>
      <c r="W251" s="4" t="s">
        <v>2972</v>
      </c>
      <c r="X251" s="4"/>
      <c r="Y251" s="4"/>
      <c r="Z251" s="4" t="s">
        <v>46</v>
      </c>
      <c r="AA251" s="4" t="s">
        <v>3036</v>
      </c>
      <c r="AB251" s="4" t="s">
        <v>117</v>
      </c>
      <c r="AC251" s="9">
        <v>1</v>
      </c>
      <c r="AD251" t="str">
        <f>VLOOKUP($T251,[1]NhanSu!$C$5:$M$229,11,0)</f>
        <v>SM0000008</v>
      </c>
    </row>
    <row r="252" spans="1:30" x14ac:dyDescent="0.45">
      <c r="A252" s="6" t="s">
        <v>2965</v>
      </c>
      <c r="B252" s="5">
        <v>1102</v>
      </c>
      <c r="C252" s="5" t="s">
        <v>3145</v>
      </c>
      <c r="D252" s="5" t="s">
        <v>3146</v>
      </c>
      <c r="E252" s="5" t="s">
        <v>324</v>
      </c>
      <c r="F252" s="5" t="s">
        <v>581</v>
      </c>
      <c r="G252" s="5" t="s">
        <v>177</v>
      </c>
      <c r="H252" s="5" t="s">
        <v>546</v>
      </c>
      <c r="I252" s="5" t="s">
        <v>3147</v>
      </c>
      <c r="J252" s="5" t="s">
        <v>38</v>
      </c>
      <c r="K252" s="5" t="s">
        <v>38</v>
      </c>
      <c r="L252" s="5" t="s">
        <v>40</v>
      </c>
      <c r="M252" s="5" t="s">
        <v>38</v>
      </c>
      <c r="N252" s="5" t="s">
        <v>56</v>
      </c>
      <c r="O252" s="5" t="s">
        <v>39</v>
      </c>
      <c r="P252" s="5" t="s">
        <v>38</v>
      </c>
      <c r="Q252" s="5" t="s">
        <v>38</v>
      </c>
      <c r="R252" s="5" t="s">
        <v>40</v>
      </c>
      <c r="S252" s="5" t="s">
        <v>3148</v>
      </c>
      <c r="T252" s="5" t="s">
        <v>3020</v>
      </c>
      <c r="U252" s="5" t="s">
        <v>3021</v>
      </c>
      <c r="V252" s="5" t="s">
        <v>2971</v>
      </c>
      <c r="W252" s="5" t="s">
        <v>2972</v>
      </c>
      <c r="X252" s="5"/>
      <c r="Y252" s="5"/>
      <c r="Z252" s="5" t="s">
        <v>46</v>
      </c>
      <c r="AA252" s="5" t="s">
        <v>3058</v>
      </c>
      <c r="AB252" s="5" t="s">
        <v>2999</v>
      </c>
      <c r="AC252" s="7">
        <v>1</v>
      </c>
      <c r="AD252" t="str">
        <f>VLOOKUP($T252,[1]NhanSu!$C$5:$M$229,11,0)</f>
        <v>SM0000008</v>
      </c>
    </row>
    <row r="253" spans="1:30" x14ac:dyDescent="0.45">
      <c r="A253" s="8" t="s">
        <v>2965</v>
      </c>
      <c r="B253" s="4">
        <v>1108</v>
      </c>
      <c r="C253" s="4" t="s">
        <v>3153</v>
      </c>
      <c r="D253" s="4" t="s">
        <v>3154</v>
      </c>
      <c r="E253" s="4" t="s">
        <v>3155</v>
      </c>
      <c r="F253" s="4" t="s">
        <v>3156</v>
      </c>
      <c r="G253" s="4" t="s">
        <v>34</v>
      </c>
      <c r="H253" s="4" t="s">
        <v>54</v>
      </c>
      <c r="I253" s="4" t="s">
        <v>3157</v>
      </c>
      <c r="J253" s="4" t="s">
        <v>38</v>
      </c>
      <c r="K253" s="4" t="s">
        <v>38</v>
      </c>
      <c r="L253" s="4" t="s">
        <v>39</v>
      </c>
      <c r="M253" s="4" t="s">
        <v>37</v>
      </c>
      <c r="N253" s="4" t="s">
        <v>37</v>
      </c>
      <c r="O253" s="4" t="s">
        <v>39</v>
      </c>
      <c r="P253" s="4" t="s">
        <v>38</v>
      </c>
      <c r="Q253" s="4" t="s">
        <v>38</v>
      </c>
      <c r="R253" s="4" t="s">
        <v>39</v>
      </c>
      <c r="S253" s="4" t="s">
        <v>41</v>
      </c>
      <c r="T253" s="4" t="s">
        <v>3057</v>
      </c>
      <c r="U253" s="4" t="s">
        <v>2970</v>
      </c>
      <c r="V253" s="4" t="s">
        <v>2971</v>
      </c>
      <c r="W253" s="4" t="s">
        <v>2972</v>
      </c>
      <c r="X253" s="4"/>
      <c r="Y253" s="4"/>
      <c r="Z253" s="4" t="s">
        <v>46</v>
      </c>
      <c r="AA253" s="4" t="s">
        <v>3158</v>
      </c>
      <c r="AB253" s="4" t="s">
        <v>117</v>
      </c>
      <c r="AC253" s="9">
        <v>1</v>
      </c>
      <c r="AD253" t="str">
        <f>VLOOKUP($T253,[1]NhanSu!$C$5:$M$229,11,0)</f>
        <v>SM0000009</v>
      </c>
    </row>
    <row r="254" spans="1:30" x14ac:dyDescent="0.45">
      <c r="A254" s="6" t="s">
        <v>2965</v>
      </c>
      <c r="B254" s="5">
        <v>1114</v>
      </c>
      <c r="C254" s="5" t="s">
        <v>3159</v>
      </c>
      <c r="D254" s="5" t="s">
        <v>3160</v>
      </c>
      <c r="E254" s="5" t="s">
        <v>92</v>
      </c>
      <c r="F254" s="5" t="s">
        <v>166</v>
      </c>
      <c r="G254" s="5" t="s">
        <v>177</v>
      </c>
      <c r="H254" s="5" t="s">
        <v>54</v>
      </c>
      <c r="I254" s="5" t="s">
        <v>3161</v>
      </c>
      <c r="J254" s="5" t="s">
        <v>38</v>
      </c>
      <c r="K254" s="5" t="s">
        <v>38</v>
      </c>
      <c r="L254" s="5" t="s">
        <v>40</v>
      </c>
      <c r="M254" s="5" t="s">
        <v>38</v>
      </c>
      <c r="N254" s="5" t="s">
        <v>38</v>
      </c>
      <c r="O254" s="5" t="s">
        <v>40</v>
      </c>
      <c r="P254" s="5" t="s">
        <v>38</v>
      </c>
      <c r="Q254" s="5" t="s">
        <v>38</v>
      </c>
      <c r="R254" s="5" t="s">
        <v>40</v>
      </c>
      <c r="S254" s="5" t="s">
        <v>41</v>
      </c>
      <c r="T254" s="5" t="s">
        <v>3020</v>
      </c>
      <c r="U254" s="5" t="s">
        <v>3021</v>
      </c>
      <c r="V254" s="5" t="s">
        <v>2971</v>
      </c>
      <c r="W254" s="5" t="s">
        <v>2972</v>
      </c>
      <c r="X254" s="5"/>
      <c r="Y254" s="5"/>
      <c r="Z254" s="5" t="s">
        <v>46</v>
      </c>
      <c r="AA254" s="5" t="s">
        <v>3036</v>
      </c>
      <c r="AB254" s="5"/>
      <c r="AC254" s="7">
        <v>1</v>
      </c>
      <c r="AD254" t="str">
        <f>VLOOKUP($T254,[1]NhanSu!$C$5:$M$229,11,0)</f>
        <v>SM0000008</v>
      </c>
    </row>
    <row r="255" spans="1:30" x14ac:dyDescent="0.45">
      <c r="A255" s="8" t="s">
        <v>2965</v>
      </c>
      <c r="B255" s="4">
        <v>1123</v>
      </c>
      <c r="C255" s="4" t="s">
        <v>3162</v>
      </c>
      <c r="D255" s="4" t="s">
        <v>3163</v>
      </c>
      <c r="E255" s="4" t="s">
        <v>3164</v>
      </c>
      <c r="F255" s="4" t="s">
        <v>3165</v>
      </c>
      <c r="G255" s="4" t="s">
        <v>177</v>
      </c>
      <c r="H255" s="4" t="s">
        <v>54</v>
      </c>
      <c r="I255" s="4" t="s">
        <v>3166</v>
      </c>
      <c r="J255" s="4" t="s">
        <v>38</v>
      </c>
      <c r="K255" s="4" t="s">
        <v>38</v>
      </c>
      <c r="L255" s="4" t="s">
        <v>40</v>
      </c>
      <c r="M255" s="4" t="s">
        <v>38</v>
      </c>
      <c r="N255" s="4" t="s">
        <v>38</v>
      </c>
      <c r="O255" s="4" t="s">
        <v>40</v>
      </c>
      <c r="P255" s="4" t="s">
        <v>38</v>
      </c>
      <c r="Q255" s="4" t="s">
        <v>38</v>
      </c>
      <c r="R255" s="4" t="s">
        <v>40</v>
      </c>
      <c r="S255" s="4" t="s">
        <v>3167</v>
      </c>
      <c r="T255" s="4" t="s">
        <v>3020</v>
      </c>
      <c r="U255" s="4" t="s">
        <v>3021</v>
      </c>
      <c r="V255" s="4" t="s">
        <v>2971</v>
      </c>
      <c r="W255" s="4" t="s">
        <v>2972</v>
      </c>
      <c r="X255" s="4"/>
      <c r="Y255" s="4"/>
      <c r="Z255" s="4" t="s">
        <v>46</v>
      </c>
      <c r="AA255" s="4" t="s">
        <v>3036</v>
      </c>
      <c r="AB255" s="4" t="s">
        <v>117</v>
      </c>
      <c r="AC255" s="9">
        <v>1</v>
      </c>
      <c r="AD255" t="str">
        <f>VLOOKUP($T255,[1]NhanSu!$C$5:$M$229,11,0)</f>
        <v>SM0000008</v>
      </c>
    </row>
    <row r="256" spans="1:30" x14ac:dyDescent="0.45">
      <c r="A256" s="6" t="s">
        <v>2965</v>
      </c>
      <c r="B256" s="5">
        <v>1172</v>
      </c>
      <c r="C256" s="5" t="s">
        <v>3174</v>
      </c>
      <c r="D256" s="5" t="s">
        <v>3064</v>
      </c>
      <c r="E256" s="5" t="s">
        <v>3175</v>
      </c>
      <c r="F256" s="5" t="s">
        <v>426</v>
      </c>
      <c r="G256" s="5" t="s">
        <v>34</v>
      </c>
      <c r="H256" s="5" t="s">
        <v>54</v>
      </c>
      <c r="I256" s="5" t="s">
        <v>3176</v>
      </c>
      <c r="J256" s="5" t="s">
        <v>38</v>
      </c>
      <c r="K256" s="5" t="s">
        <v>38</v>
      </c>
      <c r="L256" s="5" t="s">
        <v>40</v>
      </c>
      <c r="M256" s="5" t="s">
        <v>38</v>
      </c>
      <c r="N256" s="5" t="s">
        <v>38</v>
      </c>
      <c r="O256" s="5" t="s">
        <v>39</v>
      </c>
      <c r="P256" s="5" t="s">
        <v>38</v>
      </c>
      <c r="Q256" s="5" t="s">
        <v>38</v>
      </c>
      <c r="R256" s="5" t="s">
        <v>39</v>
      </c>
      <c r="S256" s="5" t="s">
        <v>41</v>
      </c>
      <c r="T256" s="5" t="s">
        <v>2969</v>
      </c>
      <c r="U256" s="5" t="s">
        <v>2970</v>
      </c>
      <c r="V256" s="5" t="s">
        <v>2971</v>
      </c>
      <c r="W256" s="5" t="s">
        <v>2972</v>
      </c>
      <c r="X256" s="5"/>
      <c r="Y256" s="5"/>
      <c r="Z256" s="5" t="s">
        <v>46</v>
      </c>
      <c r="AA256" s="5" t="s">
        <v>3058</v>
      </c>
      <c r="AB256" s="5" t="s">
        <v>2999</v>
      </c>
      <c r="AC256" s="7">
        <v>1</v>
      </c>
      <c r="AD256" t="str">
        <f>VLOOKUP($T256,[1]NhanSu!$C$5:$M$229,11,0)</f>
        <v>SM0000181</v>
      </c>
    </row>
    <row r="257" spans="1:30" x14ac:dyDescent="0.45">
      <c r="A257" s="8" t="s">
        <v>2965</v>
      </c>
      <c r="B257" s="4">
        <v>1185</v>
      </c>
      <c r="C257" s="4" t="s">
        <v>3181</v>
      </c>
      <c r="D257" s="4" t="s">
        <v>3182</v>
      </c>
      <c r="E257" s="4" t="s">
        <v>3183</v>
      </c>
      <c r="F257" s="4" t="s">
        <v>53</v>
      </c>
      <c r="G257" s="4" t="s">
        <v>34</v>
      </c>
      <c r="H257" s="4" t="s">
        <v>54</v>
      </c>
      <c r="I257" s="4" t="s">
        <v>3184</v>
      </c>
      <c r="J257" s="4" t="s">
        <v>38</v>
      </c>
      <c r="K257" s="4" t="s">
        <v>38</v>
      </c>
      <c r="L257" s="4" t="s">
        <v>40</v>
      </c>
      <c r="M257" s="4" t="s">
        <v>37</v>
      </c>
      <c r="N257" s="4" t="s">
        <v>37</v>
      </c>
      <c r="O257" s="4" t="s">
        <v>39</v>
      </c>
      <c r="P257" s="4" t="s">
        <v>38</v>
      </c>
      <c r="Q257" s="4" t="s">
        <v>38</v>
      </c>
      <c r="R257" s="4" t="s">
        <v>40</v>
      </c>
      <c r="S257" s="4" t="s">
        <v>41</v>
      </c>
      <c r="T257" s="4" t="s">
        <v>2969</v>
      </c>
      <c r="U257" s="4" t="s">
        <v>2970</v>
      </c>
      <c r="V257" s="4" t="s">
        <v>2971</v>
      </c>
      <c r="W257" s="4" t="s">
        <v>2972</v>
      </c>
      <c r="X257" s="4"/>
      <c r="Y257" s="4"/>
      <c r="Z257" s="4" t="s">
        <v>46</v>
      </c>
      <c r="AA257" s="4" t="s">
        <v>3158</v>
      </c>
      <c r="AB257" s="4" t="s">
        <v>117</v>
      </c>
      <c r="AC257" s="9">
        <v>1</v>
      </c>
      <c r="AD257" t="str">
        <f>VLOOKUP($T257,[1]NhanSu!$C$5:$M$229,11,0)</f>
        <v>SM0000181</v>
      </c>
    </row>
    <row r="258" spans="1:30" x14ac:dyDescent="0.45">
      <c r="A258" s="6" t="s">
        <v>2965</v>
      </c>
      <c r="B258" s="5">
        <v>1189</v>
      </c>
      <c r="C258" s="5" t="s">
        <v>3189</v>
      </c>
      <c r="D258" s="5" t="s">
        <v>3190</v>
      </c>
      <c r="E258" s="5" t="s">
        <v>206</v>
      </c>
      <c r="F258" s="5" t="s">
        <v>53</v>
      </c>
      <c r="G258" s="5" t="s">
        <v>34</v>
      </c>
      <c r="H258" s="5" t="s">
        <v>54</v>
      </c>
      <c r="I258" s="5" t="s">
        <v>3191</v>
      </c>
      <c r="J258" s="5" t="s">
        <v>38</v>
      </c>
      <c r="K258" s="5" t="s">
        <v>38</v>
      </c>
      <c r="L258" s="5" t="s">
        <v>40</v>
      </c>
      <c r="M258" s="5" t="s">
        <v>38</v>
      </c>
      <c r="N258" s="5" t="s">
        <v>38</v>
      </c>
      <c r="O258" s="5" t="s">
        <v>39</v>
      </c>
      <c r="P258" s="5" t="s">
        <v>37</v>
      </c>
      <c r="Q258" s="5" t="s">
        <v>37</v>
      </c>
      <c r="R258" s="5" t="s">
        <v>39</v>
      </c>
      <c r="S258" s="5" t="s">
        <v>41</v>
      </c>
      <c r="T258" s="5" t="s">
        <v>3192</v>
      </c>
      <c r="U258" s="5" t="s">
        <v>3046</v>
      </c>
      <c r="V258" s="5" t="s">
        <v>2971</v>
      </c>
      <c r="W258" s="5" t="s">
        <v>2972</v>
      </c>
      <c r="X258" s="5"/>
      <c r="Y258" s="5"/>
      <c r="Z258" s="5" t="s">
        <v>46</v>
      </c>
      <c r="AA258" s="5" t="s">
        <v>2983</v>
      </c>
      <c r="AB258" s="5" t="s">
        <v>117</v>
      </c>
      <c r="AC258" s="7">
        <v>1</v>
      </c>
      <c r="AD258" t="str">
        <f>VLOOKUP($T258,[1]NhanSu!$C$5:$M$229,11,0)</f>
        <v>SM0000018</v>
      </c>
    </row>
    <row r="259" spans="1:30" x14ac:dyDescent="0.45">
      <c r="A259" s="8" t="s">
        <v>2965</v>
      </c>
      <c r="B259" s="4">
        <v>1196</v>
      </c>
      <c r="C259" s="4" t="s">
        <v>3196</v>
      </c>
      <c r="D259" s="4" t="s">
        <v>3197</v>
      </c>
      <c r="E259" s="4" t="s">
        <v>3198</v>
      </c>
      <c r="F259" s="4" t="s">
        <v>53</v>
      </c>
      <c r="G259" s="4" t="s">
        <v>34</v>
      </c>
      <c r="H259" s="4" t="s">
        <v>54</v>
      </c>
      <c r="I259" s="4" t="s">
        <v>3199</v>
      </c>
      <c r="J259" s="4" t="s">
        <v>38</v>
      </c>
      <c r="K259" s="4" t="s">
        <v>38</v>
      </c>
      <c r="L259" s="4" t="s">
        <v>40</v>
      </c>
      <c r="M259" s="4" t="s">
        <v>38</v>
      </c>
      <c r="N259" s="4" t="s">
        <v>38</v>
      </c>
      <c r="O259" s="4" t="s">
        <v>39</v>
      </c>
      <c r="P259" s="4" t="s">
        <v>38</v>
      </c>
      <c r="Q259" s="4" t="s">
        <v>38</v>
      </c>
      <c r="R259" s="4" t="s">
        <v>40</v>
      </c>
      <c r="S259" s="4" t="s">
        <v>41</v>
      </c>
      <c r="T259" s="4" t="s">
        <v>2969</v>
      </c>
      <c r="U259" s="4" t="s">
        <v>2970</v>
      </c>
      <c r="V259" s="4" t="s">
        <v>2971</v>
      </c>
      <c r="W259" s="4" t="s">
        <v>2972</v>
      </c>
      <c r="X259" s="4"/>
      <c r="Y259" s="4"/>
      <c r="Z259" s="4" t="s">
        <v>46</v>
      </c>
      <c r="AA259" s="4" t="s">
        <v>3158</v>
      </c>
      <c r="AB259" s="4" t="s">
        <v>117</v>
      </c>
      <c r="AC259" s="9">
        <v>1</v>
      </c>
      <c r="AD259" t="str">
        <f>VLOOKUP($T259,[1]NhanSu!$C$5:$M$229,11,0)</f>
        <v>SM0000181</v>
      </c>
    </row>
    <row r="260" spans="1:30" x14ac:dyDescent="0.45">
      <c r="A260" s="6" t="s">
        <v>2965</v>
      </c>
      <c r="B260" s="5">
        <v>1265</v>
      </c>
      <c r="C260" s="5" t="s">
        <v>3228</v>
      </c>
      <c r="D260" s="5" t="s">
        <v>3229</v>
      </c>
      <c r="E260" s="5" t="s">
        <v>3230</v>
      </c>
      <c r="F260" s="5" t="s">
        <v>224</v>
      </c>
      <c r="G260" s="5" t="s">
        <v>34</v>
      </c>
      <c r="H260" s="5" t="s">
        <v>54</v>
      </c>
      <c r="I260" s="5" t="s">
        <v>3231</v>
      </c>
      <c r="J260" s="5" t="s">
        <v>38</v>
      </c>
      <c r="K260" s="5" t="s">
        <v>38</v>
      </c>
      <c r="L260" s="5" t="s">
        <v>40</v>
      </c>
      <c r="M260" s="5" t="s">
        <v>38</v>
      </c>
      <c r="N260" s="5" t="s">
        <v>38</v>
      </c>
      <c r="O260" s="5" t="s">
        <v>39</v>
      </c>
      <c r="P260" s="5" t="s">
        <v>38</v>
      </c>
      <c r="Q260" s="5" t="s">
        <v>38</v>
      </c>
      <c r="R260" s="5" t="s">
        <v>40</v>
      </c>
      <c r="S260" s="5" t="s">
        <v>41</v>
      </c>
      <c r="T260" s="5" t="s">
        <v>2969</v>
      </c>
      <c r="U260" s="5" t="s">
        <v>2970</v>
      </c>
      <c r="V260" s="5" t="s">
        <v>2971</v>
      </c>
      <c r="W260" s="5" t="s">
        <v>2972</v>
      </c>
      <c r="X260" s="5"/>
      <c r="Y260" s="5"/>
      <c r="Z260" s="5" t="s">
        <v>46</v>
      </c>
      <c r="AA260" s="5" t="s">
        <v>3058</v>
      </c>
      <c r="AB260" s="5" t="s">
        <v>3012</v>
      </c>
      <c r="AC260" s="7">
        <v>1</v>
      </c>
      <c r="AD260" t="str">
        <f>VLOOKUP($T260,[1]NhanSu!$C$5:$M$229,11,0)</f>
        <v>SM0000181</v>
      </c>
    </row>
    <row r="261" spans="1:30" x14ac:dyDescent="0.45">
      <c r="A261" s="8" t="s">
        <v>2965</v>
      </c>
      <c r="B261" s="4">
        <v>1285</v>
      </c>
      <c r="C261" s="4" t="s">
        <v>3239</v>
      </c>
      <c r="D261" s="4" t="s">
        <v>3240</v>
      </c>
      <c r="E261" s="4" t="s">
        <v>1870</v>
      </c>
      <c r="F261" s="4" t="s">
        <v>666</v>
      </c>
      <c r="G261" s="4" t="s">
        <v>34</v>
      </c>
      <c r="H261" s="4" t="s">
        <v>54</v>
      </c>
      <c r="I261" s="4" t="s">
        <v>3241</v>
      </c>
      <c r="J261" s="4" t="s">
        <v>38</v>
      </c>
      <c r="K261" s="4" t="s">
        <v>38</v>
      </c>
      <c r="L261" s="4" t="s">
        <v>39</v>
      </c>
      <c r="M261" s="4" t="s">
        <v>38</v>
      </c>
      <c r="N261" s="4" t="s">
        <v>38</v>
      </c>
      <c r="O261" s="4" t="s">
        <v>39</v>
      </c>
      <c r="P261" s="4" t="s">
        <v>38</v>
      </c>
      <c r="Q261" s="4" t="s">
        <v>38</v>
      </c>
      <c r="R261" s="4" t="s">
        <v>39</v>
      </c>
      <c r="S261" s="4" t="s">
        <v>41</v>
      </c>
      <c r="T261" s="4" t="s">
        <v>3057</v>
      </c>
      <c r="U261" s="4" t="s">
        <v>2970</v>
      </c>
      <c r="V261" s="4" t="s">
        <v>2971</v>
      </c>
      <c r="W261" s="4" t="s">
        <v>2972</v>
      </c>
      <c r="X261" s="4"/>
      <c r="Y261" s="4"/>
      <c r="Z261" s="4" t="s">
        <v>46</v>
      </c>
      <c r="AA261" s="4" t="s">
        <v>3058</v>
      </c>
      <c r="AB261" s="4" t="s">
        <v>3012</v>
      </c>
      <c r="AC261" s="9">
        <v>1</v>
      </c>
      <c r="AD261" t="str">
        <f>VLOOKUP($T261,[1]NhanSu!$C$5:$M$229,11,0)</f>
        <v>SM0000009</v>
      </c>
    </row>
    <row r="262" spans="1:30" x14ac:dyDescent="0.45">
      <c r="A262" s="6" t="s">
        <v>2965</v>
      </c>
      <c r="B262" s="5">
        <v>1289</v>
      </c>
      <c r="C262" s="5" t="s">
        <v>3247</v>
      </c>
      <c r="D262" s="5" t="s">
        <v>3248</v>
      </c>
      <c r="E262" s="5" t="s">
        <v>3249</v>
      </c>
      <c r="F262" s="5" t="s">
        <v>53</v>
      </c>
      <c r="G262" s="5" t="s">
        <v>177</v>
      </c>
      <c r="H262" s="5" t="s">
        <v>214</v>
      </c>
      <c r="I262" s="5" t="s">
        <v>3250</v>
      </c>
      <c r="J262" s="5" t="s">
        <v>37</v>
      </c>
      <c r="K262" s="5" t="s">
        <v>37</v>
      </c>
      <c r="L262" s="5" t="s">
        <v>39</v>
      </c>
      <c r="M262" s="5" t="s">
        <v>37</v>
      </c>
      <c r="N262" s="5" t="s">
        <v>37</v>
      </c>
      <c r="O262" s="5" t="s">
        <v>39</v>
      </c>
      <c r="P262" s="5" t="s">
        <v>38</v>
      </c>
      <c r="Q262" s="5" t="s">
        <v>38</v>
      </c>
      <c r="R262" s="5" t="s">
        <v>40</v>
      </c>
      <c r="S262" s="5" t="s">
        <v>41</v>
      </c>
      <c r="T262" s="5" t="s">
        <v>3226</v>
      </c>
      <c r="U262" s="5" t="s">
        <v>3227</v>
      </c>
      <c r="V262" s="5" t="s">
        <v>2971</v>
      </c>
      <c r="W262" s="5" t="s">
        <v>2972</v>
      </c>
      <c r="X262" s="5"/>
      <c r="Y262" s="5"/>
      <c r="Z262" s="5" t="s">
        <v>46</v>
      </c>
      <c r="AA262" s="5" t="s">
        <v>3058</v>
      </c>
      <c r="AB262" s="5" t="s">
        <v>2999</v>
      </c>
      <c r="AC262" s="7">
        <v>1</v>
      </c>
      <c r="AD262" t="str">
        <f>VLOOKUP($T262,[1]NhanSu!$C$5:$M$229,11,0)</f>
        <v>SM0000006</v>
      </c>
    </row>
    <row r="263" spans="1:30" x14ac:dyDescent="0.45">
      <c r="A263" s="8" t="s">
        <v>2965</v>
      </c>
      <c r="B263" s="4">
        <v>1293</v>
      </c>
      <c r="C263" s="4" t="s">
        <v>3251</v>
      </c>
      <c r="D263" s="4" t="s">
        <v>3252</v>
      </c>
      <c r="E263" s="4" t="s">
        <v>682</v>
      </c>
      <c r="F263" s="4" t="s">
        <v>1573</v>
      </c>
      <c r="G263" s="4" t="s">
        <v>177</v>
      </c>
      <c r="H263" s="4" t="s">
        <v>54</v>
      </c>
      <c r="I263" s="4" t="s">
        <v>3253</v>
      </c>
      <c r="J263" s="4" t="s">
        <v>38</v>
      </c>
      <c r="K263" s="4" t="s">
        <v>38</v>
      </c>
      <c r="L263" s="4" t="s">
        <v>39</v>
      </c>
      <c r="M263" s="4" t="s">
        <v>38</v>
      </c>
      <c r="N263" s="4" t="s">
        <v>38</v>
      </c>
      <c r="O263" s="4" t="s">
        <v>39</v>
      </c>
      <c r="P263" s="4" t="s">
        <v>38</v>
      </c>
      <c r="Q263" s="4" t="s">
        <v>38</v>
      </c>
      <c r="R263" s="4" t="s">
        <v>39</v>
      </c>
      <c r="S263" s="4" t="s">
        <v>3254</v>
      </c>
      <c r="T263" s="4" t="s">
        <v>3045</v>
      </c>
      <c r="U263" s="4" t="s">
        <v>3046</v>
      </c>
      <c r="V263" s="4" t="s">
        <v>2971</v>
      </c>
      <c r="W263" s="4" t="s">
        <v>2972</v>
      </c>
      <c r="X263" s="4"/>
      <c r="Y263" s="4"/>
      <c r="Z263" s="4" t="s">
        <v>46</v>
      </c>
      <c r="AA263" s="4" t="s">
        <v>2983</v>
      </c>
      <c r="AB263" s="4" t="s">
        <v>117</v>
      </c>
      <c r="AC263" s="9">
        <v>1</v>
      </c>
      <c r="AD263" t="str">
        <f>VLOOKUP($T263,[1]NhanSu!$C$5:$M$229,11,0)</f>
        <v>SM0000016</v>
      </c>
    </row>
    <row r="264" spans="1:30" x14ac:dyDescent="0.45">
      <c r="A264" s="6" t="s">
        <v>2965</v>
      </c>
      <c r="B264" s="5">
        <v>1319</v>
      </c>
      <c r="C264" s="5" t="s">
        <v>3269</v>
      </c>
      <c r="D264" s="5" t="s">
        <v>3270</v>
      </c>
      <c r="E264" s="5" t="s">
        <v>3271</v>
      </c>
      <c r="F264" s="5" t="s">
        <v>53</v>
      </c>
      <c r="G264" s="5" t="s">
        <v>34</v>
      </c>
      <c r="H264" s="5" t="s">
        <v>54</v>
      </c>
      <c r="I264" s="5" t="s">
        <v>3272</v>
      </c>
      <c r="J264" s="5" t="s">
        <v>38</v>
      </c>
      <c r="K264" s="5" t="s">
        <v>38</v>
      </c>
      <c r="L264" s="5" t="s">
        <v>40</v>
      </c>
      <c r="M264" s="5" t="s">
        <v>38</v>
      </c>
      <c r="N264" s="5" t="s">
        <v>38</v>
      </c>
      <c r="O264" s="5" t="s">
        <v>39</v>
      </c>
      <c r="P264" s="5" t="s">
        <v>38</v>
      </c>
      <c r="Q264" s="5" t="s">
        <v>38</v>
      </c>
      <c r="R264" s="5" t="s">
        <v>40</v>
      </c>
      <c r="S264" s="5" t="s">
        <v>41</v>
      </c>
      <c r="T264" s="5" t="s">
        <v>2969</v>
      </c>
      <c r="U264" s="5" t="s">
        <v>2970</v>
      </c>
      <c r="V264" s="5" t="s">
        <v>2971</v>
      </c>
      <c r="W264" s="5" t="s">
        <v>2972</v>
      </c>
      <c r="X264" s="5"/>
      <c r="Y264" s="5"/>
      <c r="Z264" s="5" t="s">
        <v>46</v>
      </c>
      <c r="AA264" s="5" t="s">
        <v>3158</v>
      </c>
      <c r="AB264" s="5" t="s">
        <v>117</v>
      </c>
      <c r="AC264" s="7">
        <v>1</v>
      </c>
      <c r="AD264" t="str">
        <f>VLOOKUP($T264,[1]NhanSu!$C$5:$M$229,11,0)</f>
        <v>SM0000181</v>
      </c>
    </row>
    <row r="265" spans="1:30" x14ac:dyDescent="0.45">
      <c r="A265" s="8" t="s">
        <v>2965</v>
      </c>
      <c r="B265" s="4">
        <v>1328</v>
      </c>
      <c r="C265" s="4" t="s">
        <v>3275</v>
      </c>
      <c r="D265" s="4" t="s">
        <v>3276</v>
      </c>
      <c r="E265" s="4" t="s">
        <v>69</v>
      </c>
      <c r="F265" s="4" t="s">
        <v>441</v>
      </c>
      <c r="G265" s="4" t="s">
        <v>177</v>
      </c>
      <c r="H265" s="4" t="s">
        <v>54</v>
      </c>
      <c r="I265" s="4" t="s">
        <v>3277</v>
      </c>
      <c r="J265" s="4" t="s">
        <v>56</v>
      </c>
      <c r="K265" s="4" t="s">
        <v>56</v>
      </c>
      <c r="L265" s="4" t="s">
        <v>39</v>
      </c>
      <c r="M265" s="4" t="s">
        <v>56</v>
      </c>
      <c r="N265" s="4" t="s">
        <v>56</v>
      </c>
      <c r="O265" s="4" t="s">
        <v>39</v>
      </c>
      <c r="P265" s="4" t="s">
        <v>37</v>
      </c>
      <c r="Q265" s="4" t="s">
        <v>37</v>
      </c>
      <c r="R265" s="4" t="s">
        <v>40</v>
      </c>
      <c r="S265" s="4" t="s">
        <v>3003</v>
      </c>
      <c r="T265" s="4" t="s">
        <v>2976</v>
      </c>
      <c r="U265" s="4" t="s">
        <v>2977</v>
      </c>
      <c r="V265" s="4" t="s">
        <v>2971</v>
      </c>
      <c r="W265" s="4" t="s">
        <v>2972</v>
      </c>
      <c r="X265" s="4"/>
      <c r="Y265" s="4"/>
      <c r="Z265" s="4" t="s">
        <v>46</v>
      </c>
      <c r="AA265" s="4" t="s">
        <v>2983</v>
      </c>
      <c r="AB265" s="4"/>
      <c r="AC265" s="9">
        <v>1</v>
      </c>
      <c r="AD265" t="str">
        <f>VLOOKUP($T265,[1]NhanSu!$C$5:$M$229,11,0)</f>
        <v>SM0000007</v>
      </c>
    </row>
    <row r="266" spans="1:30" x14ac:dyDescent="0.45">
      <c r="A266" s="6" t="s">
        <v>2965</v>
      </c>
      <c r="B266" s="5">
        <v>1347</v>
      </c>
      <c r="C266" s="5" t="s">
        <v>3284</v>
      </c>
      <c r="D266" s="5" t="s">
        <v>3285</v>
      </c>
      <c r="E266" s="5" t="s">
        <v>728</v>
      </c>
      <c r="F266" s="5" t="s">
        <v>417</v>
      </c>
      <c r="G266" s="5" t="s">
        <v>34</v>
      </c>
      <c r="H266" s="5" t="s">
        <v>54</v>
      </c>
      <c r="I266" s="5" t="s">
        <v>3286</v>
      </c>
      <c r="J266" s="5" t="s">
        <v>38</v>
      </c>
      <c r="K266" s="5" t="s">
        <v>38</v>
      </c>
      <c r="L266" s="5" t="s">
        <v>39</v>
      </c>
      <c r="M266" s="5" t="s">
        <v>37</v>
      </c>
      <c r="N266" s="5" t="s">
        <v>37</v>
      </c>
      <c r="O266" s="5" t="s">
        <v>39</v>
      </c>
      <c r="P266" s="5" t="s">
        <v>38</v>
      </c>
      <c r="Q266" s="5" t="s">
        <v>37</v>
      </c>
      <c r="R266" s="5" t="s">
        <v>39</v>
      </c>
      <c r="S266" s="5" t="s">
        <v>41</v>
      </c>
      <c r="T266" s="5" t="s">
        <v>3057</v>
      </c>
      <c r="U266" s="5" t="s">
        <v>2970</v>
      </c>
      <c r="V266" s="5" t="s">
        <v>2971</v>
      </c>
      <c r="W266" s="5" t="s">
        <v>2972</v>
      </c>
      <c r="X266" s="5"/>
      <c r="Y266" s="5"/>
      <c r="Z266" s="5" t="s">
        <v>46</v>
      </c>
      <c r="AA266" s="5" t="s">
        <v>3158</v>
      </c>
      <c r="AB266" s="5" t="s">
        <v>117</v>
      </c>
      <c r="AC266" s="7">
        <v>1</v>
      </c>
      <c r="AD266" t="str">
        <f>VLOOKUP($T266,[1]NhanSu!$C$5:$M$229,11,0)</f>
        <v>SM0000009</v>
      </c>
    </row>
    <row r="267" spans="1:30" x14ac:dyDescent="0.45">
      <c r="A267" s="8" t="s">
        <v>2965</v>
      </c>
      <c r="B267" s="4">
        <v>1352</v>
      </c>
      <c r="C267" s="4" t="s">
        <v>3291</v>
      </c>
      <c r="D267" s="4" t="s">
        <v>3292</v>
      </c>
      <c r="E267" s="4" t="s">
        <v>3293</v>
      </c>
      <c r="F267" s="4" t="s">
        <v>3216</v>
      </c>
      <c r="G267" s="4" t="s">
        <v>34</v>
      </c>
      <c r="H267" s="4" t="s">
        <v>54</v>
      </c>
      <c r="I267" s="4" t="s">
        <v>3294</v>
      </c>
      <c r="J267" s="4" t="s">
        <v>37</v>
      </c>
      <c r="K267" s="4" t="s">
        <v>37</v>
      </c>
      <c r="L267" s="4" t="s">
        <v>39</v>
      </c>
      <c r="M267" s="4" t="s">
        <v>37</v>
      </c>
      <c r="N267" s="4" t="s">
        <v>56</v>
      </c>
      <c r="O267" s="4" t="s">
        <v>39</v>
      </c>
      <c r="P267" s="4" t="s">
        <v>38</v>
      </c>
      <c r="Q267" s="4" t="s">
        <v>38</v>
      </c>
      <c r="R267" s="4" t="s">
        <v>39</v>
      </c>
      <c r="S267" s="4" t="s">
        <v>41</v>
      </c>
      <c r="T267" s="4" t="s">
        <v>3057</v>
      </c>
      <c r="U267" s="4" t="s">
        <v>2970</v>
      </c>
      <c r="V267" s="4" t="s">
        <v>2971</v>
      </c>
      <c r="W267" s="4" t="s">
        <v>2972</v>
      </c>
      <c r="X267" s="4"/>
      <c r="Y267" s="4"/>
      <c r="Z267" s="4" t="s">
        <v>46</v>
      </c>
      <c r="AA267" s="4" t="s">
        <v>3058</v>
      </c>
      <c r="AB267" s="4" t="s">
        <v>2999</v>
      </c>
      <c r="AC267" s="9">
        <v>1</v>
      </c>
      <c r="AD267" t="str">
        <f>VLOOKUP($T267,[1]NhanSu!$C$5:$M$229,11,0)</f>
        <v>SM0000009</v>
      </c>
    </row>
    <row r="268" spans="1:30" x14ac:dyDescent="0.45">
      <c r="A268" s="6" t="s">
        <v>2965</v>
      </c>
      <c r="B268" s="5">
        <v>1360</v>
      </c>
      <c r="C268" s="5" t="s">
        <v>3298</v>
      </c>
      <c r="D268" s="5" t="s">
        <v>3299</v>
      </c>
      <c r="E268" s="5" t="s">
        <v>3300</v>
      </c>
      <c r="F268" s="5" t="s">
        <v>53</v>
      </c>
      <c r="G268" s="5" t="s">
        <v>34</v>
      </c>
      <c r="H268" s="5" t="s">
        <v>54</v>
      </c>
      <c r="I268" s="5" t="s">
        <v>3301</v>
      </c>
      <c r="J268" s="5" t="s">
        <v>38</v>
      </c>
      <c r="K268" s="5" t="s">
        <v>38</v>
      </c>
      <c r="L268" s="5" t="s">
        <v>40</v>
      </c>
      <c r="M268" s="5" t="s">
        <v>38</v>
      </c>
      <c r="N268" s="5" t="s">
        <v>38</v>
      </c>
      <c r="O268" s="5" t="s">
        <v>39</v>
      </c>
      <c r="P268" s="5" t="s">
        <v>38</v>
      </c>
      <c r="Q268" s="5" t="s">
        <v>38</v>
      </c>
      <c r="R268" s="5" t="s">
        <v>40</v>
      </c>
      <c r="S268" s="5" t="s">
        <v>41</v>
      </c>
      <c r="T268" s="5" t="s">
        <v>2969</v>
      </c>
      <c r="U268" s="5" t="s">
        <v>2970</v>
      </c>
      <c r="V268" s="5" t="s">
        <v>2971</v>
      </c>
      <c r="W268" s="5" t="s">
        <v>2972</v>
      </c>
      <c r="X268" s="5"/>
      <c r="Y268" s="5"/>
      <c r="Z268" s="5" t="s">
        <v>46</v>
      </c>
      <c r="AA268" s="5" t="s">
        <v>3158</v>
      </c>
      <c r="AB268" s="5" t="s">
        <v>117</v>
      </c>
      <c r="AC268" s="7">
        <v>1</v>
      </c>
      <c r="AD268" t="str">
        <f>VLOOKUP($T268,[1]NhanSu!$C$5:$M$229,11,0)</f>
        <v>SM0000181</v>
      </c>
    </row>
    <row r="269" spans="1:30" x14ac:dyDescent="0.45">
      <c r="A269" s="8" t="s">
        <v>2965</v>
      </c>
      <c r="B269" s="4">
        <v>1366</v>
      </c>
      <c r="C269" s="4" t="s">
        <v>3302</v>
      </c>
      <c r="D269" s="4" t="s">
        <v>3303</v>
      </c>
      <c r="E269" s="4" t="s">
        <v>1610</v>
      </c>
      <c r="F269" s="4" t="s">
        <v>581</v>
      </c>
      <c r="G269" s="4" t="s">
        <v>177</v>
      </c>
      <c r="H269" s="4" t="s">
        <v>546</v>
      </c>
      <c r="I269" s="4" t="s">
        <v>3304</v>
      </c>
      <c r="J269" s="4" t="s">
        <v>38</v>
      </c>
      <c r="K269" s="4" t="s">
        <v>38</v>
      </c>
      <c r="L269" s="4" t="s">
        <v>40</v>
      </c>
      <c r="M269" s="4" t="s">
        <v>38</v>
      </c>
      <c r="N269" s="4" t="s">
        <v>56</v>
      </c>
      <c r="O269" s="4" t="s">
        <v>39</v>
      </c>
      <c r="P269" s="4" t="s">
        <v>38</v>
      </c>
      <c r="Q269" s="4" t="s">
        <v>38</v>
      </c>
      <c r="R269" s="4" t="s">
        <v>40</v>
      </c>
      <c r="S269" s="4" t="s">
        <v>3305</v>
      </c>
      <c r="T269" s="4" t="s">
        <v>3020</v>
      </c>
      <c r="U269" s="4" t="s">
        <v>3021</v>
      </c>
      <c r="V269" s="4" t="s">
        <v>2971</v>
      </c>
      <c r="W269" s="4" t="s">
        <v>2972</v>
      </c>
      <c r="X269" s="4"/>
      <c r="Y269" s="4"/>
      <c r="Z269" s="4" t="s">
        <v>46</v>
      </c>
      <c r="AA269" s="4" t="s">
        <v>3036</v>
      </c>
      <c r="AB269" s="4"/>
      <c r="AC269" s="9">
        <v>1</v>
      </c>
      <c r="AD269" t="str">
        <f>VLOOKUP($T269,[1]NhanSu!$C$5:$M$229,11,0)</f>
        <v>SM0000008</v>
      </c>
    </row>
    <row r="270" spans="1:30" x14ac:dyDescent="0.45">
      <c r="A270" s="6" t="s">
        <v>2965</v>
      </c>
      <c r="B270" s="5">
        <v>1387</v>
      </c>
      <c r="C270" s="5" t="s">
        <v>3317</v>
      </c>
      <c r="D270" s="5" t="s">
        <v>3318</v>
      </c>
      <c r="E270" s="5" t="s">
        <v>563</v>
      </c>
      <c r="F270" s="5" t="s">
        <v>3319</v>
      </c>
      <c r="G270" s="5" t="s">
        <v>177</v>
      </c>
      <c r="H270" s="5" t="s">
        <v>54</v>
      </c>
      <c r="I270" s="5" t="s">
        <v>3320</v>
      </c>
      <c r="J270" s="5" t="s">
        <v>38</v>
      </c>
      <c r="K270" s="5" t="s">
        <v>38</v>
      </c>
      <c r="L270" s="5" t="s">
        <v>40</v>
      </c>
      <c r="M270" s="5" t="s">
        <v>38</v>
      </c>
      <c r="N270" s="5" t="s">
        <v>37</v>
      </c>
      <c r="O270" s="5" t="s">
        <v>39</v>
      </c>
      <c r="P270" s="5" t="s">
        <v>38</v>
      </c>
      <c r="Q270" s="5" t="s">
        <v>38</v>
      </c>
      <c r="R270" s="5" t="s">
        <v>40</v>
      </c>
      <c r="S270" s="5" t="s">
        <v>3321</v>
      </c>
      <c r="T270" s="5" t="s">
        <v>3020</v>
      </c>
      <c r="U270" s="5" t="s">
        <v>3021</v>
      </c>
      <c r="V270" s="5" t="s">
        <v>2971</v>
      </c>
      <c r="W270" s="5" t="s">
        <v>2972</v>
      </c>
      <c r="X270" s="5"/>
      <c r="Y270" s="5"/>
      <c r="Z270" s="5" t="s">
        <v>46</v>
      </c>
      <c r="AA270" s="5" t="s">
        <v>3058</v>
      </c>
      <c r="AB270" s="5" t="s">
        <v>2999</v>
      </c>
      <c r="AC270" s="7">
        <v>1</v>
      </c>
      <c r="AD270" t="str">
        <f>VLOOKUP($T270,[1]NhanSu!$C$5:$M$229,11,0)</f>
        <v>SM0000008</v>
      </c>
    </row>
    <row r="271" spans="1:30" x14ac:dyDescent="0.45">
      <c r="A271" s="8" t="s">
        <v>2965</v>
      </c>
      <c r="B271" s="4">
        <v>1415</v>
      </c>
      <c r="C271" s="4" t="s">
        <v>3329</v>
      </c>
      <c r="D271" s="4" t="s">
        <v>3330</v>
      </c>
      <c r="E271" s="4" t="s">
        <v>3331</v>
      </c>
      <c r="F271" s="4" t="s">
        <v>401</v>
      </c>
      <c r="G271" s="4" t="s">
        <v>34</v>
      </c>
      <c r="H271" s="4" t="s">
        <v>54</v>
      </c>
      <c r="I271" s="4" t="s">
        <v>3332</v>
      </c>
      <c r="J271" s="4" t="s">
        <v>38</v>
      </c>
      <c r="K271" s="4" t="s">
        <v>38</v>
      </c>
      <c r="L271" s="4" t="s">
        <v>40</v>
      </c>
      <c r="M271" s="4" t="s">
        <v>37</v>
      </c>
      <c r="N271" s="4" t="s">
        <v>37</v>
      </c>
      <c r="O271" s="4" t="s">
        <v>39</v>
      </c>
      <c r="P271" s="4" t="s">
        <v>38</v>
      </c>
      <c r="Q271" s="4" t="s">
        <v>38</v>
      </c>
      <c r="R271" s="4" t="s">
        <v>40</v>
      </c>
      <c r="S271" s="4" t="s">
        <v>41</v>
      </c>
      <c r="T271" s="4" t="s">
        <v>2969</v>
      </c>
      <c r="U271" s="4" t="s">
        <v>2970</v>
      </c>
      <c r="V271" s="4" t="s">
        <v>2971</v>
      </c>
      <c r="W271" s="4" t="s">
        <v>2972</v>
      </c>
      <c r="X271" s="4"/>
      <c r="Y271" s="4"/>
      <c r="Z271" s="4" t="s">
        <v>46</v>
      </c>
      <c r="AA271" s="4" t="s">
        <v>3158</v>
      </c>
      <c r="AB271" s="4" t="s">
        <v>2999</v>
      </c>
      <c r="AC271" s="9">
        <v>1</v>
      </c>
      <c r="AD271" t="str">
        <f>VLOOKUP($T271,[1]NhanSu!$C$5:$M$229,11,0)</f>
        <v>SM0000181</v>
      </c>
    </row>
    <row r="272" spans="1:30" x14ac:dyDescent="0.45">
      <c r="A272" s="6" t="s">
        <v>2965</v>
      </c>
      <c r="B272" s="5">
        <v>1418</v>
      </c>
      <c r="C272" s="5" t="s">
        <v>3333</v>
      </c>
      <c r="D272" s="5" t="s">
        <v>3334</v>
      </c>
      <c r="E272" s="5" t="s">
        <v>376</v>
      </c>
      <c r="F272" s="5" t="s">
        <v>115</v>
      </c>
      <c r="G272" s="5" t="s">
        <v>34</v>
      </c>
      <c r="H272" s="5" t="s">
        <v>54</v>
      </c>
      <c r="I272" s="5" t="s">
        <v>3335</v>
      </c>
      <c r="J272" s="5" t="s">
        <v>38</v>
      </c>
      <c r="K272" s="5" t="s">
        <v>38</v>
      </c>
      <c r="L272" s="5" t="s">
        <v>40</v>
      </c>
      <c r="M272" s="5" t="s">
        <v>38</v>
      </c>
      <c r="N272" s="5" t="s">
        <v>38</v>
      </c>
      <c r="O272" s="5" t="s">
        <v>39</v>
      </c>
      <c r="P272" s="5" t="s">
        <v>38</v>
      </c>
      <c r="Q272" s="5" t="s">
        <v>38</v>
      </c>
      <c r="R272" s="5" t="s">
        <v>40</v>
      </c>
      <c r="S272" s="5" t="s">
        <v>41</v>
      </c>
      <c r="T272" s="5" t="s">
        <v>2969</v>
      </c>
      <c r="U272" s="5" t="s">
        <v>2970</v>
      </c>
      <c r="V272" s="5" t="s">
        <v>2971</v>
      </c>
      <c r="W272" s="5" t="s">
        <v>2972</v>
      </c>
      <c r="X272" s="5"/>
      <c r="Y272" s="5"/>
      <c r="Z272" s="5" t="s">
        <v>46</v>
      </c>
      <c r="AA272" s="5" t="s">
        <v>3058</v>
      </c>
      <c r="AB272" s="5" t="s">
        <v>2999</v>
      </c>
      <c r="AC272" s="7">
        <v>1</v>
      </c>
      <c r="AD272" t="str">
        <f>VLOOKUP($T272,[1]NhanSu!$C$5:$M$229,11,0)</f>
        <v>SM0000181</v>
      </c>
    </row>
    <row r="273" spans="1:30" x14ac:dyDescent="0.45">
      <c r="A273" s="8" t="s">
        <v>2965</v>
      </c>
      <c r="B273" s="4">
        <v>1464</v>
      </c>
      <c r="C273" s="4" t="s">
        <v>3359</v>
      </c>
      <c r="D273" s="4" t="s">
        <v>3360</v>
      </c>
      <c r="E273" s="4" t="s">
        <v>3361</v>
      </c>
      <c r="F273" s="4" t="s">
        <v>53</v>
      </c>
      <c r="G273" s="4" t="s">
        <v>34</v>
      </c>
      <c r="H273" s="4" t="s">
        <v>54</v>
      </c>
      <c r="I273" s="4" t="s">
        <v>3362</v>
      </c>
      <c r="J273" s="4" t="s">
        <v>37</v>
      </c>
      <c r="K273" s="4" t="s">
        <v>37</v>
      </c>
      <c r="L273" s="4" t="s">
        <v>39</v>
      </c>
      <c r="M273" s="4" t="s">
        <v>37</v>
      </c>
      <c r="N273" s="4" t="s">
        <v>37</v>
      </c>
      <c r="O273" s="4" t="s">
        <v>39</v>
      </c>
      <c r="P273" s="4" t="s">
        <v>38</v>
      </c>
      <c r="Q273" s="4" t="s">
        <v>38</v>
      </c>
      <c r="R273" s="4" t="s">
        <v>40</v>
      </c>
      <c r="S273" s="4" t="s">
        <v>41</v>
      </c>
      <c r="T273" s="4" t="s">
        <v>3226</v>
      </c>
      <c r="U273" s="4" t="s">
        <v>3227</v>
      </c>
      <c r="V273" s="4" t="s">
        <v>2971</v>
      </c>
      <c r="W273" s="4" t="s">
        <v>2972</v>
      </c>
      <c r="X273" s="4"/>
      <c r="Y273" s="4"/>
      <c r="Z273" s="4" t="s">
        <v>46</v>
      </c>
      <c r="AA273" s="4" t="s">
        <v>3158</v>
      </c>
      <c r="AB273" s="4" t="s">
        <v>2999</v>
      </c>
      <c r="AC273" s="9">
        <v>1</v>
      </c>
      <c r="AD273" t="str">
        <f>VLOOKUP($T273,[1]NhanSu!$C$5:$M$229,11,0)</f>
        <v>SM0000006</v>
      </c>
    </row>
    <row r="274" spans="1:30" x14ac:dyDescent="0.45">
      <c r="A274" s="6" t="s">
        <v>2965</v>
      </c>
      <c r="B274" s="5">
        <v>1474</v>
      </c>
      <c r="C274" s="5" t="s">
        <v>3363</v>
      </c>
      <c r="D274" s="5" t="s">
        <v>3364</v>
      </c>
      <c r="E274" s="5" t="s">
        <v>3365</v>
      </c>
      <c r="F274" s="5" t="s">
        <v>325</v>
      </c>
      <c r="G274" s="5" t="s">
        <v>34</v>
      </c>
      <c r="H274" s="5" t="s">
        <v>54</v>
      </c>
      <c r="I274" s="5" t="s">
        <v>3366</v>
      </c>
      <c r="J274" s="5" t="s">
        <v>37</v>
      </c>
      <c r="K274" s="5" t="s">
        <v>37</v>
      </c>
      <c r="L274" s="5" t="s">
        <v>39</v>
      </c>
      <c r="M274" s="5" t="s">
        <v>37</v>
      </c>
      <c r="N274" s="5" t="s">
        <v>37</v>
      </c>
      <c r="O274" s="5" t="s">
        <v>39</v>
      </c>
      <c r="P274" s="5" t="s">
        <v>38</v>
      </c>
      <c r="Q274" s="5" t="s">
        <v>38</v>
      </c>
      <c r="R274" s="5" t="s">
        <v>40</v>
      </c>
      <c r="S274" s="5" t="s">
        <v>41</v>
      </c>
      <c r="T274" s="5" t="s">
        <v>3226</v>
      </c>
      <c r="U274" s="5" t="s">
        <v>3227</v>
      </c>
      <c r="V274" s="5" t="s">
        <v>2971</v>
      </c>
      <c r="W274" s="5" t="s">
        <v>2972</v>
      </c>
      <c r="X274" s="5"/>
      <c r="Y274" s="5"/>
      <c r="Z274" s="5" t="s">
        <v>46</v>
      </c>
      <c r="AA274" s="5" t="s">
        <v>3158</v>
      </c>
      <c r="AB274" s="5" t="s">
        <v>117</v>
      </c>
      <c r="AC274" s="7">
        <v>1</v>
      </c>
      <c r="AD274" t="str">
        <f>VLOOKUP($T274,[1]NhanSu!$C$5:$M$229,11,0)</f>
        <v>SM0000006</v>
      </c>
    </row>
    <row r="275" spans="1:30" x14ac:dyDescent="0.45">
      <c r="A275" s="8" t="s">
        <v>2965</v>
      </c>
      <c r="B275" s="4">
        <v>1485</v>
      </c>
      <c r="C275" s="4" t="s">
        <v>3374</v>
      </c>
      <c r="D275" s="4" t="s">
        <v>3375</v>
      </c>
      <c r="E275" s="4" t="s">
        <v>3376</v>
      </c>
      <c r="F275" s="4" t="s">
        <v>53</v>
      </c>
      <c r="G275" s="4" t="s">
        <v>34</v>
      </c>
      <c r="H275" s="4" t="s">
        <v>54</v>
      </c>
      <c r="I275" s="4" t="s">
        <v>3328</v>
      </c>
      <c r="J275" s="4" t="s">
        <v>37</v>
      </c>
      <c r="K275" s="4" t="s">
        <v>37</v>
      </c>
      <c r="L275" s="4" t="s">
        <v>39</v>
      </c>
      <c r="M275" s="4" t="s">
        <v>37</v>
      </c>
      <c r="N275" s="4" t="s">
        <v>37</v>
      </c>
      <c r="O275" s="4" t="s">
        <v>39</v>
      </c>
      <c r="P275" s="4" t="s">
        <v>38</v>
      </c>
      <c r="Q275" s="4" t="s">
        <v>38</v>
      </c>
      <c r="R275" s="4" t="s">
        <v>40</v>
      </c>
      <c r="S275" s="4" t="s">
        <v>41</v>
      </c>
      <c r="T275" s="4" t="s">
        <v>3226</v>
      </c>
      <c r="U275" s="4" t="s">
        <v>3227</v>
      </c>
      <c r="V275" s="4" t="s">
        <v>2971</v>
      </c>
      <c r="W275" s="4" t="s">
        <v>2972</v>
      </c>
      <c r="X275" s="4"/>
      <c r="Y275" s="4"/>
      <c r="Z275" s="4" t="s">
        <v>46</v>
      </c>
      <c r="AA275" s="4" t="s">
        <v>3058</v>
      </c>
      <c r="AB275" s="4" t="s">
        <v>2999</v>
      </c>
      <c r="AC275" s="9">
        <v>1</v>
      </c>
      <c r="AD275" t="str">
        <f>VLOOKUP($T275,[1]NhanSu!$C$5:$M$229,11,0)</f>
        <v>SM0000006</v>
      </c>
    </row>
    <row r="276" spans="1:30" x14ac:dyDescent="0.45">
      <c r="A276" s="6" t="s">
        <v>2965</v>
      </c>
      <c r="B276" s="5">
        <v>1563</v>
      </c>
      <c r="C276" s="5" t="s">
        <v>3414</v>
      </c>
      <c r="D276" s="5" t="s">
        <v>3415</v>
      </c>
      <c r="E276" s="5" t="s">
        <v>3416</v>
      </c>
      <c r="F276" s="5" t="s">
        <v>3417</v>
      </c>
      <c r="G276" s="5" t="s">
        <v>34</v>
      </c>
      <c r="H276" s="5" t="s">
        <v>917</v>
      </c>
      <c r="I276" s="5" t="s">
        <v>3418</v>
      </c>
      <c r="J276" s="5" t="s">
        <v>38</v>
      </c>
      <c r="K276" s="5" t="s">
        <v>38</v>
      </c>
      <c r="L276" s="5" t="s">
        <v>39</v>
      </c>
      <c r="M276" s="5" t="s">
        <v>38</v>
      </c>
      <c r="N276" s="5" t="s">
        <v>37</v>
      </c>
      <c r="O276" s="5" t="s">
        <v>39</v>
      </c>
      <c r="P276" s="5" t="s">
        <v>38</v>
      </c>
      <c r="Q276" s="5" t="s">
        <v>38</v>
      </c>
      <c r="R276" s="5" t="s">
        <v>39</v>
      </c>
      <c r="S276" s="5" t="s">
        <v>3419</v>
      </c>
      <c r="T276" s="5" t="s">
        <v>3045</v>
      </c>
      <c r="U276" s="5" t="s">
        <v>3046</v>
      </c>
      <c r="V276" s="5" t="s">
        <v>2971</v>
      </c>
      <c r="W276" s="5" t="s">
        <v>2972</v>
      </c>
      <c r="X276" s="5"/>
      <c r="Y276" s="5"/>
      <c r="Z276" s="5" t="s">
        <v>46</v>
      </c>
      <c r="AA276" s="5" t="s">
        <v>2983</v>
      </c>
      <c r="AB276" s="5"/>
      <c r="AC276" s="7">
        <v>1</v>
      </c>
      <c r="AD276" t="str">
        <f>VLOOKUP($T276,[1]NhanSu!$C$5:$M$229,11,0)</f>
        <v>SM0000016</v>
      </c>
    </row>
    <row r="277" spans="1:30" x14ac:dyDescent="0.45">
      <c r="A277" s="8" t="s">
        <v>2965</v>
      </c>
      <c r="B277" s="4">
        <v>1585</v>
      </c>
      <c r="C277" s="4" t="s">
        <v>3442</v>
      </c>
      <c r="D277" s="4" t="s">
        <v>3443</v>
      </c>
      <c r="E277" s="4" t="s">
        <v>2139</v>
      </c>
      <c r="F277" s="4" t="s">
        <v>417</v>
      </c>
      <c r="G277" s="4" t="s">
        <v>34</v>
      </c>
      <c r="H277" s="4" t="s">
        <v>54</v>
      </c>
      <c r="I277" s="4" t="s">
        <v>3444</v>
      </c>
      <c r="J277" s="4" t="s">
        <v>38</v>
      </c>
      <c r="K277" s="4" t="s">
        <v>38</v>
      </c>
      <c r="L277" s="4" t="s">
        <v>39</v>
      </c>
      <c r="M277" s="4" t="s">
        <v>37</v>
      </c>
      <c r="N277" s="4" t="s">
        <v>37</v>
      </c>
      <c r="O277" s="4" t="s">
        <v>39</v>
      </c>
      <c r="P277" s="4" t="s">
        <v>38</v>
      </c>
      <c r="Q277" s="4" t="s">
        <v>38</v>
      </c>
      <c r="R277" s="4" t="s">
        <v>39</v>
      </c>
      <c r="S277" s="4" t="s">
        <v>41</v>
      </c>
      <c r="T277" s="4" t="s">
        <v>3057</v>
      </c>
      <c r="U277" s="4" t="s">
        <v>2970</v>
      </c>
      <c r="V277" s="4" t="s">
        <v>2971</v>
      </c>
      <c r="W277" s="4" t="s">
        <v>2972</v>
      </c>
      <c r="X277" s="4"/>
      <c r="Y277" s="4"/>
      <c r="Z277" s="4" t="s">
        <v>46</v>
      </c>
      <c r="AA277" s="4" t="s">
        <v>3158</v>
      </c>
      <c r="AB277" s="4" t="s">
        <v>117</v>
      </c>
      <c r="AC277" s="9">
        <v>1</v>
      </c>
      <c r="AD277" t="str">
        <f>VLOOKUP($T277,[1]NhanSu!$C$5:$M$229,11,0)</f>
        <v>SM0000009</v>
      </c>
    </row>
    <row r="278" spans="1:30" x14ac:dyDescent="0.45">
      <c r="A278" s="6" t="s">
        <v>2965</v>
      </c>
      <c r="B278" s="5">
        <v>1614</v>
      </c>
      <c r="C278" s="5" t="s">
        <v>3470</v>
      </c>
      <c r="D278" s="5" t="s">
        <v>3471</v>
      </c>
      <c r="E278" s="5" t="s">
        <v>3472</v>
      </c>
      <c r="F278" s="5" t="s">
        <v>1573</v>
      </c>
      <c r="G278" s="5" t="s">
        <v>177</v>
      </c>
      <c r="H278" s="5" t="s">
        <v>550</v>
      </c>
      <c r="I278" s="5" t="s">
        <v>3473</v>
      </c>
      <c r="J278" s="5" t="s">
        <v>37</v>
      </c>
      <c r="K278" s="5" t="s">
        <v>37</v>
      </c>
      <c r="L278" s="5" t="s">
        <v>39</v>
      </c>
      <c r="M278" s="5" t="s">
        <v>37</v>
      </c>
      <c r="N278" s="5" t="s">
        <v>56</v>
      </c>
      <c r="O278" s="5" t="s">
        <v>39</v>
      </c>
      <c r="P278" s="5" t="s">
        <v>38</v>
      </c>
      <c r="Q278" s="5" t="s">
        <v>38</v>
      </c>
      <c r="R278" s="5" t="s">
        <v>40</v>
      </c>
      <c r="S278" s="5" t="s">
        <v>41</v>
      </c>
      <c r="T278" s="5" t="s">
        <v>3226</v>
      </c>
      <c r="U278" s="5" t="s">
        <v>3227</v>
      </c>
      <c r="V278" s="5" t="s">
        <v>2971</v>
      </c>
      <c r="W278" s="5" t="s">
        <v>2972</v>
      </c>
      <c r="X278" s="5"/>
      <c r="Y278" s="5"/>
      <c r="Z278" s="5" t="s">
        <v>46</v>
      </c>
      <c r="AA278" s="5" t="s">
        <v>3058</v>
      </c>
      <c r="AB278" s="5" t="s">
        <v>2999</v>
      </c>
      <c r="AC278" s="7">
        <v>1</v>
      </c>
      <c r="AD278" t="str">
        <f>VLOOKUP($T278,[1]NhanSu!$C$5:$M$229,11,0)</f>
        <v>SM0000006</v>
      </c>
    </row>
    <row r="279" spans="1:30" x14ac:dyDescent="0.45">
      <c r="A279" s="8" t="s">
        <v>2965</v>
      </c>
      <c r="B279" s="4">
        <v>1642</v>
      </c>
      <c r="C279" s="4" t="s">
        <v>3477</v>
      </c>
      <c r="D279" s="4" t="s">
        <v>3478</v>
      </c>
      <c r="E279" s="4" t="s">
        <v>3479</v>
      </c>
      <c r="F279" s="4" t="s">
        <v>2432</v>
      </c>
      <c r="G279" s="4" t="s">
        <v>34</v>
      </c>
      <c r="H279" s="4" t="s">
        <v>54</v>
      </c>
      <c r="I279" s="4" t="s">
        <v>3480</v>
      </c>
      <c r="J279" s="4" t="s">
        <v>38</v>
      </c>
      <c r="K279" s="4" t="s">
        <v>38</v>
      </c>
      <c r="L279" s="4" t="s">
        <v>39</v>
      </c>
      <c r="M279" s="4" t="s">
        <v>37</v>
      </c>
      <c r="N279" s="4" t="s">
        <v>37</v>
      </c>
      <c r="O279" s="4" t="s">
        <v>39</v>
      </c>
      <c r="P279" s="4" t="s">
        <v>38</v>
      </c>
      <c r="Q279" s="4" t="s">
        <v>38</v>
      </c>
      <c r="R279" s="4" t="s">
        <v>40</v>
      </c>
      <c r="S279" s="4" t="s">
        <v>41</v>
      </c>
      <c r="T279" s="4" t="s">
        <v>3226</v>
      </c>
      <c r="U279" s="4" t="s">
        <v>3227</v>
      </c>
      <c r="V279" s="4" t="s">
        <v>2971</v>
      </c>
      <c r="W279" s="4" t="s">
        <v>2972</v>
      </c>
      <c r="X279" s="4"/>
      <c r="Y279" s="4"/>
      <c r="Z279" s="4" t="s">
        <v>46</v>
      </c>
      <c r="AA279" s="4" t="s">
        <v>3158</v>
      </c>
      <c r="AB279" s="4" t="s">
        <v>117</v>
      </c>
      <c r="AC279" s="9">
        <v>1</v>
      </c>
      <c r="AD279" t="str">
        <f>VLOOKUP($T279,[1]NhanSu!$C$5:$M$229,11,0)</f>
        <v>SM0000006</v>
      </c>
    </row>
    <row r="280" spans="1:30" x14ac:dyDescent="0.45">
      <c r="A280" s="6" t="s">
        <v>2965</v>
      </c>
      <c r="B280" s="5">
        <v>1652</v>
      </c>
      <c r="C280" s="5" t="s">
        <v>3481</v>
      </c>
      <c r="D280" s="5" t="s">
        <v>3482</v>
      </c>
      <c r="E280" s="5" t="s">
        <v>74</v>
      </c>
      <c r="F280" s="5" t="s">
        <v>3483</v>
      </c>
      <c r="G280" s="5" t="s">
        <v>177</v>
      </c>
      <c r="H280" s="5" t="s">
        <v>35</v>
      </c>
      <c r="I280" s="5" t="s">
        <v>3484</v>
      </c>
      <c r="J280" s="5" t="s">
        <v>56</v>
      </c>
      <c r="K280" s="5" t="s">
        <v>56</v>
      </c>
      <c r="L280" s="5" t="s">
        <v>39</v>
      </c>
      <c r="M280" s="5" t="s">
        <v>56</v>
      </c>
      <c r="N280" s="5" t="s">
        <v>56</v>
      </c>
      <c r="O280" s="5" t="s">
        <v>39</v>
      </c>
      <c r="P280" s="5" t="s">
        <v>37</v>
      </c>
      <c r="Q280" s="5" t="s">
        <v>37</v>
      </c>
      <c r="R280" s="5" t="s">
        <v>40</v>
      </c>
      <c r="S280" s="5" t="s">
        <v>3003</v>
      </c>
      <c r="T280" s="5" t="s">
        <v>2976</v>
      </c>
      <c r="U280" s="5" t="s">
        <v>2977</v>
      </c>
      <c r="V280" s="5" t="s">
        <v>2971</v>
      </c>
      <c r="W280" s="5" t="s">
        <v>2978</v>
      </c>
      <c r="X280" s="5"/>
      <c r="Y280" s="5"/>
      <c r="Z280" s="5" t="s">
        <v>46</v>
      </c>
      <c r="AA280" s="5" t="s">
        <v>2983</v>
      </c>
      <c r="AB280" s="5" t="s">
        <v>2999</v>
      </c>
      <c r="AC280" s="7">
        <v>1</v>
      </c>
      <c r="AD280" t="str">
        <f>VLOOKUP($T280,[1]NhanSu!$C$5:$M$229,11,0)</f>
        <v>SM0000007</v>
      </c>
    </row>
    <row r="281" spans="1:30" x14ac:dyDescent="0.45">
      <c r="A281" s="8" t="s">
        <v>2965</v>
      </c>
      <c r="B281" s="4">
        <v>1660</v>
      </c>
      <c r="C281" s="4" t="s">
        <v>3485</v>
      </c>
      <c r="D281" s="4" t="s">
        <v>3486</v>
      </c>
      <c r="E281" s="4" t="s">
        <v>3487</v>
      </c>
      <c r="F281" s="4" t="s">
        <v>53</v>
      </c>
      <c r="G281" s="4" t="s">
        <v>34</v>
      </c>
      <c r="H281" s="4" t="s">
        <v>54</v>
      </c>
      <c r="I281" s="4" t="s">
        <v>3488</v>
      </c>
      <c r="J281" s="4" t="s">
        <v>38</v>
      </c>
      <c r="K281" s="4" t="s">
        <v>38</v>
      </c>
      <c r="L281" s="4" t="s">
        <v>40</v>
      </c>
      <c r="M281" s="4" t="s">
        <v>38</v>
      </c>
      <c r="N281" s="4" t="s">
        <v>38</v>
      </c>
      <c r="O281" s="4" t="s">
        <v>39</v>
      </c>
      <c r="P281" s="4" t="s">
        <v>38</v>
      </c>
      <c r="Q281" s="4" t="s">
        <v>38</v>
      </c>
      <c r="R281" s="4" t="s">
        <v>39</v>
      </c>
      <c r="S281" s="4" t="s">
        <v>41</v>
      </c>
      <c r="T281" s="4" t="s">
        <v>2969</v>
      </c>
      <c r="U281" s="4" t="s">
        <v>2970</v>
      </c>
      <c r="V281" s="4" t="s">
        <v>2971</v>
      </c>
      <c r="W281" s="4" t="s">
        <v>2972</v>
      </c>
      <c r="X281" s="4"/>
      <c r="Y281" s="4"/>
      <c r="Z281" s="4" t="s">
        <v>46</v>
      </c>
      <c r="AA281" s="4" t="s">
        <v>3158</v>
      </c>
      <c r="AB281" s="4" t="s">
        <v>117</v>
      </c>
      <c r="AC281" s="9">
        <v>1</v>
      </c>
      <c r="AD281" t="str">
        <f>VLOOKUP($T281,[1]NhanSu!$C$5:$M$229,11,0)</f>
        <v>SM0000181</v>
      </c>
    </row>
    <row r="282" spans="1:30" x14ac:dyDescent="0.45">
      <c r="A282" s="6" t="s">
        <v>2965</v>
      </c>
      <c r="B282" s="5">
        <v>1663</v>
      </c>
      <c r="C282" s="5" t="s">
        <v>3489</v>
      </c>
      <c r="D282" s="5" t="s">
        <v>3490</v>
      </c>
      <c r="E282" s="5" t="s">
        <v>1699</v>
      </c>
      <c r="F282" s="5" t="s">
        <v>2196</v>
      </c>
      <c r="G282" s="5" t="s">
        <v>34</v>
      </c>
      <c r="H282" s="5" t="s">
        <v>54</v>
      </c>
      <c r="I282" s="5" t="s">
        <v>3491</v>
      </c>
      <c r="J282" s="5" t="s">
        <v>38</v>
      </c>
      <c r="K282" s="5" t="s">
        <v>38</v>
      </c>
      <c r="L282" s="5" t="s">
        <v>40</v>
      </c>
      <c r="M282" s="5" t="s">
        <v>38</v>
      </c>
      <c r="N282" s="5" t="s">
        <v>38</v>
      </c>
      <c r="O282" s="5" t="s">
        <v>39</v>
      </c>
      <c r="P282" s="5" t="s">
        <v>38</v>
      </c>
      <c r="Q282" s="5" t="s">
        <v>38</v>
      </c>
      <c r="R282" s="5" t="s">
        <v>39</v>
      </c>
      <c r="S282" s="5" t="s">
        <v>41</v>
      </c>
      <c r="T282" s="5" t="s">
        <v>2969</v>
      </c>
      <c r="U282" s="5" t="s">
        <v>2970</v>
      </c>
      <c r="V282" s="5" t="s">
        <v>2971</v>
      </c>
      <c r="W282" s="5" t="s">
        <v>2972</v>
      </c>
      <c r="X282" s="5"/>
      <c r="Y282" s="5"/>
      <c r="Z282" s="5" t="s">
        <v>46</v>
      </c>
      <c r="AA282" s="5" t="s">
        <v>3058</v>
      </c>
      <c r="AB282" s="5" t="s">
        <v>2999</v>
      </c>
      <c r="AC282" s="7">
        <v>1</v>
      </c>
      <c r="AD282" t="str">
        <f>VLOOKUP($T282,[1]NhanSu!$C$5:$M$229,11,0)</f>
        <v>SM0000181</v>
      </c>
    </row>
    <row r="283" spans="1:30" x14ac:dyDescent="0.45">
      <c r="A283" s="8" t="s">
        <v>2965</v>
      </c>
      <c r="B283" s="4">
        <v>1734</v>
      </c>
      <c r="C283" s="4" t="s">
        <v>3524</v>
      </c>
      <c r="D283" s="4" t="s">
        <v>3525</v>
      </c>
      <c r="E283" s="4" t="s">
        <v>3526</v>
      </c>
      <c r="F283" s="4" t="s">
        <v>3527</v>
      </c>
      <c r="G283" s="4" t="s">
        <v>34</v>
      </c>
      <c r="H283" s="4" t="s">
        <v>54</v>
      </c>
      <c r="I283" s="4" t="s">
        <v>3528</v>
      </c>
      <c r="J283" s="4" t="s">
        <v>38</v>
      </c>
      <c r="K283" s="4" t="s">
        <v>38</v>
      </c>
      <c r="L283" s="4" t="s">
        <v>40</v>
      </c>
      <c r="M283" s="4" t="s">
        <v>37</v>
      </c>
      <c r="N283" s="4" t="s">
        <v>37</v>
      </c>
      <c r="O283" s="4" t="s">
        <v>39</v>
      </c>
      <c r="P283" s="4" t="s">
        <v>38</v>
      </c>
      <c r="Q283" s="4" t="s">
        <v>38</v>
      </c>
      <c r="R283" s="4" t="s">
        <v>39</v>
      </c>
      <c r="S283" s="4" t="s">
        <v>41</v>
      </c>
      <c r="T283" s="4" t="s">
        <v>2969</v>
      </c>
      <c r="U283" s="4" t="s">
        <v>2970</v>
      </c>
      <c r="V283" s="4" t="s">
        <v>2971</v>
      </c>
      <c r="W283" s="4" t="s">
        <v>2972</v>
      </c>
      <c r="X283" s="4"/>
      <c r="Y283" s="4"/>
      <c r="Z283" s="4" t="s">
        <v>46</v>
      </c>
      <c r="AA283" s="4" t="s">
        <v>3058</v>
      </c>
      <c r="AB283" s="4" t="s">
        <v>2999</v>
      </c>
      <c r="AC283" s="9">
        <v>1</v>
      </c>
      <c r="AD283" t="str">
        <f>VLOOKUP($T283,[1]NhanSu!$C$5:$M$229,11,0)</f>
        <v>SM0000181</v>
      </c>
    </row>
    <row r="284" spans="1:30" x14ac:dyDescent="0.45">
      <c r="A284" s="6" t="s">
        <v>2965</v>
      </c>
      <c r="B284" s="5">
        <v>1820</v>
      </c>
      <c r="C284" s="5" t="s">
        <v>3536</v>
      </c>
      <c r="D284" s="5" t="s">
        <v>3537</v>
      </c>
      <c r="E284" s="5" t="s">
        <v>3538</v>
      </c>
      <c r="F284" s="5" t="s">
        <v>2365</v>
      </c>
      <c r="G284" s="5" t="s">
        <v>177</v>
      </c>
      <c r="H284" s="5" t="s">
        <v>54</v>
      </c>
      <c r="I284" s="5" t="s">
        <v>3539</v>
      </c>
      <c r="J284" s="5" t="s">
        <v>38</v>
      </c>
      <c r="K284" s="5" t="s">
        <v>38</v>
      </c>
      <c r="L284" s="5" t="s">
        <v>40</v>
      </c>
      <c r="M284" s="5" t="s">
        <v>38</v>
      </c>
      <c r="N284" s="5" t="s">
        <v>38</v>
      </c>
      <c r="O284" s="5" t="s">
        <v>40</v>
      </c>
      <c r="P284" s="5" t="s">
        <v>38</v>
      </c>
      <c r="Q284" s="5" t="s">
        <v>38</v>
      </c>
      <c r="R284" s="5" t="s">
        <v>40</v>
      </c>
      <c r="S284" s="5" t="s">
        <v>3540</v>
      </c>
      <c r="T284" s="5" t="s">
        <v>3020</v>
      </c>
      <c r="U284" s="5" t="s">
        <v>3021</v>
      </c>
      <c r="V284" s="5" t="s">
        <v>2971</v>
      </c>
      <c r="W284" s="5" t="s">
        <v>2972</v>
      </c>
      <c r="X284" s="5" t="s">
        <v>46</v>
      </c>
      <c r="Y284" s="5"/>
      <c r="Z284" s="5" t="s">
        <v>46</v>
      </c>
      <c r="AA284" s="5" t="s">
        <v>3036</v>
      </c>
      <c r="AB284" s="5" t="s">
        <v>117</v>
      </c>
      <c r="AC284" s="7">
        <v>1</v>
      </c>
      <c r="AD284" t="str">
        <f>VLOOKUP($T284,[1]NhanSu!$C$5:$M$229,11,0)</f>
        <v>SM0000008</v>
      </c>
    </row>
    <row r="285" spans="1:30" x14ac:dyDescent="0.45">
      <c r="A285" s="8" t="s">
        <v>2965</v>
      </c>
      <c r="B285" s="4">
        <v>1822</v>
      </c>
      <c r="C285" s="4" t="s">
        <v>3541</v>
      </c>
      <c r="D285" s="4" t="s">
        <v>3542</v>
      </c>
      <c r="E285" s="4" t="s">
        <v>3543</v>
      </c>
      <c r="F285" s="4" t="s">
        <v>53</v>
      </c>
      <c r="G285" s="4" t="s">
        <v>34</v>
      </c>
      <c r="H285" s="4" t="s">
        <v>54</v>
      </c>
      <c r="I285" s="4" t="s">
        <v>3544</v>
      </c>
      <c r="J285" s="4" t="s">
        <v>38</v>
      </c>
      <c r="K285" s="4" t="s">
        <v>38</v>
      </c>
      <c r="L285" s="4" t="s">
        <v>40</v>
      </c>
      <c r="M285" s="4" t="s">
        <v>38</v>
      </c>
      <c r="N285" s="4" t="s">
        <v>38</v>
      </c>
      <c r="O285" s="4" t="s">
        <v>39</v>
      </c>
      <c r="P285" s="4" t="s">
        <v>38</v>
      </c>
      <c r="Q285" s="4" t="s">
        <v>38</v>
      </c>
      <c r="R285" s="4" t="s">
        <v>40</v>
      </c>
      <c r="S285" s="4" t="s">
        <v>41</v>
      </c>
      <c r="T285" s="4" t="s">
        <v>3226</v>
      </c>
      <c r="U285" s="4" t="s">
        <v>3227</v>
      </c>
      <c r="V285" s="4" t="s">
        <v>2971</v>
      </c>
      <c r="W285" s="4" t="s">
        <v>2972</v>
      </c>
      <c r="X285" s="4"/>
      <c r="Y285" s="4"/>
      <c r="Z285" s="4" t="s">
        <v>46</v>
      </c>
      <c r="AA285" s="4" t="s">
        <v>3058</v>
      </c>
      <c r="AB285" s="4" t="s">
        <v>2999</v>
      </c>
      <c r="AC285" s="9">
        <v>1</v>
      </c>
      <c r="AD285" t="str">
        <f>VLOOKUP($T285,[1]NhanSu!$C$5:$M$229,11,0)</f>
        <v>SM0000006</v>
      </c>
    </row>
    <row r="286" spans="1:30" x14ac:dyDescent="0.45">
      <c r="A286" s="6" t="s">
        <v>2965</v>
      </c>
      <c r="B286" s="5">
        <v>1831</v>
      </c>
      <c r="C286" s="5" t="s">
        <v>3545</v>
      </c>
      <c r="D286" s="5" t="s">
        <v>3546</v>
      </c>
      <c r="E286" s="5" t="s">
        <v>148</v>
      </c>
      <c r="F286" s="5" t="s">
        <v>417</v>
      </c>
      <c r="G286" s="5" t="s">
        <v>34</v>
      </c>
      <c r="H286" s="5" t="s">
        <v>479</v>
      </c>
      <c r="I286" s="5" t="s">
        <v>3547</v>
      </c>
      <c r="J286" s="5" t="s">
        <v>38</v>
      </c>
      <c r="K286" s="5" t="s">
        <v>38</v>
      </c>
      <c r="L286" s="5" t="s">
        <v>39</v>
      </c>
      <c r="M286" s="5" t="s">
        <v>38</v>
      </c>
      <c r="N286" s="5" t="s">
        <v>37</v>
      </c>
      <c r="O286" s="5" t="s">
        <v>39</v>
      </c>
      <c r="P286" s="5" t="s">
        <v>38</v>
      </c>
      <c r="Q286" s="5" t="s">
        <v>38</v>
      </c>
      <c r="R286" s="5" t="s">
        <v>39</v>
      </c>
      <c r="S286" s="5" t="s">
        <v>41</v>
      </c>
      <c r="T286" s="5" t="s">
        <v>3045</v>
      </c>
      <c r="U286" s="5" t="s">
        <v>3046</v>
      </c>
      <c r="V286" s="5" t="s">
        <v>2971</v>
      </c>
      <c r="W286" s="5" t="s">
        <v>2972</v>
      </c>
      <c r="X286" s="5"/>
      <c r="Y286" s="5"/>
      <c r="Z286" s="5" t="s">
        <v>46</v>
      </c>
      <c r="AA286" s="5" t="s">
        <v>2983</v>
      </c>
      <c r="AB286" s="5"/>
      <c r="AC286" s="7">
        <v>1</v>
      </c>
      <c r="AD286" t="str">
        <f>VLOOKUP($T286,[1]NhanSu!$C$5:$M$229,11,0)</f>
        <v>SM0000016</v>
      </c>
    </row>
    <row r="287" spans="1:30" x14ac:dyDescent="0.45">
      <c r="A287" s="8" t="s">
        <v>2965</v>
      </c>
      <c r="B287" s="4">
        <v>1833</v>
      </c>
      <c r="C287" s="4" t="s">
        <v>3548</v>
      </c>
      <c r="D287" s="4" t="s">
        <v>3549</v>
      </c>
      <c r="E287" s="4" t="s">
        <v>170</v>
      </c>
      <c r="F287" s="4" t="s">
        <v>53</v>
      </c>
      <c r="G287" s="4" t="s">
        <v>34</v>
      </c>
      <c r="H287" s="4" t="s">
        <v>54</v>
      </c>
      <c r="I287" s="4" t="s">
        <v>3550</v>
      </c>
      <c r="J287" s="4" t="s">
        <v>38</v>
      </c>
      <c r="K287" s="4" t="s">
        <v>38</v>
      </c>
      <c r="L287" s="4" t="s">
        <v>39</v>
      </c>
      <c r="M287" s="4" t="s">
        <v>37</v>
      </c>
      <c r="N287" s="4" t="s">
        <v>37</v>
      </c>
      <c r="O287" s="4" t="s">
        <v>39</v>
      </c>
      <c r="P287" s="4" t="s">
        <v>38</v>
      </c>
      <c r="Q287" s="4" t="s">
        <v>38</v>
      </c>
      <c r="R287" s="4" t="s">
        <v>39</v>
      </c>
      <c r="S287" s="4" t="s">
        <v>41</v>
      </c>
      <c r="T287" s="4" t="s">
        <v>3057</v>
      </c>
      <c r="U287" s="4" t="s">
        <v>2970</v>
      </c>
      <c r="V287" s="4" t="s">
        <v>2971</v>
      </c>
      <c r="W287" s="4" t="s">
        <v>2972</v>
      </c>
      <c r="X287" s="4"/>
      <c r="Y287" s="4"/>
      <c r="Z287" s="4" t="s">
        <v>46</v>
      </c>
      <c r="AA287" s="4" t="s">
        <v>3158</v>
      </c>
      <c r="AB287" s="4" t="s">
        <v>117</v>
      </c>
      <c r="AC287" s="9">
        <v>1</v>
      </c>
      <c r="AD287" t="str">
        <f>VLOOKUP($T287,[1]NhanSu!$C$5:$M$229,11,0)</f>
        <v>SM0000009</v>
      </c>
    </row>
    <row r="288" spans="1:30" x14ac:dyDescent="0.45">
      <c r="A288" s="6" t="s">
        <v>2965</v>
      </c>
      <c r="B288" s="5">
        <v>1840</v>
      </c>
      <c r="C288" s="5" t="s">
        <v>3554</v>
      </c>
      <c r="D288" s="5" t="s">
        <v>3555</v>
      </c>
      <c r="E288" s="5" t="s">
        <v>3556</v>
      </c>
      <c r="F288" s="5" t="s">
        <v>461</v>
      </c>
      <c r="G288" s="5" t="s">
        <v>34</v>
      </c>
      <c r="H288" s="5" t="s">
        <v>1542</v>
      </c>
      <c r="I288" s="5" t="s">
        <v>3557</v>
      </c>
      <c r="J288" s="5" t="s">
        <v>38</v>
      </c>
      <c r="K288" s="5" t="s">
        <v>38</v>
      </c>
      <c r="L288" s="5" t="s">
        <v>39</v>
      </c>
      <c r="M288" s="5" t="s">
        <v>37</v>
      </c>
      <c r="N288" s="5" t="s">
        <v>37</v>
      </c>
      <c r="O288" s="5" t="s">
        <v>39</v>
      </c>
      <c r="P288" s="5" t="s">
        <v>38</v>
      </c>
      <c r="Q288" s="5" t="s">
        <v>38</v>
      </c>
      <c r="R288" s="5" t="s">
        <v>39</v>
      </c>
      <c r="S288" s="5" t="s">
        <v>41</v>
      </c>
      <c r="T288" s="5" t="s">
        <v>3057</v>
      </c>
      <c r="U288" s="5" t="s">
        <v>2970</v>
      </c>
      <c r="V288" s="5" t="s">
        <v>2971</v>
      </c>
      <c r="W288" s="5" t="s">
        <v>2972</v>
      </c>
      <c r="X288" s="5"/>
      <c r="Y288" s="5"/>
      <c r="Z288" s="5" t="s">
        <v>46</v>
      </c>
      <c r="AA288" s="5" t="s">
        <v>3158</v>
      </c>
      <c r="AB288" s="5" t="s">
        <v>2999</v>
      </c>
      <c r="AC288" s="7">
        <v>1</v>
      </c>
      <c r="AD288" t="str">
        <f>VLOOKUP($T288,[1]NhanSu!$C$5:$M$229,11,0)</f>
        <v>SM0000009</v>
      </c>
    </row>
    <row r="289" spans="1:30" x14ac:dyDescent="0.45">
      <c r="A289" s="8" t="s">
        <v>2965</v>
      </c>
      <c r="B289" s="4">
        <v>1878</v>
      </c>
      <c r="C289" s="4" t="s">
        <v>3570</v>
      </c>
      <c r="D289" s="4" t="s">
        <v>3571</v>
      </c>
      <c r="E289" s="4" t="s">
        <v>1695</v>
      </c>
      <c r="F289" s="4" t="s">
        <v>934</v>
      </c>
      <c r="G289" s="4" t="s">
        <v>177</v>
      </c>
      <c r="H289" s="4" t="s">
        <v>54</v>
      </c>
      <c r="I289" s="4" t="s">
        <v>3572</v>
      </c>
      <c r="J289" s="4" t="s">
        <v>56</v>
      </c>
      <c r="K289" s="4" t="s">
        <v>56</v>
      </c>
      <c r="L289" s="4" t="s">
        <v>39</v>
      </c>
      <c r="M289" s="4" t="s">
        <v>56</v>
      </c>
      <c r="N289" s="4" t="s">
        <v>56</v>
      </c>
      <c r="O289" s="4" t="s">
        <v>39</v>
      </c>
      <c r="P289" s="4" t="s">
        <v>37</v>
      </c>
      <c r="Q289" s="4" t="s">
        <v>37</v>
      </c>
      <c r="R289" s="4" t="s">
        <v>40</v>
      </c>
      <c r="S289" s="4" t="s">
        <v>3003</v>
      </c>
      <c r="T289" s="4" t="s">
        <v>2976</v>
      </c>
      <c r="U289" s="4" t="s">
        <v>2977</v>
      </c>
      <c r="V289" s="4" t="s">
        <v>2971</v>
      </c>
      <c r="W289" s="4" t="s">
        <v>2972</v>
      </c>
      <c r="X289" s="4"/>
      <c r="Y289" s="4"/>
      <c r="Z289" s="4" t="s">
        <v>46</v>
      </c>
      <c r="AA289" s="4" t="s">
        <v>2983</v>
      </c>
      <c r="AB289" s="4" t="s">
        <v>2999</v>
      </c>
      <c r="AC289" s="9">
        <v>1</v>
      </c>
      <c r="AD289" t="str">
        <f>VLOOKUP($T289,[1]NhanSu!$C$5:$M$229,11,0)</f>
        <v>SM0000007</v>
      </c>
    </row>
    <row r="290" spans="1:30" x14ac:dyDescent="0.45">
      <c r="A290" s="6" t="s">
        <v>2965</v>
      </c>
      <c r="B290" s="5">
        <v>1923</v>
      </c>
      <c r="C290" s="5" t="s">
        <v>3580</v>
      </c>
      <c r="D290" s="5" t="s">
        <v>3581</v>
      </c>
      <c r="E290" s="5" t="s">
        <v>338</v>
      </c>
      <c r="F290" s="5" t="s">
        <v>286</v>
      </c>
      <c r="G290" s="5" t="s">
        <v>177</v>
      </c>
      <c r="H290" s="5" t="s">
        <v>2294</v>
      </c>
      <c r="I290" s="5" t="s">
        <v>3582</v>
      </c>
      <c r="J290" s="5" t="s">
        <v>56</v>
      </c>
      <c r="K290" s="5" t="s">
        <v>56</v>
      </c>
      <c r="L290" s="5" t="s">
        <v>39</v>
      </c>
      <c r="M290" s="5" t="s">
        <v>56</v>
      </c>
      <c r="N290" s="5" t="s">
        <v>56</v>
      </c>
      <c r="O290" s="5" t="s">
        <v>39</v>
      </c>
      <c r="P290" s="5" t="s">
        <v>37</v>
      </c>
      <c r="Q290" s="5" t="s">
        <v>37</v>
      </c>
      <c r="R290" s="5" t="s">
        <v>40</v>
      </c>
      <c r="S290" s="5" t="s">
        <v>3003</v>
      </c>
      <c r="T290" s="5" t="s">
        <v>2976</v>
      </c>
      <c r="U290" s="5" t="s">
        <v>2977</v>
      </c>
      <c r="V290" s="5" t="s">
        <v>2971</v>
      </c>
      <c r="W290" s="5" t="s">
        <v>2972</v>
      </c>
      <c r="X290" s="5"/>
      <c r="Y290" s="5"/>
      <c r="Z290" s="5" t="s">
        <v>46</v>
      </c>
      <c r="AA290" s="5" t="s">
        <v>2983</v>
      </c>
      <c r="AB290" s="5" t="s">
        <v>117</v>
      </c>
      <c r="AC290" s="7">
        <v>1</v>
      </c>
      <c r="AD290" t="str">
        <f>VLOOKUP($T290,[1]NhanSu!$C$5:$M$229,11,0)</f>
        <v>SM0000007</v>
      </c>
    </row>
    <row r="291" spans="1:30" x14ac:dyDescent="0.45">
      <c r="A291" s="8" t="s">
        <v>2965</v>
      </c>
      <c r="B291" s="4">
        <v>1926</v>
      </c>
      <c r="C291" s="4" t="s">
        <v>3583</v>
      </c>
      <c r="D291" s="4" t="s">
        <v>3584</v>
      </c>
      <c r="E291" s="4" t="s">
        <v>149</v>
      </c>
      <c r="F291" s="4" t="s">
        <v>53</v>
      </c>
      <c r="G291" s="4" t="s">
        <v>34</v>
      </c>
      <c r="H291" s="4" t="s">
        <v>54</v>
      </c>
      <c r="I291" s="4" t="s">
        <v>3585</v>
      </c>
      <c r="J291" s="4" t="s">
        <v>38</v>
      </c>
      <c r="K291" s="4" t="s">
        <v>38</v>
      </c>
      <c r="L291" s="4" t="s">
        <v>39</v>
      </c>
      <c r="M291" s="4" t="s">
        <v>37</v>
      </c>
      <c r="N291" s="4" t="s">
        <v>37</v>
      </c>
      <c r="O291" s="4" t="s">
        <v>39</v>
      </c>
      <c r="P291" s="4" t="s">
        <v>38</v>
      </c>
      <c r="Q291" s="4" t="s">
        <v>38</v>
      </c>
      <c r="R291" s="4" t="s">
        <v>39</v>
      </c>
      <c r="S291" s="4" t="s">
        <v>41</v>
      </c>
      <c r="T291" s="4" t="s">
        <v>3057</v>
      </c>
      <c r="U291" s="4" t="s">
        <v>2970</v>
      </c>
      <c r="V291" s="4" t="s">
        <v>2971</v>
      </c>
      <c r="W291" s="4" t="s">
        <v>2972</v>
      </c>
      <c r="X291" s="4"/>
      <c r="Y291" s="4"/>
      <c r="Z291" s="4" t="s">
        <v>46</v>
      </c>
      <c r="AA291" s="4" t="s">
        <v>3158</v>
      </c>
      <c r="AB291" s="4" t="s">
        <v>2999</v>
      </c>
      <c r="AC291" s="9">
        <v>1</v>
      </c>
      <c r="AD291" t="str">
        <f>VLOOKUP($T291,[1]NhanSu!$C$5:$M$229,11,0)</f>
        <v>SM0000009</v>
      </c>
    </row>
    <row r="292" spans="1:30" x14ac:dyDescent="0.45">
      <c r="A292" s="6" t="s">
        <v>2965</v>
      </c>
      <c r="B292" s="5">
        <v>1943</v>
      </c>
      <c r="C292" s="5" t="s">
        <v>3589</v>
      </c>
      <c r="D292" s="5" t="s">
        <v>3590</v>
      </c>
      <c r="E292" s="5" t="s">
        <v>206</v>
      </c>
      <c r="F292" s="5" t="s">
        <v>115</v>
      </c>
      <c r="G292" s="5" t="s">
        <v>34</v>
      </c>
      <c r="H292" s="5" t="s">
        <v>54</v>
      </c>
      <c r="I292" s="5" t="s">
        <v>3591</v>
      </c>
      <c r="J292" s="5" t="s">
        <v>37</v>
      </c>
      <c r="K292" s="5" t="s">
        <v>38</v>
      </c>
      <c r="L292" s="5" t="s">
        <v>39</v>
      </c>
      <c r="M292" s="5" t="s">
        <v>37</v>
      </c>
      <c r="N292" s="5" t="s">
        <v>37</v>
      </c>
      <c r="O292" s="5" t="s">
        <v>39</v>
      </c>
      <c r="P292" s="5" t="s">
        <v>38</v>
      </c>
      <c r="Q292" s="5" t="s">
        <v>38</v>
      </c>
      <c r="R292" s="5" t="s">
        <v>39</v>
      </c>
      <c r="S292" s="5" t="s">
        <v>41</v>
      </c>
      <c r="T292" s="5" t="s">
        <v>3057</v>
      </c>
      <c r="U292" s="5" t="s">
        <v>2970</v>
      </c>
      <c r="V292" s="5" t="s">
        <v>2971</v>
      </c>
      <c r="W292" s="5" t="s">
        <v>2972</v>
      </c>
      <c r="X292" s="5"/>
      <c r="Y292" s="5"/>
      <c r="Z292" s="5" t="s">
        <v>46</v>
      </c>
      <c r="AA292" s="5" t="s">
        <v>3158</v>
      </c>
      <c r="AB292" s="5" t="s">
        <v>117</v>
      </c>
      <c r="AC292" s="7">
        <v>1</v>
      </c>
      <c r="AD292" t="str">
        <f>VLOOKUP($T292,[1]NhanSu!$C$5:$M$229,11,0)</f>
        <v>SM0000009</v>
      </c>
    </row>
    <row r="293" spans="1:30" x14ac:dyDescent="0.45">
      <c r="A293" s="8" t="s">
        <v>2965</v>
      </c>
      <c r="B293" s="4">
        <v>1949</v>
      </c>
      <c r="C293" s="4" t="s">
        <v>3595</v>
      </c>
      <c r="D293" s="4" t="s">
        <v>3596</v>
      </c>
      <c r="E293" s="4" t="s">
        <v>157</v>
      </c>
      <c r="F293" s="4" t="s">
        <v>426</v>
      </c>
      <c r="G293" s="4" t="s">
        <v>177</v>
      </c>
      <c r="H293" s="4" t="s">
        <v>54</v>
      </c>
      <c r="I293" s="4" t="s">
        <v>3597</v>
      </c>
      <c r="J293" s="4" t="s">
        <v>38</v>
      </c>
      <c r="K293" s="4" t="s">
        <v>38</v>
      </c>
      <c r="L293" s="4" t="s">
        <v>40</v>
      </c>
      <c r="M293" s="4" t="s">
        <v>38</v>
      </c>
      <c r="N293" s="4" t="s">
        <v>37</v>
      </c>
      <c r="O293" s="4" t="s">
        <v>39</v>
      </c>
      <c r="P293" s="4" t="s">
        <v>38</v>
      </c>
      <c r="Q293" s="4" t="s">
        <v>38</v>
      </c>
      <c r="R293" s="4" t="s">
        <v>40</v>
      </c>
      <c r="S293" s="4" t="s">
        <v>3598</v>
      </c>
      <c r="T293" s="4" t="s">
        <v>3020</v>
      </c>
      <c r="U293" s="4" t="s">
        <v>3021</v>
      </c>
      <c r="V293" s="4" t="s">
        <v>2971</v>
      </c>
      <c r="W293" s="4" t="s">
        <v>2972</v>
      </c>
      <c r="X293" s="4"/>
      <c r="Y293" s="4"/>
      <c r="Z293" s="4" t="s">
        <v>46</v>
      </c>
      <c r="AA293" s="4" t="s">
        <v>3036</v>
      </c>
      <c r="AB293" s="4"/>
      <c r="AC293" s="9">
        <v>1</v>
      </c>
      <c r="AD293" t="str">
        <f>VLOOKUP($T293,[1]NhanSu!$C$5:$M$229,11,0)</f>
        <v>SM0000008</v>
      </c>
    </row>
    <row r="294" spans="1:30" x14ac:dyDescent="0.45">
      <c r="A294" s="6" t="s">
        <v>2965</v>
      </c>
      <c r="B294" s="5">
        <v>1951</v>
      </c>
      <c r="C294" s="5" t="s">
        <v>3599</v>
      </c>
      <c r="D294" s="5" t="s">
        <v>3600</v>
      </c>
      <c r="E294" s="5" t="s">
        <v>97</v>
      </c>
      <c r="F294" s="5" t="s">
        <v>3417</v>
      </c>
      <c r="G294" s="5" t="s">
        <v>177</v>
      </c>
      <c r="H294" s="5" t="s">
        <v>1736</v>
      </c>
      <c r="I294" s="5" t="s">
        <v>3601</v>
      </c>
      <c r="J294" s="5" t="s">
        <v>38</v>
      </c>
      <c r="K294" s="5" t="s">
        <v>38</v>
      </c>
      <c r="L294" s="5" t="s">
        <v>39</v>
      </c>
      <c r="M294" s="5" t="s">
        <v>38</v>
      </c>
      <c r="N294" s="5" t="s">
        <v>37</v>
      </c>
      <c r="O294" s="5" t="s">
        <v>39</v>
      </c>
      <c r="P294" s="5" t="s">
        <v>38</v>
      </c>
      <c r="Q294" s="5" t="s">
        <v>38</v>
      </c>
      <c r="R294" s="5" t="s">
        <v>39</v>
      </c>
      <c r="S294" s="5" t="s">
        <v>41</v>
      </c>
      <c r="T294" s="5" t="s">
        <v>3045</v>
      </c>
      <c r="U294" s="5" t="s">
        <v>3046</v>
      </c>
      <c r="V294" s="5" t="s">
        <v>2971</v>
      </c>
      <c r="W294" s="5" t="s">
        <v>2972</v>
      </c>
      <c r="X294" s="5"/>
      <c r="Y294" s="5"/>
      <c r="Z294" s="5" t="s">
        <v>46</v>
      </c>
      <c r="AA294" s="5" t="s">
        <v>2983</v>
      </c>
      <c r="AB294" s="5" t="s">
        <v>2999</v>
      </c>
      <c r="AC294" s="7">
        <v>1</v>
      </c>
      <c r="AD294" t="str">
        <f>VLOOKUP($T294,[1]NhanSu!$C$5:$M$229,11,0)</f>
        <v>SM0000016</v>
      </c>
    </row>
    <row r="295" spans="1:30" x14ac:dyDescent="0.45">
      <c r="A295" s="8" t="s">
        <v>2965</v>
      </c>
      <c r="B295" s="4">
        <v>1952</v>
      </c>
      <c r="C295" s="4" t="s">
        <v>3602</v>
      </c>
      <c r="D295" s="4" t="s">
        <v>3603</v>
      </c>
      <c r="E295" s="4" t="s">
        <v>3604</v>
      </c>
      <c r="F295" s="4" t="s">
        <v>53</v>
      </c>
      <c r="G295" s="4" t="s">
        <v>34</v>
      </c>
      <c r="H295" s="4" t="s">
        <v>171</v>
      </c>
      <c r="I295" s="4" t="s">
        <v>3544</v>
      </c>
      <c r="J295" s="4" t="s">
        <v>38</v>
      </c>
      <c r="K295" s="4" t="s">
        <v>38</v>
      </c>
      <c r="L295" s="4" t="s">
        <v>40</v>
      </c>
      <c r="M295" s="4" t="s">
        <v>37</v>
      </c>
      <c r="N295" s="4" t="s">
        <v>37</v>
      </c>
      <c r="O295" s="4" t="s">
        <v>39</v>
      </c>
      <c r="P295" s="4" t="s">
        <v>38</v>
      </c>
      <c r="Q295" s="4" t="s">
        <v>38</v>
      </c>
      <c r="R295" s="4" t="s">
        <v>40</v>
      </c>
      <c r="S295" s="4" t="s">
        <v>41</v>
      </c>
      <c r="T295" s="4" t="s">
        <v>3226</v>
      </c>
      <c r="U295" s="4" t="s">
        <v>3227</v>
      </c>
      <c r="V295" s="4" t="s">
        <v>2971</v>
      </c>
      <c r="W295" s="4" t="s">
        <v>2972</v>
      </c>
      <c r="X295" s="4"/>
      <c r="Y295" s="4"/>
      <c r="Z295" s="4" t="s">
        <v>46</v>
      </c>
      <c r="AA295" s="4" t="s">
        <v>3158</v>
      </c>
      <c r="AB295" s="4" t="s">
        <v>2999</v>
      </c>
      <c r="AC295" s="9">
        <v>1</v>
      </c>
      <c r="AD295" t="str">
        <f>VLOOKUP($T295,[1]NhanSu!$C$5:$M$229,11,0)</f>
        <v>SM0000006</v>
      </c>
    </row>
    <row r="296" spans="1:30" x14ac:dyDescent="0.45">
      <c r="A296" s="6" t="s">
        <v>2965</v>
      </c>
      <c r="B296" s="5">
        <v>1964</v>
      </c>
      <c r="C296" s="5" t="s">
        <v>3609</v>
      </c>
      <c r="D296" s="5" t="s">
        <v>3610</v>
      </c>
      <c r="E296" s="5" t="s">
        <v>3611</v>
      </c>
      <c r="F296" s="5" t="s">
        <v>456</v>
      </c>
      <c r="G296" s="5" t="s">
        <v>34</v>
      </c>
      <c r="H296" s="5" t="s">
        <v>54</v>
      </c>
      <c r="I296" s="5" t="s">
        <v>3612</v>
      </c>
      <c r="J296" s="5" t="s">
        <v>38</v>
      </c>
      <c r="K296" s="5" t="s">
        <v>38</v>
      </c>
      <c r="L296" s="5" t="s">
        <v>39</v>
      </c>
      <c r="M296" s="5" t="s">
        <v>37</v>
      </c>
      <c r="N296" s="5" t="s">
        <v>37</v>
      </c>
      <c r="O296" s="5" t="s">
        <v>39</v>
      </c>
      <c r="P296" s="5" t="s">
        <v>38</v>
      </c>
      <c r="Q296" s="5" t="s">
        <v>38</v>
      </c>
      <c r="R296" s="5" t="s">
        <v>39</v>
      </c>
      <c r="S296" s="5" t="s">
        <v>41</v>
      </c>
      <c r="T296" s="5" t="s">
        <v>3057</v>
      </c>
      <c r="U296" s="5" t="s">
        <v>2970</v>
      </c>
      <c r="V296" s="5" t="s">
        <v>2971</v>
      </c>
      <c r="W296" s="5" t="s">
        <v>2972</v>
      </c>
      <c r="X296" s="5"/>
      <c r="Y296" s="5"/>
      <c r="Z296" s="5" t="s">
        <v>46</v>
      </c>
      <c r="AA296" s="5" t="s">
        <v>3158</v>
      </c>
      <c r="AB296" s="5" t="s">
        <v>117</v>
      </c>
      <c r="AC296" s="7">
        <v>1</v>
      </c>
      <c r="AD296" t="str">
        <f>VLOOKUP($T296,[1]NhanSu!$C$5:$M$229,11,0)</f>
        <v>SM0000009</v>
      </c>
    </row>
    <row r="297" spans="1:30" x14ac:dyDescent="0.45">
      <c r="A297" s="8" t="s">
        <v>2965</v>
      </c>
      <c r="B297" s="4">
        <v>1971</v>
      </c>
      <c r="C297" s="4" t="s">
        <v>3617</v>
      </c>
      <c r="D297" s="4" t="s">
        <v>3618</v>
      </c>
      <c r="E297" s="4" t="s">
        <v>2943</v>
      </c>
      <c r="F297" s="4" t="s">
        <v>3619</v>
      </c>
      <c r="G297" s="4" t="s">
        <v>177</v>
      </c>
      <c r="H297" s="4" t="s">
        <v>3620</v>
      </c>
      <c r="I297" s="4" t="s">
        <v>3621</v>
      </c>
      <c r="J297" s="4" t="s">
        <v>38</v>
      </c>
      <c r="K297" s="4" t="s">
        <v>38</v>
      </c>
      <c r="L297" s="4" t="s">
        <v>40</v>
      </c>
      <c r="M297" s="4" t="s">
        <v>38</v>
      </c>
      <c r="N297" s="4" t="s">
        <v>38</v>
      </c>
      <c r="O297" s="4" t="s">
        <v>40</v>
      </c>
      <c r="P297" s="4" t="s">
        <v>38</v>
      </c>
      <c r="Q297" s="4" t="s">
        <v>38</v>
      </c>
      <c r="R297" s="4" t="s">
        <v>40</v>
      </c>
      <c r="S297" s="4" t="s">
        <v>3622</v>
      </c>
      <c r="T297" s="4" t="s">
        <v>3020</v>
      </c>
      <c r="U297" s="4" t="s">
        <v>3021</v>
      </c>
      <c r="V297" s="4" t="s">
        <v>2971</v>
      </c>
      <c r="W297" s="4" t="s">
        <v>2972</v>
      </c>
      <c r="X297" s="4"/>
      <c r="Y297" s="4"/>
      <c r="Z297" s="4" t="s">
        <v>46</v>
      </c>
      <c r="AA297" s="4" t="s">
        <v>3058</v>
      </c>
      <c r="AB297" s="4" t="s">
        <v>3012</v>
      </c>
      <c r="AC297" s="9">
        <v>1</v>
      </c>
      <c r="AD297" t="str">
        <f>VLOOKUP($T297,[1]NhanSu!$C$5:$M$229,11,0)</f>
        <v>SM0000008</v>
      </c>
    </row>
    <row r="298" spans="1:30" x14ac:dyDescent="0.45">
      <c r="A298" s="6" t="s">
        <v>2965</v>
      </c>
      <c r="B298" s="5">
        <v>1979</v>
      </c>
      <c r="C298" s="5" t="s">
        <v>3623</v>
      </c>
      <c r="D298" s="5" t="s">
        <v>3624</v>
      </c>
      <c r="E298" s="5" t="s">
        <v>3625</v>
      </c>
      <c r="F298" s="5" t="s">
        <v>53</v>
      </c>
      <c r="G298" s="5" t="s">
        <v>177</v>
      </c>
      <c r="H298" s="5" t="s">
        <v>54</v>
      </c>
      <c r="I298" s="5" t="s">
        <v>3626</v>
      </c>
      <c r="J298" s="5" t="s">
        <v>38</v>
      </c>
      <c r="K298" s="5" t="s">
        <v>38</v>
      </c>
      <c r="L298" s="5" t="s">
        <v>39</v>
      </c>
      <c r="M298" s="5" t="s">
        <v>38</v>
      </c>
      <c r="N298" s="5" t="s">
        <v>38</v>
      </c>
      <c r="O298" s="5" t="s">
        <v>39</v>
      </c>
      <c r="P298" s="5" t="s">
        <v>38</v>
      </c>
      <c r="Q298" s="5" t="s">
        <v>38</v>
      </c>
      <c r="R298" s="5" t="s">
        <v>39</v>
      </c>
      <c r="S298" s="5" t="s">
        <v>41</v>
      </c>
      <c r="T298" s="5" t="s">
        <v>3057</v>
      </c>
      <c r="U298" s="5" t="s">
        <v>2970</v>
      </c>
      <c r="V298" s="5" t="s">
        <v>2971</v>
      </c>
      <c r="W298" s="5" t="s">
        <v>2972</v>
      </c>
      <c r="X298" s="5"/>
      <c r="Y298" s="5"/>
      <c r="Z298" s="5" t="s">
        <v>46</v>
      </c>
      <c r="AA298" s="5" t="s">
        <v>3058</v>
      </c>
      <c r="AB298" s="5" t="s">
        <v>2999</v>
      </c>
      <c r="AC298" s="7">
        <v>1</v>
      </c>
      <c r="AD298" t="str">
        <f>VLOOKUP($T298,[1]NhanSu!$C$5:$M$229,11,0)</f>
        <v>SM0000009</v>
      </c>
    </row>
    <row r="299" spans="1:30" x14ac:dyDescent="0.45">
      <c r="A299" s="8" t="s">
        <v>2965</v>
      </c>
      <c r="B299" s="4">
        <v>2006</v>
      </c>
      <c r="C299" s="4" t="s">
        <v>3630</v>
      </c>
      <c r="D299" s="4" t="s">
        <v>3631</v>
      </c>
      <c r="E299" s="4" t="s">
        <v>3632</v>
      </c>
      <c r="F299" s="4" t="s">
        <v>115</v>
      </c>
      <c r="G299" s="4" t="s">
        <v>34</v>
      </c>
      <c r="H299" s="4" t="s">
        <v>708</v>
      </c>
      <c r="I299" s="4" t="s">
        <v>3633</v>
      </c>
      <c r="J299" s="4" t="s">
        <v>38</v>
      </c>
      <c r="K299" s="4" t="s">
        <v>38</v>
      </c>
      <c r="L299" s="4" t="s">
        <v>39</v>
      </c>
      <c r="M299" s="4" t="s">
        <v>37</v>
      </c>
      <c r="N299" s="4" t="s">
        <v>37</v>
      </c>
      <c r="O299" s="4" t="s">
        <v>39</v>
      </c>
      <c r="P299" s="4" t="s">
        <v>38</v>
      </c>
      <c r="Q299" s="4" t="s">
        <v>38</v>
      </c>
      <c r="R299" s="4" t="s">
        <v>39</v>
      </c>
      <c r="S299" s="4" t="s">
        <v>41</v>
      </c>
      <c r="T299" s="4" t="s">
        <v>3057</v>
      </c>
      <c r="U299" s="4" t="s">
        <v>2970</v>
      </c>
      <c r="V299" s="4" t="s">
        <v>2971</v>
      </c>
      <c r="W299" s="4" t="s">
        <v>2972</v>
      </c>
      <c r="X299" s="4"/>
      <c r="Y299" s="4"/>
      <c r="Z299" s="4" t="s">
        <v>46</v>
      </c>
      <c r="AA299" s="4" t="s">
        <v>3158</v>
      </c>
      <c r="AB299" s="4" t="s">
        <v>117</v>
      </c>
      <c r="AC299" s="9">
        <v>1</v>
      </c>
      <c r="AD299" t="str">
        <f>VLOOKUP($T299,[1]NhanSu!$C$5:$M$229,11,0)</f>
        <v>SM0000009</v>
      </c>
    </row>
    <row r="300" spans="1:30" x14ac:dyDescent="0.45">
      <c r="A300" s="6" t="s">
        <v>2965</v>
      </c>
      <c r="B300" s="5">
        <v>2025</v>
      </c>
      <c r="C300" s="5" t="s">
        <v>3641</v>
      </c>
      <c r="D300" s="5" t="s">
        <v>3642</v>
      </c>
      <c r="E300" s="5" t="s">
        <v>3643</v>
      </c>
      <c r="F300" s="5" t="s">
        <v>53</v>
      </c>
      <c r="G300" s="5" t="s">
        <v>34</v>
      </c>
      <c r="H300" s="5" t="s">
        <v>54</v>
      </c>
      <c r="I300" s="5" t="s">
        <v>3644</v>
      </c>
      <c r="J300" s="5" t="s">
        <v>38</v>
      </c>
      <c r="K300" s="5" t="s">
        <v>38</v>
      </c>
      <c r="L300" s="5" t="s">
        <v>40</v>
      </c>
      <c r="M300" s="5" t="s">
        <v>38</v>
      </c>
      <c r="N300" s="5" t="s">
        <v>38</v>
      </c>
      <c r="O300" s="5" t="s">
        <v>39</v>
      </c>
      <c r="P300" s="5" t="s">
        <v>38</v>
      </c>
      <c r="Q300" s="5" t="s">
        <v>38</v>
      </c>
      <c r="R300" s="5" t="s">
        <v>39</v>
      </c>
      <c r="S300" s="5" t="s">
        <v>41</v>
      </c>
      <c r="T300" s="5" t="s">
        <v>2969</v>
      </c>
      <c r="U300" s="5" t="s">
        <v>2970</v>
      </c>
      <c r="V300" s="5" t="s">
        <v>2971</v>
      </c>
      <c r="W300" s="5" t="s">
        <v>2972</v>
      </c>
      <c r="X300" s="5"/>
      <c r="Y300" s="5"/>
      <c r="Z300" s="5" t="s">
        <v>46</v>
      </c>
      <c r="AA300" s="5" t="s">
        <v>3058</v>
      </c>
      <c r="AB300" s="5" t="s">
        <v>2999</v>
      </c>
      <c r="AC300" s="7">
        <v>1</v>
      </c>
      <c r="AD300" t="str">
        <f>VLOOKUP($T300,[1]NhanSu!$C$5:$M$229,11,0)</f>
        <v>SM0000181</v>
      </c>
    </row>
    <row r="301" spans="1:30" x14ac:dyDescent="0.45">
      <c r="A301" s="8" t="s">
        <v>2965</v>
      </c>
      <c r="B301" s="4">
        <v>2128</v>
      </c>
      <c r="C301" s="4" t="s">
        <v>3657</v>
      </c>
      <c r="D301" s="4" t="s">
        <v>3658</v>
      </c>
      <c r="E301" s="4" t="s">
        <v>157</v>
      </c>
      <c r="F301" s="4" t="s">
        <v>401</v>
      </c>
      <c r="G301" s="4" t="s">
        <v>177</v>
      </c>
      <c r="H301" s="4" t="s">
        <v>54</v>
      </c>
      <c r="I301" s="4" t="s">
        <v>3659</v>
      </c>
      <c r="J301" s="4" t="s">
        <v>37</v>
      </c>
      <c r="K301" s="4" t="s">
        <v>37</v>
      </c>
      <c r="L301" s="4" t="s">
        <v>40</v>
      </c>
      <c r="M301" s="4" t="s">
        <v>56</v>
      </c>
      <c r="N301" s="4" t="s">
        <v>56</v>
      </c>
      <c r="O301" s="4" t="s">
        <v>39</v>
      </c>
      <c r="P301" s="4" t="s">
        <v>37</v>
      </c>
      <c r="Q301" s="4" t="s">
        <v>37</v>
      </c>
      <c r="R301" s="4" t="s">
        <v>40</v>
      </c>
      <c r="S301" s="4" t="s">
        <v>3003</v>
      </c>
      <c r="T301" s="4" t="s">
        <v>2976</v>
      </c>
      <c r="U301" s="4" t="s">
        <v>2977</v>
      </c>
      <c r="V301" s="4" t="s">
        <v>2971</v>
      </c>
      <c r="W301" s="4" t="s">
        <v>2972</v>
      </c>
      <c r="X301" s="4"/>
      <c r="Y301" s="4"/>
      <c r="Z301" s="4" t="s">
        <v>46</v>
      </c>
      <c r="AA301" s="4" t="s">
        <v>2983</v>
      </c>
      <c r="AB301" s="4"/>
      <c r="AC301" s="9">
        <v>1</v>
      </c>
      <c r="AD301" t="str">
        <f>VLOOKUP($T301,[1]NhanSu!$C$5:$M$229,11,0)</f>
        <v>SM0000007</v>
      </c>
    </row>
    <row r="302" spans="1:30" x14ac:dyDescent="0.45">
      <c r="A302" s="6" t="s">
        <v>2965</v>
      </c>
      <c r="B302" s="5">
        <v>2129</v>
      </c>
      <c r="C302" s="5" t="s">
        <v>3660</v>
      </c>
      <c r="D302" s="5" t="s">
        <v>3661</v>
      </c>
      <c r="E302" s="5" t="s">
        <v>97</v>
      </c>
      <c r="F302" s="5" t="s">
        <v>426</v>
      </c>
      <c r="G302" s="5" t="s">
        <v>177</v>
      </c>
      <c r="H302" s="5" t="s">
        <v>54</v>
      </c>
      <c r="I302" s="5" t="s">
        <v>3662</v>
      </c>
      <c r="J302" s="5" t="s">
        <v>38</v>
      </c>
      <c r="K302" s="5" t="s">
        <v>38</v>
      </c>
      <c r="L302" s="5" t="s">
        <v>40</v>
      </c>
      <c r="M302" s="5" t="s">
        <v>38</v>
      </c>
      <c r="N302" s="5" t="s">
        <v>37</v>
      </c>
      <c r="O302" s="5" t="s">
        <v>39</v>
      </c>
      <c r="P302" s="5" t="s">
        <v>38</v>
      </c>
      <c r="Q302" s="5" t="s">
        <v>37</v>
      </c>
      <c r="R302" s="5" t="s">
        <v>39</v>
      </c>
      <c r="S302" s="5" t="s">
        <v>3663</v>
      </c>
      <c r="T302" s="5" t="s">
        <v>3192</v>
      </c>
      <c r="U302" s="5" t="s">
        <v>3046</v>
      </c>
      <c r="V302" s="5" t="s">
        <v>2971</v>
      </c>
      <c r="W302" s="5" t="s">
        <v>2972</v>
      </c>
      <c r="X302" s="5"/>
      <c r="Y302" s="5"/>
      <c r="Z302" s="5" t="s">
        <v>46</v>
      </c>
      <c r="AA302" s="5" t="s">
        <v>2983</v>
      </c>
      <c r="AB302" s="5" t="s">
        <v>2999</v>
      </c>
      <c r="AC302" s="7">
        <v>1</v>
      </c>
      <c r="AD302" t="str">
        <f>VLOOKUP($T302,[1]NhanSu!$C$5:$M$229,11,0)</f>
        <v>SM0000018</v>
      </c>
    </row>
    <row r="303" spans="1:30" x14ac:dyDescent="0.45">
      <c r="A303" s="8" t="s">
        <v>2965</v>
      </c>
      <c r="B303" s="4">
        <v>2136</v>
      </c>
      <c r="C303" s="4" t="s">
        <v>3671</v>
      </c>
      <c r="D303" s="4" t="s">
        <v>3672</v>
      </c>
      <c r="E303" s="4" t="s">
        <v>3673</v>
      </c>
      <c r="F303" s="4" t="s">
        <v>224</v>
      </c>
      <c r="G303" s="4" t="s">
        <v>34</v>
      </c>
      <c r="H303" s="4" t="s">
        <v>54</v>
      </c>
      <c r="I303" s="4" t="s">
        <v>3674</v>
      </c>
      <c r="J303" s="4" t="s">
        <v>38</v>
      </c>
      <c r="K303" s="4" t="s">
        <v>38</v>
      </c>
      <c r="L303" s="4" t="s">
        <v>40</v>
      </c>
      <c r="M303" s="4" t="s">
        <v>38</v>
      </c>
      <c r="N303" s="4" t="s">
        <v>38</v>
      </c>
      <c r="O303" s="4" t="s">
        <v>39</v>
      </c>
      <c r="P303" s="4" t="s">
        <v>38</v>
      </c>
      <c r="Q303" s="4" t="s">
        <v>38</v>
      </c>
      <c r="R303" s="4" t="s">
        <v>39</v>
      </c>
      <c r="S303" s="4" t="s">
        <v>41</v>
      </c>
      <c r="T303" s="4" t="s">
        <v>2969</v>
      </c>
      <c r="U303" s="4" t="s">
        <v>2970</v>
      </c>
      <c r="V303" s="4" t="s">
        <v>2971</v>
      </c>
      <c r="W303" s="4" t="s">
        <v>2972</v>
      </c>
      <c r="X303" s="4"/>
      <c r="Y303" s="4"/>
      <c r="Z303" s="4" t="s">
        <v>46</v>
      </c>
      <c r="AA303" s="4" t="s">
        <v>3158</v>
      </c>
      <c r="AB303" s="4" t="s">
        <v>117</v>
      </c>
      <c r="AC303" s="9">
        <v>1</v>
      </c>
      <c r="AD303" t="str">
        <f>VLOOKUP($T303,[1]NhanSu!$C$5:$M$229,11,0)</f>
        <v>SM0000181</v>
      </c>
    </row>
    <row r="304" spans="1:30" x14ac:dyDescent="0.45">
      <c r="A304" s="6" t="s">
        <v>2965</v>
      </c>
      <c r="B304" s="5">
        <v>2164</v>
      </c>
      <c r="C304" s="5" t="s">
        <v>3688</v>
      </c>
      <c r="D304" s="5" t="s">
        <v>3689</v>
      </c>
      <c r="E304" s="5" t="s">
        <v>376</v>
      </c>
      <c r="F304" s="5" t="s">
        <v>934</v>
      </c>
      <c r="G304" s="5" t="s">
        <v>34</v>
      </c>
      <c r="H304" s="5" t="s">
        <v>402</v>
      </c>
      <c r="I304" s="5" t="s">
        <v>3690</v>
      </c>
      <c r="J304" s="5" t="s">
        <v>38</v>
      </c>
      <c r="K304" s="5" t="s">
        <v>38</v>
      </c>
      <c r="L304" s="5" t="s">
        <v>40</v>
      </c>
      <c r="M304" s="5" t="s">
        <v>38</v>
      </c>
      <c r="N304" s="5" t="s">
        <v>38</v>
      </c>
      <c r="O304" s="5" t="s">
        <v>40</v>
      </c>
      <c r="P304" s="5" t="s">
        <v>38</v>
      </c>
      <c r="Q304" s="5" t="s">
        <v>38</v>
      </c>
      <c r="R304" s="5" t="s">
        <v>40</v>
      </c>
      <c r="S304" s="5" t="s">
        <v>41</v>
      </c>
      <c r="T304" s="5" t="s">
        <v>3035</v>
      </c>
      <c r="U304" s="5" t="s">
        <v>2998</v>
      </c>
      <c r="V304" s="5" t="s">
        <v>2971</v>
      </c>
      <c r="W304" s="5" t="s">
        <v>2972</v>
      </c>
      <c r="X304" s="5"/>
      <c r="Y304" s="5"/>
      <c r="Z304" s="5" t="s">
        <v>46</v>
      </c>
      <c r="AA304" s="5" t="s">
        <v>3058</v>
      </c>
      <c r="AB304" s="5" t="s">
        <v>2999</v>
      </c>
      <c r="AC304" s="7">
        <v>1</v>
      </c>
      <c r="AD304" t="str">
        <f>VLOOKUP($T304,[1]NhanSu!$C$5:$M$229,11,0)</f>
        <v>SM0000012</v>
      </c>
    </row>
    <row r="305" spans="1:30" x14ac:dyDescent="0.45">
      <c r="A305" s="8" t="s">
        <v>2965</v>
      </c>
      <c r="B305" s="4">
        <v>2168</v>
      </c>
      <c r="C305" s="4" t="s">
        <v>3691</v>
      </c>
      <c r="D305" s="4" t="s">
        <v>3692</v>
      </c>
      <c r="E305" s="4" t="s">
        <v>3501</v>
      </c>
      <c r="F305" s="4" t="s">
        <v>3693</v>
      </c>
      <c r="G305" s="4" t="s">
        <v>34</v>
      </c>
      <c r="H305" s="4" t="s">
        <v>54</v>
      </c>
      <c r="I305" s="4" t="s">
        <v>3694</v>
      </c>
      <c r="J305" s="4" t="s">
        <v>38</v>
      </c>
      <c r="K305" s="4" t="s">
        <v>38</v>
      </c>
      <c r="L305" s="4" t="s">
        <v>40</v>
      </c>
      <c r="M305" s="4" t="s">
        <v>38</v>
      </c>
      <c r="N305" s="4" t="s">
        <v>37</v>
      </c>
      <c r="O305" s="4" t="s">
        <v>39</v>
      </c>
      <c r="P305" s="4" t="s">
        <v>38</v>
      </c>
      <c r="Q305" s="4" t="s">
        <v>37</v>
      </c>
      <c r="R305" s="4" t="s">
        <v>39</v>
      </c>
      <c r="S305" s="4" t="s">
        <v>41</v>
      </c>
      <c r="T305" s="4" t="s">
        <v>3192</v>
      </c>
      <c r="U305" s="4" t="s">
        <v>3046</v>
      </c>
      <c r="V305" s="4" t="s">
        <v>2971</v>
      </c>
      <c r="W305" s="4" t="s">
        <v>2972</v>
      </c>
      <c r="X305" s="4"/>
      <c r="Y305" s="4"/>
      <c r="Z305" s="4" t="s">
        <v>46</v>
      </c>
      <c r="AA305" s="4" t="s">
        <v>2983</v>
      </c>
      <c r="AB305" s="4" t="s">
        <v>117</v>
      </c>
      <c r="AC305" s="9">
        <v>1</v>
      </c>
      <c r="AD305" t="str">
        <f>VLOOKUP($T305,[1]NhanSu!$C$5:$M$229,11,0)</f>
        <v>SM0000018</v>
      </c>
    </row>
    <row r="306" spans="1:30" x14ac:dyDescent="0.45">
      <c r="A306" s="6" t="s">
        <v>2965</v>
      </c>
      <c r="B306" s="5">
        <v>2183</v>
      </c>
      <c r="C306" s="5" t="s">
        <v>3695</v>
      </c>
      <c r="D306" s="5" t="s">
        <v>3696</v>
      </c>
      <c r="E306" s="5" t="s">
        <v>3697</v>
      </c>
      <c r="F306" s="5" t="s">
        <v>3698</v>
      </c>
      <c r="G306" s="5" t="s">
        <v>34</v>
      </c>
      <c r="H306" s="5" t="s">
        <v>54</v>
      </c>
      <c r="I306" s="5" t="s">
        <v>3699</v>
      </c>
      <c r="J306" s="5" t="s">
        <v>38</v>
      </c>
      <c r="K306" s="5" t="s">
        <v>38</v>
      </c>
      <c r="L306" s="5" t="s">
        <v>39</v>
      </c>
      <c r="M306" s="5" t="s">
        <v>38</v>
      </c>
      <c r="N306" s="5" t="s">
        <v>37</v>
      </c>
      <c r="O306" s="5" t="s">
        <v>39</v>
      </c>
      <c r="P306" s="5" t="s">
        <v>38</v>
      </c>
      <c r="Q306" s="5" t="s">
        <v>37</v>
      </c>
      <c r="R306" s="5" t="s">
        <v>39</v>
      </c>
      <c r="S306" s="5" t="s">
        <v>41</v>
      </c>
      <c r="T306" s="5" t="s">
        <v>3192</v>
      </c>
      <c r="U306" s="5" t="s">
        <v>3046</v>
      </c>
      <c r="V306" s="5" t="s">
        <v>2971</v>
      </c>
      <c r="W306" s="5" t="s">
        <v>2972</v>
      </c>
      <c r="X306" s="5"/>
      <c r="Y306" s="5"/>
      <c r="Z306" s="5" t="s">
        <v>46</v>
      </c>
      <c r="AA306" s="5" t="s">
        <v>2983</v>
      </c>
      <c r="AB306" s="5" t="s">
        <v>117</v>
      </c>
      <c r="AC306" s="7">
        <v>1</v>
      </c>
      <c r="AD306" t="str">
        <f>VLOOKUP($T306,[1]NhanSu!$C$5:$M$229,11,0)</f>
        <v>SM0000018</v>
      </c>
    </row>
    <row r="307" spans="1:30" x14ac:dyDescent="0.45">
      <c r="A307" s="8" t="s">
        <v>2965</v>
      </c>
      <c r="B307" s="4">
        <v>2199</v>
      </c>
      <c r="C307" s="4" t="s">
        <v>3703</v>
      </c>
      <c r="D307" s="4" t="s">
        <v>3704</v>
      </c>
      <c r="E307" s="4" t="s">
        <v>742</v>
      </c>
      <c r="F307" s="4" t="s">
        <v>3705</v>
      </c>
      <c r="G307" s="4" t="s">
        <v>34</v>
      </c>
      <c r="H307" s="4" t="s">
        <v>54</v>
      </c>
      <c r="I307" s="4" t="s">
        <v>3706</v>
      </c>
      <c r="J307" s="4" t="s">
        <v>38</v>
      </c>
      <c r="K307" s="4" t="s">
        <v>38</v>
      </c>
      <c r="L307" s="4" t="s">
        <v>40</v>
      </c>
      <c r="M307" s="4" t="s">
        <v>37</v>
      </c>
      <c r="N307" s="4" t="s">
        <v>37</v>
      </c>
      <c r="O307" s="4" t="s">
        <v>39</v>
      </c>
      <c r="P307" s="4" t="s">
        <v>38</v>
      </c>
      <c r="Q307" s="4" t="s">
        <v>37</v>
      </c>
      <c r="R307" s="4" t="s">
        <v>39</v>
      </c>
      <c r="S307" s="4" t="s">
        <v>41</v>
      </c>
      <c r="T307" s="4" t="s">
        <v>3192</v>
      </c>
      <c r="U307" s="4" t="s">
        <v>3046</v>
      </c>
      <c r="V307" s="4" t="s">
        <v>2971</v>
      </c>
      <c r="W307" s="4" t="s">
        <v>2972</v>
      </c>
      <c r="X307" s="4"/>
      <c r="Y307" s="4"/>
      <c r="Z307" s="4" t="s">
        <v>46</v>
      </c>
      <c r="AA307" s="4" t="s">
        <v>2983</v>
      </c>
      <c r="AB307" s="4" t="s">
        <v>117</v>
      </c>
      <c r="AC307" s="9">
        <v>1</v>
      </c>
      <c r="AD307" t="str">
        <f>VLOOKUP($T307,[1]NhanSu!$C$5:$M$229,11,0)</f>
        <v>SM0000018</v>
      </c>
    </row>
    <row r="308" spans="1:30" x14ac:dyDescent="0.45">
      <c r="A308" s="6" t="s">
        <v>2965</v>
      </c>
      <c r="B308" s="5">
        <v>2217</v>
      </c>
      <c r="C308" s="5" t="s">
        <v>3714</v>
      </c>
      <c r="D308" s="5" t="s">
        <v>3715</v>
      </c>
      <c r="E308" s="5" t="s">
        <v>3716</v>
      </c>
      <c r="F308" s="5" t="s">
        <v>535</v>
      </c>
      <c r="G308" s="5" t="s">
        <v>150</v>
      </c>
      <c r="H308" s="5" t="s">
        <v>54</v>
      </c>
      <c r="I308" s="5" t="s">
        <v>3717</v>
      </c>
      <c r="J308" s="5" t="s">
        <v>38</v>
      </c>
      <c r="K308" s="5" t="s">
        <v>38</v>
      </c>
      <c r="L308" s="5" t="s">
        <v>39</v>
      </c>
      <c r="M308" s="5" t="s">
        <v>38</v>
      </c>
      <c r="N308" s="5" t="s">
        <v>37</v>
      </c>
      <c r="O308" s="5" t="s">
        <v>39</v>
      </c>
      <c r="P308" s="5" t="s">
        <v>38</v>
      </c>
      <c r="Q308" s="5" t="s">
        <v>38</v>
      </c>
      <c r="R308" s="5" t="s">
        <v>39</v>
      </c>
      <c r="S308" s="5" t="s">
        <v>41</v>
      </c>
      <c r="T308" s="5" t="s">
        <v>3045</v>
      </c>
      <c r="U308" s="5" t="s">
        <v>3046</v>
      </c>
      <c r="V308" s="5" t="s">
        <v>2971</v>
      </c>
      <c r="W308" s="5" t="s">
        <v>2972</v>
      </c>
      <c r="X308" s="5"/>
      <c r="Y308" s="5"/>
      <c r="Z308" s="5" t="s">
        <v>46</v>
      </c>
      <c r="AA308" s="5" t="s">
        <v>2983</v>
      </c>
      <c r="AB308" s="5"/>
      <c r="AC308" s="7">
        <v>1</v>
      </c>
      <c r="AD308" t="str">
        <f>VLOOKUP($T308,[1]NhanSu!$C$5:$M$229,11,0)</f>
        <v>SM0000016</v>
      </c>
    </row>
    <row r="309" spans="1:30" x14ac:dyDescent="0.45">
      <c r="A309" s="8" t="s">
        <v>2965</v>
      </c>
      <c r="B309" s="4">
        <v>2230</v>
      </c>
      <c r="C309" s="4" t="s">
        <v>3721</v>
      </c>
      <c r="D309" s="4" t="s">
        <v>3722</v>
      </c>
      <c r="E309" s="4" t="s">
        <v>695</v>
      </c>
      <c r="F309" s="4" t="s">
        <v>934</v>
      </c>
      <c r="G309" s="4" t="s">
        <v>177</v>
      </c>
      <c r="H309" s="4" t="s">
        <v>54</v>
      </c>
      <c r="I309" s="4" t="s">
        <v>3723</v>
      </c>
      <c r="J309" s="4" t="s">
        <v>38</v>
      </c>
      <c r="K309" s="4" t="s">
        <v>38</v>
      </c>
      <c r="L309" s="4" t="s">
        <v>39</v>
      </c>
      <c r="M309" s="4" t="s">
        <v>37</v>
      </c>
      <c r="N309" s="4" t="s">
        <v>37</v>
      </c>
      <c r="O309" s="4" t="s">
        <v>39</v>
      </c>
      <c r="P309" s="4" t="s">
        <v>38</v>
      </c>
      <c r="Q309" s="4" t="s">
        <v>37</v>
      </c>
      <c r="R309" s="4" t="s">
        <v>39</v>
      </c>
      <c r="S309" s="4" t="s">
        <v>3724</v>
      </c>
      <c r="T309" s="4" t="s">
        <v>3192</v>
      </c>
      <c r="U309" s="4" t="s">
        <v>3046</v>
      </c>
      <c r="V309" s="4" t="s">
        <v>2971</v>
      </c>
      <c r="W309" s="4" t="s">
        <v>2972</v>
      </c>
      <c r="X309" s="4"/>
      <c r="Y309" s="4"/>
      <c r="Z309" s="4" t="s">
        <v>46</v>
      </c>
      <c r="AA309" s="4" t="s">
        <v>2983</v>
      </c>
      <c r="AB309" s="4" t="s">
        <v>2999</v>
      </c>
      <c r="AC309" s="9">
        <v>1</v>
      </c>
      <c r="AD309" t="str">
        <f>VLOOKUP($T309,[1]NhanSu!$C$5:$M$229,11,0)</f>
        <v>SM0000018</v>
      </c>
    </row>
    <row r="310" spans="1:30" x14ac:dyDescent="0.45">
      <c r="A310" s="6" t="s">
        <v>2965</v>
      </c>
      <c r="B310" s="5">
        <v>2240</v>
      </c>
      <c r="C310" s="5" t="s">
        <v>3725</v>
      </c>
      <c r="D310" s="5" t="s">
        <v>3726</v>
      </c>
      <c r="E310" s="5" t="s">
        <v>170</v>
      </c>
      <c r="F310" s="5" t="s">
        <v>53</v>
      </c>
      <c r="G310" s="5" t="s">
        <v>34</v>
      </c>
      <c r="H310" s="5" t="s">
        <v>54</v>
      </c>
      <c r="I310" s="5" t="s">
        <v>3727</v>
      </c>
      <c r="J310" s="5" t="s">
        <v>38</v>
      </c>
      <c r="K310" s="5" t="s">
        <v>38</v>
      </c>
      <c r="L310" s="5" t="s">
        <v>40</v>
      </c>
      <c r="M310" s="5" t="s">
        <v>38</v>
      </c>
      <c r="N310" s="5" t="s">
        <v>38</v>
      </c>
      <c r="O310" s="5" t="s">
        <v>40</v>
      </c>
      <c r="P310" s="5" t="s">
        <v>38</v>
      </c>
      <c r="Q310" s="5" t="s">
        <v>38</v>
      </c>
      <c r="R310" s="5" t="s">
        <v>40</v>
      </c>
      <c r="S310" s="5" t="s">
        <v>41</v>
      </c>
      <c r="T310" s="5" t="s">
        <v>3035</v>
      </c>
      <c r="U310" s="5" t="s">
        <v>2998</v>
      </c>
      <c r="V310" s="5" t="s">
        <v>2971</v>
      </c>
      <c r="W310" s="5" t="s">
        <v>2972</v>
      </c>
      <c r="X310" s="5"/>
      <c r="Y310" s="5"/>
      <c r="Z310" s="5" t="s">
        <v>46</v>
      </c>
      <c r="AA310" s="5" t="s">
        <v>3058</v>
      </c>
      <c r="AB310" s="5" t="s">
        <v>2999</v>
      </c>
      <c r="AC310" s="7">
        <v>1</v>
      </c>
      <c r="AD310" t="str">
        <f>VLOOKUP($T310,[1]NhanSu!$C$5:$M$229,11,0)</f>
        <v>SM0000012</v>
      </c>
    </row>
    <row r="311" spans="1:30" x14ac:dyDescent="0.45">
      <c r="A311" s="8" t="s">
        <v>2965</v>
      </c>
      <c r="B311" s="4">
        <v>2247</v>
      </c>
      <c r="C311" s="4" t="s">
        <v>3728</v>
      </c>
      <c r="D311" s="4" t="s">
        <v>3729</v>
      </c>
      <c r="E311" s="4" t="s">
        <v>3730</v>
      </c>
      <c r="F311" s="4" t="s">
        <v>166</v>
      </c>
      <c r="G311" s="4" t="s">
        <v>34</v>
      </c>
      <c r="H311" s="4" t="s">
        <v>54</v>
      </c>
      <c r="I311" s="4" t="s">
        <v>3731</v>
      </c>
      <c r="J311" s="4" t="s">
        <v>38</v>
      </c>
      <c r="K311" s="4" t="s">
        <v>38</v>
      </c>
      <c r="L311" s="4" t="s">
        <v>39</v>
      </c>
      <c r="M311" s="4" t="s">
        <v>37</v>
      </c>
      <c r="N311" s="4" t="s">
        <v>37</v>
      </c>
      <c r="O311" s="4" t="s">
        <v>39</v>
      </c>
      <c r="P311" s="4" t="s">
        <v>38</v>
      </c>
      <c r="Q311" s="4" t="s">
        <v>38</v>
      </c>
      <c r="R311" s="4" t="s">
        <v>39</v>
      </c>
      <c r="S311" s="4" t="s">
        <v>41</v>
      </c>
      <c r="T311" s="4" t="s">
        <v>3057</v>
      </c>
      <c r="U311" s="4" t="s">
        <v>2970</v>
      </c>
      <c r="V311" s="4" t="s">
        <v>2971</v>
      </c>
      <c r="W311" s="4" t="s">
        <v>2972</v>
      </c>
      <c r="X311" s="4"/>
      <c r="Y311" s="4"/>
      <c r="Z311" s="4" t="s">
        <v>46</v>
      </c>
      <c r="AA311" s="4" t="s">
        <v>3158</v>
      </c>
      <c r="AB311" s="4" t="s">
        <v>117</v>
      </c>
      <c r="AC311" s="9">
        <v>1</v>
      </c>
      <c r="AD311" t="str">
        <f>VLOOKUP($T311,[1]NhanSu!$C$5:$M$229,11,0)</f>
        <v>SM0000009</v>
      </c>
    </row>
    <row r="312" spans="1:30" x14ac:dyDescent="0.45">
      <c r="A312" s="6" t="s">
        <v>2965</v>
      </c>
      <c r="B312" s="5">
        <v>2258</v>
      </c>
      <c r="C312" s="5" t="s">
        <v>3735</v>
      </c>
      <c r="D312" s="5" t="s">
        <v>3736</v>
      </c>
      <c r="E312" s="5" t="s">
        <v>3737</v>
      </c>
      <c r="F312" s="5" t="s">
        <v>3049</v>
      </c>
      <c r="G312" s="5" t="s">
        <v>177</v>
      </c>
      <c r="H312" s="5" t="s">
        <v>54</v>
      </c>
      <c r="I312" s="5" t="s">
        <v>3738</v>
      </c>
      <c r="J312" s="5" t="s">
        <v>38</v>
      </c>
      <c r="K312" s="5" t="s">
        <v>38</v>
      </c>
      <c r="L312" s="5" t="s">
        <v>39</v>
      </c>
      <c r="M312" s="5" t="s">
        <v>38</v>
      </c>
      <c r="N312" s="5" t="s">
        <v>37</v>
      </c>
      <c r="O312" s="5" t="s">
        <v>39</v>
      </c>
      <c r="P312" s="5" t="s">
        <v>38</v>
      </c>
      <c r="Q312" s="5" t="s">
        <v>38</v>
      </c>
      <c r="R312" s="5" t="s">
        <v>39</v>
      </c>
      <c r="S312" s="5" t="s">
        <v>41</v>
      </c>
      <c r="T312" s="5" t="s">
        <v>3045</v>
      </c>
      <c r="U312" s="5" t="s">
        <v>3046</v>
      </c>
      <c r="V312" s="5" t="s">
        <v>2971</v>
      </c>
      <c r="W312" s="5" t="s">
        <v>2972</v>
      </c>
      <c r="X312" s="5"/>
      <c r="Y312" s="5"/>
      <c r="Z312" s="5" t="s">
        <v>46</v>
      </c>
      <c r="AA312" s="5" t="s">
        <v>2983</v>
      </c>
      <c r="AB312" s="5"/>
      <c r="AC312" s="7">
        <v>1</v>
      </c>
      <c r="AD312" t="str">
        <f>VLOOKUP($T312,[1]NhanSu!$C$5:$M$229,11,0)</f>
        <v>SM0000016</v>
      </c>
    </row>
    <row r="313" spans="1:30" x14ac:dyDescent="0.45">
      <c r="A313" s="8" t="s">
        <v>2965</v>
      </c>
      <c r="B313" s="4">
        <v>2261</v>
      </c>
      <c r="C313" s="4" t="s">
        <v>3739</v>
      </c>
      <c r="D313" s="4" t="s">
        <v>3740</v>
      </c>
      <c r="E313" s="4" t="s">
        <v>69</v>
      </c>
      <c r="F313" s="4" t="s">
        <v>70</v>
      </c>
      <c r="G313" s="4" t="s">
        <v>177</v>
      </c>
      <c r="H313" s="4" t="s">
        <v>54</v>
      </c>
      <c r="I313" s="4" t="s">
        <v>3741</v>
      </c>
      <c r="J313" s="4" t="s">
        <v>37</v>
      </c>
      <c r="K313" s="4" t="s">
        <v>37</v>
      </c>
      <c r="L313" s="4" t="s">
        <v>39</v>
      </c>
      <c r="M313" s="4" t="s">
        <v>37</v>
      </c>
      <c r="N313" s="4" t="s">
        <v>37</v>
      </c>
      <c r="O313" s="4" t="s">
        <v>39</v>
      </c>
      <c r="P313" s="4" t="s">
        <v>38</v>
      </c>
      <c r="Q313" s="4" t="s">
        <v>38</v>
      </c>
      <c r="R313" s="4" t="s">
        <v>40</v>
      </c>
      <c r="S313" s="4" t="s">
        <v>3003</v>
      </c>
      <c r="T313" s="4" t="s">
        <v>2976</v>
      </c>
      <c r="U313" s="4" t="s">
        <v>2977</v>
      </c>
      <c r="V313" s="4" t="s">
        <v>2971</v>
      </c>
      <c r="W313" s="4" t="s">
        <v>2972</v>
      </c>
      <c r="X313" s="4"/>
      <c r="Y313" s="4"/>
      <c r="Z313" s="4" t="s">
        <v>46</v>
      </c>
      <c r="AA313" s="4" t="s">
        <v>2983</v>
      </c>
      <c r="AB313" s="4"/>
      <c r="AC313" s="9">
        <v>1</v>
      </c>
      <c r="AD313" t="str">
        <f>VLOOKUP($T313,[1]NhanSu!$C$5:$M$229,11,0)</f>
        <v>SM0000007</v>
      </c>
    </row>
    <row r="314" spans="1:30" x14ac:dyDescent="0.45">
      <c r="A314" s="6" t="s">
        <v>2965</v>
      </c>
      <c r="B314" s="5">
        <v>2279</v>
      </c>
      <c r="C314" s="5" t="s">
        <v>3745</v>
      </c>
      <c r="D314" s="5" t="s">
        <v>3746</v>
      </c>
      <c r="E314" s="5" t="s">
        <v>86</v>
      </c>
      <c r="F314" s="5" t="s">
        <v>3049</v>
      </c>
      <c r="G314" s="5" t="s">
        <v>177</v>
      </c>
      <c r="H314" s="5" t="s">
        <v>54</v>
      </c>
      <c r="I314" s="5" t="s">
        <v>3747</v>
      </c>
      <c r="J314" s="5" t="s">
        <v>38</v>
      </c>
      <c r="K314" s="5" t="s">
        <v>56</v>
      </c>
      <c r="L314" s="5" t="s">
        <v>39</v>
      </c>
      <c r="M314" s="5" t="s">
        <v>38</v>
      </c>
      <c r="N314" s="5" t="s">
        <v>37</v>
      </c>
      <c r="O314" s="5" t="s">
        <v>39</v>
      </c>
      <c r="P314" s="5" t="s">
        <v>38</v>
      </c>
      <c r="Q314" s="5" t="s">
        <v>38</v>
      </c>
      <c r="R314" s="5" t="s">
        <v>39</v>
      </c>
      <c r="S314" s="5" t="s">
        <v>41</v>
      </c>
      <c r="T314" s="5" t="s">
        <v>3045</v>
      </c>
      <c r="U314" s="5" t="s">
        <v>3046</v>
      </c>
      <c r="V314" s="5" t="s">
        <v>2971</v>
      </c>
      <c r="W314" s="5" t="s">
        <v>2972</v>
      </c>
      <c r="X314" s="5"/>
      <c r="Y314" s="5"/>
      <c r="Z314" s="5" t="s">
        <v>46</v>
      </c>
      <c r="AA314" s="5" t="s">
        <v>2983</v>
      </c>
      <c r="AB314" s="5"/>
      <c r="AC314" s="7">
        <v>1</v>
      </c>
      <c r="AD314" t="str">
        <f>VLOOKUP($T314,[1]NhanSu!$C$5:$M$229,11,0)</f>
        <v>SM0000016</v>
      </c>
    </row>
    <row r="315" spans="1:30" x14ac:dyDescent="0.45">
      <c r="A315" s="8" t="s">
        <v>2965</v>
      </c>
      <c r="B315" s="4">
        <v>2286</v>
      </c>
      <c r="C315" s="4" t="s">
        <v>3748</v>
      </c>
      <c r="D315" s="4" t="s">
        <v>3749</v>
      </c>
      <c r="E315" s="4" t="s">
        <v>261</v>
      </c>
      <c r="F315" s="4" t="s">
        <v>115</v>
      </c>
      <c r="G315" s="4" t="s">
        <v>34</v>
      </c>
      <c r="H315" s="4" t="s">
        <v>402</v>
      </c>
      <c r="I315" s="4" t="s">
        <v>3750</v>
      </c>
      <c r="J315" s="4" t="s">
        <v>38</v>
      </c>
      <c r="K315" s="4" t="s">
        <v>38</v>
      </c>
      <c r="L315" s="4" t="s">
        <v>40</v>
      </c>
      <c r="M315" s="4" t="s">
        <v>38</v>
      </c>
      <c r="N315" s="4" t="s">
        <v>38</v>
      </c>
      <c r="O315" s="4" t="s">
        <v>40</v>
      </c>
      <c r="P315" s="4" t="s">
        <v>38</v>
      </c>
      <c r="Q315" s="4" t="s">
        <v>38</v>
      </c>
      <c r="R315" s="4" t="s">
        <v>40</v>
      </c>
      <c r="S315" s="4" t="s">
        <v>41</v>
      </c>
      <c r="T315" s="4" t="s">
        <v>2997</v>
      </c>
      <c r="U315" s="4" t="s">
        <v>2998</v>
      </c>
      <c r="V315" s="4" t="s">
        <v>2971</v>
      </c>
      <c r="W315" s="4" t="s">
        <v>2972</v>
      </c>
      <c r="X315" s="4"/>
      <c r="Y315" s="4"/>
      <c r="Z315" s="4" t="s">
        <v>46</v>
      </c>
      <c r="AA315" s="4" t="s">
        <v>3058</v>
      </c>
      <c r="AB315" s="4" t="s">
        <v>2999</v>
      </c>
      <c r="AC315" s="9">
        <v>1</v>
      </c>
      <c r="AD315" t="str">
        <f>VLOOKUP($T315,[1]NhanSu!$C$5:$M$229,11,0)</f>
        <v>SM0000164</v>
      </c>
    </row>
    <row r="316" spans="1:30" x14ac:dyDescent="0.45">
      <c r="A316" s="6" t="s">
        <v>2965</v>
      </c>
      <c r="B316" s="5">
        <v>2319</v>
      </c>
      <c r="C316" s="5" t="s">
        <v>3777</v>
      </c>
      <c r="D316" s="5" t="s">
        <v>3778</v>
      </c>
      <c r="E316" s="5" t="s">
        <v>3779</v>
      </c>
      <c r="F316" s="5" t="s">
        <v>3780</v>
      </c>
      <c r="G316" s="5" t="s">
        <v>34</v>
      </c>
      <c r="H316" s="5" t="s">
        <v>332</v>
      </c>
      <c r="I316" s="5" t="s">
        <v>3781</v>
      </c>
      <c r="J316" s="5" t="s">
        <v>38</v>
      </c>
      <c r="K316" s="5" t="s">
        <v>38</v>
      </c>
      <c r="L316" s="5" t="s">
        <v>40</v>
      </c>
      <c r="M316" s="5" t="s">
        <v>38</v>
      </c>
      <c r="N316" s="5" t="s">
        <v>38</v>
      </c>
      <c r="O316" s="5" t="s">
        <v>40</v>
      </c>
      <c r="P316" s="5" t="s">
        <v>38</v>
      </c>
      <c r="Q316" s="5" t="s">
        <v>38</v>
      </c>
      <c r="R316" s="5" t="s">
        <v>40</v>
      </c>
      <c r="S316" s="5" t="s">
        <v>41</v>
      </c>
      <c r="T316" s="5" t="s">
        <v>2997</v>
      </c>
      <c r="U316" s="5" t="s">
        <v>2998</v>
      </c>
      <c r="V316" s="5" t="s">
        <v>2971</v>
      </c>
      <c r="W316" s="5" t="s">
        <v>2972</v>
      </c>
      <c r="X316" s="5"/>
      <c r="Y316" s="5"/>
      <c r="Z316" s="5" t="s">
        <v>46</v>
      </c>
      <c r="AA316" s="5" t="s">
        <v>3036</v>
      </c>
      <c r="AB316" s="5" t="s">
        <v>117</v>
      </c>
      <c r="AC316" s="7">
        <v>1</v>
      </c>
      <c r="AD316" t="str">
        <f>VLOOKUP($T316,[1]NhanSu!$C$5:$M$229,11,0)</f>
        <v>SM0000164</v>
      </c>
    </row>
    <row r="317" spans="1:30" x14ac:dyDescent="0.45">
      <c r="A317" s="8" t="s">
        <v>2965</v>
      </c>
      <c r="B317" s="4">
        <v>2369</v>
      </c>
      <c r="C317" s="4" t="s">
        <v>3782</v>
      </c>
      <c r="D317" s="4" t="s">
        <v>3783</v>
      </c>
      <c r="E317" s="4" t="s">
        <v>3784</v>
      </c>
      <c r="F317" s="4" t="s">
        <v>3764</v>
      </c>
      <c r="G317" s="4" t="s">
        <v>177</v>
      </c>
      <c r="H317" s="4" t="s">
        <v>54</v>
      </c>
      <c r="I317" s="4" t="s">
        <v>3785</v>
      </c>
      <c r="J317" s="4" t="s">
        <v>38</v>
      </c>
      <c r="K317" s="4" t="s">
        <v>38</v>
      </c>
      <c r="L317" s="4" t="s">
        <v>40</v>
      </c>
      <c r="M317" s="4" t="s">
        <v>38</v>
      </c>
      <c r="N317" s="4" t="s">
        <v>38</v>
      </c>
      <c r="O317" s="4" t="s">
        <v>39</v>
      </c>
      <c r="P317" s="4" t="s">
        <v>37</v>
      </c>
      <c r="Q317" s="4" t="s">
        <v>37</v>
      </c>
      <c r="R317" s="4" t="s">
        <v>39</v>
      </c>
      <c r="S317" s="4" t="s">
        <v>41</v>
      </c>
      <c r="T317" s="4" t="s">
        <v>3192</v>
      </c>
      <c r="U317" s="4" t="s">
        <v>3046</v>
      </c>
      <c r="V317" s="4" t="s">
        <v>2971</v>
      </c>
      <c r="W317" s="4" t="s">
        <v>2972</v>
      </c>
      <c r="X317" s="4"/>
      <c r="Y317" s="4"/>
      <c r="Z317" s="4" t="s">
        <v>46</v>
      </c>
      <c r="AA317" s="4" t="s">
        <v>2983</v>
      </c>
      <c r="AB317" s="4"/>
      <c r="AC317" s="9">
        <v>1</v>
      </c>
      <c r="AD317" t="str">
        <f>VLOOKUP($T317,[1]NhanSu!$C$5:$M$229,11,0)</f>
        <v>SM0000018</v>
      </c>
    </row>
    <row r="318" spans="1:30" x14ac:dyDescent="0.45">
      <c r="A318" s="6" t="s">
        <v>2965</v>
      </c>
      <c r="B318" s="5">
        <v>2421</v>
      </c>
      <c r="C318" s="5" t="s">
        <v>3820</v>
      </c>
      <c r="D318" s="5" t="s">
        <v>3821</v>
      </c>
      <c r="E318" s="5" t="s">
        <v>3822</v>
      </c>
      <c r="F318" s="5" t="s">
        <v>53</v>
      </c>
      <c r="G318" s="5" t="s">
        <v>34</v>
      </c>
      <c r="H318" s="5" t="s">
        <v>54</v>
      </c>
      <c r="I318" s="5" t="s">
        <v>3823</v>
      </c>
      <c r="J318" s="5" t="s">
        <v>38</v>
      </c>
      <c r="K318" s="5" t="s">
        <v>38</v>
      </c>
      <c r="L318" s="5" t="s">
        <v>40</v>
      </c>
      <c r="M318" s="5" t="s">
        <v>38</v>
      </c>
      <c r="N318" s="5" t="s">
        <v>38</v>
      </c>
      <c r="O318" s="5" t="s">
        <v>39</v>
      </c>
      <c r="P318" s="5" t="s">
        <v>38</v>
      </c>
      <c r="Q318" s="5" t="s">
        <v>38</v>
      </c>
      <c r="R318" s="5" t="s">
        <v>39</v>
      </c>
      <c r="S318" s="5" t="s">
        <v>41</v>
      </c>
      <c r="T318" s="5" t="s">
        <v>2969</v>
      </c>
      <c r="U318" s="5" t="s">
        <v>2970</v>
      </c>
      <c r="V318" s="5" t="s">
        <v>2971</v>
      </c>
      <c r="W318" s="5" t="s">
        <v>2972</v>
      </c>
      <c r="X318" s="5"/>
      <c r="Y318" s="5"/>
      <c r="Z318" s="5" t="s">
        <v>46</v>
      </c>
      <c r="AA318" s="5" t="s">
        <v>3158</v>
      </c>
      <c r="AB318" s="5" t="s">
        <v>117</v>
      </c>
      <c r="AC318" s="7">
        <v>1</v>
      </c>
      <c r="AD318" t="str">
        <f>VLOOKUP($T318,[1]NhanSu!$C$5:$M$229,11,0)</f>
        <v>SM0000181</v>
      </c>
    </row>
    <row r="319" spans="1:30" x14ac:dyDescent="0.45">
      <c r="A319" s="8" t="s">
        <v>2965</v>
      </c>
      <c r="B319" s="4">
        <v>2465</v>
      </c>
      <c r="C319" s="4" t="s">
        <v>3852</v>
      </c>
      <c r="D319" s="4" t="s">
        <v>3853</v>
      </c>
      <c r="E319" s="4" t="s">
        <v>3854</v>
      </c>
      <c r="F319" s="4" t="s">
        <v>1573</v>
      </c>
      <c r="G319" s="4" t="s">
        <v>177</v>
      </c>
      <c r="H319" s="4" t="s">
        <v>54</v>
      </c>
      <c r="I319" s="4" t="s">
        <v>3855</v>
      </c>
      <c r="J319" s="4" t="s">
        <v>38</v>
      </c>
      <c r="K319" s="4" t="s">
        <v>38</v>
      </c>
      <c r="L319" s="4" t="s">
        <v>39</v>
      </c>
      <c r="M319" s="4" t="s">
        <v>38</v>
      </c>
      <c r="N319" s="4" t="s">
        <v>37</v>
      </c>
      <c r="O319" s="4" t="s">
        <v>39</v>
      </c>
      <c r="P319" s="4" t="s">
        <v>38</v>
      </c>
      <c r="Q319" s="4" t="s">
        <v>38</v>
      </c>
      <c r="R319" s="4" t="s">
        <v>39</v>
      </c>
      <c r="S319" s="4" t="s">
        <v>41</v>
      </c>
      <c r="T319" s="4" t="s">
        <v>3045</v>
      </c>
      <c r="U319" s="4" t="s">
        <v>3046</v>
      </c>
      <c r="V319" s="4" t="s">
        <v>2971</v>
      </c>
      <c r="W319" s="4" t="s">
        <v>2972</v>
      </c>
      <c r="X319" s="4"/>
      <c r="Y319" s="4"/>
      <c r="Z319" s="4" t="s">
        <v>46</v>
      </c>
      <c r="AA319" s="4" t="s">
        <v>2983</v>
      </c>
      <c r="AB319" s="4" t="s">
        <v>2999</v>
      </c>
      <c r="AC319" s="9">
        <v>1</v>
      </c>
      <c r="AD319" t="str">
        <f>VLOOKUP($T319,[1]NhanSu!$C$5:$M$229,11,0)</f>
        <v>SM0000016</v>
      </c>
    </row>
    <row r="320" spans="1:30" x14ac:dyDescent="0.45">
      <c r="A320" s="6" t="s">
        <v>2965</v>
      </c>
      <c r="B320" s="5">
        <v>2494</v>
      </c>
      <c r="C320" s="5" t="s">
        <v>3864</v>
      </c>
      <c r="D320" s="5" t="s">
        <v>3865</v>
      </c>
      <c r="E320" s="5" t="s">
        <v>3866</v>
      </c>
      <c r="F320" s="5" t="s">
        <v>1024</v>
      </c>
      <c r="G320" s="5" t="s">
        <v>34</v>
      </c>
      <c r="H320" s="5" t="s">
        <v>54</v>
      </c>
      <c r="I320" s="5" t="s">
        <v>3867</v>
      </c>
      <c r="J320" s="5" t="s">
        <v>38</v>
      </c>
      <c r="K320" s="5" t="s">
        <v>38</v>
      </c>
      <c r="L320" s="5" t="s">
        <v>39</v>
      </c>
      <c r="M320" s="5" t="s">
        <v>38</v>
      </c>
      <c r="N320" s="5" t="s">
        <v>37</v>
      </c>
      <c r="O320" s="5" t="s">
        <v>39</v>
      </c>
      <c r="P320" s="5" t="s">
        <v>38</v>
      </c>
      <c r="Q320" s="5" t="s">
        <v>38</v>
      </c>
      <c r="R320" s="5" t="s">
        <v>39</v>
      </c>
      <c r="S320" s="5" t="s">
        <v>41</v>
      </c>
      <c r="T320" s="5" t="s">
        <v>3057</v>
      </c>
      <c r="U320" s="5" t="s">
        <v>2970</v>
      </c>
      <c r="V320" s="5" t="s">
        <v>2971</v>
      </c>
      <c r="W320" s="5" t="s">
        <v>2972</v>
      </c>
      <c r="X320" s="5"/>
      <c r="Y320" s="5"/>
      <c r="Z320" s="5" t="s">
        <v>46</v>
      </c>
      <c r="AA320" s="5" t="s">
        <v>3158</v>
      </c>
      <c r="AB320" s="5" t="s">
        <v>117</v>
      </c>
      <c r="AC320" s="7">
        <v>1</v>
      </c>
      <c r="AD320" t="str">
        <f>VLOOKUP($T320,[1]NhanSu!$C$5:$M$229,11,0)</f>
        <v>SM0000009</v>
      </c>
    </row>
    <row r="321" spans="1:30" x14ac:dyDescent="0.45">
      <c r="A321" s="8" t="s">
        <v>2965</v>
      </c>
      <c r="B321" s="4">
        <v>2504</v>
      </c>
      <c r="C321" s="4" t="s">
        <v>3875</v>
      </c>
      <c r="D321" s="4" t="s">
        <v>3876</v>
      </c>
      <c r="E321" s="4" t="s">
        <v>3877</v>
      </c>
      <c r="F321" s="4" t="s">
        <v>3878</v>
      </c>
      <c r="G321" s="4" t="s">
        <v>177</v>
      </c>
      <c r="H321" s="4" t="s">
        <v>565</v>
      </c>
      <c r="I321" s="4" t="s">
        <v>3879</v>
      </c>
      <c r="J321" s="4" t="s">
        <v>38</v>
      </c>
      <c r="K321" s="4" t="s">
        <v>38</v>
      </c>
      <c r="L321" s="4" t="s">
        <v>39</v>
      </c>
      <c r="M321" s="4" t="s">
        <v>38</v>
      </c>
      <c r="N321" s="4" t="s">
        <v>37</v>
      </c>
      <c r="O321" s="4" t="s">
        <v>39</v>
      </c>
      <c r="P321" s="4" t="s">
        <v>38</v>
      </c>
      <c r="Q321" s="4" t="s">
        <v>38</v>
      </c>
      <c r="R321" s="4" t="s">
        <v>40</v>
      </c>
      <c r="S321" s="4" t="s">
        <v>3880</v>
      </c>
      <c r="T321" s="4" t="s">
        <v>3020</v>
      </c>
      <c r="U321" s="4" t="s">
        <v>3021</v>
      </c>
      <c r="V321" s="4" t="s">
        <v>2971</v>
      </c>
      <c r="W321" s="4" t="s">
        <v>2972</v>
      </c>
      <c r="X321" s="4"/>
      <c r="Y321" s="4"/>
      <c r="Z321" s="4" t="s">
        <v>46</v>
      </c>
      <c r="AA321" s="4" t="s">
        <v>3058</v>
      </c>
      <c r="AB321" s="4" t="s">
        <v>2999</v>
      </c>
      <c r="AC321" s="9">
        <v>1</v>
      </c>
      <c r="AD321" t="str">
        <f>VLOOKUP($T321,[1]NhanSu!$C$5:$M$229,11,0)</f>
        <v>SM0000008</v>
      </c>
    </row>
    <row r="322" spans="1:30" x14ac:dyDescent="0.45">
      <c r="A322" s="6" t="s">
        <v>2965</v>
      </c>
      <c r="B322" s="5">
        <v>2517</v>
      </c>
      <c r="C322" s="5" t="s">
        <v>3881</v>
      </c>
      <c r="D322" s="5" t="s">
        <v>3882</v>
      </c>
      <c r="E322" s="5" t="s">
        <v>370</v>
      </c>
      <c r="F322" s="5" t="s">
        <v>3522</v>
      </c>
      <c r="G322" s="5" t="s">
        <v>34</v>
      </c>
      <c r="H322" s="5" t="s">
        <v>842</v>
      </c>
      <c r="I322" s="5" t="s">
        <v>3883</v>
      </c>
      <c r="J322" s="5" t="s">
        <v>37</v>
      </c>
      <c r="K322" s="5" t="s">
        <v>37</v>
      </c>
      <c r="L322" s="5" t="s">
        <v>39</v>
      </c>
      <c r="M322" s="5" t="s">
        <v>37</v>
      </c>
      <c r="N322" s="5" t="s">
        <v>37</v>
      </c>
      <c r="O322" s="5" t="s">
        <v>39</v>
      </c>
      <c r="P322" s="5" t="s">
        <v>38</v>
      </c>
      <c r="Q322" s="5" t="s">
        <v>38</v>
      </c>
      <c r="R322" s="5" t="s">
        <v>40</v>
      </c>
      <c r="S322" s="5" t="s">
        <v>41</v>
      </c>
      <c r="T322" s="5" t="s">
        <v>2969</v>
      </c>
      <c r="U322" s="5" t="s">
        <v>2970</v>
      </c>
      <c r="V322" s="5" t="s">
        <v>2971</v>
      </c>
      <c r="W322" s="5" t="s">
        <v>2972</v>
      </c>
      <c r="X322" s="5"/>
      <c r="Y322" s="5"/>
      <c r="Z322" s="5" t="s">
        <v>46</v>
      </c>
      <c r="AA322" s="5" t="s">
        <v>3058</v>
      </c>
      <c r="AB322" s="5" t="s">
        <v>2999</v>
      </c>
      <c r="AC322" s="7">
        <v>1</v>
      </c>
      <c r="AD322" t="str">
        <f>VLOOKUP($T322,[1]NhanSu!$C$5:$M$229,11,0)</f>
        <v>SM0000181</v>
      </c>
    </row>
    <row r="323" spans="1:30" x14ac:dyDescent="0.45">
      <c r="A323" s="8" t="s">
        <v>2965</v>
      </c>
      <c r="B323" s="4">
        <v>2557</v>
      </c>
      <c r="C323" s="4" t="s">
        <v>3895</v>
      </c>
      <c r="D323" s="4" t="s">
        <v>3896</v>
      </c>
      <c r="E323" s="4" t="s">
        <v>3897</v>
      </c>
      <c r="F323" s="4" t="s">
        <v>325</v>
      </c>
      <c r="G323" s="4" t="s">
        <v>34</v>
      </c>
      <c r="H323" s="4" t="s">
        <v>54</v>
      </c>
      <c r="I323" s="4" t="s">
        <v>3898</v>
      </c>
      <c r="J323" s="4" t="s">
        <v>38</v>
      </c>
      <c r="K323" s="4" t="s">
        <v>38</v>
      </c>
      <c r="L323" s="4" t="s">
        <v>40</v>
      </c>
      <c r="M323" s="4" t="s">
        <v>38</v>
      </c>
      <c r="N323" s="4" t="s">
        <v>38</v>
      </c>
      <c r="O323" s="4" t="s">
        <v>40</v>
      </c>
      <c r="P323" s="4" t="s">
        <v>38</v>
      </c>
      <c r="Q323" s="4" t="s">
        <v>38</v>
      </c>
      <c r="R323" s="4" t="s">
        <v>40</v>
      </c>
      <c r="S323" s="4" t="s">
        <v>41</v>
      </c>
      <c r="T323" s="4" t="s">
        <v>2997</v>
      </c>
      <c r="U323" s="4" t="s">
        <v>2998</v>
      </c>
      <c r="V323" s="4" t="s">
        <v>2971</v>
      </c>
      <c r="W323" s="4" t="s">
        <v>2972</v>
      </c>
      <c r="X323" s="4"/>
      <c r="Y323" s="4"/>
      <c r="Z323" s="4" t="s">
        <v>46</v>
      </c>
      <c r="AA323" s="4" t="s">
        <v>3058</v>
      </c>
      <c r="AB323" s="4" t="s">
        <v>2999</v>
      </c>
      <c r="AC323" s="9">
        <v>1</v>
      </c>
      <c r="AD323" t="str">
        <f>VLOOKUP($T323,[1]NhanSu!$C$5:$M$229,11,0)</f>
        <v>SM0000164</v>
      </c>
    </row>
    <row r="324" spans="1:30" x14ac:dyDescent="0.45">
      <c r="A324" s="6" t="s">
        <v>2965</v>
      </c>
      <c r="B324" s="5">
        <v>2619</v>
      </c>
      <c r="C324" s="5" t="s">
        <v>3913</v>
      </c>
      <c r="D324" s="5" t="s">
        <v>3914</v>
      </c>
      <c r="E324" s="5" t="s">
        <v>1695</v>
      </c>
      <c r="F324" s="5" t="s">
        <v>3522</v>
      </c>
      <c r="G324" s="5" t="s">
        <v>177</v>
      </c>
      <c r="H324" s="5" t="s">
        <v>35</v>
      </c>
      <c r="I324" s="5" t="s">
        <v>3915</v>
      </c>
      <c r="J324" s="5" t="s">
        <v>37</v>
      </c>
      <c r="K324" s="5" t="s">
        <v>37</v>
      </c>
      <c r="L324" s="5" t="s">
        <v>40</v>
      </c>
      <c r="M324" s="5" t="s">
        <v>37</v>
      </c>
      <c r="N324" s="5" t="s">
        <v>37</v>
      </c>
      <c r="O324" s="5" t="s">
        <v>40</v>
      </c>
      <c r="P324" s="5" t="s">
        <v>38</v>
      </c>
      <c r="Q324" s="5" t="s">
        <v>38</v>
      </c>
      <c r="R324" s="5" t="s">
        <v>40</v>
      </c>
      <c r="S324" s="5" t="s">
        <v>3579</v>
      </c>
      <c r="T324" s="5" t="s">
        <v>2976</v>
      </c>
      <c r="U324" s="5" t="s">
        <v>2977</v>
      </c>
      <c r="V324" s="5" t="s">
        <v>2971</v>
      </c>
      <c r="W324" s="5" t="s">
        <v>2972</v>
      </c>
      <c r="X324" s="5"/>
      <c r="Y324" s="5"/>
      <c r="Z324" s="5" t="s">
        <v>46</v>
      </c>
      <c r="AA324" s="5" t="s">
        <v>2983</v>
      </c>
      <c r="AB324" s="5" t="s">
        <v>2999</v>
      </c>
      <c r="AC324" s="7">
        <v>1</v>
      </c>
      <c r="AD324" t="str">
        <f>VLOOKUP($T324,[1]NhanSu!$C$5:$M$229,11,0)</f>
        <v>SM0000007</v>
      </c>
    </row>
    <row r="325" spans="1:30" x14ac:dyDescent="0.45">
      <c r="A325" s="8" t="s">
        <v>2965</v>
      </c>
      <c r="B325" s="4">
        <v>2706</v>
      </c>
      <c r="C325" s="4" t="s">
        <v>3956</v>
      </c>
      <c r="D325" s="4" t="s">
        <v>3957</v>
      </c>
      <c r="E325" s="4" t="s">
        <v>674</v>
      </c>
      <c r="F325" s="4" t="s">
        <v>325</v>
      </c>
      <c r="G325" s="4" t="s">
        <v>34</v>
      </c>
      <c r="H325" s="4" t="s">
        <v>171</v>
      </c>
      <c r="I325" s="4" t="s">
        <v>3958</v>
      </c>
      <c r="J325" s="4" t="s">
        <v>38</v>
      </c>
      <c r="K325" s="4" t="s">
        <v>38</v>
      </c>
      <c r="L325" s="4" t="s">
        <v>40</v>
      </c>
      <c r="M325" s="4" t="s">
        <v>38</v>
      </c>
      <c r="N325" s="4" t="s">
        <v>38</v>
      </c>
      <c r="O325" s="4" t="s">
        <v>40</v>
      </c>
      <c r="P325" s="4" t="s">
        <v>38</v>
      </c>
      <c r="Q325" s="4" t="s">
        <v>38</v>
      </c>
      <c r="R325" s="4" t="s">
        <v>40</v>
      </c>
      <c r="S325" s="4" t="s">
        <v>41</v>
      </c>
      <c r="T325" s="4" t="s">
        <v>2997</v>
      </c>
      <c r="U325" s="4" t="s">
        <v>2998</v>
      </c>
      <c r="V325" s="4" t="s">
        <v>2971</v>
      </c>
      <c r="W325" s="4" t="s">
        <v>2978</v>
      </c>
      <c r="X325" s="4"/>
      <c r="Y325" s="4"/>
      <c r="Z325" s="4" t="s">
        <v>46</v>
      </c>
      <c r="AA325" s="4" t="s">
        <v>3058</v>
      </c>
      <c r="AB325" s="4" t="s">
        <v>3012</v>
      </c>
      <c r="AC325" s="9">
        <v>1</v>
      </c>
      <c r="AD325" t="str">
        <f>VLOOKUP($T325,[1]NhanSu!$C$5:$M$229,11,0)</f>
        <v>SM0000164</v>
      </c>
    </row>
    <row r="326" spans="1:30" x14ac:dyDescent="0.45">
      <c r="A326" s="6" t="s">
        <v>2965</v>
      </c>
      <c r="B326" s="5">
        <v>2718</v>
      </c>
      <c r="C326" s="5" t="s">
        <v>3962</v>
      </c>
      <c r="D326" s="5" t="s">
        <v>3963</v>
      </c>
      <c r="E326" s="5" t="s">
        <v>883</v>
      </c>
      <c r="F326" s="5" t="s">
        <v>53</v>
      </c>
      <c r="G326" s="5" t="s">
        <v>34</v>
      </c>
      <c r="H326" s="5" t="s">
        <v>54</v>
      </c>
      <c r="I326" s="5" t="s">
        <v>3964</v>
      </c>
      <c r="J326" s="5" t="s">
        <v>38</v>
      </c>
      <c r="K326" s="5" t="s">
        <v>38</v>
      </c>
      <c r="L326" s="5" t="s">
        <v>39</v>
      </c>
      <c r="M326" s="5" t="s">
        <v>37</v>
      </c>
      <c r="N326" s="5" t="s">
        <v>37</v>
      </c>
      <c r="O326" s="5" t="s">
        <v>39</v>
      </c>
      <c r="P326" s="5" t="s">
        <v>38</v>
      </c>
      <c r="Q326" s="5" t="s">
        <v>38</v>
      </c>
      <c r="R326" s="5" t="s">
        <v>39</v>
      </c>
      <c r="S326" s="5" t="s">
        <v>41</v>
      </c>
      <c r="T326" s="5" t="s">
        <v>3057</v>
      </c>
      <c r="U326" s="5" t="s">
        <v>2970</v>
      </c>
      <c r="V326" s="5" t="s">
        <v>2971</v>
      </c>
      <c r="W326" s="5" t="s">
        <v>2972</v>
      </c>
      <c r="X326" s="5"/>
      <c r="Y326" s="5"/>
      <c r="Z326" s="5" t="s">
        <v>46</v>
      </c>
      <c r="AA326" s="5" t="s">
        <v>3158</v>
      </c>
      <c r="AB326" s="5" t="s">
        <v>117</v>
      </c>
      <c r="AC326" s="7">
        <v>1</v>
      </c>
      <c r="AD326" t="str">
        <f>VLOOKUP($T326,[1]NhanSu!$C$5:$M$229,11,0)</f>
        <v>SM0000009</v>
      </c>
    </row>
    <row r="327" spans="1:30" x14ac:dyDescent="0.45">
      <c r="A327" s="8" t="s">
        <v>2965</v>
      </c>
      <c r="B327" s="4">
        <v>2738</v>
      </c>
      <c r="C327" s="4" t="s">
        <v>3976</v>
      </c>
      <c r="D327" s="4" t="s">
        <v>3977</v>
      </c>
      <c r="E327" s="4" t="s">
        <v>3978</v>
      </c>
      <c r="F327" s="4" t="s">
        <v>53</v>
      </c>
      <c r="G327" s="4" t="s">
        <v>34</v>
      </c>
      <c r="H327" s="4" t="s">
        <v>54</v>
      </c>
      <c r="I327" s="4" t="s">
        <v>3979</v>
      </c>
      <c r="J327" s="4" t="s">
        <v>38</v>
      </c>
      <c r="K327" s="4" t="s">
        <v>38</v>
      </c>
      <c r="L327" s="4" t="s">
        <v>40</v>
      </c>
      <c r="M327" s="4" t="s">
        <v>38</v>
      </c>
      <c r="N327" s="4" t="s">
        <v>38</v>
      </c>
      <c r="O327" s="4" t="s">
        <v>39</v>
      </c>
      <c r="P327" s="4" t="s">
        <v>38</v>
      </c>
      <c r="Q327" s="4" t="s">
        <v>38</v>
      </c>
      <c r="R327" s="4" t="s">
        <v>39</v>
      </c>
      <c r="S327" s="4" t="s">
        <v>41</v>
      </c>
      <c r="T327" s="4" t="s">
        <v>2969</v>
      </c>
      <c r="U327" s="4" t="s">
        <v>2970</v>
      </c>
      <c r="V327" s="4" t="s">
        <v>2971</v>
      </c>
      <c r="W327" s="4" t="s">
        <v>2972</v>
      </c>
      <c r="X327" s="4"/>
      <c r="Y327" s="4"/>
      <c r="Z327" s="4" t="s">
        <v>46</v>
      </c>
      <c r="AA327" s="4" t="s">
        <v>3158</v>
      </c>
      <c r="AB327" s="4" t="s">
        <v>117</v>
      </c>
      <c r="AC327" s="9">
        <v>1</v>
      </c>
      <c r="AD327" t="str">
        <f>VLOOKUP($T327,[1]NhanSu!$C$5:$M$229,11,0)</f>
        <v>SM0000181</v>
      </c>
    </row>
    <row r="328" spans="1:30" x14ac:dyDescent="0.45">
      <c r="A328" s="6" t="s">
        <v>2965</v>
      </c>
      <c r="B328" s="5">
        <v>2759</v>
      </c>
      <c r="C328" s="5" t="s">
        <v>3990</v>
      </c>
      <c r="D328" s="5" t="s">
        <v>3991</v>
      </c>
      <c r="E328" s="5" t="s">
        <v>1699</v>
      </c>
      <c r="F328" s="5" t="s">
        <v>3049</v>
      </c>
      <c r="G328" s="5" t="s">
        <v>177</v>
      </c>
      <c r="H328" s="5" t="s">
        <v>35</v>
      </c>
      <c r="I328" s="5" t="s">
        <v>3992</v>
      </c>
      <c r="J328" s="5" t="s">
        <v>38</v>
      </c>
      <c r="K328" s="5" t="s">
        <v>38</v>
      </c>
      <c r="L328" s="5" t="s">
        <v>39</v>
      </c>
      <c r="M328" s="5" t="s">
        <v>37</v>
      </c>
      <c r="N328" s="5" t="s">
        <v>37</v>
      </c>
      <c r="O328" s="5" t="s">
        <v>121</v>
      </c>
      <c r="P328" s="5" t="s">
        <v>38</v>
      </c>
      <c r="Q328" s="5" t="s">
        <v>38</v>
      </c>
      <c r="R328" s="5" t="s">
        <v>39</v>
      </c>
      <c r="S328" s="5" t="s">
        <v>3003</v>
      </c>
      <c r="T328" s="5" t="s">
        <v>2976</v>
      </c>
      <c r="U328" s="5" t="s">
        <v>2977</v>
      </c>
      <c r="V328" s="5" t="s">
        <v>2971</v>
      </c>
      <c r="W328" s="5" t="s">
        <v>2972</v>
      </c>
      <c r="X328" s="5"/>
      <c r="Y328" s="5"/>
      <c r="Z328" s="5" t="s">
        <v>46</v>
      </c>
      <c r="AA328" s="5" t="s">
        <v>2983</v>
      </c>
      <c r="AB328" s="5" t="s">
        <v>117</v>
      </c>
      <c r="AC328" s="7">
        <v>1</v>
      </c>
      <c r="AD328" t="str">
        <f>VLOOKUP($T328,[1]NhanSu!$C$5:$M$229,11,0)</f>
        <v>SM0000007</v>
      </c>
    </row>
    <row r="329" spans="1:30" x14ac:dyDescent="0.45">
      <c r="A329" s="8" t="s">
        <v>2965</v>
      </c>
      <c r="B329" s="4">
        <v>2797</v>
      </c>
      <c r="C329" s="4" t="s">
        <v>4013</v>
      </c>
      <c r="D329" s="4" t="s">
        <v>4014</v>
      </c>
      <c r="E329" s="4" t="s">
        <v>4015</v>
      </c>
      <c r="F329" s="4" t="s">
        <v>581</v>
      </c>
      <c r="G329" s="4" t="s">
        <v>34</v>
      </c>
      <c r="H329" s="4" t="s">
        <v>54</v>
      </c>
      <c r="I329" s="4" t="s">
        <v>4016</v>
      </c>
      <c r="J329" s="4" t="s">
        <v>38</v>
      </c>
      <c r="K329" s="4" t="s">
        <v>38</v>
      </c>
      <c r="L329" s="4" t="s">
        <v>40</v>
      </c>
      <c r="M329" s="4" t="s">
        <v>38</v>
      </c>
      <c r="N329" s="4" t="s">
        <v>38</v>
      </c>
      <c r="O329" s="4" t="s">
        <v>40</v>
      </c>
      <c r="P329" s="4" t="s">
        <v>38</v>
      </c>
      <c r="Q329" s="4" t="s">
        <v>38</v>
      </c>
      <c r="R329" s="4" t="s">
        <v>40</v>
      </c>
      <c r="S329" s="4" t="s">
        <v>4017</v>
      </c>
      <c r="T329" s="4" t="s">
        <v>3020</v>
      </c>
      <c r="U329" s="4" t="s">
        <v>3021</v>
      </c>
      <c r="V329" s="4" t="s">
        <v>2971</v>
      </c>
      <c r="W329" s="4" t="s">
        <v>2972</v>
      </c>
      <c r="X329" s="4"/>
      <c r="Y329" s="4"/>
      <c r="Z329" s="4" t="s">
        <v>46</v>
      </c>
      <c r="AA329" s="4" t="s">
        <v>3036</v>
      </c>
      <c r="AB329" s="4" t="s">
        <v>117</v>
      </c>
      <c r="AC329" s="9">
        <v>1</v>
      </c>
      <c r="AD329" t="str">
        <f>VLOOKUP($T329,[1]NhanSu!$C$5:$M$229,11,0)</f>
        <v>SM0000008</v>
      </c>
    </row>
    <row r="330" spans="1:30" x14ac:dyDescent="0.45">
      <c r="A330" s="6" t="s">
        <v>2965</v>
      </c>
      <c r="B330" s="5">
        <v>2815</v>
      </c>
      <c r="C330" s="5" t="s">
        <v>4018</v>
      </c>
      <c r="D330" s="5" t="s">
        <v>4019</v>
      </c>
      <c r="E330" s="5" t="s">
        <v>98</v>
      </c>
      <c r="F330" s="5" t="s">
        <v>4020</v>
      </c>
      <c r="G330" s="5" t="s">
        <v>177</v>
      </c>
      <c r="H330" s="5" t="s">
        <v>54</v>
      </c>
      <c r="I330" s="5" t="s">
        <v>4021</v>
      </c>
      <c r="J330" s="5" t="s">
        <v>38</v>
      </c>
      <c r="K330" s="5" t="s">
        <v>38</v>
      </c>
      <c r="L330" s="5" t="s">
        <v>39</v>
      </c>
      <c r="M330" s="5" t="s">
        <v>37</v>
      </c>
      <c r="N330" s="5" t="s">
        <v>37</v>
      </c>
      <c r="O330" s="5" t="s">
        <v>121</v>
      </c>
      <c r="P330" s="5" t="s">
        <v>38</v>
      </c>
      <c r="Q330" s="5" t="s">
        <v>38</v>
      </c>
      <c r="R330" s="5" t="s">
        <v>39</v>
      </c>
      <c r="S330" s="5" t="s">
        <v>4022</v>
      </c>
      <c r="T330" s="5" t="s">
        <v>2976</v>
      </c>
      <c r="U330" s="5" t="s">
        <v>2977</v>
      </c>
      <c r="V330" s="5" t="s">
        <v>2971</v>
      </c>
      <c r="W330" s="5" t="s">
        <v>2972</v>
      </c>
      <c r="X330" s="5"/>
      <c r="Y330" s="5"/>
      <c r="Z330" s="5" t="s">
        <v>46</v>
      </c>
      <c r="AA330" s="5" t="s">
        <v>2983</v>
      </c>
      <c r="AB330" s="5" t="s">
        <v>117</v>
      </c>
      <c r="AC330" s="7">
        <v>1</v>
      </c>
      <c r="AD330" t="str">
        <f>VLOOKUP($T330,[1]NhanSu!$C$5:$M$229,11,0)</f>
        <v>SM0000007</v>
      </c>
    </row>
    <row r="331" spans="1:30" x14ac:dyDescent="0.45">
      <c r="A331" s="8" t="s">
        <v>2965</v>
      </c>
      <c r="B331" s="4">
        <v>2945</v>
      </c>
      <c r="C331" s="4" t="s">
        <v>4051</v>
      </c>
      <c r="D331" s="4" t="s">
        <v>4052</v>
      </c>
      <c r="E331" s="4" t="s">
        <v>4053</v>
      </c>
      <c r="F331" s="4" t="s">
        <v>3764</v>
      </c>
      <c r="G331" s="4" t="s">
        <v>34</v>
      </c>
      <c r="H331" s="4" t="s">
        <v>171</v>
      </c>
      <c r="I331" s="4" t="s">
        <v>4054</v>
      </c>
      <c r="J331" s="4" t="s">
        <v>56</v>
      </c>
      <c r="K331" s="4" t="s">
        <v>56</v>
      </c>
      <c r="L331" s="4" t="s">
        <v>40</v>
      </c>
      <c r="M331" s="4" t="s">
        <v>37</v>
      </c>
      <c r="N331" s="4" t="s">
        <v>37</v>
      </c>
      <c r="O331" s="4" t="s">
        <v>40</v>
      </c>
      <c r="P331" s="4" t="s">
        <v>37</v>
      </c>
      <c r="Q331" s="4" t="s">
        <v>37</v>
      </c>
      <c r="R331" s="4" t="s">
        <v>40</v>
      </c>
      <c r="S331" s="4" t="s">
        <v>41</v>
      </c>
      <c r="T331" s="4" t="s">
        <v>2976</v>
      </c>
      <c r="U331" s="4" t="s">
        <v>2977</v>
      </c>
      <c r="V331" s="4" t="s">
        <v>2971</v>
      </c>
      <c r="W331" s="4" t="s">
        <v>2978</v>
      </c>
      <c r="X331" s="4"/>
      <c r="Y331" s="4"/>
      <c r="Z331" s="4" t="s">
        <v>46</v>
      </c>
      <c r="AA331" s="4" t="s">
        <v>2983</v>
      </c>
      <c r="AB331" s="4"/>
      <c r="AC331" s="9">
        <v>1</v>
      </c>
      <c r="AD331" t="str">
        <f>VLOOKUP($T331,[1]NhanSu!$C$5:$M$229,11,0)</f>
        <v>SM0000007</v>
      </c>
    </row>
    <row r="332" spans="1:30" x14ac:dyDescent="0.45">
      <c r="A332" s="6" t="s">
        <v>2965</v>
      </c>
      <c r="B332" s="5">
        <v>2970</v>
      </c>
      <c r="C332" s="5" t="s">
        <v>4055</v>
      </c>
      <c r="D332" s="5" t="s">
        <v>4056</v>
      </c>
      <c r="E332" s="5" t="s">
        <v>4057</v>
      </c>
      <c r="F332" s="5" t="s">
        <v>884</v>
      </c>
      <c r="G332" s="5" t="s">
        <v>34</v>
      </c>
      <c r="H332" s="5" t="s">
        <v>1750</v>
      </c>
      <c r="I332" s="5" t="s">
        <v>4058</v>
      </c>
      <c r="J332" s="5" t="s">
        <v>37</v>
      </c>
      <c r="K332" s="5" t="s">
        <v>56</v>
      </c>
      <c r="L332" s="5" t="s">
        <v>40</v>
      </c>
      <c r="M332" s="5" t="s">
        <v>37</v>
      </c>
      <c r="N332" s="5" t="s">
        <v>37</v>
      </c>
      <c r="O332" s="5" t="s">
        <v>40</v>
      </c>
      <c r="P332" s="5" t="s">
        <v>38</v>
      </c>
      <c r="Q332" s="5" t="s">
        <v>38</v>
      </c>
      <c r="R332" s="5" t="s">
        <v>40</v>
      </c>
      <c r="S332" s="5" t="s">
        <v>41</v>
      </c>
      <c r="T332" s="5" t="s">
        <v>2976</v>
      </c>
      <c r="U332" s="5" t="s">
        <v>2977</v>
      </c>
      <c r="V332" s="5" t="s">
        <v>2971</v>
      </c>
      <c r="W332" s="5" t="s">
        <v>2978</v>
      </c>
      <c r="X332" s="5"/>
      <c r="Y332" s="5"/>
      <c r="Z332" s="5" t="s">
        <v>46</v>
      </c>
      <c r="AA332" s="5" t="s">
        <v>2983</v>
      </c>
      <c r="AB332" s="5" t="s">
        <v>117</v>
      </c>
      <c r="AC332" s="7">
        <v>1</v>
      </c>
      <c r="AD332" t="str">
        <f>VLOOKUP($T332,[1]NhanSu!$C$5:$M$229,11,0)</f>
        <v>SM0000007</v>
      </c>
    </row>
    <row r="333" spans="1:30" x14ac:dyDescent="0.45">
      <c r="A333" s="8" t="s">
        <v>2965</v>
      </c>
      <c r="B333" s="4">
        <v>2975</v>
      </c>
      <c r="C333" s="4" t="s">
        <v>4064</v>
      </c>
      <c r="D333" s="4" t="s">
        <v>4065</v>
      </c>
      <c r="E333" s="4" t="s">
        <v>4066</v>
      </c>
      <c r="F333" s="4" t="s">
        <v>417</v>
      </c>
      <c r="G333" s="4" t="s">
        <v>34</v>
      </c>
      <c r="H333" s="4" t="s">
        <v>1188</v>
      </c>
      <c r="I333" s="4" t="s">
        <v>4067</v>
      </c>
      <c r="J333" s="4" t="s">
        <v>37</v>
      </c>
      <c r="K333" s="4" t="s">
        <v>37</v>
      </c>
      <c r="L333" s="4" t="s">
        <v>39</v>
      </c>
      <c r="M333" s="4" t="s">
        <v>37</v>
      </c>
      <c r="N333" s="4" t="s">
        <v>56</v>
      </c>
      <c r="O333" s="4" t="s">
        <v>39</v>
      </c>
      <c r="P333" s="4" t="s">
        <v>38</v>
      </c>
      <c r="Q333" s="4" t="s">
        <v>38</v>
      </c>
      <c r="R333" s="4" t="s">
        <v>39</v>
      </c>
      <c r="S333" s="4" t="s">
        <v>41</v>
      </c>
      <c r="T333" s="4" t="s">
        <v>3057</v>
      </c>
      <c r="U333" s="4" t="s">
        <v>2970</v>
      </c>
      <c r="V333" s="4" t="s">
        <v>2971</v>
      </c>
      <c r="W333" s="4" t="s">
        <v>2972</v>
      </c>
      <c r="X333" s="4"/>
      <c r="Y333" s="4"/>
      <c r="Z333" s="4" t="s">
        <v>46</v>
      </c>
      <c r="AA333" s="4" t="s">
        <v>3058</v>
      </c>
      <c r="AB333" s="4" t="s">
        <v>2999</v>
      </c>
      <c r="AC333" s="9">
        <v>1</v>
      </c>
      <c r="AD333" t="str">
        <f>VLOOKUP($T333,[1]NhanSu!$C$5:$M$229,11,0)</f>
        <v>SM0000009</v>
      </c>
    </row>
    <row r="334" spans="1:30" x14ac:dyDescent="0.45">
      <c r="A334" s="6" t="s">
        <v>2965</v>
      </c>
      <c r="B334" s="5">
        <v>2986</v>
      </c>
      <c r="C334" s="5" t="s">
        <v>4085</v>
      </c>
      <c r="D334" s="5" t="s">
        <v>1502</v>
      </c>
      <c r="E334" s="5" t="s">
        <v>128</v>
      </c>
      <c r="F334" s="5" t="s">
        <v>4086</v>
      </c>
      <c r="G334" s="5" t="s">
        <v>34</v>
      </c>
      <c r="H334" s="5" t="s">
        <v>54</v>
      </c>
      <c r="I334" s="5" t="s">
        <v>4087</v>
      </c>
      <c r="J334" s="5" t="s">
        <v>38</v>
      </c>
      <c r="K334" s="5" t="s">
        <v>38</v>
      </c>
      <c r="L334" s="5" t="s">
        <v>39</v>
      </c>
      <c r="M334" s="5" t="s">
        <v>38</v>
      </c>
      <c r="N334" s="5" t="s">
        <v>38</v>
      </c>
      <c r="O334" s="5" t="s">
        <v>39</v>
      </c>
      <c r="P334" s="5" t="s">
        <v>38</v>
      </c>
      <c r="Q334" s="5" t="s">
        <v>38</v>
      </c>
      <c r="R334" s="5" t="s">
        <v>39</v>
      </c>
      <c r="S334" s="5" t="s">
        <v>41</v>
      </c>
      <c r="T334" s="5" t="s">
        <v>3192</v>
      </c>
      <c r="U334" s="5" t="s">
        <v>3046</v>
      </c>
      <c r="V334" s="5" t="s">
        <v>2971</v>
      </c>
      <c r="W334" s="5" t="s">
        <v>2972</v>
      </c>
      <c r="X334" s="5"/>
      <c r="Y334" s="5"/>
      <c r="Z334" s="5" t="s">
        <v>46</v>
      </c>
      <c r="AA334" s="5" t="s">
        <v>2983</v>
      </c>
      <c r="AB334" s="5"/>
      <c r="AC334" s="7">
        <v>1</v>
      </c>
      <c r="AD334" t="str">
        <f>VLOOKUP($T334,[1]NhanSu!$C$5:$M$229,11,0)</f>
        <v>SM0000018</v>
      </c>
    </row>
    <row r="335" spans="1:30" x14ac:dyDescent="0.45">
      <c r="A335" s="8" t="s">
        <v>2965</v>
      </c>
      <c r="B335" s="4">
        <v>3001</v>
      </c>
      <c r="C335" s="4" t="s">
        <v>4098</v>
      </c>
      <c r="D335" s="4" t="s">
        <v>4099</v>
      </c>
      <c r="E335" s="4" t="s">
        <v>128</v>
      </c>
      <c r="F335" s="4" t="s">
        <v>4100</v>
      </c>
      <c r="G335" s="4" t="s">
        <v>34</v>
      </c>
      <c r="H335" s="4" t="s">
        <v>54</v>
      </c>
      <c r="I335" s="4" t="s">
        <v>4101</v>
      </c>
      <c r="J335" s="4" t="s">
        <v>38</v>
      </c>
      <c r="K335" s="4" t="s">
        <v>38</v>
      </c>
      <c r="L335" s="4" t="s">
        <v>39</v>
      </c>
      <c r="M335" s="4" t="s">
        <v>38</v>
      </c>
      <c r="N335" s="4" t="s">
        <v>38</v>
      </c>
      <c r="O335" s="4" t="s">
        <v>39</v>
      </c>
      <c r="P335" s="4" t="s">
        <v>38</v>
      </c>
      <c r="Q335" s="4" t="s">
        <v>38</v>
      </c>
      <c r="R335" s="4" t="s">
        <v>39</v>
      </c>
      <c r="S335" s="4" t="s">
        <v>41</v>
      </c>
      <c r="T335" s="4" t="s">
        <v>3192</v>
      </c>
      <c r="U335" s="4" t="s">
        <v>3046</v>
      </c>
      <c r="V335" s="4" t="s">
        <v>2971</v>
      </c>
      <c r="W335" s="4" t="s">
        <v>2972</v>
      </c>
      <c r="X335" s="4"/>
      <c r="Y335" s="4"/>
      <c r="Z335" s="4" t="s">
        <v>46</v>
      </c>
      <c r="AA335" s="4" t="s">
        <v>2983</v>
      </c>
      <c r="AB335" s="4" t="s">
        <v>117</v>
      </c>
      <c r="AC335" s="9">
        <v>1</v>
      </c>
      <c r="AD335" t="str">
        <f>VLOOKUP($T335,[1]NhanSu!$C$5:$M$229,11,0)</f>
        <v>SM0000018</v>
      </c>
    </row>
    <row r="336" spans="1:30" x14ac:dyDescent="0.45">
      <c r="A336" s="6" t="s">
        <v>2965</v>
      </c>
      <c r="B336" s="5">
        <v>3011</v>
      </c>
      <c r="C336" s="5" t="s">
        <v>4109</v>
      </c>
      <c r="D336" s="5" t="s">
        <v>4110</v>
      </c>
      <c r="E336" s="5" t="s">
        <v>4111</v>
      </c>
      <c r="F336" s="5" t="s">
        <v>286</v>
      </c>
      <c r="G336" s="5" t="s">
        <v>177</v>
      </c>
      <c r="H336" s="5" t="s">
        <v>54</v>
      </c>
      <c r="I336" s="5" t="s">
        <v>4112</v>
      </c>
      <c r="J336" s="5" t="s">
        <v>38</v>
      </c>
      <c r="K336" s="5" t="s">
        <v>37</v>
      </c>
      <c r="L336" s="5" t="s">
        <v>39</v>
      </c>
      <c r="M336" s="5" t="s">
        <v>37</v>
      </c>
      <c r="N336" s="5" t="s">
        <v>37</v>
      </c>
      <c r="O336" s="5" t="s">
        <v>39</v>
      </c>
      <c r="P336" s="5" t="s">
        <v>38</v>
      </c>
      <c r="Q336" s="5" t="s">
        <v>38</v>
      </c>
      <c r="R336" s="5" t="s">
        <v>40</v>
      </c>
      <c r="S336" s="5" t="s">
        <v>41</v>
      </c>
      <c r="T336" s="5" t="s">
        <v>3057</v>
      </c>
      <c r="U336" s="5" t="s">
        <v>2970</v>
      </c>
      <c r="V336" s="5" t="s">
        <v>2971</v>
      </c>
      <c r="W336" s="5" t="s">
        <v>2972</v>
      </c>
      <c r="X336" s="5"/>
      <c r="Y336" s="5"/>
      <c r="Z336" s="5" t="s">
        <v>46</v>
      </c>
      <c r="AA336" s="5" t="s">
        <v>3058</v>
      </c>
      <c r="AB336" s="5" t="s">
        <v>2999</v>
      </c>
      <c r="AC336" s="7">
        <v>1</v>
      </c>
      <c r="AD336" t="str">
        <f>VLOOKUP($T336,[1]NhanSu!$C$5:$M$229,11,0)</f>
        <v>SM0000009</v>
      </c>
    </row>
    <row r="337" spans="1:30" x14ac:dyDescent="0.45">
      <c r="A337" s="8" t="s">
        <v>2965</v>
      </c>
      <c r="B337" s="4">
        <v>3040</v>
      </c>
      <c r="C337" s="4" t="s">
        <v>4125</v>
      </c>
      <c r="D337" s="4" t="s">
        <v>4126</v>
      </c>
      <c r="E337" s="4" t="s">
        <v>4127</v>
      </c>
      <c r="F337" s="4" t="s">
        <v>53</v>
      </c>
      <c r="G337" s="4" t="s">
        <v>34</v>
      </c>
      <c r="H337" s="4" t="s">
        <v>54</v>
      </c>
      <c r="I337" s="4" t="s">
        <v>4128</v>
      </c>
      <c r="J337" s="4" t="s">
        <v>38</v>
      </c>
      <c r="K337" s="4" t="s">
        <v>38</v>
      </c>
      <c r="L337" s="4" t="s">
        <v>39</v>
      </c>
      <c r="M337" s="4" t="s">
        <v>37</v>
      </c>
      <c r="N337" s="4" t="s">
        <v>37</v>
      </c>
      <c r="O337" s="4" t="s">
        <v>39</v>
      </c>
      <c r="P337" s="4" t="s">
        <v>38</v>
      </c>
      <c r="Q337" s="4" t="s">
        <v>38</v>
      </c>
      <c r="R337" s="4" t="s">
        <v>40</v>
      </c>
      <c r="S337" s="4" t="s">
        <v>41</v>
      </c>
      <c r="T337" s="4" t="s">
        <v>3057</v>
      </c>
      <c r="U337" s="4" t="s">
        <v>2970</v>
      </c>
      <c r="V337" s="4" t="s">
        <v>2971</v>
      </c>
      <c r="W337" s="4" t="s">
        <v>2972</v>
      </c>
      <c r="X337" s="4"/>
      <c r="Y337" s="4"/>
      <c r="Z337" s="4" t="s">
        <v>46</v>
      </c>
      <c r="AA337" s="4" t="s">
        <v>3158</v>
      </c>
      <c r="AB337" s="4" t="s">
        <v>117</v>
      </c>
      <c r="AC337" s="9">
        <v>1</v>
      </c>
      <c r="AD337" t="str">
        <f>VLOOKUP($T337,[1]NhanSu!$C$5:$M$229,11,0)</f>
        <v>SM0000009</v>
      </c>
    </row>
    <row r="338" spans="1:30" x14ac:dyDescent="0.45">
      <c r="A338" s="6" t="s">
        <v>2965</v>
      </c>
      <c r="B338" s="5">
        <v>3041</v>
      </c>
      <c r="C338" s="5" t="s">
        <v>4129</v>
      </c>
      <c r="D338" s="5" t="s">
        <v>4130</v>
      </c>
      <c r="E338" s="5" t="s">
        <v>4131</v>
      </c>
      <c r="F338" s="5" t="s">
        <v>3115</v>
      </c>
      <c r="G338" s="5" t="s">
        <v>34</v>
      </c>
      <c r="H338" s="5" t="s">
        <v>54</v>
      </c>
      <c r="I338" s="5" t="s">
        <v>4132</v>
      </c>
      <c r="J338" s="5" t="s">
        <v>38</v>
      </c>
      <c r="K338" s="5" t="s">
        <v>38</v>
      </c>
      <c r="L338" s="5" t="s">
        <v>40</v>
      </c>
      <c r="M338" s="5" t="s">
        <v>38</v>
      </c>
      <c r="N338" s="5" t="s">
        <v>38</v>
      </c>
      <c r="O338" s="5" t="s">
        <v>40</v>
      </c>
      <c r="P338" s="5" t="s">
        <v>38</v>
      </c>
      <c r="Q338" s="5" t="s">
        <v>38</v>
      </c>
      <c r="R338" s="5" t="s">
        <v>40</v>
      </c>
      <c r="S338" s="5" t="s">
        <v>41</v>
      </c>
      <c r="T338" s="5" t="s">
        <v>2997</v>
      </c>
      <c r="U338" s="5" t="s">
        <v>2998</v>
      </c>
      <c r="V338" s="5" t="s">
        <v>2971</v>
      </c>
      <c r="W338" s="5" t="s">
        <v>2972</v>
      </c>
      <c r="X338" s="5"/>
      <c r="Y338" s="5"/>
      <c r="Z338" s="5" t="s">
        <v>46</v>
      </c>
      <c r="AA338" s="5" t="s">
        <v>3036</v>
      </c>
      <c r="AB338" s="5" t="s">
        <v>2999</v>
      </c>
      <c r="AC338" s="7">
        <v>1</v>
      </c>
      <c r="AD338" t="str">
        <f>VLOOKUP($T338,[1]NhanSu!$C$5:$M$229,11,0)</f>
        <v>SM0000164</v>
      </c>
    </row>
    <row r="339" spans="1:30" x14ac:dyDescent="0.45">
      <c r="A339" s="8" t="s">
        <v>2965</v>
      </c>
      <c r="B339" s="4">
        <v>3062</v>
      </c>
      <c r="C339" s="4" t="s">
        <v>4143</v>
      </c>
      <c r="D339" s="4" t="s">
        <v>4144</v>
      </c>
      <c r="E339" s="4" t="s">
        <v>176</v>
      </c>
      <c r="F339" s="4" t="s">
        <v>53</v>
      </c>
      <c r="G339" s="4" t="s">
        <v>34</v>
      </c>
      <c r="H339" s="4" t="s">
        <v>54</v>
      </c>
      <c r="I339" s="4" t="s">
        <v>4145</v>
      </c>
      <c r="J339" s="4" t="s">
        <v>38</v>
      </c>
      <c r="K339" s="4" t="s">
        <v>56</v>
      </c>
      <c r="L339" s="4" t="s">
        <v>40</v>
      </c>
      <c r="M339" s="4" t="s">
        <v>38</v>
      </c>
      <c r="N339" s="4" t="s">
        <v>56</v>
      </c>
      <c r="O339" s="4" t="s">
        <v>39</v>
      </c>
      <c r="P339" s="4" t="s">
        <v>56</v>
      </c>
      <c r="Q339" s="4" t="s">
        <v>56</v>
      </c>
      <c r="R339" s="4" t="s">
        <v>39</v>
      </c>
      <c r="S339" s="4" t="s">
        <v>41</v>
      </c>
      <c r="T339" s="4" t="s">
        <v>3045</v>
      </c>
      <c r="U339" s="4" t="s">
        <v>3046</v>
      </c>
      <c r="V339" s="4" t="s">
        <v>2971</v>
      </c>
      <c r="W339" s="4" t="s">
        <v>2972</v>
      </c>
      <c r="X339" s="4"/>
      <c r="Y339" s="4"/>
      <c r="Z339" s="4" t="s">
        <v>46</v>
      </c>
      <c r="AA339" s="4" t="s">
        <v>2983</v>
      </c>
      <c r="AB339" s="4" t="s">
        <v>117</v>
      </c>
      <c r="AC339" s="9">
        <v>1</v>
      </c>
      <c r="AD339" t="str">
        <f>VLOOKUP($T339,[1]NhanSu!$C$5:$M$229,11,0)</f>
        <v>SM0000016</v>
      </c>
    </row>
    <row r="340" spans="1:30" x14ac:dyDescent="0.45">
      <c r="A340" s="6" t="s">
        <v>2965</v>
      </c>
      <c r="B340" s="5">
        <v>3102</v>
      </c>
      <c r="C340" s="5" t="s">
        <v>4165</v>
      </c>
      <c r="D340" s="5" t="s">
        <v>4166</v>
      </c>
      <c r="E340" s="5" t="s">
        <v>4167</v>
      </c>
      <c r="F340" s="5" t="s">
        <v>559</v>
      </c>
      <c r="G340" s="5" t="s">
        <v>34</v>
      </c>
      <c r="H340" s="5" t="s">
        <v>214</v>
      </c>
      <c r="I340" s="5" t="s">
        <v>4168</v>
      </c>
      <c r="J340" s="5" t="s">
        <v>38</v>
      </c>
      <c r="K340" s="5" t="s">
        <v>38</v>
      </c>
      <c r="L340" s="5" t="s">
        <v>39</v>
      </c>
      <c r="M340" s="5" t="s">
        <v>38</v>
      </c>
      <c r="N340" s="5" t="s">
        <v>38</v>
      </c>
      <c r="O340" s="5" t="s">
        <v>40</v>
      </c>
      <c r="P340" s="5" t="s">
        <v>38</v>
      </c>
      <c r="Q340" s="5" t="s">
        <v>38</v>
      </c>
      <c r="R340" s="5" t="s">
        <v>39</v>
      </c>
      <c r="S340" s="5" t="s">
        <v>41</v>
      </c>
      <c r="T340" s="5" t="s">
        <v>2997</v>
      </c>
      <c r="U340" s="5" t="s">
        <v>2998</v>
      </c>
      <c r="V340" s="5" t="s">
        <v>2971</v>
      </c>
      <c r="W340" s="5" t="s">
        <v>2972</v>
      </c>
      <c r="X340" s="5"/>
      <c r="Y340" s="5"/>
      <c r="Z340" s="5" t="s">
        <v>46</v>
      </c>
      <c r="AA340" s="5" t="s">
        <v>3036</v>
      </c>
      <c r="AB340" s="5" t="s">
        <v>117</v>
      </c>
      <c r="AC340" s="7">
        <v>1</v>
      </c>
      <c r="AD340" t="str">
        <f>VLOOKUP($T340,[1]NhanSu!$C$5:$M$229,11,0)</f>
        <v>SM0000164</v>
      </c>
    </row>
    <row r="341" spans="1:30" x14ac:dyDescent="0.45">
      <c r="A341" s="8" t="s">
        <v>2965</v>
      </c>
      <c r="B341" s="4">
        <v>3157</v>
      </c>
      <c r="C341" s="4" t="s">
        <v>4177</v>
      </c>
      <c r="D341" s="4" t="s">
        <v>4178</v>
      </c>
      <c r="E341" s="4" t="s">
        <v>68</v>
      </c>
      <c r="F341" s="4" t="s">
        <v>53</v>
      </c>
      <c r="G341" s="4" t="s">
        <v>34</v>
      </c>
      <c r="H341" s="4" t="s">
        <v>54</v>
      </c>
      <c r="I341" s="4" t="s">
        <v>4179</v>
      </c>
      <c r="J341" s="4" t="s">
        <v>38</v>
      </c>
      <c r="K341" s="4" t="s">
        <v>38</v>
      </c>
      <c r="L341" s="4" t="s">
        <v>39</v>
      </c>
      <c r="M341" s="4" t="s">
        <v>38</v>
      </c>
      <c r="N341" s="4" t="s">
        <v>38</v>
      </c>
      <c r="O341" s="4" t="s">
        <v>39</v>
      </c>
      <c r="P341" s="4" t="s">
        <v>38</v>
      </c>
      <c r="Q341" s="4" t="s">
        <v>38</v>
      </c>
      <c r="R341" s="4" t="s">
        <v>39</v>
      </c>
      <c r="S341" s="4" t="s">
        <v>41</v>
      </c>
      <c r="T341" s="4" t="s">
        <v>3192</v>
      </c>
      <c r="U341" s="4" t="s">
        <v>3046</v>
      </c>
      <c r="V341" s="4" t="s">
        <v>2971</v>
      </c>
      <c r="W341" s="4" t="s">
        <v>2972</v>
      </c>
      <c r="X341" s="4"/>
      <c r="Y341" s="4"/>
      <c r="Z341" s="4" t="s">
        <v>46</v>
      </c>
      <c r="AA341" s="4" t="s">
        <v>2983</v>
      </c>
      <c r="AB341" s="4"/>
      <c r="AC341" s="9">
        <v>1</v>
      </c>
      <c r="AD341" t="str">
        <f>VLOOKUP($T341,[1]NhanSu!$C$5:$M$229,11,0)</f>
        <v>SM0000018</v>
      </c>
    </row>
    <row r="342" spans="1:30" x14ac:dyDescent="0.45">
      <c r="A342" s="6" t="s">
        <v>2965</v>
      </c>
      <c r="B342" s="5">
        <v>3186</v>
      </c>
      <c r="C342" s="5" t="s">
        <v>4180</v>
      </c>
      <c r="D342" s="5" t="s">
        <v>4181</v>
      </c>
      <c r="E342" s="5" t="s">
        <v>86</v>
      </c>
      <c r="F342" s="5" t="s">
        <v>325</v>
      </c>
      <c r="G342" s="5" t="s">
        <v>34</v>
      </c>
      <c r="H342" s="5" t="s">
        <v>4182</v>
      </c>
      <c r="I342" s="5" t="s">
        <v>4183</v>
      </c>
      <c r="J342" s="5" t="s">
        <v>38</v>
      </c>
      <c r="K342" s="5" t="s">
        <v>38</v>
      </c>
      <c r="L342" s="5" t="s">
        <v>40</v>
      </c>
      <c r="M342" s="5" t="s">
        <v>38</v>
      </c>
      <c r="N342" s="5" t="s">
        <v>37</v>
      </c>
      <c r="O342" s="5" t="s">
        <v>39</v>
      </c>
      <c r="P342" s="5" t="s">
        <v>38</v>
      </c>
      <c r="Q342" s="5" t="s">
        <v>38</v>
      </c>
      <c r="R342" s="5" t="s">
        <v>39</v>
      </c>
      <c r="S342" s="5" t="s">
        <v>41</v>
      </c>
      <c r="T342" s="5" t="s">
        <v>3192</v>
      </c>
      <c r="U342" s="5" t="s">
        <v>3046</v>
      </c>
      <c r="V342" s="5" t="s">
        <v>2971</v>
      </c>
      <c r="W342" s="5" t="s">
        <v>2972</v>
      </c>
      <c r="X342" s="5"/>
      <c r="Y342" s="5"/>
      <c r="Z342" s="5" t="s">
        <v>46</v>
      </c>
      <c r="AA342" s="5" t="s">
        <v>2983</v>
      </c>
      <c r="AB342" s="5"/>
      <c r="AC342" s="7">
        <v>1</v>
      </c>
      <c r="AD342" t="str">
        <f>VLOOKUP($T342,[1]NhanSu!$C$5:$M$229,11,0)</f>
        <v>SM0000018</v>
      </c>
    </row>
    <row r="343" spans="1:30" x14ac:dyDescent="0.45">
      <c r="A343" s="8" t="s">
        <v>2965</v>
      </c>
      <c r="B343" s="4">
        <v>3246</v>
      </c>
      <c r="C343" s="4" t="s">
        <v>4184</v>
      </c>
      <c r="D343" s="4" t="s">
        <v>4185</v>
      </c>
      <c r="E343" s="4" t="s">
        <v>4186</v>
      </c>
      <c r="F343" s="4" t="s">
        <v>53</v>
      </c>
      <c r="G343" s="4" t="s">
        <v>34</v>
      </c>
      <c r="H343" s="4" t="s">
        <v>54</v>
      </c>
      <c r="I343" s="4" t="s">
        <v>4187</v>
      </c>
      <c r="J343" s="4" t="s">
        <v>38</v>
      </c>
      <c r="K343" s="4" t="s">
        <v>38</v>
      </c>
      <c r="L343" s="4" t="s">
        <v>40</v>
      </c>
      <c r="M343" s="4" t="s">
        <v>37</v>
      </c>
      <c r="N343" s="4" t="s">
        <v>38</v>
      </c>
      <c r="O343" s="4" t="s">
        <v>39</v>
      </c>
      <c r="P343" s="4" t="s">
        <v>38</v>
      </c>
      <c r="Q343" s="4" t="s">
        <v>38</v>
      </c>
      <c r="R343" s="4" t="s">
        <v>39</v>
      </c>
      <c r="S343" s="4" t="s">
        <v>41</v>
      </c>
      <c r="T343" s="4" t="s">
        <v>2997</v>
      </c>
      <c r="U343" s="4" t="s">
        <v>2998</v>
      </c>
      <c r="V343" s="4" t="s">
        <v>2971</v>
      </c>
      <c r="W343" s="4" t="s">
        <v>2972</v>
      </c>
      <c r="X343" s="4"/>
      <c r="Y343" s="4"/>
      <c r="Z343" s="4" t="s">
        <v>46</v>
      </c>
      <c r="AA343" s="4" t="s">
        <v>3036</v>
      </c>
      <c r="AB343" s="4"/>
      <c r="AC343" s="9">
        <v>1</v>
      </c>
      <c r="AD343" t="str">
        <f>VLOOKUP($T343,[1]NhanSu!$C$5:$M$229,11,0)</f>
        <v>SM0000164</v>
      </c>
    </row>
    <row r="344" spans="1:30" x14ac:dyDescent="0.45">
      <c r="A344" s="6" t="s">
        <v>2965</v>
      </c>
      <c r="B344" s="5">
        <v>3247</v>
      </c>
      <c r="C344" s="5" t="s">
        <v>4188</v>
      </c>
      <c r="D344" s="5" t="s">
        <v>4189</v>
      </c>
      <c r="E344" s="5" t="s">
        <v>4190</v>
      </c>
      <c r="F344" s="5" t="s">
        <v>666</v>
      </c>
      <c r="G344" s="5" t="s">
        <v>34</v>
      </c>
      <c r="H344" s="5" t="s">
        <v>356</v>
      </c>
      <c r="I344" s="5" t="s">
        <v>4191</v>
      </c>
      <c r="J344" s="5" t="s">
        <v>38</v>
      </c>
      <c r="K344" s="5" t="s">
        <v>38</v>
      </c>
      <c r="L344" s="5" t="s">
        <v>39</v>
      </c>
      <c r="M344" s="5" t="s">
        <v>38</v>
      </c>
      <c r="N344" s="5" t="s">
        <v>38</v>
      </c>
      <c r="O344" s="5" t="s">
        <v>40</v>
      </c>
      <c r="P344" s="5" t="s">
        <v>38</v>
      </c>
      <c r="Q344" s="5" t="s">
        <v>38</v>
      </c>
      <c r="R344" s="5" t="s">
        <v>40</v>
      </c>
      <c r="S344" s="5" t="s">
        <v>41</v>
      </c>
      <c r="T344" s="5" t="s">
        <v>2997</v>
      </c>
      <c r="U344" s="5" t="s">
        <v>2998</v>
      </c>
      <c r="V344" s="5" t="s">
        <v>2971</v>
      </c>
      <c r="W344" s="5" t="s">
        <v>2972</v>
      </c>
      <c r="X344" s="5"/>
      <c r="Y344" s="5"/>
      <c r="Z344" s="5" t="s">
        <v>46</v>
      </c>
      <c r="AA344" s="5" t="s">
        <v>3036</v>
      </c>
      <c r="AB344" s="5"/>
      <c r="AC344" s="7">
        <v>1</v>
      </c>
      <c r="AD344" t="str">
        <f>VLOOKUP($T344,[1]NhanSu!$C$5:$M$229,11,0)</f>
        <v>SM0000164</v>
      </c>
    </row>
    <row r="345" spans="1:30" x14ac:dyDescent="0.45">
      <c r="A345" s="8" t="s">
        <v>2965</v>
      </c>
      <c r="B345" s="4">
        <v>3275</v>
      </c>
      <c r="C345" s="4" t="s">
        <v>4214</v>
      </c>
      <c r="D345" s="4" t="s">
        <v>4215</v>
      </c>
      <c r="E345" s="4" t="s">
        <v>4216</v>
      </c>
      <c r="F345" s="4" t="s">
        <v>581</v>
      </c>
      <c r="G345" s="4" t="s">
        <v>177</v>
      </c>
      <c r="H345" s="4" t="s">
        <v>685</v>
      </c>
      <c r="I345" s="4" t="s">
        <v>4217</v>
      </c>
      <c r="J345" s="4" t="s">
        <v>38</v>
      </c>
      <c r="K345" s="4" t="s">
        <v>38</v>
      </c>
      <c r="L345" s="4" t="s">
        <v>40</v>
      </c>
      <c r="M345" s="4" t="s">
        <v>38</v>
      </c>
      <c r="N345" s="4" t="s">
        <v>775</v>
      </c>
      <c r="O345" s="4" t="s">
        <v>121</v>
      </c>
      <c r="P345" s="4" t="s">
        <v>1034</v>
      </c>
      <c r="Q345" s="4" t="s">
        <v>56</v>
      </c>
      <c r="R345" s="4" t="s">
        <v>39</v>
      </c>
      <c r="S345" s="4" t="s">
        <v>4218</v>
      </c>
      <c r="T345" s="4" t="s">
        <v>3020</v>
      </c>
      <c r="U345" s="4" t="s">
        <v>3021</v>
      </c>
      <c r="V345" s="4" t="s">
        <v>2971</v>
      </c>
      <c r="W345" s="4" t="s">
        <v>2972</v>
      </c>
      <c r="X345" s="4"/>
      <c r="Y345" s="4"/>
      <c r="Z345" s="4" t="s">
        <v>46</v>
      </c>
      <c r="AA345" s="4" t="s">
        <v>3058</v>
      </c>
      <c r="AB345" s="4" t="s">
        <v>3012</v>
      </c>
      <c r="AC345" s="9">
        <v>1</v>
      </c>
      <c r="AD345" t="str">
        <f>VLOOKUP($T345,[1]NhanSu!$C$5:$M$229,11,0)</f>
        <v>SM0000008</v>
      </c>
    </row>
    <row r="346" spans="1:30" x14ac:dyDescent="0.45">
      <c r="A346" s="6" t="s">
        <v>4224</v>
      </c>
      <c r="B346" s="5">
        <v>374</v>
      </c>
      <c r="C346" s="5" t="s">
        <v>4238</v>
      </c>
      <c r="D346" s="5" t="s">
        <v>4239</v>
      </c>
      <c r="E346" s="5" t="s">
        <v>4240</v>
      </c>
      <c r="F346" s="5" t="s">
        <v>4241</v>
      </c>
      <c r="G346" s="5" t="s">
        <v>34</v>
      </c>
      <c r="H346" s="5" t="s">
        <v>2454</v>
      </c>
      <c r="I346" s="5" t="s">
        <v>4242</v>
      </c>
      <c r="J346" s="5" t="s">
        <v>38</v>
      </c>
      <c r="K346" s="5" t="s">
        <v>38</v>
      </c>
      <c r="L346" s="5" t="s">
        <v>40</v>
      </c>
      <c r="M346" s="5" t="s">
        <v>38</v>
      </c>
      <c r="N346" s="5" t="s">
        <v>38</v>
      </c>
      <c r="O346" s="5" t="s">
        <v>39</v>
      </c>
      <c r="P346" s="5" t="s">
        <v>38</v>
      </c>
      <c r="Q346" s="5" t="s">
        <v>38</v>
      </c>
      <c r="R346" s="5" t="s">
        <v>40</v>
      </c>
      <c r="S346" s="5" t="s">
        <v>41</v>
      </c>
      <c r="T346" s="5" t="s">
        <v>4243</v>
      </c>
      <c r="U346" s="5" t="s">
        <v>4244</v>
      </c>
      <c r="V346" s="5" t="s">
        <v>4230</v>
      </c>
      <c r="W346" s="5" t="s">
        <v>2972</v>
      </c>
      <c r="X346" s="5"/>
      <c r="Y346" s="5"/>
      <c r="Z346" s="5" t="s">
        <v>46</v>
      </c>
      <c r="AA346" s="5" t="s">
        <v>4245</v>
      </c>
      <c r="AB346" s="5"/>
      <c r="AC346" s="7">
        <v>1</v>
      </c>
      <c r="AD346" t="str">
        <f>VLOOKUP($T346,[1]NhanSu!$C$5:$M$229,11,0)</f>
        <v>SM0000011</v>
      </c>
    </row>
    <row r="347" spans="1:30" x14ac:dyDescent="0.45">
      <c r="A347" s="8" t="s">
        <v>4224</v>
      </c>
      <c r="B347" s="4">
        <v>376</v>
      </c>
      <c r="C347" s="4" t="s">
        <v>4246</v>
      </c>
      <c r="D347" s="4" t="s">
        <v>4247</v>
      </c>
      <c r="E347" s="4" t="s">
        <v>4248</v>
      </c>
      <c r="F347" s="4" t="s">
        <v>426</v>
      </c>
      <c r="G347" s="4" t="s">
        <v>34</v>
      </c>
      <c r="H347" s="4" t="s">
        <v>1639</v>
      </c>
      <c r="I347" s="4" t="s">
        <v>4249</v>
      </c>
      <c r="J347" s="4" t="s">
        <v>38</v>
      </c>
      <c r="K347" s="4" t="s">
        <v>38</v>
      </c>
      <c r="L347" s="4" t="s">
        <v>40</v>
      </c>
      <c r="M347" s="4" t="s">
        <v>38</v>
      </c>
      <c r="N347" s="4" t="s">
        <v>38</v>
      </c>
      <c r="O347" s="4" t="s">
        <v>39</v>
      </c>
      <c r="P347" s="4" t="s">
        <v>38</v>
      </c>
      <c r="Q347" s="4" t="s">
        <v>38</v>
      </c>
      <c r="R347" s="4" t="s">
        <v>40</v>
      </c>
      <c r="S347" s="4" t="s">
        <v>41</v>
      </c>
      <c r="T347" s="4" t="s">
        <v>4243</v>
      </c>
      <c r="U347" s="4" t="s">
        <v>4244</v>
      </c>
      <c r="V347" s="4" t="s">
        <v>4230</v>
      </c>
      <c r="W347" s="4" t="s">
        <v>2972</v>
      </c>
      <c r="X347" s="4"/>
      <c r="Y347" s="4"/>
      <c r="Z347" s="4" t="s">
        <v>46</v>
      </c>
      <c r="AA347" s="4" t="s">
        <v>4250</v>
      </c>
      <c r="AB347" s="4"/>
      <c r="AC347" s="9">
        <v>1</v>
      </c>
      <c r="AD347" t="str">
        <f>VLOOKUP($T347,[1]NhanSu!$C$5:$M$229,11,0)</f>
        <v>SM0000011</v>
      </c>
    </row>
    <row r="348" spans="1:30" x14ac:dyDescent="0.45">
      <c r="A348" s="6" t="s">
        <v>4224</v>
      </c>
      <c r="B348" s="5">
        <v>388</v>
      </c>
      <c r="C348" s="5" t="s">
        <v>4254</v>
      </c>
      <c r="D348" s="5" t="s">
        <v>4255</v>
      </c>
      <c r="E348" s="5" t="s">
        <v>68</v>
      </c>
      <c r="F348" s="5" t="s">
        <v>53</v>
      </c>
      <c r="G348" s="5" t="s">
        <v>34</v>
      </c>
      <c r="H348" s="5" t="s">
        <v>54</v>
      </c>
      <c r="I348" s="5" t="s">
        <v>4256</v>
      </c>
      <c r="J348" s="5" t="s">
        <v>38</v>
      </c>
      <c r="K348" s="5" t="s">
        <v>38</v>
      </c>
      <c r="L348" s="5" t="s">
        <v>40</v>
      </c>
      <c r="M348" s="5" t="s">
        <v>38</v>
      </c>
      <c r="N348" s="5" t="s">
        <v>38</v>
      </c>
      <c r="O348" s="5" t="s">
        <v>39</v>
      </c>
      <c r="P348" s="5" t="s">
        <v>38</v>
      </c>
      <c r="Q348" s="5" t="s">
        <v>38</v>
      </c>
      <c r="R348" s="5" t="s">
        <v>40</v>
      </c>
      <c r="S348" s="5" t="s">
        <v>41</v>
      </c>
      <c r="T348" s="5" t="s">
        <v>4243</v>
      </c>
      <c r="U348" s="5" t="s">
        <v>4244</v>
      </c>
      <c r="V348" s="5" t="s">
        <v>4230</v>
      </c>
      <c r="W348" s="5" t="s">
        <v>2972</v>
      </c>
      <c r="X348" s="5"/>
      <c r="Y348" s="5"/>
      <c r="Z348" s="5" t="s">
        <v>46</v>
      </c>
      <c r="AA348" s="5" t="s">
        <v>4245</v>
      </c>
      <c r="AB348" s="5"/>
      <c r="AC348" s="7">
        <v>1</v>
      </c>
      <c r="AD348" t="str">
        <f>VLOOKUP($T348,[1]NhanSu!$C$5:$M$229,11,0)</f>
        <v>SM0000011</v>
      </c>
    </row>
    <row r="349" spans="1:30" x14ac:dyDescent="0.45">
      <c r="A349" s="8" t="s">
        <v>4224</v>
      </c>
      <c r="B349" s="4">
        <v>399</v>
      </c>
      <c r="C349" s="4" t="s">
        <v>4261</v>
      </c>
      <c r="D349" s="4" t="s">
        <v>4262</v>
      </c>
      <c r="E349" s="4" t="s">
        <v>114</v>
      </c>
      <c r="F349" s="4" t="s">
        <v>53</v>
      </c>
      <c r="G349" s="4" t="s">
        <v>34</v>
      </c>
      <c r="H349" s="4" t="s">
        <v>54</v>
      </c>
      <c r="I349" s="4" t="s">
        <v>4263</v>
      </c>
      <c r="J349" s="4" t="s">
        <v>38</v>
      </c>
      <c r="K349" s="4" t="s">
        <v>38</v>
      </c>
      <c r="L349" s="4" t="s">
        <v>40</v>
      </c>
      <c r="M349" s="4" t="s">
        <v>38</v>
      </c>
      <c r="N349" s="4" t="s">
        <v>38</v>
      </c>
      <c r="O349" s="4" t="s">
        <v>39</v>
      </c>
      <c r="P349" s="4" t="s">
        <v>38</v>
      </c>
      <c r="Q349" s="4" t="s">
        <v>38</v>
      </c>
      <c r="R349" s="4" t="s">
        <v>40</v>
      </c>
      <c r="S349" s="4" t="s">
        <v>41</v>
      </c>
      <c r="T349" s="4" t="s">
        <v>4243</v>
      </c>
      <c r="U349" s="4" t="s">
        <v>4244</v>
      </c>
      <c r="V349" s="4" t="s">
        <v>4230</v>
      </c>
      <c r="W349" s="4" t="s">
        <v>2978</v>
      </c>
      <c r="X349" s="4"/>
      <c r="Y349" s="4"/>
      <c r="Z349" s="4" t="s">
        <v>46</v>
      </c>
      <c r="AA349" s="4" t="s">
        <v>4245</v>
      </c>
      <c r="AB349" s="4"/>
      <c r="AC349" s="9">
        <v>1</v>
      </c>
      <c r="AD349" t="str">
        <f>VLOOKUP($T349,[1]NhanSu!$C$5:$M$229,11,0)</f>
        <v>SM0000011</v>
      </c>
    </row>
    <row r="350" spans="1:30" x14ac:dyDescent="0.45">
      <c r="A350" s="6" t="s">
        <v>4224</v>
      </c>
      <c r="B350" s="5">
        <v>445</v>
      </c>
      <c r="C350" s="5" t="s">
        <v>4279</v>
      </c>
      <c r="D350" s="5" t="s">
        <v>4280</v>
      </c>
      <c r="E350" s="5" t="s">
        <v>109</v>
      </c>
      <c r="F350" s="5" t="s">
        <v>53</v>
      </c>
      <c r="G350" s="5" t="s">
        <v>34</v>
      </c>
      <c r="H350" s="5" t="s">
        <v>1746</v>
      </c>
      <c r="I350" s="5" t="s">
        <v>4281</v>
      </c>
      <c r="J350" s="5" t="s">
        <v>38</v>
      </c>
      <c r="K350" s="5" t="s">
        <v>38</v>
      </c>
      <c r="L350" s="5" t="s">
        <v>40</v>
      </c>
      <c r="M350" s="5" t="s">
        <v>38</v>
      </c>
      <c r="N350" s="5" t="s">
        <v>38</v>
      </c>
      <c r="O350" s="5" t="s">
        <v>40</v>
      </c>
      <c r="P350" s="5" t="s">
        <v>38</v>
      </c>
      <c r="Q350" s="5" t="s">
        <v>38</v>
      </c>
      <c r="R350" s="5" t="s">
        <v>40</v>
      </c>
      <c r="S350" s="5" t="s">
        <v>41</v>
      </c>
      <c r="T350" s="5" t="s">
        <v>4243</v>
      </c>
      <c r="U350" s="5" t="s">
        <v>4244</v>
      </c>
      <c r="V350" s="5" t="s">
        <v>4230</v>
      </c>
      <c r="W350" s="5" t="s">
        <v>2972</v>
      </c>
      <c r="X350" s="5"/>
      <c r="Y350" s="5"/>
      <c r="Z350" s="5" t="s">
        <v>46</v>
      </c>
      <c r="AA350" s="5" t="s">
        <v>4245</v>
      </c>
      <c r="AB350" s="5"/>
      <c r="AC350" s="7">
        <v>1</v>
      </c>
      <c r="AD350" t="str">
        <f>VLOOKUP($T350,[1]NhanSu!$C$5:$M$229,11,0)</f>
        <v>SM0000011</v>
      </c>
    </row>
    <row r="351" spans="1:30" x14ac:dyDescent="0.45">
      <c r="A351" s="8" t="s">
        <v>4224</v>
      </c>
      <c r="B351" s="4">
        <v>451</v>
      </c>
      <c r="C351" s="4" t="s">
        <v>4282</v>
      </c>
      <c r="D351" s="4" t="s">
        <v>4283</v>
      </c>
      <c r="E351" s="4" t="s">
        <v>291</v>
      </c>
      <c r="F351" s="4" t="s">
        <v>53</v>
      </c>
      <c r="G351" s="4" t="s">
        <v>34</v>
      </c>
      <c r="H351" s="4" t="s">
        <v>708</v>
      </c>
      <c r="I351" s="4" t="s">
        <v>4285</v>
      </c>
      <c r="J351" s="4" t="s">
        <v>38</v>
      </c>
      <c r="K351" s="4" t="s">
        <v>38</v>
      </c>
      <c r="L351" s="4" t="s">
        <v>40</v>
      </c>
      <c r="M351" s="4" t="s">
        <v>38</v>
      </c>
      <c r="N351" s="4" t="s">
        <v>38</v>
      </c>
      <c r="O351" s="4" t="s">
        <v>39</v>
      </c>
      <c r="P351" s="4" t="s">
        <v>38</v>
      </c>
      <c r="Q351" s="4" t="s">
        <v>38</v>
      </c>
      <c r="R351" s="4" t="s">
        <v>40</v>
      </c>
      <c r="S351" s="4" t="s">
        <v>41</v>
      </c>
      <c r="T351" s="4" t="s">
        <v>4243</v>
      </c>
      <c r="U351" s="4" t="s">
        <v>4244</v>
      </c>
      <c r="V351" s="4" t="s">
        <v>4230</v>
      </c>
      <c r="W351" s="4" t="s">
        <v>2972</v>
      </c>
      <c r="X351" s="4"/>
      <c r="Y351" s="4"/>
      <c r="Z351" s="4" t="s">
        <v>46</v>
      </c>
      <c r="AA351" s="4" t="s">
        <v>4245</v>
      </c>
      <c r="AB351" s="4"/>
      <c r="AC351" s="9">
        <v>1</v>
      </c>
      <c r="AD351" t="str">
        <f>VLOOKUP($T351,[1]NhanSu!$C$5:$M$229,11,0)</f>
        <v>SM0000011</v>
      </c>
    </row>
    <row r="352" spans="1:30" x14ac:dyDescent="0.45">
      <c r="A352" s="6" t="s">
        <v>4224</v>
      </c>
      <c r="B352" s="5">
        <v>1688</v>
      </c>
      <c r="C352" s="5" t="s">
        <v>4379</v>
      </c>
      <c r="D352" s="5" t="s">
        <v>4380</v>
      </c>
      <c r="E352" s="5" t="s">
        <v>4382</v>
      </c>
      <c r="F352" s="5" t="s">
        <v>325</v>
      </c>
      <c r="G352" s="5" t="s">
        <v>34</v>
      </c>
      <c r="H352" s="5" t="s">
        <v>54</v>
      </c>
      <c r="I352" s="5" t="s">
        <v>4383</v>
      </c>
      <c r="J352" s="5" t="s">
        <v>38</v>
      </c>
      <c r="K352" s="5" t="s">
        <v>38</v>
      </c>
      <c r="L352" s="5" t="s">
        <v>40</v>
      </c>
      <c r="M352" s="5" t="s">
        <v>38</v>
      </c>
      <c r="N352" s="5" t="s">
        <v>38</v>
      </c>
      <c r="O352" s="5" t="s">
        <v>39</v>
      </c>
      <c r="P352" s="5" t="s">
        <v>38</v>
      </c>
      <c r="Q352" s="5" t="s">
        <v>38</v>
      </c>
      <c r="R352" s="5" t="s">
        <v>40</v>
      </c>
      <c r="S352" s="5" t="s">
        <v>41</v>
      </c>
      <c r="T352" s="5" t="s">
        <v>4243</v>
      </c>
      <c r="U352" s="5" t="s">
        <v>4244</v>
      </c>
      <c r="V352" s="5" t="s">
        <v>4230</v>
      </c>
      <c r="W352" s="5" t="s">
        <v>2972</v>
      </c>
      <c r="X352" s="5"/>
      <c r="Y352" s="5"/>
      <c r="Z352" s="5" t="s">
        <v>46</v>
      </c>
      <c r="AA352" s="5" t="s">
        <v>4250</v>
      </c>
      <c r="AB352" s="5"/>
      <c r="AC352" s="7">
        <v>1</v>
      </c>
      <c r="AD352" t="str">
        <f>VLOOKUP($T352,[1]NhanSu!$C$5:$M$229,11,0)</f>
        <v>SM0000011</v>
      </c>
    </row>
    <row r="353" spans="1:30" x14ac:dyDescent="0.45">
      <c r="A353" s="8" t="s">
        <v>4224</v>
      </c>
      <c r="B353" s="4">
        <v>2017</v>
      </c>
      <c r="C353" s="4" t="s">
        <v>4423</v>
      </c>
      <c r="D353" s="4" t="s">
        <v>4424</v>
      </c>
      <c r="E353" s="4" t="s">
        <v>4425</v>
      </c>
      <c r="F353" s="4" t="s">
        <v>325</v>
      </c>
      <c r="G353" s="4" t="s">
        <v>34</v>
      </c>
      <c r="H353" s="4" t="s">
        <v>54</v>
      </c>
      <c r="I353" s="4" t="s">
        <v>4426</v>
      </c>
      <c r="J353" s="4" t="s">
        <v>37</v>
      </c>
      <c r="K353" s="4" t="s">
        <v>37</v>
      </c>
      <c r="L353" s="4" t="s">
        <v>39</v>
      </c>
      <c r="M353" s="4" t="s">
        <v>37</v>
      </c>
      <c r="N353" s="4" t="s">
        <v>37</v>
      </c>
      <c r="O353" s="4" t="s">
        <v>39</v>
      </c>
      <c r="P353" s="4" t="s">
        <v>38</v>
      </c>
      <c r="Q353" s="4" t="s">
        <v>38</v>
      </c>
      <c r="R353" s="4" t="s">
        <v>40</v>
      </c>
      <c r="S353" s="4" t="s">
        <v>41</v>
      </c>
      <c r="T353" s="4" t="s">
        <v>4295</v>
      </c>
      <c r="U353" s="4" t="s">
        <v>2977</v>
      </c>
      <c r="V353" s="4" t="s">
        <v>4230</v>
      </c>
      <c r="W353" s="4" t="s">
        <v>2972</v>
      </c>
      <c r="X353" s="4"/>
      <c r="Y353" s="4"/>
      <c r="Z353" s="4" t="s">
        <v>46</v>
      </c>
      <c r="AA353" s="4" t="s">
        <v>4427</v>
      </c>
      <c r="AB353" s="4"/>
      <c r="AC353" s="9">
        <v>1</v>
      </c>
      <c r="AD353" t="str">
        <f>VLOOKUP($T353,[1]NhanSu!$C$5:$M$229,11,0)</f>
        <v>SM0000015</v>
      </c>
    </row>
    <row r="354" spans="1:30" x14ac:dyDescent="0.45">
      <c r="A354" s="6" t="s">
        <v>4224</v>
      </c>
      <c r="B354" s="5">
        <v>2047</v>
      </c>
      <c r="C354" s="5" t="s">
        <v>4433</v>
      </c>
      <c r="D354" s="5" t="s">
        <v>4434</v>
      </c>
      <c r="E354" s="5" t="s">
        <v>529</v>
      </c>
      <c r="F354" s="5" t="s">
        <v>53</v>
      </c>
      <c r="G354" s="5" t="s">
        <v>34</v>
      </c>
      <c r="H354" s="5" t="s">
        <v>54</v>
      </c>
      <c r="I354" s="5" t="s">
        <v>4435</v>
      </c>
      <c r="J354" s="5" t="s">
        <v>38</v>
      </c>
      <c r="K354" s="5" t="s">
        <v>38</v>
      </c>
      <c r="L354" s="5" t="s">
        <v>40</v>
      </c>
      <c r="M354" s="5" t="s">
        <v>38</v>
      </c>
      <c r="N354" s="5" t="s">
        <v>38</v>
      </c>
      <c r="O354" s="5" t="s">
        <v>40</v>
      </c>
      <c r="P354" s="5" t="s">
        <v>38</v>
      </c>
      <c r="Q354" s="5" t="s">
        <v>38</v>
      </c>
      <c r="R354" s="5" t="s">
        <v>40</v>
      </c>
      <c r="S354" s="5" t="s">
        <v>41</v>
      </c>
      <c r="T354" s="5" t="s">
        <v>4243</v>
      </c>
      <c r="U354" s="5" t="s">
        <v>4244</v>
      </c>
      <c r="V354" s="5" t="s">
        <v>4230</v>
      </c>
      <c r="W354" s="5" t="s">
        <v>2978</v>
      </c>
      <c r="X354" s="5"/>
      <c r="Y354" s="5"/>
      <c r="Z354" s="5" t="s">
        <v>46</v>
      </c>
      <c r="AA354" s="5" t="s">
        <v>4245</v>
      </c>
      <c r="AB354" s="5"/>
      <c r="AC354" s="7">
        <v>1</v>
      </c>
      <c r="AD354" t="str">
        <f>VLOOKUP($T354,[1]NhanSu!$C$5:$M$229,11,0)</f>
        <v>SM0000011</v>
      </c>
    </row>
    <row r="355" spans="1:30" x14ac:dyDescent="0.45">
      <c r="A355" s="8" t="s">
        <v>4224</v>
      </c>
      <c r="B355" s="4">
        <v>2049</v>
      </c>
      <c r="C355" s="4" t="s">
        <v>4436</v>
      </c>
      <c r="D355" s="4" t="s">
        <v>4437</v>
      </c>
      <c r="E355" s="4" t="s">
        <v>109</v>
      </c>
      <c r="F355" s="4" t="s">
        <v>53</v>
      </c>
      <c r="G355" s="4" t="s">
        <v>34</v>
      </c>
      <c r="H355" s="4" t="s">
        <v>54</v>
      </c>
      <c r="I355" s="4" t="s">
        <v>4438</v>
      </c>
      <c r="J355" s="4" t="s">
        <v>38</v>
      </c>
      <c r="K355" s="4" t="s">
        <v>38</v>
      </c>
      <c r="L355" s="4" t="s">
        <v>40</v>
      </c>
      <c r="M355" s="4" t="s">
        <v>38</v>
      </c>
      <c r="N355" s="4" t="s">
        <v>38</v>
      </c>
      <c r="O355" s="4" t="s">
        <v>39</v>
      </c>
      <c r="P355" s="4" t="s">
        <v>38</v>
      </c>
      <c r="Q355" s="4" t="s">
        <v>38</v>
      </c>
      <c r="R355" s="4" t="s">
        <v>40</v>
      </c>
      <c r="S355" s="4" t="s">
        <v>41</v>
      </c>
      <c r="T355" s="4" t="s">
        <v>4243</v>
      </c>
      <c r="U355" s="4" t="s">
        <v>4244</v>
      </c>
      <c r="V355" s="4" t="s">
        <v>4230</v>
      </c>
      <c r="W355" s="4" t="s">
        <v>2978</v>
      </c>
      <c r="X355" s="4"/>
      <c r="Y355" s="4"/>
      <c r="Z355" s="4" t="s">
        <v>46</v>
      </c>
      <c r="AA355" s="4" t="s">
        <v>4245</v>
      </c>
      <c r="AB355" s="4"/>
      <c r="AC355" s="9">
        <v>1</v>
      </c>
      <c r="AD355" t="str">
        <f>VLOOKUP($T355,[1]NhanSu!$C$5:$M$229,11,0)</f>
        <v>SM0000011</v>
      </c>
    </row>
    <row r="356" spans="1:30" x14ac:dyDescent="0.45">
      <c r="A356" s="6" t="s">
        <v>4224</v>
      </c>
      <c r="B356" s="5">
        <v>2449</v>
      </c>
      <c r="C356" s="5" t="s">
        <v>4459</v>
      </c>
      <c r="D356" s="5" t="s">
        <v>4460</v>
      </c>
      <c r="E356" s="5" t="s">
        <v>344</v>
      </c>
      <c r="F356" s="5" t="s">
        <v>53</v>
      </c>
      <c r="G356" s="5" t="s">
        <v>34</v>
      </c>
      <c r="H356" s="5" t="s">
        <v>214</v>
      </c>
      <c r="I356" s="5" t="s">
        <v>4461</v>
      </c>
      <c r="J356" s="5" t="s">
        <v>37</v>
      </c>
      <c r="K356" s="5" t="s">
        <v>37</v>
      </c>
      <c r="L356" s="5" t="s">
        <v>39</v>
      </c>
      <c r="M356" s="5" t="s">
        <v>37</v>
      </c>
      <c r="N356" s="5" t="s">
        <v>37</v>
      </c>
      <c r="O356" s="5" t="s">
        <v>39</v>
      </c>
      <c r="P356" s="5" t="s">
        <v>38</v>
      </c>
      <c r="Q356" s="5" t="s">
        <v>38</v>
      </c>
      <c r="R356" s="5" t="s">
        <v>40</v>
      </c>
      <c r="S356" s="5" t="s">
        <v>41</v>
      </c>
      <c r="T356" s="5" t="s">
        <v>4295</v>
      </c>
      <c r="U356" s="5" t="s">
        <v>2977</v>
      </c>
      <c r="V356" s="5" t="s">
        <v>4230</v>
      </c>
      <c r="W356" s="5" t="s">
        <v>2972</v>
      </c>
      <c r="X356" s="5"/>
      <c r="Y356" s="5"/>
      <c r="Z356" s="5" t="s">
        <v>46</v>
      </c>
      <c r="AA356" s="5" t="s">
        <v>4427</v>
      </c>
      <c r="AB356" s="5"/>
      <c r="AC356" s="7">
        <v>1</v>
      </c>
      <c r="AD356" t="str">
        <f>VLOOKUP($T356,[1]NhanSu!$C$5:$M$229,11,0)</f>
        <v>SM0000015</v>
      </c>
    </row>
    <row r="357" spans="1:30" x14ac:dyDescent="0.45">
      <c r="A357" s="8" t="s">
        <v>4224</v>
      </c>
      <c r="B357" s="4">
        <v>2758</v>
      </c>
      <c r="C357" s="4" t="s">
        <v>4479</v>
      </c>
      <c r="D357" s="4" t="s">
        <v>4293</v>
      </c>
      <c r="E357" s="4" t="s">
        <v>455</v>
      </c>
      <c r="F357" s="4" t="s">
        <v>292</v>
      </c>
      <c r="G357" s="4" t="s">
        <v>34</v>
      </c>
      <c r="H357" s="4" t="s">
        <v>1188</v>
      </c>
      <c r="I357" s="4" t="s">
        <v>4480</v>
      </c>
      <c r="J357" s="4" t="s">
        <v>37</v>
      </c>
      <c r="K357" s="4" t="s">
        <v>37</v>
      </c>
      <c r="L357" s="4" t="s">
        <v>39</v>
      </c>
      <c r="M357" s="4" t="s">
        <v>37</v>
      </c>
      <c r="N357" s="4" t="s">
        <v>37</v>
      </c>
      <c r="O357" s="4" t="s">
        <v>39</v>
      </c>
      <c r="P357" s="4" t="s">
        <v>38</v>
      </c>
      <c r="Q357" s="4" t="s">
        <v>38</v>
      </c>
      <c r="R357" s="4" t="s">
        <v>40</v>
      </c>
      <c r="S357" s="4" t="s">
        <v>41</v>
      </c>
      <c r="T357" s="4" t="s">
        <v>4295</v>
      </c>
      <c r="U357" s="4" t="s">
        <v>2977</v>
      </c>
      <c r="V357" s="4" t="s">
        <v>4230</v>
      </c>
      <c r="W357" s="4" t="s">
        <v>2978</v>
      </c>
      <c r="X357" s="4"/>
      <c r="Y357" s="4"/>
      <c r="Z357" s="4" t="s">
        <v>46</v>
      </c>
      <c r="AA357" s="4" t="s">
        <v>4427</v>
      </c>
      <c r="AB357" s="4"/>
      <c r="AC357" s="9">
        <v>1</v>
      </c>
      <c r="AD357" t="str">
        <f>VLOOKUP($T357,[1]NhanSu!$C$5:$M$229,11,0)</f>
        <v>SM0000015</v>
      </c>
    </row>
    <row r="358" spans="1:30" x14ac:dyDescent="0.45">
      <c r="A358" s="6" t="s">
        <v>4224</v>
      </c>
      <c r="B358" s="5">
        <v>3028</v>
      </c>
      <c r="C358" s="5" t="s">
        <v>4520</v>
      </c>
      <c r="D358" s="5" t="s">
        <v>4521</v>
      </c>
      <c r="E358" s="5" t="s">
        <v>771</v>
      </c>
      <c r="F358" s="5" t="s">
        <v>166</v>
      </c>
      <c r="G358" s="5" t="s">
        <v>34</v>
      </c>
      <c r="H358" s="5" t="s">
        <v>171</v>
      </c>
      <c r="I358" s="5" t="s">
        <v>4522</v>
      </c>
      <c r="J358" s="5" t="s">
        <v>37</v>
      </c>
      <c r="K358" s="5" t="s">
        <v>37</v>
      </c>
      <c r="L358" s="5" t="s">
        <v>40</v>
      </c>
      <c r="M358" s="5" t="s">
        <v>37</v>
      </c>
      <c r="N358" s="5" t="s">
        <v>37</v>
      </c>
      <c r="O358" s="5" t="s">
        <v>39</v>
      </c>
      <c r="P358" s="5" t="s">
        <v>38</v>
      </c>
      <c r="Q358" s="5" t="s">
        <v>38</v>
      </c>
      <c r="R358" s="5" t="s">
        <v>40</v>
      </c>
      <c r="S358" s="5" t="s">
        <v>41</v>
      </c>
      <c r="T358" s="5" t="s">
        <v>4295</v>
      </c>
      <c r="U358" s="5" t="s">
        <v>2977</v>
      </c>
      <c r="V358" s="5" t="s">
        <v>4230</v>
      </c>
      <c r="W358" s="5" t="s">
        <v>2978</v>
      </c>
      <c r="X358" s="5"/>
      <c r="Y358" s="5"/>
      <c r="Z358" s="5" t="s">
        <v>46</v>
      </c>
      <c r="AA358" s="5" t="s">
        <v>4427</v>
      </c>
      <c r="AB358" s="5"/>
      <c r="AC358" s="7">
        <v>1</v>
      </c>
      <c r="AD358" t="str">
        <f>VLOOKUP($T358,[1]NhanSu!$C$5:$M$229,11,0)</f>
        <v>SM0000015</v>
      </c>
    </row>
    <row r="359" spans="1:30" x14ac:dyDescent="0.45">
      <c r="A359" s="8" t="s">
        <v>4224</v>
      </c>
      <c r="B359" s="4">
        <v>3278</v>
      </c>
      <c r="C359" s="4" t="s">
        <v>4545</v>
      </c>
      <c r="D359" s="4" t="s">
        <v>4546</v>
      </c>
      <c r="E359" s="4" t="s">
        <v>297</v>
      </c>
      <c r="F359" s="4" t="s">
        <v>3061</v>
      </c>
      <c r="G359" s="4" t="s">
        <v>34</v>
      </c>
      <c r="H359" s="4" t="s">
        <v>54</v>
      </c>
      <c r="I359" s="4" t="s">
        <v>4547</v>
      </c>
      <c r="J359" s="4" t="s">
        <v>38</v>
      </c>
      <c r="K359" s="4" t="s">
        <v>38</v>
      </c>
      <c r="L359" s="4" t="s">
        <v>40</v>
      </c>
      <c r="M359" s="4" t="s">
        <v>38</v>
      </c>
      <c r="N359" s="4" t="s">
        <v>38</v>
      </c>
      <c r="O359" s="4" t="s">
        <v>40</v>
      </c>
      <c r="P359" s="4" t="s">
        <v>38</v>
      </c>
      <c r="Q359" s="4" t="s">
        <v>38</v>
      </c>
      <c r="R359" s="4" t="s">
        <v>40</v>
      </c>
      <c r="S359" s="4" t="s">
        <v>41</v>
      </c>
      <c r="T359" s="4" t="s">
        <v>4243</v>
      </c>
      <c r="U359" s="4" t="s">
        <v>4244</v>
      </c>
      <c r="V359" s="4" t="s">
        <v>4230</v>
      </c>
      <c r="W359" s="4" t="s">
        <v>2978</v>
      </c>
      <c r="X359" s="4"/>
      <c r="Y359" s="4"/>
      <c r="Z359" s="4" t="s">
        <v>46</v>
      </c>
      <c r="AA359" s="4" t="s">
        <v>4245</v>
      </c>
      <c r="AB359" s="4"/>
      <c r="AC359" s="9">
        <v>1</v>
      </c>
      <c r="AD359" t="str">
        <f>VLOOKUP($T359,[1]NhanSu!$C$5:$M$229,11,0)</f>
        <v>SM0000011</v>
      </c>
    </row>
    <row r="360" spans="1:30" x14ac:dyDescent="0.45">
      <c r="A360" s="6" t="s">
        <v>4224</v>
      </c>
      <c r="B360" s="5">
        <v>3282</v>
      </c>
      <c r="C360" s="5" t="s">
        <v>4548</v>
      </c>
      <c r="D360" s="5" t="s">
        <v>4549</v>
      </c>
      <c r="E360" s="5" t="s">
        <v>219</v>
      </c>
      <c r="F360" s="5" t="s">
        <v>53</v>
      </c>
      <c r="G360" s="5" t="s">
        <v>34</v>
      </c>
      <c r="H360" s="5" t="s">
        <v>54</v>
      </c>
      <c r="I360" s="5"/>
      <c r="J360" s="5" t="s">
        <v>38</v>
      </c>
      <c r="K360" s="5" t="s">
        <v>38</v>
      </c>
      <c r="L360" s="5" t="s">
        <v>40</v>
      </c>
      <c r="M360" s="5" t="s">
        <v>38</v>
      </c>
      <c r="N360" s="5" t="s">
        <v>38</v>
      </c>
      <c r="O360" s="5" t="s">
        <v>40</v>
      </c>
      <c r="P360" s="5" t="s">
        <v>37</v>
      </c>
      <c r="Q360" s="5" t="s">
        <v>38</v>
      </c>
      <c r="R360" s="5" t="s">
        <v>40</v>
      </c>
      <c r="S360" s="5" t="s">
        <v>41</v>
      </c>
      <c r="T360" s="5" t="s">
        <v>4243</v>
      </c>
      <c r="U360" s="5" t="s">
        <v>4244</v>
      </c>
      <c r="V360" s="5" t="s">
        <v>4230</v>
      </c>
      <c r="W360" s="5" t="s">
        <v>2978</v>
      </c>
      <c r="X360" s="5"/>
      <c r="Y360" s="5"/>
      <c r="Z360" s="5" t="s">
        <v>46</v>
      </c>
      <c r="AA360" s="5" t="s">
        <v>4245</v>
      </c>
      <c r="AB360" s="5"/>
      <c r="AC360" s="7">
        <v>1</v>
      </c>
      <c r="AD360" t="str">
        <f>VLOOKUP($T360,[1]NhanSu!$C$5:$M$229,11,0)</f>
        <v>SM0000011</v>
      </c>
    </row>
    <row r="361" spans="1:30" x14ac:dyDescent="0.45">
      <c r="A361" s="8" t="s">
        <v>4550</v>
      </c>
      <c r="B361" s="4">
        <v>5</v>
      </c>
      <c r="C361" s="4" t="s">
        <v>4571</v>
      </c>
      <c r="D361" s="4" t="s">
        <v>1620</v>
      </c>
      <c r="E361" s="4"/>
      <c r="F361" s="4" t="s">
        <v>53</v>
      </c>
      <c r="G361" s="4" t="s">
        <v>34</v>
      </c>
      <c r="H361" s="4" t="s">
        <v>54</v>
      </c>
      <c r="I361" s="4" t="s">
        <v>4572</v>
      </c>
      <c r="J361" s="4" t="s">
        <v>38</v>
      </c>
      <c r="K361" s="4" t="s">
        <v>38</v>
      </c>
      <c r="L361" s="4" t="s">
        <v>40</v>
      </c>
      <c r="M361" s="4" t="s">
        <v>38</v>
      </c>
      <c r="N361" s="4" t="s">
        <v>38</v>
      </c>
      <c r="O361" s="4" t="s">
        <v>40</v>
      </c>
      <c r="P361" s="4" t="s">
        <v>38</v>
      </c>
      <c r="Q361" s="4" t="s">
        <v>38</v>
      </c>
      <c r="R361" s="4" t="s">
        <v>40</v>
      </c>
      <c r="S361" s="4" t="s">
        <v>4573</v>
      </c>
      <c r="T361" s="4" t="s">
        <v>4574</v>
      </c>
      <c r="U361" s="4" t="s">
        <v>4555</v>
      </c>
      <c r="V361" s="4" t="s">
        <v>4556</v>
      </c>
      <c r="W361" s="4" t="s">
        <v>4557</v>
      </c>
      <c r="X361" s="4"/>
      <c r="Y361" s="4"/>
      <c r="Z361" s="4" t="s">
        <v>46</v>
      </c>
      <c r="AA361" s="4" t="s">
        <v>4575</v>
      </c>
      <c r="AB361" s="4"/>
      <c r="AC361" s="9">
        <v>1</v>
      </c>
      <c r="AD361" t="str">
        <f>VLOOKUP($T361,[1]NhanSu!$C$5:$M$229,11,0)</f>
        <v>SM0000183</v>
      </c>
    </row>
    <row r="362" spans="1:30" x14ac:dyDescent="0.45">
      <c r="A362" s="6" t="s">
        <v>4550</v>
      </c>
      <c r="B362" s="5">
        <v>9</v>
      </c>
      <c r="C362" s="5" t="s">
        <v>4586</v>
      </c>
      <c r="D362" s="5" t="s">
        <v>4587</v>
      </c>
      <c r="E362" s="5"/>
      <c r="F362" s="5" t="s">
        <v>53</v>
      </c>
      <c r="G362" s="5" t="s">
        <v>34</v>
      </c>
      <c r="H362" s="5" t="s">
        <v>54</v>
      </c>
      <c r="I362" s="5" t="s">
        <v>4588</v>
      </c>
      <c r="J362" s="5" t="s">
        <v>38</v>
      </c>
      <c r="K362" s="5" t="s">
        <v>38</v>
      </c>
      <c r="L362" s="5" t="s">
        <v>40</v>
      </c>
      <c r="M362" s="5" t="s">
        <v>56</v>
      </c>
      <c r="N362" s="5" t="s">
        <v>56</v>
      </c>
      <c r="O362" s="5" t="s">
        <v>39</v>
      </c>
      <c r="P362" s="5" t="s">
        <v>38</v>
      </c>
      <c r="Q362" s="5" t="s">
        <v>38</v>
      </c>
      <c r="R362" s="5" t="s">
        <v>40</v>
      </c>
      <c r="S362" s="5" t="s">
        <v>41</v>
      </c>
      <c r="T362" s="5" t="s">
        <v>4554</v>
      </c>
      <c r="U362" s="5" t="s">
        <v>4555</v>
      </c>
      <c r="V362" s="5" t="s">
        <v>4556</v>
      </c>
      <c r="W362" s="5" t="s">
        <v>4557</v>
      </c>
      <c r="X362" s="5"/>
      <c r="Y362" s="5"/>
      <c r="Z362" s="5" t="s">
        <v>46</v>
      </c>
      <c r="AA362" s="5" t="s">
        <v>4589</v>
      </c>
      <c r="AB362" s="5"/>
      <c r="AC362" s="7">
        <v>1</v>
      </c>
      <c r="AD362" t="str">
        <f>VLOOKUP($T362,[1]NhanSu!$C$5:$M$229,11,0)</f>
        <v>SM0000031</v>
      </c>
    </row>
    <row r="363" spans="1:30" x14ac:dyDescent="0.45">
      <c r="A363" s="8" t="s">
        <v>4550</v>
      </c>
      <c r="B363" s="4">
        <v>10</v>
      </c>
      <c r="C363" s="4" t="s">
        <v>4590</v>
      </c>
      <c r="D363" s="4" t="s">
        <v>4591</v>
      </c>
      <c r="E363" s="4"/>
      <c r="F363" s="4" t="s">
        <v>53</v>
      </c>
      <c r="G363" s="4" t="s">
        <v>34</v>
      </c>
      <c r="H363" s="4" t="s">
        <v>685</v>
      </c>
      <c r="I363" s="4" t="s">
        <v>4592</v>
      </c>
      <c r="J363" s="4" t="s">
        <v>38</v>
      </c>
      <c r="K363" s="4" t="s">
        <v>38</v>
      </c>
      <c r="L363" s="4" t="s">
        <v>40</v>
      </c>
      <c r="M363" s="4" t="s">
        <v>56</v>
      </c>
      <c r="N363" s="4" t="s">
        <v>56</v>
      </c>
      <c r="O363" s="4" t="s">
        <v>39</v>
      </c>
      <c r="P363" s="4" t="s">
        <v>38</v>
      </c>
      <c r="Q363" s="4" t="s">
        <v>38</v>
      </c>
      <c r="R363" s="4" t="s">
        <v>40</v>
      </c>
      <c r="S363" s="4" t="s">
        <v>41</v>
      </c>
      <c r="T363" s="4" t="s">
        <v>4554</v>
      </c>
      <c r="U363" s="4" t="s">
        <v>4555</v>
      </c>
      <c r="V363" s="4" t="s">
        <v>4556</v>
      </c>
      <c r="W363" s="4" t="s">
        <v>4557</v>
      </c>
      <c r="X363" s="4"/>
      <c r="Y363" s="4"/>
      <c r="Z363" s="4" t="s">
        <v>46</v>
      </c>
      <c r="AA363" s="4" t="s">
        <v>4589</v>
      </c>
      <c r="AB363" s="4"/>
      <c r="AC363" s="9">
        <v>1</v>
      </c>
      <c r="AD363" t="str">
        <f>VLOOKUP($T363,[1]NhanSu!$C$5:$M$229,11,0)</f>
        <v>SM0000031</v>
      </c>
    </row>
    <row r="364" spans="1:30" x14ac:dyDescent="0.45">
      <c r="A364" s="6" t="s">
        <v>4550</v>
      </c>
      <c r="B364" s="5">
        <v>19</v>
      </c>
      <c r="C364" s="5" t="s">
        <v>4619</v>
      </c>
      <c r="D364" s="5" t="s">
        <v>4620</v>
      </c>
      <c r="E364" s="5"/>
      <c r="F364" s="5" t="s">
        <v>3049</v>
      </c>
      <c r="G364" s="5" t="s">
        <v>34</v>
      </c>
      <c r="H364" s="5" t="s">
        <v>4621</v>
      </c>
      <c r="I364" s="5" t="s">
        <v>4622</v>
      </c>
      <c r="J364" s="5" t="s">
        <v>38</v>
      </c>
      <c r="K364" s="5" t="s">
        <v>38</v>
      </c>
      <c r="L364" s="5" t="s">
        <v>40</v>
      </c>
      <c r="M364" s="5" t="s">
        <v>38</v>
      </c>
      <c r="N364" s="5" t="s">
        <v>38</v>
      </c>
      <c r="O364" s="5" t="s">
        <v>40</v>
      </c>
      <c r="P364" s="5" t="s">
        <v>38</v>
      </c>
      <c r="Q364" s="5" t="s">
        <v>38</v>
      </c>
      <c r="R364" s="5" t="s">
        <v>40</v>
      </c>
      <c r="S364" s="5" t="s">
        <v>41</v>
      </c>
      <c r="T364" s="5" t="s">
        <v>4554</v>
      </c>
      <c r="U364" s="5" t="s">
        <v>4555</v>
      </c>
      <c r="V364" s="5" t="s">
        <v>4556</v>
      </c>
      <c r="W364" s="5" t="s">
        <v>4557</v>
      </c>
      <c r="X364" s="5"/>
      <c r="Y364" s="5"/>
      <c r="Z364" s="5" t="s">
        <v>46</v>
      </c>
      <c r="AA364" s="5" t="s">
        <v>4589</v>
      </c>
      <c r="AB364" s="5"/>
      <c r="AC364" s="7">
        <v>1</v>
      </c>
      <c r="AD364" t="str">
        <f>VLOOKUP($T364,[1]NhanSu!$C$5:$M$229,11,0)</f>
        <v>SM0000031</v>
      </c>
    </row>
    <row r="365" spans="1:30" x14ac:dyDescent="0.45">
      <c r="A365" s="8" t="s">
        <v>4550</v>
      </c>
      <c r="B365" s="4">
        <v>20</v>
      </c>
      <c r="C365" s="4" t="s">
        <v>4623</v>
      </c>
      <c r="D365" s="4" t="s">
        <v>4624</v>
      </c>
      <c r="E365" s="4"/>
      <c r="F365" s="4" t="s">
        <v>166</v>
      </c>
      <c r="G365" s="4" t="s">
        <v>34</v>
      </c>
      <c r="H365" s="4" t="s">
        <v>378</v>
      </c>
      <c r="I365" s="4" t="s">
        <v>4625</v>
      </c>
      <c r="J365" s="4" t="s">
        <v>38</v>
      </c>
      <c r="K365" s="4" t="s">
        <v>38</v>
      </c>
      <c r="L365" s="4" t="s">
        <v>40</v>
      </c>
      <c r="M365" s="4" t="s">
        <v>38</v>
      </c>
      <c r="N365" s="4" t="s">
        <v>38</v>
      </c>
      <c r="O365" s="4" t="s">
        <v>40</v>
      </c>
      <c r="P365" s="4" t="s">
        <v>38</v>
      </c>
      <c r="Q365" s="4" t="s">
        <v>38</v>
      </c>
      <c r="R365" s="4" t="s">
        <v>40</v>
      </c>
      <c r="S365" s="4" t="s">
        <v>627</v>
      </c>
      <c r="T365" s="4" t="s">
        <v>4554</v>
      </c>
      <c r="U365" s="4" t="s">
        <v>4555</v>
      </c>
      <c r="V365" s="4" t="s">
        <v>4556</v>
      </c>
      <c r="W365" s="4" t="s">
        <v>4557</v>
      </c>
      <c r="X365" s="4"/>
      <c r="Y365" s="4"/>
      <c r="Z365" s="4" t="s">
        <v>46</v>
      </c>
      <c r="AA365" s="4" t="s">
        <v>4589</v>
      </c>
      <c r="AB365" s="4"/>
      <c r="AC365" s="9">
        <v>1</v>
      </c>
      <c r="AD365" t="str">
        <f>VLOOKUP($T365,[1]NhanSu!$C$5:$M$229,11,0)</f>
        <v>SM0000031</v>
      </c>
    </row>
    <row r="366" spans="1:30" x14ac:dyDescent="0.45">
      <c r="A366" s="6" t="s">
        <v>4550</v>
      </c>
      <c r="B366" s="5">
        <v>26</v>
      </c>
      <c r="C366" s="5" t="s">
        <v>4640</v>
      </c>
      <c r="D366" s="5" t="s">
        <v>4641</v>
      </c>
      <c r="E366" s="5"/>
      <c r="F366" s="5" t="s">
        <v>889</v>
      </c>
      <c r="G366" s="5" t="s">
        <v>34</v>
      </c>
      <c r="H366" s="5" t="s">
        <v>54</v>
      </c>
      <c r="I366" s="5" t="s">
        <v>4642</v>
      </c>
      <c r="J366" s="5" t="s">
        <v>38</v>
      </c>
      <c r="K366" s="5" t="s">
        <v>38</v>
      </c>
      <c r="L366" s="5" t="s">
        <v>40</v>
      </c>
      <c r="M366" s="5" t="s">
        <v>38</v>
      </c>
      <c r="N366" s="5" t="s">
        <v>38</v>
      </c>
      <c r="O366" s="5" t="s">
        <v>40</v>
      </c>
      <c r="P366" s="5" t="s">
        <v>38</v>
      </c>
      <c r="Q366" s="5" t="s">
        <v>38</v>
      </c>
      <c r="R366" s="5" t="s">
        <v>40</v>
      </c>
      <c r="S366" s="5" t="s">
        <v>41</v>
      </c>
      <c r="T366" s="5" t="s">
        <v>4574</v>
      </c>
      <c r="U366" s="5" t="s">
        <v>4555</v>
      </c>
      <c r="V366" s="5" t="s">
        <v>4556</v>
      </c>
      <c r="W366" s="5" t="s">
        <v>4557</v>
      </c>
      <c r="X366" s="5"/>
      <c r="Y366" s="5"/>
      <c r="Z366" s="5" t="s">
        <v>46</v>
      </c>
      <c r="AA366" s="5" t="s">
        <v>4589</v>
      </c>
      <c r="AB366" s="5"/>
      <c r="AC366" s="7">
        <v>1</v>
      </c>
      <c r="AD366" t="str">
        <f>VLOOKUP($T366,[1]NhanSu!$C$5:$M$229,11,0)</f>
        <v>SM0000183</v>
      </c>
    </row>
    <row r="367" spans="1:30" x14ac:dyDescent="0.45">
      <c r="A367" s="8" t="s">
        <v>4550</v>
      </c>
      <c r="B367" s="4">
        <v>36</v>
      </c>
      <c r="C367" s="4" t="s">
        <v>4672</v>
      </c>
      <c r="D367" s="4" t="s">
        <v>4673</v>
      </c>
      <c r="E367" s="4"/>
      <c r="F367" s="4" t="s">
        <v>53</v>
      </c>
      <c r="G367" s="4" t="s">
        <v>34</v>
      </c>
      <c r="H367" s="4" t="s">
        <v>54</v>
      </c>
      <c r="I367" s="4" t="s">
        <v>4671</v>
      </c>
      <c r="J367" s="4" t="s">
        <v>38</v>
      </c>
      <c r="K367" s="4" t="s">
        <v>38</v>
      </c>
      <c r="L367" s="4" t="s">
        <v>40</v>
      </c>
      <c r="M367" s="4" t="s">
        <v>38</v>
      </c>
      <c r="N367" s="4" t="s">
        <v>38</v>
      </c>
      <c r="O367" s="4" t="s">
        <v>39</v>
      </c>
      <c r="P367" s="4" t="s">
        <v>38</v>
      </c>
      <c r="Q367" s="4" t="s">
        <v>38</v>
      </c>
      <c r="R367" s="4" t="s">
        <v>40</v>
      </c>
      <c r="S367" s="4" t="s">
        <v>41</v>
      </c>
      <c r="T367" s="4" t="s">
        <v>4574</v>
      </c>
      <c r="U367" s="4" t="s">
        <v>4555</v>
      </c>
      <c r="V367" s="4" t="s">
        <v>4556</v>
      </c>
      <c r="W367" s="4" t="s">
        <v>4557</v>
      </c>
      <c r="X367" s="4"/>
      <c r="Y367" s="4"/>
      <c r="Z367" s="4" t="s">
        <v>46</v>
      </c>
      <c r="AA367" s="4" t="s">
        <v>4589</v>
      </c>
      <c r="AB367" s="4"/>
      <c r="AC367" s="9">
        <v>1</v>
      </c>
      <c r="AD367" t="str">
        <f>VLOOKUP($T367,[1]NhanSu!$C$5:$M$229,11,0)</f>
        <v>SM0000183</v>
      </c>
    </row>
    <row r="368" spans="1:30" x14ac:dyDescent="0.45">
      <c r="A368" s="6" t="s">
        <v>4550</v>
      </c>
      <c r="B368" s="5">
        <v>37</v>
      </c>
      <c r="C368" s="5" t="s">
        <v>4674</v>
      </c>
      <c r="D368" s="5" t="s">
        <v>4675</v>
      </c>
      <c r="E368" s="5"/>
      <c r="F368" s="5" t="s">
        <v>53</v>
      </c>
      <c r="G368" s="5" t="s">
        <v>34</v>
      </c>
      <c r="H368" s="5" t="s">
        <v>54</v>
      </c>
      <c r="I368" s="5" t="s">
        <v>4676</v>
      </c>
      <c r="J368" s="5" t="s">
        <v>38</v>
      </c>
      <c r="K368" s="5" t="s">
        <v>38</v>
      </c>
      <c r="L368" s="5" t="s">
        <v>40</v>
      </c>
      <c r="M368" s="5" t="s">
        <v>56</v>
      </c>
      <c r="N368" s="5" t="s">
        <v>56</v>
      </c>
      <c r="O368" s="5" t="s">
        <v>39</v>
      </c>
      <c r="P368" s="5" t="s">
        <v>38</v>
      </c>
      <c r="Q368" s="5" t="s">
        <v>38</v>
      </c>
      <c r="R368" s="5" t="s">
        <v>40</v>
      </c>
      <c r="S368" s="5" t="s">
        <v>41</v>
      </c>
      <c r="T368" s="5" t="s">
        <v>4554</v>
      </c>
      <c r="U368" s="5" t="s">
        <v>4555</v>
      </c>
      <c r="V368" s="5" t="s">
        <v>4556</v>
      </c>
      <c r="W368" s="5" t="s">
        <v>4557</v>
      </c>
      <c r="X368" s="5"/>
      <c r="Y368" s="5"/>
      <c r="Z368" s="5" t="s">
        <v>46</v>
      </c>
      <c r="AA368" s="5" t="s">
        <v>4589</v>
      </c>
      <c r="AB368" s="5"/>
      <c r="AC368" s="7">
        <v>1</v>
      </c>
      <c r="AD368" t="str">
        <f>VLOOKUP($T368,[1]NhanSu!$C$5:$M$229,11,0)</f>
        <v>SM0000031</v>
      </c>
    </row>
    <row r="369" spans="1:30" x14ac:dyDescent="0.45">
      <c r="A369" s="8" t="s">
        <v>4550</v>
      </c>
      <c r="B369" s="4">
        <v>39</v>
      </c>
      <c r="C369" s="4" t="s">
        <v>4679</v>
      </c>
      <c r="D369" s="4" t="s">
        <v>4680</v>
      </c>
      <c r="E369" s="4"/>
      <c r="F369" s="4" t="s">
        <v>53</v>
      </c>
      <c r="G369" s="4" t="s">
        <v>34</v>
      </c>
      <c r="H369" s="4" t="s">
        <v>54</v>
      </c>
      <c r="I369" s="4" t="s">
        <v>4681</v>
      </c>
      <c r="J369" s="4" t="s">
        <v>38</v>
      </c>
      <c r="K369" s="4" t="s">
        <v>38</v>
      </c>
      <c r="L369" s="4" t="s">
        <v>40</v>
      </c>
      <c r="M369" s="4" t="s">
        <v>56</v>
      </c>
      <c r="N369" s="4" t="s">
        <v>56</v>
      </c>
      <c r="O369" s="4" t="s">
        <v>39</v>
      </c>
      <c r="P369" s="4" t="s">
        <v>38</v>
      </c>
      <c r="Q369" s="4" t="s">
        <v>38</v>
      </c>
      <c r="R369" s="4" t="s">
        <v>40</v>
      </c>
      <c r="S369" s="4" t="s">
        <v>41</v>
      </c>
      <c r="T369" s="4" t="s">
        <v>4554</v>
      </c>
      <c r="U369" s="4" t="s">
        <v>4555</v>
      </c>
      <c r="V369" s="4" t="s">
        <v>4556</v>
      </c>
      <c r="W369" s="4" t="s">
        <v>4557</v>
      </c>
      <c r="X369" s="4"/>
      <c r="Y369" s="4"/>
      <c r="Z369" s="4" t="s">
        <v>46</v>
      </c>
      <c r="AA369" s="4" t="s">
        <v>4589</v>
      </c>
      <c r="AB369" s="4"/>
      <c r="AC369" s="9">
        <v>1</v>
      </c>
      <c r="AD369" t="str">
        <f>VLOOKUP($T369,[1]NhanSu!$C$5:$M$229,11,0)</f>
        <v>SM0000031</v>
      </c>
    </row>
    <row r="370" spans="1:30" x14ac:dyDescent="0.45">
      <c r="A370" s="6" t="s">
        <v>4550</v>
      </c>
      <c r="B370" s="5">
        <v>44</v>
      </c>
      <c r="C370" s="5" t="s">
        <v>4699</v>
      </c>
      <c r="D370" s="5" t="s">
        <v>4700</v>
      </c>
      <c r="E370" s="5"/>
      <c r="F370" s="5" t="s">
        <v>3216</v>
      </c>
      <c r="G370" s="5" t="s">
        <v>34</v>
      </c>
      <c r="H370" s="5" t="s">
        <v>54</v>
      </c>
      <c r="I370" s="5" t="s">
        <v>4701</v>
      </c>
      <c r="J370" s="5" t="s">
        <v>38</v>
      </c>
      <c r="K370" s="5" t="s">
        <v>38</v>
      </c>
      <c r="L370" s="5" t="s">
        <v>39</v>
      </c>
      <c r="M370" s="5" t="s">
        <v>56</v>
      </c>
      <c r="N370" s="5" t="s">
        <v>38</v>
      </c>
      <c r="O370" s="5" t="s">
        <v>39</v>
      </c>
      <c r="P370" s="5" t="s">
        <v>38</v>
      </c>
      <c r="Q370" s="5" t="s">
        <v>38</v>
      </c>
      <c r="R370" s="5" t="s">
        <v>40</v>
      </c>
      <c r="S370" s="5" t="s">
        <v>4702</v>
      </c>
      <c r="T370" s="5" t="s">
        <v>4574</v>
      </c>
      <c r="U370" s="5" t="s">
        <v>4555</v>
      </c>
      <c r="V370" s="5" t="s">
        <v>4556</v>
      </c>
      <c r="W370" s="5" t="s">
        <v>4557</v>
      </c>
      <c r="X370" s="5"/>
      <c r="Y370" s="5"/>
      <c r="Z370" s="5" t="s">
        <v>46</v>
      </c>
      <c r="AA370" s="5" t="s">
        <v>4589</v>
      </c>
      <c r="AB370" s="5"/>
      <c r="AC370" s="7">
        <v>1</v>
      </c>
      <c r="AD370" t="str">
        <f>VLOOKUP($T370,[1]NhanSu!$C$5:$M$229,11,0)</f>
        <v>SM0000183</v>
      </c>
    </row>
    <row r="371" spans="1:30" x14ac:dyDescent="0.45">
      <c r="A371" s="8" t="s">
        <v>4550</v>
      </c>
      <c r="B371" s="4">
        <v>47</v>
      </c>
      <c r="C371" s="4" t="s">
        <v>4711</v>
      </c>
      <c r="D371" s="4" t="s">
        <v>4712</v>
      </c>
      <c r="E371" s="4"/>
      <c r="F371" s="4" t="s">
        <v>426</v>
      </c>
      <c r="G371" s="4" t="s">
        <v>34</v>
      </c>
      <c r="H371" s="4" t="s">
        <v>54</v>
      </c>
      <c r="I371" s="4" t="s">
        <v>4713</v>
      </c>
      <c r="J371" s="4" t="s">
        <v>37</v>
      </c>
      <c r="K371" s="4" t="s">
        <v>37</v>
      </c>
      <c r="L371" s="4" t="s">
        <v>40</v>
      </c>
      <c r="M371" s="4" t="s">
        <v>56</v>
      </c>
      <c r="N371" s="4" t="s">
        <v>56</v>
      </c>
      <c r="O371" s="4" t="s">
        <v>39</v>
      </c>
      <c r="P371" s="4" t="s">
        <v>38</v>
      </c>
      <c r="Q371" s="4" t="s">
        <v>38</v>
      </c>
      <c r="R371" s="4" t="s">
        <v>40</v>
      </c>
      <c r="S371" s="4" t="s">
        <v>41</v>
      </c>
      <c r="T371" s="4" t="s">
        <v>4554</v>
      </c>
      <c r="U371" s="4" t="s">
        <v>4555</v>
      </c>
      <c r="V371" s="4" t="s">
        <v>4556</v>
      </c>
      <c r="W371" s="4" t="s">
        <v>4557</v>
      </c>
      <c r="X371" s="4"/>
      <c r="Y371" s="4"/>
      <c r="Z371" s="4" t="s">
        <v>46</v>
      </c>
      <c r="AA371" s="4" t="s">
        <v>4589</v>
      </c>
      <c r="AB371" s="4"/>
      <c r="AC371" s="9">
        <v>1</v>
      </c>
      <c r="AD371" t="str">
        <f>VLOOKUP($T371,[1]NhanSu!$C$5:$M$229,11,0)</f>
        <v>SM0000031</v>
      </c>
    </row>
    <row r="372" spans="1:30" x14ac:dyDescent="0.45">
      <c r="A372" s="6" t="s">
        <v>4550</v>
      </c>
      <c r="B372" s="5">
        <v>48</v>
      </c>
      <c r="C372" s="5" t="s">
        <v>4714</v>
      </c>
      <c r="D372" s="5" t="s">
        <v>4715</v>
      </c>
      <c r="E372" s="5"/>
      <c r="F372" s="5" t="s">
        <v>53</v>
      </c>
      <c r="G372" s="5" t="s">
        <v>34</v>
      </c>
      <c r="H372" s="5" t="s">
        <v>685</v>
      </c>
      <c r="I372" s="5" t="s">
        <v>4716</v>
      </c>
      <c r="J372" s="5" t="s">
        <v>37</v>
      </c>
      <c r="K372" s="5" t="s">
        <v>37</v>
      </c>
      <c r="L372" s="5" t="s">
        <v>40</v>
      </c>
      <c r="M372" s="5" t="s">
        <v>56</v>
      </c>
      <c r="N372" s="5" t="s">
        <v>56</v>
      </c>
      <c r="O372" s="5" t="s">
        <v>39</v>
      </c>
      <c r="P372" s="5" t="s">
        <v>38</v>
      </c>
      <c r="Q372" s="5" t="s">
        <v>38</v>
      </c>
      <c r="R372" s="5" t="s">
        <v>40</v>
      </c>
      <c r="S372" s="5" t="s">
        <v>41</v>
      </c>
      <c r="T372" s="5" t="s">
        <v>4554</v>
      </c>
      <c r="U372" s="5" t="s">
        <v>4555</v>
      </c>
      <c r="V372" s="5" t="s">
        <v>4556</v>
      </c>
      <c r="W372" s="5" t="s">
        <v>4557</v>
      </c>
      <c r="X372" s="5"/>
      <c r="Y372" s="5"/>
      <c r="Z372" s="5" t="s">
        <v>46</v>
      </c>
      <c r="AA372" s="5" t="s">
        <v>4589</v>
      </c>
      <c r="AB372" s="5"/>
      <c r="AC372" s="7">
        <v>1</v>
      </c>
      <c r="AD372" t="str">
        <f>VLOOKUP($T372,[1]NhanSu!$C$5:$M$229,11,0)</f>
        <v>SM0000031</v>
      </c>
    </row>
    <row r="373" spans="1:30" x14ac:dyDescent="0.45">
      <c r="A373" s="8" t="s">
        <v>4550</v>
      </c>
      <c r="B373" s="4">
        <v>49</v>
      </c>
      <c r="C373" s="4" t="s">
        <v>4717</v>
      </c>
      <c r="D373" s="4" t="s">
        <v>4718</v>
      </c>
      <c r="E373" s="4"/>
      <c r="F373" s="4" t="s">
        <v>53</v>
      </c>
      <c r="G373" s="4" t="s">
        <v>34</v>
      </c>
      <c r="H373" s="4" t="s">
        <v>332</v>
      </c>
      <c r="I373" s="4" t="s">
        <v>4719</v>
      </c>
      <c r="J373" s="4" t="s">
        <v>37</v>
      </c>
      <c r="K373" s="4" t="s">
        <v>37</v>
      </c>
      <c r="L373" s="4" t="s">
        <v>40</v>
      </c>
      <c r="M373" s="4" t="s">
        <v>56</v>
      </c>
      <c r="N373" s="4" t="s">
        <v>56</v>
      </c>
      <c r="O373" s="4" t="s">
        <v>39</v>
      </c>
      <c r="P373" s="4" t="s">
        <v>38</v>
      </c>
      <c r="Q373" s="4" t="s">
        <v>38</v>
      </c>
      <c r="R373" s="4" t="s">
        <v>40</v>
      </c>
      <c r="S373" s="4" t="s">
        <v>41</v>
      </c>
      <c r="T373" s="4" t="s">
        <v>4554</v>
      </c>
      <c r="U373" s="4" t="s">
        <v>4555</v>
      </c>
      <c r="V373" s="4" t="s">
        <v>4556</v>
      </c>
      <c r="W373" s="4" t="s">
        <v>4557</v>
      </c>
      <c r="X373" s="4"/>
      <c r="Y373" s="4"/>
      <c r="Z373" s="4" t="s">
        <v>46</v>
      </c>
      <c r="AA373" s="4" t="s">
        <v>4575</v>
      </c>
      <c r="AB373" s="4"/>
      <c r="AC373" s="9">
        <v>1</v>
      </c>
      <c r="AD373" t="str">
        <f>VLOOKUP($T373,[1]NhanSu!$C$5:$M$229,11,0)</f>
        <v>SM0000031</v>
      </c>
    </row>
    <row r="374" spans="1:30" x14ac:dyDescent="0.45">
      <c r="A374" s="6" t="s">
        <v>4550</v>
      </c>
      <c r="B374" s="5">
        <v>55</v>
      </c>
      <c r="C374" s="5" t="s">
        <v>4734</v>
      </c>
      <c r="D374" s="5" t="s">
        <v>4735</v>
      </c>
      <c r="E374" s="5"/>
      <c r="F374" s="5" t="s">
        <v>581</v>
      </c>
      <c r="G374" s="5" t="s">
        <v>34</v>
      </c>
      <c r="H374" s="5" t="s">
        <v>54</v>
      </c>
      <c r="I374" s="5" t="s">
        <v>4736</v>
      </c>
      <c r="J374" s="5" t="s">
        <v>37</v>
      </c>
      <c r="K374" s="5" t="s">
        <v>37</v>
      </c>
      <c r="L374" s="5" t="s">
        <v>39</v>
      </c>
      <c r="M374" s="5" t="s">
        <v>56</v>
      </c>
      <c r="N374" s="5" t="s">
        <v>56</v>
      </c>
      <c r="O374" s="5" t="s">
        <v>39</v>
      </c>
      <c r="P374" s="5" t="s">
        <v>37</v>
      </c>
      <c r="Q374" s="5" t="s">
        <v>37</v>
      </c>
      <c r="R374" s="5" t="s">
        <v>39</v>
      </c>
      <c r="S374" s="5" t="s">
        <v>41</v>
      </c>
      <c r="T374" s="5" t="s">
        <v>4737</v>
      </c>
      <c r="U374" s="5" t="s">
        <v>4738</v>
      </c>
      <c r="V374" s="5" t="s">
        <v>4556</v>
      </c>
      <c r="W374" s="5" t="s">
        <v>1457</v>
      </c>
      <c r="X374" s="5"/>
      <c r="Y374" s="5"/>
      <c r="Z374" s="5" t="s">
        <v>46</v>
      </c>
      <c r="AA374" s="5" t="s">
        <v>4589</v>
      </c>
      <c r="AB374" s="5"/>
      <c r="AC374" s="7">
        <v>1</v>
      </c>
      <c r="AD374" t="str">
        <f>VLOOKUP($T374,[1]NhanSu!$C$5:$M$229,11,0)</f>
        <v>SM0000158</v>
      </c>
    </row>
    <row r="375" spans="1:30" x14ac:dyDescent="0.45">
      <c r="A375" s="8" t="s">
        <v>4550</v>
      </c>
      <c r="B375" s="4">
        <v>56</v>
      </c>
      <c r="C375" s="4" t="s">
        <v>4739</v>
      </c>
      <c r="D375" s="4" t="s">
        <v>4740</v>
      </c>
      <c r="E375" s="4"/>
      <c r="F375" s="4" t="s">
        <v>4688</v>
      </c>
      <c r="G375" s="4" t="s">
        <v>34</v>
      </c>
      <c r="H375" s="4" t="s">
        <v>685</v>
      </c>
      <c r="I375" s="4" t="s">
        <v>4741</v>
      </c>
      <c r="J375" s="4" t="s">
        <v>38</v>
      </c>
      <c r="K375" s="4" t="s">
        <v>38</v>
      </c>
      <c r="L375" s="4" t="s">
        <v>40</v>
      </c>
      <c r="M375" s="4" t="s">
        <v>38</v>
      </c>
      <c r="N375" s="4" t="s">
        <v>38</v>
      </c>
      <c r="O375" s="4" t="s">
        <v>121</v>
      </c>
      <c r="P375" s="4" t="s">
        <v>38</v>
      </c>
      <c r="Q375" s="4" t="s">
        <v>38</v>
      </c>
      <c r="R375" s="4" t="s">
        <v>40</v>
      </c>
      <c r="S375" s="4" t="s">
        <v>41</v>
      </c>
      <c r="T375" s="4" t="s">
        <v>4574</v>
      </c>
      <c r="U375" s="4" t="s">
        <v>4555</v>
      </c>
      <c r="V375" s="4" t="s">
        <v>4556</v>
      </c>
      <c r="W375" s="4" t="s">
        <v>4557</v>
      </c>
      <c r="X375" s="4"/>
      <c r="Y375" s="4"/>
      <c r="Z375" s="4" t="s">
        <v>46</v>
      </c>
      <c r="AA375" s="4" t="s">
        <v>4575</v>
      </c>
      <c r="AB375" s="4"/>
      <c r="AC375" s="9">
        <v>1</v>
      </c>
      <c r="AD375" t="str">
        <f>VLOOKUP($T375,[1]NhanSu!$C$5:$M$229,11,0)</f>
        <v>SM0000183</v>
      </c>
    </row>
    <row r="376" spans="1:30" x14ac:dyDescent="0.45">
      <c r="A376" s="6" t="s">
        <v>4550</v>
      </c>
      <c r="B376" s="5">
        <v>60</v>
      </c>
      <c r="C376" s="5" t="s">
        <v>4757</v>
      </c>
      <c r="D376" s="5" t="s">
        <v>4758</v>
      </c>
      <c r="E376" s="5"/>
      <c r="F376" s="5" t="s">
        <v>4759</v>
      </c>
      <c r="G376" s="5" t="s">
        <v>34</v>
      </c>
      <c r="H376" s="5" t="s">
        <v>54</v>
      </c>
      <c r="I376" s="5" t="s">
        <v>4760</v>
      </c>
      <c r="J376" s="5" t="s">
        <v>56</v>
      </c>
      <c r="K376" s="5" t="s">
        <v>37</v>
      </c>
      <c r="L376" s="5" t="s">
        <v>121</v>
      </c>
      <c r="M376" s="5" t="s">
        <v>56</v>
      </c>
      <c r="N376" s="5" t="s">
        <v>56</v>
      </c>
      <c r="O376" s="5" t="s">
        <v>121</v>
      </c>
      <c r="P376" s="5" t="s">
        <v>38</v>
      </c>
      <c r="Q376" s="5" t="s">
        <v>38</v>
      </c>
      <c r="R376" s="5" t="s">
        <v>39</v>
      </c>
      <c r="S376" s="5" t="s">
        <v>4761</v>
      </c>
      <c r="T376" s="5" t="s">
        <v>4746</v>
      </c>
      <c r="U376" s="5" t="s">
        <v>4747</v>
      </c>
      <c r="V376" s="5" t="s">
        <v>4556</v>
      </c>
      <c r="W376" s="5" t="s">
        <v>4603</v>
      </c>
      <c r="X376" s="5"/>
      <c r="Y376" s="5"/>
      <c r="Z376" s="5" t="s">
        <v>46</v>
      </c>
      <c r="AA376" s="5" t="s">
        <v>4589</v>
      </c>
      <c r="AB376" s="5"/>
      <c r="AC376" s="7">
        <v>1</v>
      </c>
      <c r="AD376" t="str">
        <f>VLOOKUP($T376,[1]NhanSu!$C$5:$M$229,11,0)</f>
        <v>SM0000187</v>
      </c>
    </row>
    <row r="377" spans="1:30" x14ac:dyDescent="0.45">
      <c r="A377" s="8" t="s">
        <v>4550</v>
      </c>
      <c r="B377" s="4">
        <v>61</v>
      </c>
      <c r="C377" s="4" t="s">
        <v>4762</v>
      </c>
      <c r="D377" s="4" t="s">
        <v>4763</v>
      </c>
      <c r="E377" s="4"/>
      <c r="F377" s="4" t="s">
        <v>3049</v>
      </c>
      <c r="G377" s="4" t="s">
        <v>34</v>
      </c>
      <c r="H377" s="4" t="s">
        <v>54</v>
      </c>
      <c r="I377" s="4" t="s">
        <v>4764</v>
      </c>
      <c r="J377" s="4" t="s">
        <v>56</v>
      </c>
      <c r="K377" s="4" t="s">
        <v>56</v>
      </c>
      <c r="L377" s="4" t="s">
        <v>121</v>
      </c>
      <c r="M377" s="4" t="s">
        <v>56</v>
      </c>
      <c r="N377" s="4" t="s">
        <v>56</v>
      </c>
      <c r="O377" s="4" t="s">
        <v>121</v>
      </c>
      <c r="P377" s="4" t="s">
        <v>38</v>
      </c>
      <c r="Q377" s="4" t="s">
        <v>38</v>
      </c>
      <c r="R377" s="4" t="s">
        <v>39</v>
      </c>
      <c r="S377" s="4" t="s">
        <v>4765</v>
      </c>
      <c r="T377" s="4" t="s">
        <v>4746</v>
      </c>
      <c r="U377" s="4" t="s">
        <v>4747</v>
      </c>
      <c r="V377" s="4" t="s">
        <v>4556</v>
      </c>
      <c r="W377" s="4" t="s">
        <v>4603</v>
      </c>
      <c r="X377" s="4"/>
      <c r="Y377" s="4"/>
      <c r="Z377" s="4" t="s">
        <v>46</v>
      </c>
      <c r="AA377" s="4" t="s">
        <v>4589</v>
      </c>
      <c r="AB377" s="4"/>
      <c r="AC377" s="9">
        <v>1</v>
      </c>
      <c r="AD377" t="str">
        <f>VLOOKUP($T377,[1]NhanSu!$C$5:$M$229,11,0)</f>
        <v>SM0000187</v>
      </c>
    </row>
    <row r="378" spans="1:30" x14ac:dyDescent="0.45">
      <c r="A378" s="6" t="s">
        <v>4550</v>
      </c>
      <c r="B378" s="5">
        <v>66</v>
      </c>
      <c r="C378" s="5" t="s">
        <v>4779</v>
      </c>
      <c r="D378" s="5" t="s">
        <v>4594</v>
      </c>
      <c r="E378" s="5"/>
      <c r="F378" s="5" t="s">
        <v>53</v>
      </c>
      <c r="G378" s="5" t="s">
        <v>177</v>
      </c>
      <c r="H378" s="5" t="s">
        <v>2256</v>
      </c>
      <c r="I378" s="5" t="s">
        <v>4750</v>
      </c>
      <c r="J378" s="5" t="s">
        <v>38</v>
      </c>
      <c r="K378" s="5" t="s">
        <v>38</v>
      </c>
      <c r="L378" s="5" t="s">
        <v>40</v>
      </c>
      <c r="M378" s="5" t="s">
        <v>38</v>
      </c>
      <c r="N378" s="5" t="s">
        <v>38</v>
      </c>
      <c r="O378" s="5" t="s">
        <v>39</v>
      </c>
      <c r="P378" s="5" t="s">
        <v>38</v>
      </c>
      <c r="Q378" s="5" t="s">
        <v>38</v>
      </c>
      <c r="R378" s="5" t="s">
        <v>40</v>
      </c>
      <c r="S378" s="5" t="s">
        <v>4751</v>
      </c>
      <c r="T378" s="5" t="s">
        <v>4752</v>
      </c>
      <c r="U378" s="5" t="s">
        <v>4753</v>
      </c>
      <c r="V378" s="5" t="s">
        <v>4556</v>
      </c>
      <c r="W378" s="5" t="s">
        <v>4557</v>
      </c>
      <c r="X378" s="5"/>
      <c r="Y378" s="5"/>
      <c r="Z378" s="5" t="s">
        <v>46</v>
      </c>
      <c r="AA378" s="5" t="s">
        <v>4589</v>
      </c>
      <c r="AB378" s="5"/>
      <c r="AC378" s="7">
        <v>1</v>
      </c>
      <c r="AD378" t="str">
        <f>VLOOKUP($T378,[1]NhanSu!$C$5:$M$229,11,0)</f>
        <v>SM0000030</v>
      </c>
    </row>
    <row r="379" spans="1:30" x14ac:dyDescent="0.45">
      <c r="A379" s="8" t="s">
        <v>4550</v>
      </c>
      <c r="B379" s="4">
        <v>69</v>
      </c>
      <c r="C379" s="4" t="s">
        <v>4787</v>
      </c>
      <c r="D379" s="4" t="s">
        <v>4788</v>
      </c>
      <c r="E379" s="4"/>
      <c r="F379" s="4" t="s">
        <v>53</v>
      </c>
      <c r="G379" s="4" t="s">
        <v>34</v>
      </c>
      <c r="H379" s="4" t="s">
        <v>54</v>
      </c>
      <c r="I379" s="4" t="s">
        <v>4789</v>
      </c>
      <c r="J379" s="4" t="s">
        <v>38</v>
      </c>
      <c r="K379" s="4" t="s">
        <v>38</v>
      </c>
      <c r="L379" s="4" t="s">
        <v>40</v>
      </c>
      <c r="M379" s="4" t="s">
        <v>38</v>
      </c>
      <c r="N379" s="4" t="s">
        <v>38</v>
      </c>
      <c r="O379" s="4" t="s">
        <v>40</v>
      </c>
      <c r="P379" s="4" t="s">
        <v>38</v>
      </c>
      <c r="Q379" s="4" t="s">
        <v>38</v>
      </c>
      <c r="R379" s="4" t="s">
        <v>40</v>
      </c>
      <c r="S379" s="4" t="s">
        <v>41</v>
      </c>
      <c r="T379" s="4" t="s">
        <v>4565</v>
      </c>
      <c r="U379" s="4" t="s">
        <v>4566</v>
      </c>
      <c r="V379" s="4" t="s">
        <v>4556</v>
      </c>
      <c r="W379" s="4" t="s">
        <v>4567</v>
      </c>
      <c r="X379" s="4"/>
      <c r="Y379" s="4"/>
      <c r="Z379" s="4" t="s">
        <v>46</v>
      </c>
      <c r="AA379" s="4" t="s">
        <v>4575</v>
      </c>
      <c r="AB379" s="4"/>
      <c r="AC379" s="9">
        <v>1</v>
      </c>
      <c r="AD379" t="str">
        <f>VLOOKUP($T379,[1]NhanSu!$C$5:$M$229,11,0)</f>
        <v>SM0000165</v>
      </c>
    </row>
    <row r="380" spans="1:30" x14ac:dyDescent="0.45">
      <c r="A380" s="6" t="s">
        <v>4550</v>
      </c>
      <c r="B380" s="5">
        <v>74</v>
      </c>
      <c r="C380" s="5" t="s">
        <v>4803</v>
      </c>
      <c r="D380" s="5" t="s">
        <v>4804</v>
      </c>
      <c r="E380" s="5"/>
      <c r="F380" s="5" t="s">
        <v>4805</v>
      </c>
      <c r="G380" s="5" t="s">
        <v>34</v>
      </c>
      <c r="H380" s="5" t="s">
        <v>54</v>
      </c>
      <c r="I380" s="5" t="s">
        <v>4806</v>
      </c>
      <c r="J380" s="5" t="s">
        <v>38</v>
      </c>
      <c r="K380" s="5" t="s">
        <v>38</v>
      </c>
      <c r="L380" s="5" t="s">
        <v>40</v>
      </c>
      <c r="M380" s="5" t="s">
        <v>38</v>
      </c>
      <c r="N380" s="5" t="s">
        <v>38</v>
      </c>
      <c r="O380" s="5" t="s">
        <v>40</v>
      </c>
      <c r="P380" s="5" t="s">
        <v>38</v>
      </c>
      <c r="Q380" s="5" t="s">
        <v>38</v>
      </c>
      <c r="R380" s="5" t="s">
        <v>40</v>
      </c>
      <c r="S380" s="5" t="s">
        <v>4783</v>
      </c>
      <c r="T380" s="5" t="s">
        <v>4565</v>
      </c>
      <c r="U380" s="5" t="s">
        <v>4566</v>
      </c>
      <c r="V380" s="5" t="s">
        <v>4556</v>
      </c>
      <c r="W380" s="5" t="s">
        <v>4567</v>
      </c>
      <c r="X380" s="5"/>
      <c r="Y380" s="5"/>
      <c r="Z380" s="5" t="s">
        <v>46</v>
      </c>
      <c r="AA380" s="5" t="s">
        <v>4589</v>
      </c>
      <c r="AB380" s="5"/>
      <c r="AC380" s="7">
        <v>1</v>
      </c>
      <c r="AD380" t="str">
        <f>VLOOKUP($T380,[1]NhanSu!$C$5:$M$229,11,0)</f>
        <v>SM0000165</v>
      </c>
    </row>
    <row r="381" spans="1:30" x14ac:dyDescent="0.45">
      <c r="A381" s="8" t="s">
        <v>4550</v>
      </c>
      <c r="B381" s="4">
        <v>76</v>
      </c>
      <c r="C381" s="4" t="s">
        <v>4810</v>
      </c>
      <c r="D381" s="4" t="s">
        <v>4811</v>
      </c>
      <c r="E381" s="4"/>
      <c r="F381" s="4" t="s">
        <v>581</v>
      </c>
      <c r="G381" s="4" t="s">
        <v>34</v>
      </c>
      <c r="H381" s="4" t="s">
        <v>214</v>
      </c>
      <c r="I381" s="4" t="s">
        <v>4812</v>
      </c>
      <c r="J381" s="4" t="s">
        <v>37</v>
      </c>
      <c r="K381" s="4" t="s">
        <v>37</v>
      </c>
      <c r="L381" s="4" t="s">
        <v>39</v>
      </c>
      <c r="M381" s="4" t="s">
        <v>37</v>
      </c>
      <c r="N381" s="4" t="s">
        <v>37</v>
      </c>
      <c r="O381" s="4" t="s">
        <v>39</v>
      </c>
      <c r="P381" s="4" t="s">
        <v>37</v>
      </c>
      <c r="Q381" s="4" t="s">
        <v>37</v>
      </c>
      <c r="R381" s="4" t="s">
        <v>39</v>
      </c>
      <c r="S381" s="4" t="s">
        <v>41</v>
      </c>
      <c r="T381" s="4" t="s">
        <v>4737</v>
      </c>
      <c r="U381" s="4" t="s">
        <v>4738</v>
      </c>
      <c r="V381" s="4" t="s">
        <v>4556</v>
      </c>
      <c r="W381" s="4" t="s">
        <v>1457</v>
      </c>
      <c r="X381" s="4"/>
      <c r="Y381" s="4"/>
      <c r="Z381" s="4" t="s">
        <v>46</v>
      </c>
      <c r="AA381" s="4" t="s">
        <v>4589</v>
      </c>
      <c r="AB381" s="4"/>
      <c r="AC381" s="9">
        <v>1</v>
      </c>
      <c r="AD381" t="str">
        <f>VLOOKUP($T381,[1]NhanSu!$C$5:$M$229,11,0)</f>
        <v>SM0000158</v>
      </c>
    </row>
    <row r="382" spans="1:30" x14ac:dyDescent="0.45">
      <c r="A382" s="6" t="s">
        <v>4550</v>
      </c>
      <c r="B382" s="5">
        <v>78</v>
      </c>
      <c r="C382" s="5" t="s">
        <v>4817</v>
      </c>
      <c r="D382" s="5" t="s">
        <v>4818</v>
      </c>
      <c r="E382" s="5"/>
      <c r="F382" s="5" t="s">
        <v>4819</v>
      </c>
      <c r="G382" s="5" t="s">
        <v>34</v>
      </c>
      <c r="H382" s="5" t="s">
        <v>54</v>
      </c>
      <c r="I382" s="5" t="s">
        <v>4820</v>
      </c>
      <c r="J382" s="5" t="s">
        <v>37</v>
      </c>
      <c r="K382" s="5" t="s">
        <v>37</v>
      </c>
      <c r="L382" s="5" t="s">
        <v>39</v>
      </c>
      <c r="M382" s="5" t="s">
        <v>37</v>
      </c>
      <c r="N382" s="5" t="s">
        <v>56</v>
      </c>
      <c r="O382" s="5" t="s">
        <v>39</v>
      </c>
      <c r="P382" s="5" t="s">
        <v>37</v>
      </c>
      <c r="Q382" s="5" t="s">
        <v>37</v>
      </c>
      <c r="R382" s="5" t="s">
        <v>39</v>
      </c>
      <c r="S382" s="5" t="s">
        <v>41</v>
      </c>
      <c r="T382" s="5" t="s">
        <v>4737</v>
      </c>
      <c r="U382" s="5" t="s">
        <v>4738</v>
      </c>
      <c r="V382" s="5" t="s">
        <v>4556</v>
      </c>
      <c r="W382" s="5" t="s">
        <v>1457</v>
      </c>
      <c r="X382" s="5"/>
      <c r="Y382" s="5"/>
      <c r="Z382" s="5" t="s">
        <v>46</v>
      </c>
      <c r="AA382" s="5" t="s">
        <v>4589</v>
      </c>
      <c r="AB382" s="5"/>
      <c r="AC382" s="7">
        <v>1</v>
      </c>
      <c r="AD382" t="str">
        <f>VLOOKUP($T382,[1]NhanSu!$C$5:$M$229,11,0)</f>
        <v>SM0000158</v>
      </c>
    </row>
    <row r="383" spans="1:30" x14ac:dyDescent="0.45">
      <c r="A383" s="8" t="s">
        <v>4550</v>
      </c>
      <c r="B383" s="4">
        <v>82</v>
      </c>
      <c r="C383" s="4" t="s">
        <v>4831</v>
      </c>
      <c r="D383" s="4" t="s">
        <v>4832</v>
      </c>
      <c r="E383" s="4"/>
      <c r="F383" s="4" t="s">
        <v>3237</v>
      </c>
      <c r="G383" s="4" t="s">
        <v>177</v>
      </c>
      <c r="H383" s="4" t="s">
        <v>697</v>
      </c>
      <c r="I383" s="4" t="s">
        <v>4833</v>
      </c>
      <c r="J383" s="4" t="s">
        <v>56</v>
      </c>
      <c r="K383" s="4" t="s">
        <v>56</v>
      </c>
      <c r="L383" s="4" t="s">
        <v>39</v>
      </c>
      <c r="M383" s="4" t="s">
        <v>56</v>
      </c>
      <c r="N383" s="4" t="s">
        <v>56</v>
      </c>
      <c r="O383" s="4" t="s">
        <v>39</v>
      </c>
      <c r="P383" s="4" t="s">
        <v>56</v>
      </c>
      <c r="Q383" s="4" t="s">
        <v>56</v>
      </c>
      <c r="R383" s="4" t="s">
        <v>39</v>
      </c>
      <c r="S383" s="4" t="s">
        <v>4834</v>
      </c>
      <c r="T383" s="4" t="s">
        <v>4835</v>
      </c>
      <c r="U383" s="4" t="s">
        <v>4802</v>
      </c>
      <c r="V383" s="4" t="s">
        <v>4556</v>
      </c>
      <c r="W383" s="4" t="s">
        <v>1457</v>
      </c>
      <c r="X383" s="4"/>
      <c r="Y383" s="4"/>
      <c r="Z383" s="4" t="s">
        <v>46</v>
      </c>
      <c r="AA383" s="4" t="s">
        <v>4589</v>
      </c>
      <c r="AB383" s="4"/>
      <c r="AC383" s="9">
        <v>1</v>
      </c>
      <c r="AD383" t="str">
        <f>VLOOKUP($T383,[1]NhanSu!$C$5:$M$229,11,0)</f>
        <v>SM0000159</v>
      </c>
    </row>
    <row r="384" spans="1:30" x14ac:dyDescent="0.45">
      <c r="A384" s="6" t="s">
        <v>4550</v>
      </c>
      <c r="B384" s="5">
        <v>83</v>
      </c>
      <c r="C384" s="5" t="s">
        <v>4836</v>
      </c>
      <c r="D384" s="5" t="s">
        <v>4837</v>
      </c>
      <c r="E384" s="5"/>
      <c r="F384" s="5" t="s">
        <v>1597</v>
      </c>
      <c r="G384" s="5" t="s">
        <v>34</v>
      </c>
      <c r="H384" s="5" t="s">
        <v>54</v>
      </c>
      <c r="I384" s="5" t="s">
        <v>4838</v>
      </c>
      <c r="J384" s="5" t="s">
        <v>37</v>
      </c>
      <c r="K384" s="5" t="s">
        <v>37</v>
      </c>
      <c r="L384" s="5" t="s">
        <v>39</v>
      </c>
      <c r="M384" s="5" t="s">
        <v>37</v>
      </c>
      <c r="N384" s="5" t="s">
        <v>37</v>
      </c>
      <c r="O384" s="5" t="s">
        <v>39</v>
      </c>
      <c r="P384" s="5" t="s">
        <v>37</v>
      </c>
      <c r="Q384" s="5" t="s">
        <v>37</v>
      </c>
      <c r="R384" s="5" t="s">
        <v>39</v>
      </c>
      <c r="S384" s="5" t="s">
        <v>41</v>
      </c>
      <c r="T384" s="5" t="s">
        <v>4737</v>
      </c>
      <c r="U384" s="5" t="s">
        <v>4738</v>
      </c>
      <c r="V384" s="5" t="s">
        <v>4556</v>
      </c>
      <c r="W384" s="5" t="s">
        <v>1457</v>
      </c>
      <c r="X384" s="5"/>
      <c r="Y384" s="5"/>
      <c r="Z384" s="5" t="s">
        <v>46</v>
      </c>
      <c r="AA384" s="5" t="s">
        <v>4589</v>
      </c>
      <c r="AB384" s="5"/>
      <c r="AC384" s="7">
        <v>1</v>
      </c>
      <c r="AD384" t="str">
        <f>VLOOKUP($T384,[1]NhanSu!$C$5:$M$229,11,0)</f>
        <v>SM0000158</v>
      </c>
    </row>
    <row r="385" spans="1:30" x14ac:dyDescent="0.45">
      <c r="A385" s="8" t="s">
        <v>4550</v>
      </c>
      <c r="B385" s="4">
        <v>84</v>
      </c>
      <c r="C385" s="4" t="s">
        <v>4839</v>
      </c>
      <c r="D385" s="4" t="s">
        <v>4840</v>
      </c>
      <c r="E385" s="4"/>
      <c r="F385" s="4" t="s">
        <v>4759</v>
      </c>
      <c r="G385" s="4" t="s">
        <v>34</v>
      </c>
      <c r="H385" s="4" t="s">
        <v>54</v>
      </c>
      <c r="I385" s="4" t="s">
        <v>4841</v>
      </c>
      <c r="J385" s="4" t="s">
        <v>37</v>
      </c>
      <c r="K385" s="4" t="s">
        <v>37</v>
      </c>
      <c r="L385" s="4" t="s">
        <v>39</v>
      </c>
      <c r="M385" s="4" t="s">
        <v>56</v>
      </c>
      <c r="N385" s="4" t="s">
        <v>56</v>
      </c>
      <c r="O385" s="4" t="s">
        <v>121</v>
      </c>
      <c r="P385" s="4" t="s">
        <v>38</v>
      </c>
      <c r="Q385" s="4" t="s">
        <v>38</v>
      </c>
      <c r="R385" s="4" t="s">
        <v>39</v>
      </c>
      <c r="S385" s="4" t="s">
        <v>4765</v>
      </c>
      <c r="T385" s="4" t="s">
        <v>4746</v>
      </c>
      <c r="U385" s="4" t="s">
        <v>4747</v>
      </c>
      <c r="V385" s="4" t="s">
        <v>4556</v>
      </c>
      <c r="W385" s="4" t="s">
        <v>4603</v>
      </c>
      <c r="X385" s="4"/>
      <c r="Y385" s="4"/>
      <c r="Z385" s="4" t="s">
        <v>46</v>
      </c>
      <c r="AA385" s="4" t="s">
        <v>4589</v>
      </c>
      <c r="AB385" s="4"/>
      <c r="AC385" s="9">
        <v>1</v>
      </c>
      <c r="AD385" t="str">
        <f>VLOOKUP($T385,[1]NhanSu!$C$5:$M$229,11,0)</f>
        <v>SM0000187</v>
      </c>
    </row>
    <row r="386" spans="1:30" x14ac:dyDescent="0.45">
      <c r="A386" s="6" t="s">
        <v>4550</v>
      </c>
      <c r="B386" s="5">
        <v>85</v>
      </c>
      <c r="C386" s="5" t="s">
        <v>4842</v>
      </c>
      <c r="D386" s="5" t="s">
        <v>781</v>
      </c>
      <c r="E386" s="5"/>
      <c r="F386" s="5" t="s">
        <v>4843</v>
      </c>
      <c r="G386" s="5" t="s">
        <v>34</v>
      </c>
      <c r="H386" s="5" t="s">
        <v>54</v>
      </c>
      <c r="I386" s="5" t="s">
        <v>4844</v>
      </c>
      <c r="J386" s="5" t="s">
        <v>37</v>
      </c>
      <c r="K386" s="5" t="s">
        <v>37</v>
      </c>
      <c r="L386" s="5" t="s">
        <v>39</v>
      </c>
      <c r="M386" s="5" t="s">
        <v>37</v>
      </c>
      <c r="N386" s="5" t="s">
        <v>37</v>
      </c>
      <c r="O386" s="5" t="s">
        <v>39</v>
      </c>
      <c r="P386" s="5" t="s">
        <v>37</v>
      </c>
      <c r="Q386" s="5" t="s">
        <v>37</v>
      </c>
      <c r="R386" s="5" t="s">
        <v>39</v>
      </c>
      <c r="S386" s="5" t="s">
        <v>41</v>
      </c>
      <c r="T386" s="5" t="s">
        <v>4737</v>
      </c>
      <c r="U386" s="5" t="s">
        <v>4738</v>
      </c>
      <c r="V386" s="5" t="s">
        <v>4556</v>
      </c>
      <c r="W386" s="5" t="s">
        <v>1457</v>
      </c>
      <c r="X386" s="5"/>
      <c r="Y386" s="5"/>
      <c r="Z386" s="5" t="s">
        <v>46</v>
      </c>
      <c r="AA386" s="5" t="s">
        <v>4589</v>
      </c>
      <c r="AB386" s="5"/>
      <c r="AC386" s="7">
        <v>1</v>
      </c>
      <c r="AD386" t="str">
        <f>VLOOKUP($T386,[1]NhanSu!$C$5:$M$229,11,0)</f>
        <v>SM0000158</v>
      </c>
    </row>
    <row r="387" spans="1:30" x14ac:dyDescent="0.45">
      <c r="A387" s="8" t="s">
        <v>4550</v>
      </c>
      <c r="B387" s="4">
        <v>86</v>
      </c>
      <c r="C387" s="4" t="s">
        <v>4845</v>
      </c>
      <c r="D387" s="4" t="s">
        <v>4846</v>
      </c>
      <c r="E387" s="4"/>
      <c r="F387" s="4" t="s">
        <v>417</v>
      </c>
      <c r="G387" s="4" t="s">
        <v>34</v>
      </c>
      <c r="H387" s="4" t="s">
        <v>54</v>
      </c>
      <c r="I387" s="4" t="s">
        <v>4847</v>
      </c>
      <c r="J387" s="4" t="s">
        <v>37</v>
      </c>
      <c r="K387" s="4" t="s">
        <v>37</v>
      </c>
      <c r="L387" s="4" t="s">
        <v>39</v>
      </c>
      <c r="M387" s="4" t="s">
        <v>37</v>
      </c>
      <c r="N387" s="4" t="s">
        <v>37</v>
      </c>
      <c r="O387" s="4" t="s">
        <v>39</v>
      </c>
      <c r="P387" s="4" t="s">
        <v>37</v>
      </c>
      <c r="Q387" s="4" t="s">
        <v>37</v>
      </c>
      <c r="R387" s="4" t="s">
        <v>39</v>
      </c>
      <c r="S387" s="4" t="s">
        <v>41</v>
      </c>
      <c r="T387" s="4" t="s">
        <v>4737</v>
      </c>
      <c r="U387" s="4" t="s">
        <v>4738</v>
      </c>
      <c r="V387" s="4" t="s">
        <v>4556</v>
      </c>
      <c r="W387" s="4" t="s">
        <v>1457</v>
      </c>
      <c r="X387" s="4"/>
      <c r="Y387" s="4"/>
      <c r="Z387" s="4" t="s">
        <v>46</v>
      </c>
      <c r="AA387" s="4" t="s">
        <v>4589</v>
      </c>
      <c r="AB387" s="4"/>
      <c r="AC387" s="9">
        <v>1</v>
      </c>
      <c r="AD387" t="str">
        <f>VLOOKUP($T387,[1]NhanSu!$C$5:$M$229,11,0)</f>
        <v>SM0000158</v>
      </c>
    </row>
    <row r="388" spans="1:30" x14ac:dyDescent="0.45">
      <c r="A388" s="6" t="s">
        <v>4550</v>
      </c>
      <c r="B388" s="5">
        <v>96</v>
      </c>
      <c r="C388" s="5" t="s">
        <v>4875</v>
      </c>
      <c r="D388" s="5" t="s">
        <v>4876</v>
      </c>
      <c r="E388" s="5"/>
      <c r="F388" s="5" t="s">
        <v>53</v>
      </c>
      <c r="G388" s="5" t="s">
        <v>177</v>
      </c>
      <c r="H388" s="5" t="s">
        <v>54</v>
      </c>
      <c r="I388" s="5" t="s">
        <v>4772</v>
      </c>
      <c r="J388" s="5" t="s">
        <v>38</v>
      </c>
      <c r="K388" s="5" t="s">
        <v>38</v>
      </c>
      <c r="L388" s="5" t="s">
        <v>40</v>
      </c>
      <c r="M388" s="5" t="s">
        <v>38</v>
      </c>
      <c r="N388" s="5" t="s">
        <v>56</v>
      </c>
      <c r="O388" s="5" t="s">
        <v>39</v>
      </c>
      <c r="P388" s="5" t="s">
        <v>38</v>
      </c>
      <c r="Q388" s="5" t="s">
        <v>38</v>
      </c>
      <c r="R388" s="5" t="s">
        <v>40</v>
      </c>
      <c r="S388" s="5" t="s">
        <v>4877</v>
      </c>
      <c r="T388" s="5" t="s">
        <v>4667</v>
      </c>
      <c r="U388" s="5" t="s">
        <v>4668</v>
      </c>
      <c r="V388" s="5" t="s">
        <v>4556</v>
      </c>
      <c r="W388" s="5" t="s">
        <v>4567</v>
      </c>
      <c r="X388" s="5"/>
      <c r="Y388" s="5"/>
      <c r="Z388" s="5" t="s">
        <v>46</v>
      </c>
      <c r="AA388" s="5" t="s">
        <v>4589</v>
      </c>
      <c r="AB388" s="5"/>
      <c r="AC388" s="7">
        <v>1</v>
      </c>
      <c r="AD388" t="str">
        <f>VLOOKUP($T388,[1]NhanSu!$C$5:$M$229,11,0)</f>
        <v>SM0000163</v>
      </c>
    </row>
    <row r="389" spans="1:30" x14ac:dyDescent="0.45">
      <c r="A389" s="8" t="s">
        <v>4550</v>
      </c>
      <c r="B389" s="4">
        <v>97</v>
      </c>
      <c r="C389" s="4" t="s">
        <v>4878</v>
      </c>
      <c r="D389" s="4" t="s">
        <v>4879</v>
      </c>
      <c r="E389" s="4"/>
      <c r="F389" s="4" t="s">
        <v>4880</v>
      </c>
      <c r="G389" s="4" t="s">
        <v>34</v>
      </c>
      <c r="H389" s="4" t="s">
        <v>54</v>
      </c>
      <c r="I389" s="4" t="s">
        <v>4881</v>
      </c>
      <c r="J389" s="4" t="s">
        <v>38</v>
      </c>
      <c r="K389" s="4" t="s">
        <v>38</v>
      </c>
      <c r="L389" s="4" t="s">
        <v>40</v>
      </c>
      <c r="M389" s="4" t="s">
        <v>38</v>
      </c>
      <c r="N389" s="4" t="s">
        <v>38</v>
      </c>
      <c r="O389" s="4" t="s">
        <v>40</v>
      </c>
      <c r="P389" s="4" t="s">
        <v>38</v>
      </c>
      <c r="Q389" s="4" t="s">
        <v>38</v>
      </c>
      <c r="R389" s="4" t="s">
        <v>40</v>
      </c>
      <c r="S389" s="4" t="s">
        <v>4783</v>
      </c>
      <c r="T389" s="4" t="s">
        <v>4565</v>
      </c>
      <c r="U389" s="4" t="s">
        <v>4566</v>
      </c>
      <c r="V389" s="4" t="s">
        <v>4556</v>
      </c>
      <c r="W389" s="4" t="s">
        <v>4567</v>
      </c>
      <c r="X389" s="4"/>
      <c r="Y389" s="4"/>
      <c r="Z389" s="4" t="s">
        <v>46</v>
      </c>
      <c r="AA389" s="4" t="s">
        <v>4589</v>
      </c>
      <c r="AB389" s="4"/>
      <c r="AC389" s="9">
        <v>1</v>
      </c>
      <c r="AD389" t="str">
        <f>VLOOKUP($T389,[1]NhanSu!$C$5:$M$229,11,0)</f>
        <v>SM0000165</v>
      </c>
    </row>
    <row r="390" spans="1:30" x14ac:dyDescent="0.45">
      <c r="A390" s="6" t="s">
        <v>4550</v>
      </c>
      <c r="B390" s="5">
        <v>101</v>
      </c>
      <c r="C390" s="5" t="s">
        <v>4893</v>
      </c>
      <c r="D390" s="5" t="s">
        <v>4894</v>
      </c>
      <c r="E390" s="5"/>
      <c r="F390" s="5" t="s">
        <v>417</v>
      </c>
      <c r="G390" s="5" t="s">
        <v>34</v>
      </c>
      <c r="H390" s="5" t="s">
        <v>171</v>
      </c>
      <c r="I390" s="5" t="s">
        <v>4895</v>
      </c>
      <c r="J390" s="5" t="s">
        <v>38</v>
      </c>
      <c r="K390" s="5" t="s">
        <v>38</v>
      </c>
      <c r="L390" s="5" t="s">
        <v>40</v>
      </c>
      <c r="M390" s="5" t="s">
        <v>56</v>
      </c>
      <c r="N390" s="5" t="s">
        <v>56</v>
      </c>
      <c r="O390" s="5" t="s">
        <v>39</v>
      </c>
      <c r="P390" s="5" t="s">
        <v>38</v>
      </c>
      <c r="Q390" s="5" t="s">
        <v>38</v>
      </c>
      <c r="R390" s="5" t="s">
        <v>40</v>
      </c>
      <c r="S390" s="5" t="s">
        <v>4892</v>
      </c>
      <c r="T390" s="5" t="s">
        <v>4835</v>
      </c>
      <c r="U390" s="5" t="s">
        <v>4802</v>
      </c>
      <c r="V390" s="5" t="s">
        <v>4556</v>
      </c>
      <c r="W390" s="5" t="s">
        <v>1457</v>
      </c>
      <c r="X390" s="5"/>
      <c r="Y390" s="5"/>
      <c r="Z390" s="5" t="s">
        <v>46</v>
      </c>
      <c r="AA390" s="5" t="s">
        <v>4589</v>
      </c>
      <c r="AB390" s="5"/>
      <c r="AC390" s="7">
        <v>1</v>
      </c>
      <c r="AD390" t="str">
        <f>VLOOKUP($T390,[1]NhanSu!$C$5:$M$229,11,0)</f>
        <v>SM0000159</v>
      </c>
    </row>
    <row r="391" spans="1:30" x14ac:dyDescent="0.45">
      <c r="A391" s="8" t="s">
        <v>4550</v>
      </c>
      <c r="B391" s="4">
        <v>108</v>
      </c>
      <c r="C391" s="4" t="s">
        <v>4914</v>
      </c>
      <c r="D391" s="4" t="s">
        <v>4915</v>
      </c>
      <c r="E391" s="4"/>
      <c r="F391" s="4" t="s">
        <v>401</v>
      </c>
      <c r="G391" s="4" t="s">
        <v>34</v>
      </c>
      <c r="H391" s="4" t="s">
        <v>214</v>
      </c>
      <c r="I391" s="4" t="s">
        <v>4916</v>
      </c>
      <c r="J391" s="4" t="s">
        <v>38</v>
      </c>
      <c r="K391" s="4" t="s">
        <v>38</v>
      </c>
      <c r="L391" s="4" t="s">
        <v>40</v>
      </c>
      <c r="M391" s="4" t="s">
        <v>38</v>
      </c>
      <c r="N391" s="4" t="s">
        <v>775</v>
      </c>
      <c r="O391" s="4" t="s">
        <v>39</v>
      </c>
      <c r="P391" s="4" t="s">
        <v>38</v>
      </c>
      <c r="Q391" s="4" t="s">
        <v>38</v>
      </c>
      <c r="R391" s="4" t="s">
        <v>40</v>
      </c>
      <c r="S391" s="4" t="s">
        <v>41</v>
      </c>
      <c r="T391" s="4" t="s">
        <v>4667</v>
      </c>
      <c r="U391" s="4" t="s">
        <v>4668</v>
      </c>
      <c r="V391" s="4" t="s">
        <v>4556</v>
      </c>
      <c r="W391" s="4" t="s">
        <v>4567</v>
      </c>
      <c r="X391" s="4"/>
      <c r="Y391" s="4"/>
      <c r="Z391" s="4" t="s">
        <v>46</v>
      </c>
      <c r="AA391" s="4" t="s">
        <v>4589</v>
      </c>
      <c r="AB391" s="4"/>
      <c r="AC391" s="9">
        <v>1</v>
      </c>
      <c r="AD391" t="str">
        <f>VLOOKUP($T391,[1]NhanSu!$C$5:$M$229,11,0)</f>
        <v>SM0000163</v>
      </c>
    </row>
    <row r="392" spans="1:30" x14ac:dyDescent="0.45">
      <c r="A392" s="6" t="s">
        <v>4550</v>
      </c>
      <c r="B392" s="5">
        <v>113</v>
      </c>
      <c r="C392" s="5" t="s">
        <v>4927</v>
      </c>
      <c r="D392" s="5" t="s">
        <v>4928</v>
      </c>
      <c r="E392" s="5"/>
      <c r="F392" s="5" t="s">
        <v>4929</v>
      </c>
      <c r="G392" s="5" t="s">
        <v>34</v>
      </c>
      <c r="H392" s="5" t="s">
        <v>54</v>
      </c>
      <c r="I392" s="5" t="s">
        <v>4930</v>
      </c>
      <c r="J392" s="5" t="s">
        <v>38</v>
      </c>
      <c r="K392" s="5" t="s">
        <v>37</v>
      </c>
      <c r="L392" s="5" t="s">
        <v>39</v>
      </c>
      <c r="M392" s="5" t="s">
        <v>56</v>
      </c>
      <c r="N392" s="5" t="s">
        <v>56</v>
      </c>
      <c r="O392" s="5" t="s">
        <v>39</v>
      </c>
      <c r="P392" s="5" t="s">
        <v>37</v>
      </c>
      <c r="Q392" s="5" t="s">
        <v>37</v>
      </c>
      <c r="R392" s="5" t="s">
        <v>39</v>
      </c>
      <c r="S392" s="5" t="s">
        <v>41</v>
      </c>
      <c r="T392" s="5" t="s">
        <v>4737</v>
      </c>
      <c r="U392" s="5" t="s">
        <v>4738</v>
      </c>
      <c r="V392" s="5" t="s">
        <v>4556</v>
      </c>
      <c r="W392" s="5" t="s">
        <v>1457</v>
      </c>
      <c r="X392" s="5"/>
      <c r="Y392" s="5"/>
      <c r="Z392" s="5" t="s">
        <v>46</v>
      </c>
      <c r="AA392" s="5" t="s">
        <v>4589</v>
      </c>
      <c r="AB392" s="5"/>
      <c r="AC392" s="7">
        <v>1</v>
      </c>
      <c r="AD392" t="str">
        <f>VLOOKUP($T392,[1]NhanSu!$C$5:$M$229,11,0)</f>
        <v>SM0000158</v>
      </c>
    </row>
    <row r="393" spans="1:30" x14ac:dyDescent="0.45">
      <c r="A393" s="8" t="s">
        <v>4550</v>
      </c>
      <c r="B393" s="4">
        <v>114</v>
      </c>
      <c r="C393" s="4" t="s">
        <v>4931</v>
      </c>
      <c r="D393" s="4" t="s">
        <v>4932</v>
      </c>
      <c r="E393" s="4"/>
      <c r="F393" s="4" t="s">
        <v>4933</v>
      </c>
      <c r="G393" s="4" t="s">
        <v>34</v>
      </c>
      <c r="H393" s="4" t="s">
        <v>54</v>
      </c>
      <c r="I393" s="4" t="s">
        <v>4934</v>
      </c>
      <c r="J393" s="4" t="s">
        <v>37</v>
      </c>
      <c r="K393" s="4" t="s">
        <v>37</v>
      </c>
      <c r="L393" s="4" t="s">
        <v>40</v>
      </c>
      <c r="M393" s="4" t="s">
        <v>56</v>
      </c>
      <c r="N393" s="4" t="s">
        <v>56</v>
      </c>
      <c r="O393" s="4" t="s">
        <v>39</v>
      </c>
      <c r="P393" s="4" t="s">
        <v>37</v>
      </c>
      <c r="Q393" s="4" t="s">
        <v>37</v>
      </c>
      <c r="R393" s="4" t="s">
        <v>40</v>
      </c>
      <c r="S393" s="4" t="s">
        <v>4892</v>
      </c>
      <c r="T393" s="4" t="s">
        <v>4835</v>
      </c>
      <c r="U393" s="4" t="s">
        <v>4802</v>
      </c>
      <c r="V393" s="4" t="s">
        <v>4556</v>
      </c>
      <c r="W393" s="4" t="s">
        <v>1457</v>
      </c>
      <c r="X393" s="4"/>
      <c r="Y393" s="4"/>
      <c r="Z393" s="4" t="s">
        <v>46</v>
      </c>
      <c r="AA393" s="4" t="s">
        <v>4589</v>
      </c>
      <c r="AB393" s="4"/>
      <c r="AC393" s="9">
        <v>1</v>
      </c>
      <c r="AD393" t="str">
        <f>VLOOKUP($T393,[1]NhanSu!$C$5:$M$229,11,0)</f>
        <v>SM0000159</v>
      </c>
    </row>
    <row r="394" spans="1:30" x14ac:dyDescent="0.45">
      <c r="A394" s="6" t="s">
        <v>4550</v>
      </c>
      <c r="B394" s="5">
        <v>116</v>
      </c>
      <c r="C394" s="5" t="s">
        <v>4940</v>
      </c>
      <c r="D394" s="5" t="s">
        <v>4941</v>
      </c>
      <c r="E394" s="5"/>
      <c r="F394" s="5" t="s">
        <v>53</v>
      </c>
      <c r="G394" s="5" t="s">
        <v>177</v>
      </c>
      <c r="H394" s="5" t="s">
        <v>171</v>
      </c>
      <c r="I394" s="5" t="s">
        <v>4942</v>
      </c>
      <c r="J394" s="5" t="s">
        <v>38</v>
      </c>
      <c r="K394" s="5" t="s">
        <v>38</v>
      </c>
      <c r="L394" s="5" t="s">
        <v>39</v>
      </c>
      <c r="M394" s="5" t="s">
        <v>38</v>
      </c>
      <c r="N394" s="5" t="s">
        <v>38</v>
      </c>
      <c r="O394" s="5" t="s">
        <v>39</v>
      </c>
      <c r="P394" s="5" t="s">
        <v>38</v>
      </c>
      <c r="Q394" s="5" t="s">
        <v>38</v>
      </c>
      <c r="R394" s="5" t="s">
        <v>39</v>
      </c>
      <c r="S394" s="5" t="s">
        <v>4751</v>
      </c>
      <c r="T394" s="5" t="s">
        <v>4752</v>
      </c>
      <c r="U394" s="5" t="s">
        <v>4753</v>
      </c>
      <c r="V394" s="5" t="s">
        <v>4556</v>
      </c>
      <c r="W394" s="5" t="s">
        <v>4557</v>
      </c>
      <c r="X394" s="5"/>
      <c r="Y394" s="5"/>
      <c r="Z394" s="5" t="s">
        <v>46</v>
      </c>
      <c r="AA394" s="5" t="s">
        <v>4589</v>
      </c>
      <c r="AB394" s="5"/>
      <c r="AC394" s="7">
        <v>1</v>
      </c>
      <c r="AD394" t="str">
        <f>VLOOKUP($T394,[1]NhanSu!$C$5:$M$229,11,0)</f>
        <v>SM0000030</v>
      </c>
    </row>
    <row r="395" spans="1:30" x14ac:dyDescent="0.45">
      <c r="A395" s="8" t="s">
        <v>4550</v>
      </c>
      <c r="B395" s="4">
        <v>118</v>
      </c>
      <c r="C395" s="4" t="s">
        <v>4945</v>
      </c>
      <c r="D395" s="4" t="s">
        <v>4946</v>
      </c>
      <c r="E395" s="4"/>
      <c r="F395" s="4" t="s">
        <v>53</v>
      </c>
      <c r="G395" s="4" t="s">
        <v>177</v>
      </c>
      <c r="H395" s="4" t="s">
        <v>54</v>
      </c>
      <c r="I395" s="4" t="s">
        <v>4942</v>
      </c>
      <c r="J395" s="4" t="s">
        <v>38</v>
      </c>
      <c r="K395" s="4" t="s">
        <v>38</v>
      </c>
      <c r="L395" s="4" t="s">
        <v>40</v>
      </c>
      <c r="M395" s="4" t="s">
        <v>38</v>
      </c>
      <c r="N395" s="4" t="s">
        <v>38</v>
      </c>
      <c r="O395" s="4" t="s">
        <v>40</v>
      </c>
      <c r="P395" s="4" t="s">
        <v>38</v>
      </c>
      <c r="Q395" s="4" t="s">
        <v>38</v>
      </c>
      <c r="R395" s="4" t="s">
        <v>40</v>
      </c>
      <c r="S395" s="4" t="s">
        <v>4947</v>
      </c>
      <c r="T395" s="4" t="s">
        <v>4752</v>
      </c>
      <c r="U395" s="4" t="s">
        <v>4753</v>
      </c>
      <c r="V395" s="4" t="s">
        <v>4556</v>
      </c>
      <c r="W395" s="4" t="s">
        <v>4557</v>
      </c>
      <c r="X395" s="4"/>
      <c r="Y395" s="4"/>
      <c r="Z395" s="4" t="s">
        <v>46</v>
      </c>
      <c r="AA395" s="4" t="s">
        <v>4589</v>
      </c>
      <c r="AB395" s="4"/>
      <c r="AC395" s="9">
        <v>1</v>
      </c>
      <c r="AD395" t="str">
        <f>VLOOKUP($T395,[1]NhanSu!$C$5:$M$229,11,0)</f>
        <v>SM0000030</v>
      </c>
    </row>
    <row r="396" spans="1:30" x14ac:dyDescent="0.45">
      <c r="A396" s="6" t="s">
        <v>4550</v>
      </c>
      <c r="B396" s="5">
        <v>119</v>
      </c>
      <c r="C396" s="5" t="s">
        <v>4948</v>
      </c>
      <c r="D396" s="5" t="s">
        <v>4949</v>
      </c>
      <c r="E396" s="5"/>
      <c r="F396" s="5" t="s">
        <v>53</v>
      </c>
      <c r="G396" s="5" t="s">
        <v>177</v>
      </c>
      <c r="H396" s="5" t="s">
        <v>2593</v>
      </c>
      <c r="I396" s="5" t="s">
        <v>4950</v>
      </c>
      <c r="J396" s="5" t="s">
        <v>38</v>
      </c>
      <c r="K396" s="5" t="s">
        <v>38</v>
      </c>
      <c r="L396" s="5" t="s">
        <v>40</v>
      </c>
      <c r="M396" s="5" t="s">
        <v>38</v>
      </c>
      <c r="N396" s="5" t="s">
        <v>38</v>
      </c>
      <c r="O396" s="5" t="s">
        <v>39</v>
      </c>
      <c r="P396" s="5" t="s">
        <v>38</v>
      </c>
      <c r="Q396" s="5" t="s">
        <v>38</v>
      </c>
      <c r="R396" s="5" t="s">
        <v>40</v>
      </c>
      <c r="S396" s="5" t="s">
        <v>4751</v>
      </c>
      <c r="T396" s="5" t="s">
        <v>4752</v>
      </c>
      <c r="U396" s="5" t="s">
        <v>4753</v>
      </c>
      <c r="V396" s="5" t="s">
        <v>4556</v>
      </c>
      <c r="W396" s="5" t="s">
        <v>4557</v>
      </c>
      <c r="X396" s="5"/>
      <c r="Y396" s="5"/>
      <c r="Z396" s="5" t="s">
        <v>46</v>
      </c>
      <c r="AA396" s="5" t="s">
        <v>4589</v>
      </c>
      <c r="AB396" s="5"/>
      <c r="AC396" s="7">
        <v>1</v>
      </c>
      <c r="AD396" t="str">
        <f>VLOOKUP($T396,[1]NhanSu!$C$5:$M$229,11,0)</f>
        <v>SM0000030</v>
      </c>
    </row>
    <row r="397" spans="1:30" x14ac:dyDescent="0.45">
      <c r="A397" s="8" t="s">
        <v>4550</v>
      </c>
      <c r="B397" s="4">
        <v>124</v>
      </c>
      <c r="C397" s="4" t="s">
        <v>4963</v>
      </c>
      <c r="D397" s="4" t="s">
        <v>4964</v>
      </c>
      <c r="E397" s="4"/>
      <c r="F397" s="4" t="s">
        <v>53</v>
      </c>
      <c r="G397" s="4" t="s">
        <v>177</v>
      </c>
      <c r="H397" s="4" t="s">
        <v>2952</v>
      </c>
      <c r="I397" s="4" t="s">
        <v>4756</v>
      </c>
      <c r="J397" s="4" t="s">
        <v>38</v>
      </c>
      <c r="K397" s="4" t="s">
        <v>37</v>
      </c>
      <c r="L397" s="4" t="s">
        <v>40</v>
      </c>
      <c r="M397" s="4" t="s">
        <v>38</v>
      </c>
      <c r="N397" s="4" t="s">
        <v>38</v>
      </c>
      <c r="O397" s="4" t="s">
        <v>39</v>
      </c>
      <c r="P397" s="4" t="s">
        <v>38</v>
      </c>
      <c r="Q397" s="4" t="s">
        <v>38</v>
      </c>
      <c r="R397" s="4" t="s">
        <v>40</v>
      </c>
      <c r="S397" s="4" t="s">
        <v>4751</v>
      </c>
      <c r="T397" s="4" t="s">
        <v>4752</v>
      </c>
      <c r="U397" s="4" t="s">
        <v>4753</v>
      </c>
      <c r="V397" s="4" t="s">
        <v>4556</v>
      </c>
      <c r="W397" s="4" t="s">
        <v>4557</v>
      </c>
      <c r="X397" s="4"/>
      <c r="Y397" s="4"/>
      <c r="Z397" s="4" t="s">
        <v>46</v>
      </c>
      <c r="AA397" s="4" t="s">
        <v>4589</v>
      </c>
      <c r="AB397" s="4"/>
      <c r="AC397" s="9">
        <v>1</v>
      </c>
      <c r="AD397" t="str">
        <f>VLOOKUP($T397,[1]NhanSu!$C$5:$M$229,11,0)</f>
        <v>SM0000030</v>
      </c>
    </row>
    <row r="398" spans="1:30" x14ac:dyDescent="0.45">
      <c r="A398" s="6" t="s">
        <v>4550</v>
      </c>
      <c r="B398" s="5">
        <v>125</v>
      </c>
      <c r="C398" s="5" t="s">
        <v>4965</v>
      </c>
      <c r="D398" s="5" t="s">
        <v>4955</v>
      </c>
      <c r="E398" s="5"/>
      <c r="F398" s="5" t="s">
        <v>4805</v>
      </c>
      <c r="G398" s="5" t="s">
        <v>34</v>
      </c>
      <c r="H398" s="5" t="s">
        <v>54</v>
      </c>
      <c r="I398" s="5" t="s">
        <v>4966</v>
      </c>
      <c r="J398" s="5" t="s">
        <v>38</v>
      </c>
      <c r="K398" s="5" t="s">
        <v>38</v>
      </c>
      <c r="L398" s="5" t="s">
        <v>40</v>
      </c>
      <c r="M398" s="5" t="s">
        <v>38</v>
      </c>
      <c r="N398" s="5" t="s">
        <v>38</v>
      </c>
      <c r="O398" s="5" t="s">
        <v>40</v>
      </c>
      <c r="P398" s="5" t="s">
        <v>38</v>
      </c>
      <c r="Q398" s="5" t="s">
        <v>38</v>
      </c>
      <c r="R398" s="5" t="s">
        <v>40</v>
      </c>
      <c r="S398" s="5" t="s">
        <v>4783</v>
      </c>
      <c r="T398" s="5" t="s">
        <v>4565</v>
      </c>
      <c r="U398" s="5" t="s">
        <v>4566</v>
      </c>
      <c r="V398" s="5" t="s">
        <v>4556</v>
      </c>
      <c r="W398" s="5" t="s">
        <v>4567</v>
      </c>
      <c r="X398" s="5"/>
      <c r="Y398" s="5"/>
      <c r="Z398" s="5" t="s">
        <v>46</v>
      </c>
      <c r="AA398" s="5" t="s">
        <v>4589</v>
      </c>
      <c r="AB398" s="5"/>
      <c r="AC398" s="7">
        <v>1</v>
      </c>
      <c r="AD398" t="str">
        <f>VLOOKUP($T398,[1]NhanSu!$C$5:$M$229,11,0)</f>
        <v>SM0000165</v>
      </c>
    </row>
    <row r="399" spans="1:30" x14ac:dyDescent="0.45">
      <c r="A399" s="8" t="s">
        <v>4550</v>
      </c>
      <c r="B399" s="4">
        <v>126</v>
      </c>
      <c r="C399" s="4" t="s">
        <v>4967</v>
      </c>
      <c r="D399" s="4" t="s">
        <v>4968</v>
      </c>
      <c r="E399" s="4"/>
      <c r="F399" s="4" t="s">
        <v>4759</v>
      </c>
      <c r="G399" s="4" t="s">
        <v>34</v>
      </c>
      <c r="H399" s="4" t="s">
        <v>54</v>
      </c>
      <c r="I399" s="4" t="s">
        <v>4969</v>
      </c>
      <c r="J399" s="4" t="s">
        <v>38</v>
      </c>
      <c r="K399" s="4" t="s">
        <v>38</v>
      </c>
      <c r="L399" s="4" t="s">
        <v>40</v>
      </c>
      <c r="M399" s="4" t="s">
        <v>56</v>
      </c>
      <c r="N399" s="4" t="s">
        <v>56</v>
      </c>
      <c r="O399" s="4" t="s">
        <v>39</v>
      </c>
      <c r="P399" s="4" t="s">
        <v>38</v>
      </c>
      <c r="Q399" s="4" t="s">
        <v>38</v>
      </c>
      <c r="R399" s="4" t="s">
        <v>40</v>
      </c>
      <c r="S399" s="4" t="s">
        <v>4970</v>
      </c>
      <c r="T399" s="4" t="s">
        <v>4835</v>
      </c>
      <c r="U399" s="4" t="s">
        <v>4802</v>
      </c>
      <c r="V399" s="4" t="s">
        <v>4556</v>
      </c>
      <c r="W399" s="4" t="s">
        <v>1457</v>
      </c>
      <c r="X399" s="4"/>
      <c r="Y399" s="4"/>
      <c r="Z399" s="4" t="s">
        <v>46</v>
      </c>
      <c r="AA399" s="4" t="s">
        <v>4589</v>
      </c>
      <c r="AB399" s="4"/>
      <c r="AC399" s="9">
        <v>1</v>
      </c>
      <c r="AD399" t="str">
        <f>VLOOKUP($T399,[1]NhanSu!$C$5:$M$229,11,0)</f>
        <v>SM0000159</v>
      </c>
    </row>
    <row r="400" spans="1:30" x14ac:dyDescent="0.45">
      <c r="A400" s="6" t="s">
        <v>4550</v>
      </c>
      <c r="B400" s="5">
        <v>127</v>
      </c>
      <c r="C400" s="5" t="s">
        <v>4971</v>
      </c>
      <c r="D400" s="5" t="s">
        <v>4972</v>
      </c>
      <c r="E400" s="5"/>
      <c r="F400" s="5" t="s">
        <v>53</v>
      </c>
      <c r="G400" s="5" t="s">
        <v>34</v>
      </c>
      <c r="H400" s="5" t="s">
        <v>54</v>
      </c>
      <c r="I400" s="5" t="s">
        <v>4973</v>
      </c>
      <c r="J400" s="5" t="s">
        <v>38</v>
      </c>
      <c r="K400" s="5" t="s">
        <v>38</v>
      </c>
      <c r="L400" s="5" t="s">
        <v>40</v>
      </c>
      <c r="M400" s="5" t="s">
        <v>38</v>
      </c>
      <c r="N400" s="5" t="s">
        <v>38</v>
      </c>
      <c r="O400" s="5" t="s">
        <v>40</v>
      </c>
      <c r="P400" s="5" t="s">
        <v>38</v>
      </c>
      <c r="Q400" s="5" t="s">
        <v>38</v>
      </c>
      <c r="R400" s="5" t="s">
        <v>40</v>
      </c>
      <c r="S400" s="5" t="s">
        <v>4783</v>
      </c>
      <c r="T400" s="5" t="s">
        <v>4565</v>
      </c>
      <c r="U400" s="5" t="s">
        <v>4566</v>
      </c>
      <c r="V400" s="5" t="s">
        <v>4556</v>
      </c>
      <c r="W400" s="5" t="s">
        <v>4567</v>
      </c>
      <c r="X400" s="5"/>
      <c r="Y400" s="5"/>
      <c r="Z400" s="5" t="s">
        <v>46</v>
      </c>
      <c r="AA400" s="5" t="s">
        <v>4575</v>
      </c>
      <c r="AB400" s="5"/>
      <c r="AC400" s="7">
        <v>1</v>
      </c>
      <c r="AD400" t="str">
        <f>VLOOKUP($T400,[1]NhanSu!$C$5:$M$229,11,0)</f>
        <v>SM0000165</v>
      </c>
    </row>
    <row r="401" spans="1:30" x14ac:dyDescent="0.45">
      <c r="A401" s="8" t="s">
        <v>4550</v>
      </c>
      <c r="B401" s="4">
        <v>131</v>
      </c>
      <c r="C401" s="4" t="s">
        <v>4983</v>
      </c>
      <c r="D401" s="4" t="s">
        <v>4984</v>
      </c>
      <c r="E401" s="4"/>
      <c r="F401" s="4" t="s">
        <v>4985</v>
      </c>
      <c r="G401" s="4" t="s">
        <v>34</v>
      </c>
      <c r="H401" s="4" t="s">
        <v>54</v>
      </c>
      <c r="I401" s="4" t="s">
        <v>4986</v>
      </c>
      <c r="J401" s="4" t="s">
        <v>38</v>
      </c>
      <c r="K401" s="4" t="s">
        <v>38</v>
      </c>
      <c r="L401" s="4" t="s">
        <v>40</v>
      </c>
      <c r="M401" s="4" t="s">
        <v>38</v>
      </c>
      <c r="N401" s="4" t="s">
        <v>38</v>
      </c>
      <c r="O401" s="4" t="s">
        <v>40</v>
      </c>
      <c r="P401" s="4" t="s">
        <v>38</v>
      </c>
      <c r="Q401" s="4" t="s">
        <v>38</v>
      </c>
      <c r="R401" s="4" t="s">
        <v>40</v>
      </c>
      <c r="S401" s="4" t="s">
        <v>4783</v>
      </c>
      <c r="T401" s="4" t="s">
        <v>4565</v>
      </c>
      <c r="U401" s="4" t="s">
        <v>4566</v>
      </c>
      <c r="V401" s="4" t="s">
        <v>4556</v>
      </c>
      <c r="W401" s="4" t="s">
        <v>4567</v>
      </c>
      <c r="X401" s="4"/>
      <c r="Y401" s="4"/>
      <c r="Z401" s="4" t="s">
        <v>46</v>
      </c>
      <c r="AA401" s="4" t="s">
        <v>4589</v>
      </c>
      <c r="AB401" s="4"/>
      <c r="AC401" s="9">
        <v>1</v>
      </c>
      <c r="AD401" t="str">
        <f>VLOOKUP($T401,[1]NhanSu!$C$5:$M$229,11,0)</f>
        <v>SM0000165</v>
      </c>
    </row>
    <row r="402" spans="1:30" x14ac:dyDescent="0.45">
      <c r="A402" s="6" t="s">
        <v>4550</v>
      </c>
      <c r="B402" s="5">
        <v>133</v>
      </c>
      <c r="C402" s="5" t="s">
        <v>4990</v>
      </c>
      <c r="D402" s="5" t="s">
        <v>4991</v>
      </c>
      <c r="E402" s="5"/>
      <c r="F402" s="5" t="s">
        <v>53</v>
      </c>
      <c r="G402" s="5" t="s">
        <v>177</v>
      </c>
      <c r="H402" s="5" t="s">
        <v>697</v>
      </c>
      <c r="I402" s="5" t="s">
        <v>4992</v>
      </c>
      <c r="J402" s="5" t="s">
        <v>38</v>
      </c>
      <c r="K402" s="5" t="s">
        <v>38</v>
      </c>
      <c r="L402" s="5" t="s">
        <v>40</v>
      </c>
      <c r="M402" s="5" t="s">
        <v>38</v>
      </c>
      <c r="N402" s="5" t="s">
        <v>38</v>
      </c>
      <c r="O402" s="5" t="s">
        <v>39</v>
      </c>
      <c r="P402" s="5" t="s">
        <v>38</v>
      </c>
      <c r="Q402" s="5" t="s">
        <v>38</v>
      </c>
      <c r="R402" s="5" t="s">
        <v>40</v>
      </c>
      <c r="S402" s="5" t="s">
        <v>4751</v>
      </c>
      <c r="T402" s="5" t="s">
        <v>4752</v>
      </c>
      <c r="U402" s="5" t="s">
        <v>4753</v>
      </c>
      <c r="V402" s="5" t="s">
        <v>4556</v>
      </c>
      <c r="W402" s="5" t="s">
        <v>4557</v>
      </c>
      <c r="X402" s="5"/>
      <c r="Y402" s="5"/>
      <c r="Z402" s="5" t="s">
        <v>46</v>
      </c>
      <c r="AA402" s="5" t="s">
        <v>4589</v>
      </c>
      <c r="AB402" s="5"/>
      <c r="AC402" s="7">
        <v>1</v>
      </c>
      <c r="AD402" t="str">
        <f>VLOOKUP($T402,[1]NhanSu!$C$5:$M$229,11,0)</f>
        <v>SM0000030</v>
      </c>
    </row>
    <row r="403" spans="1:30" x14ac:dyDescent="0.45">
      <c r="A403" s="8" t="s">
        <v>4550</v>
      </c>
      <c r="B403" s="4">
        <v>139</v>
      </c>
      <c r="C403" s="4" t="s">
        <v>5010</v>
      </c>
      <c r="D403" s="4" t="s">
        <v>5011</v>
      </c>
      <c r="E403" s="4"/>
      <c r="F403" s="4" t="s">
        <v>53</v>
      </c>
      <c r="G403" s="4" t="s">
        <v>177</v>
      </c>
      <c r="H403" s="4" t="s">
        <v>35</v>
      </c>
      <c r="I403" s="4" t="s">
        <v>4942</v>
      </c>
      <c r="J403" s="4" t="s">
        <v>38</v>
      </c>
      <c r="K403" s="4" t="s">
        <v>38</v>
      </c>
      <c r="L403" s="4" t="s">
        <v>40</v>
      </c>
      <c r="M403" s="4" t="s">
        <v>38</v>
      </c>
      <c r="N403" s="4" t="s">
        <v>38</v>
      </c>
      <c r="O403" s="4" t="s">
        <v>40</v>
      </c>
      <c r="P403" s="4" t="s">
        <v>38</v>
      </c>
      <c r="Q403" s="4" t="s">
        <v>38</v>
      </c>
      <c r="R403" s="4" t="s">
        <v>40</v>
      </c>
      <c r="S403" s="4" t="s">
        <v>4751</v>
      </c>
      <c r="T403" s="4" t="s">
        <v>4752</v>
      </c>
      <c r="U403" s="4" t="s">
        <v>4753</v>
      </c>
      <c r="V403" s="4" t="s">
        <v>4556</v>
      </c>
      <c r="W403" s="4" t="s">
        <v>4557</v>
      </c>
      <c r="X403" s="4"/>
      <c r="Y403" s="4"/>
      <c r="Z403" s="4" t="s">
        <v>46</v>
      </c>
      <c r="AA403" s="4" t="s">
        <v>4589</v>
      </c>
      <c r="AB403" s="4"/>
      <c r="AC403" s="9">
        <v>1</v>
      </c>
      <c r="AD403" t="str">
        <f>VLOOKUP($T403,[1]NhanSu!$C$5:$M$229,11,0)</f>
        <v>SM0000030</v>
      </c>
    </row>
    <row r="404" spans="1:30" x14ac:dyDescent="0.45">
      <c r="A404" s="6" t="s">
        <v>4550</v>
      </c>
      <c r="B404" s="5">
        <v>141</v>
      </c>
      <c r="C404" s="5" t="s">
        <v>5014</v>
      </c>
      <c r="D404" s="5" t="s">
        <v>5015</v>
      </c>
      <c r="E404" s="5"/>
      <c r="F404" s="5" t="s">
        <v>934</v>
      </c>
      <c r="G404" s="5" t="s">
        <v>34</v>
      </c>
      <c r="H404" s="5" t="s">
        <v>54</v>
      </c>
      <c r="I404" s="5" t="s">
        <v>5016</v>
      </c>
      <c r="J404" s="5" t="s">
        <v>37</v>
      </c>
      <c r="K404" s="5" t="s">
        <v>37</v>
      </c>
      <c r="L404" s="5" t="s">
        <v>39</v>
      </c>
      <c r="M404" s="5" t="s">
        <v>38</v>
      </c>
      <c r="N404" s="5" t="s">
        <v>37</v>
      </c>
      <c r="O404" s="5" t="s">
        <v>121</v>
      </c>
      <c r="P404" s="5" t="s">
        <v>38</v>
      </c>
      <c r="Q404" s="5" t="s">
        <v>38</v>
      </c>
      <c r="R404" s="5" t="s">
        <v>39</v>
      </c>
      <c r="S404" s="5" t="s">
        <v>5017</v>
      </c>
      <c r="T404" s="5" t="s">
        <v>4746</v>
      </c>
      <c r="U404" s="5" t="s">
        <v>4747</v>
      </c>
      <c r="V404" s="5" t="s">
        <v>4556</v>
      </c>
      <c r="W404" s="5" t="s">
        <v>4603</v>
      </c>
      <c r="X404" s="5"/>
      <c r="Y404" s="5"/>
      <c r="Z404" s="5" t="s">
        <v>46</v>
      </c>
      <c r="AA404" s="5" t="s">
        <v>4589</v>
      </c>
      <c r="AB404" s="5"/>
      <c r="AC404" s="7">
        <v>1</v>
      </c>
      <c r="AD404" t="str">
        <f>VLOOKUP($T404,[1]NhanSu!$C$5:$M$229,11,0)</f>
        <v>SM0000187</v>
      </c>
    </row>
    <row r="405" spans="1:30" x14ac:dyDescent="0.45">
      <c r="A405" s="8" t="s">
        <v>4550</v>
      </c>
      <c r="B405" s="4">
        <v>147</v>
      </c>
      <c r="C405" s="4" t="s">
        <v>5034</v>
      </c>
      <c r="D405" s="4" t="s">
        <v>5035</v>
      </c>
      <c r="E405" s="4"/>
      <c r="F405" s="4" t="s">
        <v>5036</v>
      </c>
      <c r="G405" s="4" t="s">
        <v>34</v>
      </c>
      <c r="H405" s="4" t="s">
        <v>54</v>
      </c>
      <c r="I405" s="4" t="s">
        <v>5037</v>
      </c>
      <c r="J405" s="4" t="s">
        <v>38</v>
      </c>
      <c r="K405" s="4" t="s">
        <v>38</v>
      </c>
      <c r="L405" s="4" t="s">
        <v>39</v>
      </c>
      <c r="M405" s="4" t="s">
        <v>56</v>
      </c>
      <c r="N405" s="4" t="s">
        <v>56</v>
      </c>
      <c r="O405" s="4" t="s">
        <v>39</v>
      </c>
      <c r="P405" s="4" t="s">
        <v>38</v>
      </c>
      <c r="Q405" s="4" t="s">
        <v>38</v>
      </c>
      <c r="R405" s="4" t="s">
        <v>39</v>
      </c>
      <c r="S405" s="4" t="s">
        <v>41</v>
      </c>
      <c r="T405" s="4" t="s">
        <v>4737</v>
      </c>
      <c r="U405" s="4" t="s">
        <v>4738</v>
      </c>
      <c r="V405" s="4" t="s">
        <v>4556</v>
      </c>
      <c r="W405" s="4" t="s">
        <v>1457</v>
      </c>
      <c r="X405" s="4"/>
      <c r="Y405" s="4"/>
      <c r="Z405" s="4" t="s">
        <v>46</v>
      </c>
      <c r="AA405" s="4" t="s">
        <v>4589</v>
      </c>
      <c r="AB405" s="4"/>
      <c r="AC405" s="9">
        <v>1</v>
      </c>
      <c r="AD405" t="str">
        <f>VLOOKUP($T405,[1]NhanSu!$C$5:$M$229,11,0)</f>
        <v>SM0000158</v>
      </c>
    </row>
    <row r="406" spans="1:30" x14ac:dyDescent="0.45">
      <c r="A406" s="6" t="s">
        <v>4550</v>
      </c>
      <c r="B406" s="5">
        <v>152</v>
      </c>
      <c r="C406" s="5" t="s">
        <v>5054</v>
      </c>
      <c r="D406" s="5" t="s">
        <v>5055</v>
      </c>
      <c r="E406" s="5"/>
      <c r="F406" s="5" t="s">
        <v>417</v>
      </c>
      <c r="G406" s="5" t="s">
        <v>34</v>
      </c>
      <c r="H406" s="5" t="s">
        <v>1188</v>
      </c>
      <c r="I406" s="5" t="s">
        <v>5056</v>
      </c>
      <c r="J406" s="5" t="s">
        <v>38</v>
      </c>
      <c r="K406" s="5" t="s">
        <v>38</v>
      </c>
      <c r="L406" s="5" t="s">
        <v>40</v>
      </c>
      <c r="M406" s="5" t="s">
        <v>38</v>
      </c>
      <c r="N406" s="5" t="s">
        <v>56</v>
      </c>
      <c r="O406" s="5" t="s">
        <v>39</v>
      </c>
      <c r="P406" s="5" t="s">
        <v>38</v>
      </c>
      <c r="Q406" s="5" t="s">
        <v>38</v>
      </c>
      <c r="R406" s="5" t="s">
        <v>40</v>
      </c>
      <c r="S406" s="5" t="s">
        <v>41</v>
      </c>
      <c r="T406" s="5" t="s">
        <v>4667</v>
      </c>
      <c r="U406" s="5" t="s">
        <v>4668</v>
      </c>
      <c r="V406" s="5" t="s">
        <v>4556</v>
      </c>
      <c r="W406" s="5" t="s">
        <v>4567</v>
      </c>
      <c r="X406" s="5"/>
      <c r="Y406" s="5"/>
      <c r="Z406" s="5" t="s">
        <v>46</v>
      </c>
      <c r="AA406" s="5" t="s">
        <v>4589</v>
      </c>
      <c r="AB406" s="5"/>
      <c r="AC406" s="7">
        <v>1</v>
      </c>
      <c r="AD406" t="str">
        <f>VLOOKUP($T406,[1]NhanSu!$C$5:$M$229,11,0)</f>
        <v>SM0000163</v>
      </c>
    </row>
    <row r="407" spans="1:30" x14ac:dyDescent="0.45">
      <c r="A407" s="8" t="s">
        <v>4550</v>
      </c>
      <c r="B407" s="4">
        <v>153</v>
      </c>
      <c r="C407" s="4" t="s">
        <v>5057</v>
      </c>
      <c r="D407" s="4" t="s">
        <v>5058</v>
      </c>
      <c r="E407" s="4"/>
      <c r="F407" s="4" t="s">
        <v>581</v>
      </c>
      <c r="G407" s="4" t="s">
        <v>34</v>
      </c>
      <c r="H407" s="4" t="s">
        <v>54</v>
      </c>
      <c r="I407" s="4" t="s">
        <v>5059</v>
      </c>
      <c r="J407" s="4" t="s">
        <v>37</v>
      </c>
      <c r="K407" s="4" t="s">
        <v>37</v>
      </c>
      <c r="L407" s="4" t="s">
        <v>39</v>
      </c>
      <c r="M407" s="4" t="s">
        <v>56</v>
      </c>
      <c r="N407" s="4" t="s">
        <v>56</v>
      </c>
      <c r="O407" s="4" t="s">
        <v>39</v>
      </c>
      <c r="P407" s="4" t="s">
        <v>38</v>
      </c>
      <c r="Q407" s="4" t="s">
        <v>38</v>
      </c>
      <c r="R407" s="4" t="s">
        <v>39</v>
      </c>
      <c r="S407" s="4" t="s">
        <v>5060</v>
      </c>
      <c r="T407" s="4" t="s">
        <v>4746</v>
      </c>
      <c r="U407" s="4" t="s">
        <v>4747</v>
      </c>
      <c r="V407" s="4" t="s">
        <v>4556</v>
      </c>
      <c r="W407" s="4" t="s">
        <v>4603</v>
      </c>
      <c r="X407" s="4"/>
      <c r="Y407" s="4"/>
      <c r="Z407" s="4" t="s">
        <v>46</v>
      </c>
      <c r="AA407" s="4" t="s">
        <v>4589</v>
      </c>
      <c r="AB407" s="4"/>
      <c r="AC407" s="9">
        <v>1</v>
      </c>
      <c r="AD407" t="str">
        <f>VLOOKUP($T407,[1]NhanSu!$C$5:$M$229,11,0)</f>
        <v>SM0000187</v>
      </c>
    </row>
    <row r="408" spans="1:30" x14ac:dyDescent="0.45">
      <c r="A408" s="6" t="s">
        <v>4550</v>
      </c>
      <c r="B408" s="5">
        <v>158</v>
      </c>
      <c r="C408" s="5" t="s">
        <v>5078</v>
      </c>
      <c r="D408" s="5" t="s">
        <v>5079</v>
      </c>
      <c r="E408" s="5"/>
      <c r="F408" s="5" t="s">
        <v>166</v>
      </c>
      <c r="G408" s="5" t="s">
        <v>34</v>
      </c>
      <c r="H408" s="5" t="s">
        <v>2294</v>
      </c>
      <c r="I408" s="5" t="s">
        <v>5080</v>
      </c>
      <c r="J408" s="5" t="s">
        <v>37</v>
      </c>
      <c r="K408" s="5" t="s">
        <v>37</v>
      </c>
      <c r="L408" s="5" t="s">
        <v>39</v>
      </c>
      <c r="M408" s="5" t="s">
        <v>37</v>
      </c>
      <c r="N408" s="5" t="s">
        <v>37</v>
      </c>
      <c r="O408" s="5" t="s">
        <v>39</v>
      </c>
      <c r="P408" s="5" t="s">
        <v>38</v>
      </c>
      <c r="Q408" s="5" t="s">
        <v>38</v>
      </c>
      <c r="R408" s="5" t="s">
        <v>40</v>
      </c>
      <c r="S408" s="5" t="s">
        <v>5081</v>
      </c>
      <c r="T408" s="5" t="s">
        <v>5069</v>
      </c>
      <c r="U408" s="5" t="s">
        <v>5070</v>
      </c>
      <c r="V408" s="5" t="s">
        <v>4556</v>
      </c>
      <c r="W408" s="5" t="s">
        <v>4603</v>
      </c>
      <c r="X408" s="5"/>
      <c r="Y408" s="5"/>
      <c r="Z408" s="5" t="s">
        <v>46</v>
      </c>
      <c r="AA408" s="5" t="s">
        <v>4575</v>
      </c>
      <c r="AB408" s="5"/>
      <c r="AC408" s="7">
        <v>1</v>
      </c>
      <c r="AD408" t="str">
        <f>VLOOKUP($T408,[1]NhanSu!$C$5:$M$229,11,0)</f>
        <v>SM0000177</v>
      </c>
    </row>
    <row r="409" spans="1:30" x14ac:dyDescent="0.45">
      <c r="A409" s="8" t="s">
        <v>4550</v>
      </c>
      <c r="B409" s="4">
        <v>160</v>
      </c>
      <c r="C409" s="4" t="s">
        <v>5084</v>
      </c>
      <c r="D409" s="4" t="s">
        <v>5085</v>
      </c>
      <c r="E409" s="4"/>
      <c r="F409" s="4" t="s">
        <v>53</v>
      </c>
      <c r="G409" s="4" t="s">
        <v>177</v>
      </c>
      <c r="H409" s="4" t="s">
        <v>1483</v>
      </c>
      <c r="I409" s="4" t="s">
        <v>4942</v>
      </c>
      <c r="J409" s="4" t="s">
        <v>38</v>
      </c>
      <c r="K409" s="4" t="s">
        <v>38</v>
      </c>
      <c r="L409" s="4" t="s">
        <v>40</v>
      </c>
      <c r="M409" s="4" t="s">
        <v>38</v>
      </c>
      <c r="N409" s="4" t="s">
        <v>38</v>
      </c>
      <c r="O409" s="4" t="s">
        <v>39</v>
      </c>
      <c r="P409" s="4" t="s">
        <v>38</v>
      </c>
      <c r="Q409" s="4" t="s">
        <v>38</v>
      </c>
      <c r="R409" s="4" t="s">
        <v>40</v>
      </c>
      <c r="S409" s="4" t="s">
        <v>4751</v>
      </c>
      <c r="T409" s="4" t="s">
        <v>4752</v>
      </c>
      <c r="U409" s="4" t="s">
        <v>4753</v>
      </c>
      <c r="V409" s="4" t="s">
        <v>4556</v>
      </c>
      <c r="W409" s="4" t="s">
        <v>4557</v>
      </c>
      <c r="X409" s="4"/>
      <c r="Y409" s="4"/>
      <c r="Z409" s="4" t="s">
        <v>46</v>
      </c>
      <c r="AA409" s="4" t="s">
        <v>4589</v>
      </c>
      <c r="AB409" s="4"/>
      <c r="AC409" s="9">
        <v>1</v>
      </c>
      <c r="AD409" t="str">
        <f>VLOOKUP($T409,[1]NhanSu!$C$5:$M$229,11,0)</f>
        <v>SM0000030</v>
      </c>
    </row>
    <row r="410" spans="1:30" x14ac:dyDescent="0.45">
      <c r="A410" s="6" t="s">
        <v>4550</v>
      </c>
      <c r="B410" s="5">
        <v>162</v>
      </c>
      <c r="C410" s="5" t="s">
        <v>5089</v>
      </c>
      <c r="D410" s="5" t="s">
        <v>5090</v>
      </c>
      <c r="E410" s="5"/>
      <c r="F410" s="5" t="s">
        <v>5091</v>
      </c>
      <c r="G410" s="5" t="s">
        <v>34</v>
      </c>
      <c r="H410" s="5" t="s">
        <v>54</v>
      </c>
      <c r="I410" s="5" t="s">
        <v>5092</v>
      </c>
      <c r="J410" s="5" t="s">
        <v>41</v>
      </c>
      <c r="K410" s="5" t="s">
        <v>41</v>
      </c>
      <c r="L410" s="5" t="s">
        <v>41</v>
      </c>
      <c r="M410" s="5" t="s">
        <v>41</v>
      </c>
      <c r="N410" s="5" t="s">
        <v>41</v>
      </c>
      <c r="O410" s="5" t="s">
        <v>41</v>
      </c>
      <c r="P410" s="5" t="s">
        <v>41</v>
      </c>
      <c r="Q410" s="5" t="s">
        <v>41</v>
      </c>
      <c r="R410" s="5" t="s">
        <v>41</v>
      </c>
      <c r="S410" s="5" t="s">
        <v>41</v>
      </c>
      <c r="T410" s="5" t="s">
        <v>4737</v>
      </c>
      <c r="U410" s="5" t="s">
        <v>4738</v>
      </c>
      <c r="V410" s="5" t="s">
        <v>4556</v>
      </c>
      <c r="W410" s="5" t="s">
        <v>1457</v>
      </c>
      <c r="X410" s="5"/>
      <c r="Y410" s="5"/>
      <c r="Z410" s="5" t="s">
        <v>46</v>
      </c>
      <c r="AA410" s="5" t="s">
        <v>4589</v>
      </c>
      <c r="AB410" s="5"/>
      <c r="AC410" s="7">
        <v>1</v>
      </c>
      <c r="AD410" t="str">
        <f>VLOOKUP($T410,[1]NhanSu!$C$5:$M$229,11,0)</f>
        <v>SM0000158</v>
      </c>
    </row>
    <row r="411" spans="1:30" x14ac:dyDescent="0.45">
      <c r="A411" s="8" t="s">
        <v>4550</v>
      </c>
      <c r="B411" s="4">
        <v>163</v>
      </c>
      <c r="C411" s="4" t="s">
        <v>5093</v>
      </c>
      <c r="D411" s="4" t="s">
        <v>5094</v>
      </c>
      <c r="E411" s="4"/>
      <c r="F411" s="4" t="s">
        <v>417</v>
      </c>
      <c r="G411" s="4" t="s">
        <v>177</v>
      </c>
      <c r="H411" s="4" t="s">
        <v>214</v>
      </c>
      <c r="I411" s="4" t="s">
        <v>5095</v>
      </c>
      <c r="J411" s="4" t="s">
        <v>38</v>
      </c>
      <c r="K411" s="4" t="s">
        <v>38</v>
      </c>
      <c r="L411" s="4" t="s">
        <v>40</v>
      </c>
      <c r="M411" s="4" t="s">
        <v>38</v>
      </c>
      <c r="N411" s="4" t="s">
        <v>775</v>
      </c>
      <c r="O411" s="4" t="s">
        <v>39</v>
      </c>
      <c r="P411" s="4" t="s">
        <v>38</v>
      </c>
      <c r="Q411" s="4" t="s">
        <v>38</v>
      </c>
      <c r="R411" s="4" t="s">
        <v>40</v>
      </c>
      <c r="S411" s="4" t="s">
        <v>5096</v>
      </c>
      <c r="T411" s="4" t="s">
        <v>4667</v>
      </c>
      <c r="U411" s="4" t="s">
        <v>4668</v>
      </c>
      <c r="V411" s="4" t="s">
        <v>4556</v>
      </c>
      <c r="W411" s="4" t="s">
        <v>4567</v>
      </c>
      <c r="X411" s="4"/>
      <c r="Y411" s="4"/>
      <c r="Z411" s="4" t="s">
        <v>46</v>
      </c>
      <c r="AA411" s="4" t="s">
        <v>4589</v>
      </c>
      <c r="AB411" s="4"/>
      <c r="AC411" s="9">
        <v>1</v>
      </c>
      <c r="AD411" t="str">
        <f>VLOOKUP($T411,[1]NhanSu!$C$5:$M$229,11,0)</f>
        <v>SM0000163</v>
      </c>
    </row>
    <row r="412" spans="1:30" x14ac:dyDescent="0.45">
      <c r="A412" s="6" t="s">
        <v>4550</v>
      </c>
      <c r="B412" s="5">
        <v>170</v>
      </c>
      <c r="C412" s="5" t="s">
        <v>5116</v>
      </c>
      <c r="D412" s="5" t="s">
        <v>5117</v>
      </c>
      <c r="E412" s="5"/>
      <c r="F412" s="5" t="s">
        <v>53</v>
      </c>
      <c r="G412" s="5" t="s">
        <v>177</v>
      </c>
      <c r="H412" s="5" t="s">
        <v>1746</v>
      </c>
      <c r="I412" s="5" t="s">
        <v>4950</v>
      </c>
      <c r="J412" s="5" t="s">
        <v>38</v>
      </c>
      <c r="K412" s="5" t="s">
        <v>38</v>
      </c>
      <c r="L412" s="5" t="s">
        <v>40</v>
      </c>
      <c r="M412" s="5" t="s">
        <v>38</v>
      </c>
      <c r="N412" s="5" t="s">
        <v>38</v>
      </c>
      <c r="O412" s="5" t="s">
        <v>39</v>
      </c>
      <c r="P412" s="5" t="s">
        <v>38</v>
      </c>
      <c r="Q412" s="5" t="s">
        <v>38</v>
      </c>
      <c r="R412" s="5" t="s">
        <v>40</v>
      </c>
      <c r="S412" s="5" t="s">
        <v>4959</v>
      </c>
      <c r="T412" s="5" t="s">
        <v>4752</v>
      </c>
      <c r="U412" s="5" t="s">
        <v>4753</v>
      </c>
      <c r="V412" s="5" t="s">
        <v>4556</v>
      </c>
      <c r="W412" s="5" t="s">
        <v>4557</v>
      </c>
      <c r="X412" s="5"/>
      <c r="Y412" s="5"/>
      <c r="Z412" s="5" t="s">
        <v>46</v>
      </c>
      <c r="AA412" s="5" t="s">
        <v>4589</v>
      </c>
      <c r="AB412" s="5"/>
      <c r="AC412" s="7">
        <v>1</v>
      </c>
      <c r="AD412" t="str">
        <f>VLOOKUP($T412,[1]NhanSu!$C$5:$M$229,11,0)</f>
        <v>SM0000030</v>
      </c>
    </row>
    <row r="413" spans="1:30" x14ac:dyDescent="0.45">
      <c r="A413" s="8" t="s">
        <v>4550</v>
      </c>
      <c r="B413" s="4">
        <v>171</v>
      </c>
      <c r="C413" s="4" t="s">
        <v>5118</v>
      </c>
      <c r="D413" s="4" t="s">
        <v>5119</v>
      </c>
      <c r="E413" s="4"/>
      <c r="F413" s="4" t="s">
        <v>115</v>
      </c>
      <c r="G413" s="4" t="s">
        <v>2522</v>
      </c>
      <c r="H413" s="4" t="s">
        <v>1188</v>
      </c>
      <c r="I413" s="4" t="s">
        <v>5120</v>
      </c>
      <c r="J413" s="4" t="s">
        <v>38</v>
      </c>
      <c r="K413" s="4" t="s">
        <v>38</v>
      </c>
      <c r="L413" s="4" t="s">
        <v>40</v>
      </c>
      <c r="M413" s="4" t="s">
        <v>37</v>
      </c>
      <c r="N413" s="4" t="s">
        <v>38</v>
      </c>
      <c r="O413" s="4" t="s">
        <v>39</v>
      </c>
      <c r="P413" s="4" t="s">
        <v>38</v>
      </c>
      <c r="Q413" s="4" t="s">
        <v>38</v>
      </c>
      <c r="R413" s="4" t="s">
        <v>40</v>
      </c>
      <c r="S413" s="4" t="s">
        <v>41</v>
      </c>
      <c r="T413" s="4" t="s">
        <v>4601</v>
      </c>
      <c r="U413" s="4" t="s">
        <v>4602</v>
      </c>
      <c r="V413" s="4" t="s">
        <v>4556</v>
      </c>
      <c r="W413" s="4" t="s">
        <v>4603</v>
      </c>
      <c r="X413" s="4"/>
      <c r="Y413" s="4"/>
      <c r="Z413" s="4" t="s">
        <v>46</v>
      </c>
      <c r="AA413" s="4" t="s">
        <v>4575</v>
      </c>
      <c r="AB413" s="4"/>
      <c r="AC413" s="9">
        <v>1</v>
      </c>
      <c r="AD413" t="str">
        <f>VLOOKUP($T413,[1]NhanSu!$C$5:$M$229,11,0)</f>
        <v>SM0000036</v>
      </c>
    </row>
    <row r="414" spans="1:30" x14ac:dyDescent="0.45">
      <c r="A414" s="6" t="s">
        <v>4550</v>
      </c>
      <c r="B414" s="5">
        <v>173</v>
      </c>
      <c r="C414" s="5" t="s">
        <v>5125</v>
      </c>
      <c r="D414" s="5" t="s">
        <v>5126</v>
      </c>
      <c r="E414" s="5"/>
      <c r="F414" s="5" t="s">
        <v>115</v>
      </c>
      <c r="G414" s="5" t="s">
        <v>34</v>
      </c>
      <c r="H414" s="5" t="s">
        <v>2643</v>
      </c>
      <c r="I414" s="5" t="s">
        <v>5127</v>
      </c>
      <c r="J414" s="5" t="s">
        <v>38</v>
      </c>
      <c r="K414" s="5" t="s">
        <v>38</v>
      </c>
      <c r="L414" s="5" t="s">
        <v>40</v>
      </c>
      <c r="M414" s="5" t="s">
        <v>38</v>
      </c>
      <c r="N414" s="5" t="s">
        <v>38</v>
      </c>
      <c r="O414" s="5" t="s">
        <v>39</v>
      </c>
      <c r="P414" s="5" t="s">
        <v>38</v>
      </c>
      <c r="Q414" s="5" t="s">
        <v>38</v>
      </c>
      <c r="R414" s="5" t="s">
        <v>40</v>
      </c>
      <c r="S414" s="5" t="s">
        <v>41</v>
      </c>
      <c r="T414" s="5" t="s">
        <v>4752</v>
      </c>
      <c r="U414" s="5" t="s">
        <v>4753</v>
      </c>
      <c r="V414" s="5" t="s">
        <v>4556</v>
      </c>
      <c r="W414" s="5" t="s">
        <v>4557</v>
      </c>
      <c r="X414" s="5"/>
      <c r="Y414" s="5"/>
      <c r="Z414" s="5" t="s">
        <v>46</v>
      </c>
      <c r="AA414" s="5" t="s">
        <v>4575</v>
      </c>
      <c r="AB414" s="5"/>
      <c r="AC414" s="7">
        <v>1</v>
      </c>
      <c r="AD414" t="str">
        <f>VLOOKUP($T414,[1]NhanSu!$C$5:$M$229,11,0)</f>
        <v>SM0000030</v>
      </c>
    </row>
    <row r="415" spans="1:30" x14ac:dyDescent="0.45">
      <c r="A415" s="8" t="s">
        <v>4550</v>
      </c>
      <c r="B415" s="4">
        <v>174</v>
      </c>
      <c r="C415" s="4" t="s">
        <v>5128</v>
      </c>
      <c r="D415" s="4" t="s">
        <v>5129</v>
      </c>
      <c r="E415" s="4"/>
      <c r="F415" s="4" t="s">
        <v>3705</v>
      </c>
      <c r="G415" s="4" t="s">
        <v>150</v>
      </c>
      <c r="H415" s="4" t="s">
        <v>5130</v>
      </c>
      <c r="I415" s="4" t="s">
        <v>5131</v>
      </c>
      <c r="J415" s="4" t="s">
        <v>38</v>
      </c>
      <c r="K415" s="4" t="s">
        <v>38</v>
      </c>
      <c r="L415" s="4" t="s">
        <v>40</v>
      </c>
      <c r="M415" s="4" t="s">
        <v>56</v>
      </c>
      <c r="N415" s="4" t="s">
        <v>56</v>
      </c>
      <c r="O415" s="4" t="s">
        <v>39</v>
      </c>
      <c r="P415" s="4" t="s">
        <v>38</v>
      </c>
      <c r="Q415" s="4" t="s">
        <v>38</v>
      </c>
      <c r="R415" s="4" t="s">
        <v>40</v>
      </c>
      <c r="S415" s="4" t="s">
        <v>4892</v>
      </c>
      <c r="T415" s="4" t="s">
        <v>4835</v>
      </c>
      <c r="U415" s="4" t="s">
        <v>4802</v>
      </c>
      <c r="V415" s="4" t="s">
        <v>4556</v>
      </c>
      <c r="W415" s="4" t="s">
        <v>1457</v>
      </c>
      <c r="X415" s="4"/>
      <c r="Y415" s="4"/>
      <c r="Z415" s="4" t="s">
        <v>46</v>
      </c>
      <c r="AA415" s="4" t="s">
        <v>4589</v>
      </c>
      <c r="AB415" s="4"/>
      <c r="AC415" s="9">
        <v>1</v>
      </c>
      <c r="AD415" t="str">
        <f>VLOOKUP($T415,[1]NhanSu!$C$5:$M$229,11,0)</f>
        <v>SM0000159</v>
      </c>
    </row>
    <row r="416" spans="1:30" x14ac:dyDescent="0.45">
      <c r="A416" s="6" t="s">
        <v>4550</v>
      </c>
      <c r="B416" s="5">
        <v>176</v>
      </c>
      <c r="C416" s="5" t="s">
        <v>5135</v>
      </c>
      <c r="D416" s="5" t="s">
        <v>5136</v>
      </c>
      <c r="E416" s="5"/>
      <c r="F416" s="5" t="s">
        <v>5137</v>
      </c>
      <c r="G416" s="5" t="s">
        <v>34</v>
      </c>
      <c r="H416" s="5" t="s">
        <v>54</v>
      </c>
      <c r="I416" s="5" t="s">
        <v>5138</v>
      </c>
      <c r="J416" s="5" t="s">
        <v>38</v>
      </c>
      <c r="K416" s="5" t="s">
        <v>38</v>
      </c>
      <c r="L416" s="5" t="s">
        <v>40</v>
      </c>
      <c r="M416" s="5" t="s">
        <v>56</v>
      </c>
      <c r="N416" s="5" t="s">
        <v>56</v>
      </c>
      <c r="O416" s="5" t="s">
        <v>39</v>
      </c>
      <c r="P416" s="5" t="s">
        <v>38</v>
      </c>
      <c r="Q416" s="5" t="s">
        <v>38</v>
      </c>
      <c r="R416" s="5" t="s">
        <v>40</v>
      </c>
      <c r="S416" s="5" t="s">
        <v>4892</v>
      </c>
      <c r="T416" s="5" t="s">
        <v>4835</v>
      </c>
      <c r="U416" s="5" t="s">
        <v>4802</v>
      </c>
      <c r="V416" s="5" t="s">
        <v>4556</v>
      </c>
      <c r="W416" s="5" t="s">
        <v>1457</v>
      </c>
      <c r="X416" s="5"/>
      <c r="Y416" s="5"/>
      <c r="Z416" s="5" t="s">
        <v>46</v>
      </c>
      <c r="AA416" s="5" t="s">
        <v>4589</v>
      </c>
      <c r="AB416" s="5"/>
      <c r="AC416" s="7">
        <v>1</v>
      </c>
      <c r="AD416" t="str">
        <f>VLOOKUP($T416,[1]NhanSu!$C$5:$M$229,11,0)</f>
        <v>SM0000159</v>
      </c>
    </row>
    <row r="417" spans="1:30" x14ac:dyDescent="0.45">
      <c r="A417" s="8" t="s">
        <v>4550</v>
      </c>
      <c r="B417" s="4">
        <v>186</v>
      </c>
      <c r="C417" s="4" t="s">
        <v>5163</v>
      </c>
      <c r="D417" s="4" t="s">
        <v>5164</v>
      </c>
      <c r="E417" s="4"/>
      <c r="F417" s="4" t="s">
        <v>417</v>
      </c>
      <c r="G417" s="4" t="s">
        <v>34</v>
      </c>
      <c r="H417" s="4" t="s">
        <v>54</v>
      </c>
      <c r="I417" s="4" t="s">
        <v>5103</v>
      </c>
      <c r="J417" s="4" t="s">
        <v>37</v>
      </c>
      <c r="K417" s="4" t="s">
        <v>37</v>
      </c>
      <c r="L417" s="4" t="s">
        <v>39</v>
      </c>
      <c r="M417" s="4" t="s">
        <v>37</v>
      </c>
      <c r="N417" s="4" t="s">
        <v>56</v>
      </c>
      <c r="O417" s="4" t="s">
        <v>39</v>
      </c>
      <c r="P417" s="4" t="s">
        <v>38</v>
      </c>
      <c r="Q417" s="4" t="s">
        <v>37</v>
      </c>
      <c r="R417" s="4" t="s">
        <v>39</v>
      </c>
      <c r="S417" s="4" t="s">
        <v>41</v>
      </c>
      <c r="T417" s="4" t="s">
        <v>4737</v>
      </c>
      <c r="U417" s="4" t="s">
        <v>4738</v>
      </c>
      <c r="V417" s="4" t="s">
        <v>4556</v>
      </c>
      <c r="W417" s="4" t="s">
        <v>1457</v>
      </c>
      <c r="X417" s="4"/>
      <c r="Y417" s="4"/>
      <c r="Z417" s="4" t="s">
        <v>46</v>
      </c>
      <c r="AA417" s="4" t="s">
        <v>4589</v>
      </c>
      <c r="AB417" s="4"/>
      <c r="AC417" s="9">
        <v>1</v>
      </c>
      <c r="AD417" t="str">
        <f>VLOOKUP($T417,[1]NhanSu!$C$5:$M$229,11,0)</f>
        <v>SM0000158</v>
      </c>
    </row>
    <row r="418" spans="1:30" x14ac:dyDescent="0.45">
      <c r="A418" s="6" t="s">
        <v>4550</v>
      </c>
      <c r="B418" s="5">
        <v>190</v>
      </c>
      <c r="C418" s="5" t="s">
        <v>5177</v>
      </c>
      <c r="D418" s="5" t="s">
        <v>5178</v>
      </c>
      <c r="E418" s="5"/>
      <c r="F418" s="5" t="s">
        <v>53</v>
      </c>
      <c r="G418" s="5" t="s">
        <v>177</v>
      </c>
      <c r="H418" s="5" t="s">
        <v>550</v>
      </c>
      <c r="I418" s="5" t="s">
        <v>5179</v>
      </c>
      <c r="J418" s="5" t="s">
        <v>38</v>
      </c>
      <c r="K418" s="5" t="s">
        <v>38</v>
      </c>
      <c r="L418" s="5" t="s">
        <v>40</v>
      </c>
      <c r="M418" s="5" t="s">
        <v>38</v>
      </c>
      <c r="N418" s="5" t="s">
        <v>38</v>
      </c>
      <c r="O418" s="5" t="s">
        <v>39</v>
      </c>
      <c r="P418" s="5" t="s">
        <v>38</v>
      </c>
      <c r="Q418" s="5" t="s">
        <v>38</v>
      </c>
      <c r="R418" s="5" t="s">
        <v>40</v>
      </c>
      <c r="S418" s="5" t="s">
        <v>4751</v>
      </c>
      <c r="T418" s="5" t="s">
        <v>4752</v>
      </c>
      <c r="U418" s="5" t="s">
        <v>4753</v>
      </c>
      <c r="V418" s="5" t="s">
        <v>4556</v>
      </c>
      <c r="W418" s="5" t="s">
        <v>4557</v>
      </c>
      <c r="X418" s="5"/>
      <c r="Y418" s="5"/>
      <c r="Z418" s="5" t="s">
        <v>46</v>
      </c>
      <c r="AA418" s="5" t="s">
        <v>4589</v>
      </c>
      <c r="AB418" s="5"/>
      <c r="AC418" s="7">
        <v>1</v>
      </c>
      <c r="AD418" t="str">
        <f>VLOOKUP($T418,[1]NhanSu!$C$5:$M$229,11,0)</f>
        <v>SM0000030</v>
      </c>
    </row>
    <row r="419" spans="1:30" x14ac:dyDescent="0.45">
      <c r="A419" s="8" t="s">
        <v>4550</v>
      </c>
      <c r="B419" s="4">
        <v>193</v>
      </c>
      <c r="C419" s="4" t="s">
        <v>5187</v>
      </c>
      <c r="D419" s="4" t="s">
        <v>5188</v>
      </c>
      <c r="E419" s="4"/>
      <c r="F419" s="4" t="s">
        <v>5189</v>
      </c>
      <c r="G419" s="4" t="s">
        <v>34</v>
      </c>
      <c r="H419" s="4" t="s">
        <v>332</v>
      </c>
      <c r="I419" s="4" t="s">
        <v>5190</v>
      </c>
      <c r="J419" s="4" t="s">
        <v>38</v>
      </c>
      <c r="K419" s="4" t="s">
        <v>38</v>
      </c>
      <c r="L419" s="4" t="s">
        <v>40</v>
      </c>
      <c r="M419" s="4" t="s">
        <v>37</v>
      </c>
      <c r="N419" s="4" t="s">
        <v>56</v>
      </c>
      <c r="O419" s="4" t="s">
        <v>40</v>
      </c>
      <c r="P419" s="4" t="s">
        <v>38</v>
      </c>
      <c r="Q419" s="4" t="s">
        <v>38</v>
      </c>
      <c r="R419" s="4" t="s">
        <v>40</v>
      </c>
      <c r="S419" s="4" t="s">
        <v>5191</v>
      </c>
      <c r="T419" s="4" t="s">
        <v>4835</v>
      </c>
      <c r="U419" s="4" t="s">
        <v>4802</v>
      </c>
      <c r="V419" s="4" t="s">
        <v>4556</v>
      </c>
      <c r="W419" s="4" t="s">
        <v>1457</v>
      </c>
      <c r="X419" s="4"/>
      <c r="Y419" s="4"/>
      <c r="Z419" s="4" t="s">
        <v>46</v>
      </c>
      <c r="AA419" s="4" t="s">
        <v>4589</v>
      </c>
      <c r="AB419" s="4"/>
      <c r="AC419" s="9">
        <v>1</v>
      </c>
      <c r="AD419" t="str">
        <f>VLOOKUP($T419,[1]NhanSu!$C$5:$M$229,11,0)</f>
        <v>SM0000159</v>
      </c>
    </row>
    <row r="420" spans="1:30" x14ac:dyDescent="0.45">
      <c r="A420" s="6" t="s">
        <v>4550</v>
      </c>
      <c r="B420" s="5">
        <v>199</v>
      </c>
      <c r="C420" s="5" t="s">
        <v>5207</v>
      </c>
      <c r="D420" s="5" t="s">
        <v>5208</v>
      </c>
      <c r="E420" s="5"/>
      <c r="F420" s="5" t="s">
        <v>115</v>
      </c>
      <c r="G420" s="5" t="s">
        <v>1624</v>
      </c>
      <c r="H420" s="5" t="s">
        <v>274</v>
      </c>
      <c r="I420" s="5" t="s">
        <v>5209</v>
      </c>
      <c r="J420" s="5" t="s">
        <v>38</v>
      </c>
      <c r="K420" s="5" t="s">
        <v>38</v>
      </c>
      <c r="L420" s="5" t="s">
        <v>40</v>
      </c>
      <c r="M420" s="5" t="s">
        <v>37</v>
      </c>
      <c r="N420" s="5" t="s">
        <v>37</v>
      </c>
      <c r="O420" s="5" t="s">
        <v>39</v>
      </c>
      <c r="P420" s="5" t="s">
        <v>38</v>
      </c>
      <c r="Q420" s="5" t="s">
        <v>38</v>
      </c>
      <c r="R420" s="5" t="s">
        <v>40</v>
      </c>
      <c r="S420" s="5" t="s">
        <v>41</v>
      </c>
      <c r="T420" s="5" t="s">
        <v>4601</v>
      </c>
      <c r="U420" s="5" t="s">
        <v>4602</v>
      </c>
      <c r="V420" s="5" t="s">
        <v>4556</v>
      </c>
      <c r="W420" s="5" t="s">
        <v>4603</v>
      </c>
      <c r="X420" s="5"/>
      <c r="Y420" s="5"/>
      <c r="Z420" s="5" t="s">
        <v>46</v>
      </c>
      <c r="AA420" s="5" t="s">
        <v>4589</v>
      </c>
      <c r="AB420" s="5"/>
      <c r="AC420" s="7">
        <v>1</v>
      </c>
      <c r="AD420" t="str">
        <f>VLOOKUP($T420,[1]NhanSu!$C$5:$M$229,11,0)</f>
        <v>SM0000036</v>
      </c>
    </row>
    <row r="421" spans="1:30" x14ac:dyDescent="0.45">
      <c r="A421" s="8" t="s">
        <v>4550</v>
      </c>
      <c r="B421" s="4">
        <v>206</v>
      </c>
      <c r="C421" s="4" t="s">
        <v>5229</v>
      </c>
      <c r="D421" s="4" t="s">
        <v>5230</v>
      </c>
      <c r="E421" s="4"/>
      <c r="F421" s="4" t="s">
        <v>53</v>
      </c>
      <c r="G421" s="4" t="s">
        <v>34</v>
      </c>
      <c r="H421" s="4" t="s">
        <v>192</v>
      </c>
      <c r="I421" s="4" t="s">
        <v>2728</v>
      </c>
      <c r="J421" s="4" t="s">
        <v>38</v>
      </c>
      <c r="K421" s="4" t="s">
        <v>38</v>
      </c>
      <c r="L421" s="4" t="s">
        <v>40</v>
      </c>
      <c r="M421" s="4" t="s">
        <v>38</v>
      </c>
      <c r="N421" s="4" t="s">
        <v>38</v>
      </c>
      <c r="O421" s="4" t="s">
        <v>39</v>
      </c>
      <c r="P421" s="4" t="s">
        <v>38</v>
      </c>
      <c r="Q421" s="4" t="s">
        <v>38</v>
      </c>
      <c r="R421" s="4" t="s">
        <v>40</v>
      </c>
      <c r="S421" s="4" t="s">
        <v>41</v>
      </c>
      <c r="T421" s="4" t="s">
        <v>4752</v>
      </c>
      <c r="U421" s="4" t="s">
        <v>4753</v>
      </c>
      <c r="V421" s="4" t="s">
        <v>4556</v>
      </c>
      <c r="W421" s="4" t="s">
        <v>4557</v>
      </c>
      <c r="X421" s="4"/>
      <c r="Y421" s="4"/>
      <c r="Z421" s="4" t="s">
        <v>46</v>
      </c>
      <c r="AA421" s="4" t="s">
        <v>4589</v>
      </c>
      <c r="AB421" s="4"/>
      <c r="AC421" s="9">
        <v>1</v>
      </c>
      <c r="AD421" t="str">
        <f>VLOOKUP($T421,[1]NhanSu!$C$5:$M$229,11,0)</f>
        <v>SM0000030</v>
      </c>
    </row>
    <row r="422" spans="1:30" x14ac:dyDescent="0.45">
      <c r="A422" s="6" t="s">
        <v>4550</v>
      </c>
      <c r="B422" s="5">
        <v>208</v>
      </c>
      <c r="C422" s="5" t="s">
        <v>5235</v>
      </c>
      <c r="D422" s="5" t="s">
        <v>5236</v>
      </c>
      <c r="E422" s="5"/>
      <c r="F422" s="5" t="s">
        <v>3049</v>
      </c>
      <c r="G422" s="5" t="s">
        <v>177</v>
      </c>
      <c r="H422" s="5" t="s">
        <v>54</v>
      </c>
      <c r="I422" s="5" t="s">
        <v>5237</v>
      </c>
      <c r="J422" s="5" t="s">
        <v>37</v>
      </c>
      <c r="K422" s="5" t="s">
        <v>37</v>
      </c>
      <c r="L422" s="5" t="s">
        <v>40</v>
      </c>
      <c r="M422" s="5" t="s">
        <v>56</v>
      </c>
      <c r="N422" s="5" t="s">
        <v>56</v>
      </c>
      <c r="O422" s="5" t="s">
        <v>39</v>
      </c>
      <c r="P422" s="5" t="s">
        <v>37</v>
      </c>
      <c r="Q422" s="5" t="s">
        <v>56</v>
      </c>
      <c r="R422" s="5" t="s">
        <v>40</v>
      </c>
      <c r="S422" s="5" t="s">
        <v>627</v>
      </c>
      <c r="T422" s="5" t="s">
        <v>4835</v>
      </c>
      <c r="U422" s="5" t="s">
        <v>4802</v>
      </c>
      <c r="V422" s="5" t="s">
        <v>4556</v>
      </c>
      <c r="W422" s="5" t="s">
        <v>1457</v>
      </c>
      <c r="X422" s="5"/>
      <c r="Y422" s="5"/>
      <c r="Z422" s="5" t="s">
        <v>46</v>
      </c>
      <c r="AA422" s="5" t="s">
        <v>4589</v>
      </c>
      <c r="AB422" s="5"/>
      <c r="AC422" s="7">
        <v>1</v>
      </c>
      <c r="AD422" t="str">
        <f>VLOOKUP($T422,[1]NhanSu!$C$5:$M$229,11,0)</f>
        <v>SM0000159</v>
      </c>
    </row>
    <row r="423" spans="1:30" x14ac:dyDescent="0.45">
      <c r="A423" s="8" t="s">
        <v>4550</v>
      </c>
      <c r="B423" s="4">
        <v>210</v>
      </c>
      <c r="C423" s="4" t="s">
        <v>5240</v>
      </c>
      <c r="D423" s="4" t="s">
        <v>5241</v>
      </c>
      <c r="E423" s="4"/>
      <c r="F423" s="4" t="s">
        <v>53</v>
      </c>
      <c r="G423" s="4" t="s">
        <v>34</v>
      </c>
      <c r="H423" s="4" t="s">
        <v>54</v>
      </c>
      <c r="I423" s="4" t="s">
        <v>5242</v>
      </c>
      <c r="J423" s="4" t="s">
        <v>38</v>
      </c>
      <c r="K423" s="4" t="s">
        <v>38</v>
      </c>
      <c r="L423" s="4" t="s">
        <v>40</v>
      </c>
      <c r="M423" s="4" t="s">
        <v>38</v>
      </c>
      <c r="N423" s="4" t="s">
        <v>38</v>
      </c>
      <c r="O423" s="4" t="s">
        <v>40</v>
      </c>
      <c r="P423" s="4" t="s">
        <v>38</v>
      </c>
      <c r="Q423" s="4" t="s">
        <v>38</v>
      </c>
      <c r="R423" s="4" t="s">
        <v>40</v>
      </c>
      <c r="S423" s="4" t="s">
        <v>41</v>
      </c>
      <c r="T423" s="4" t="s">
        <v>4601</v>
      </c>
      <c r="U423" s="4" t="s">
        <v>4602</v>
      </c>
      <c r="V423" s="4" t="s">
        <v>4556</v>
      </c>
      <c r="W423" s="4" t="s">
        <v>4603</v>
      </c>
      <c r="X423" s="4"/>
      <c r="Y423" s="4"/>
      <c r="Z423" s="4" t="s">
        <v>46</v>
      </c>
      <c r="AA423" s="4" t="s">
        <v>4589</v>
      </c>
      <c r="AB423" s="4"/>
      <c r="AC423" s="9">
        <v>1</v>
      </c>
      <c r="AD423" t="str">
        <f>VLOOKUP($T423,[1]NhanSu!$C$5:$M$229,11,0)</f>
        <v>SM0000036</v>
      </c>
    </row>
    <row r="424" spans="1:30" x14ac:dyDescent="0.45">
      <c r="A424" s="6" t="s">
        <v>4550</v>
      </c>
      <c r="B424" s="5">
        <v>212</v>
      </c>
      <c r="C424" s="5" t="s">
        <v>5246</v>
      </c>
      <c r="D424" s="5" t="s">
        <v>5247</v>
      </c>
      <c r="E424" s="5"/>
      <c r="F424" s="5" t="s">
        <v>53</v>
      </c>
      <c r="G424" s="5" t="s">
        <v>34</v>
      </c>
      <c r="H424" s="5" t="s">
        <v>54</v>
      </c>
      <c r="I424" s="5" t="s">
        <v>5248</v>
      </c>
      <c r="J424" s="5" t="s">
        <v>38</v>
      </c>
      <c r="K424" s="5" t="s">
        <v>38</v>
      </c>
      <c r="L424" s="5" t="s">
        <v>40</v>
      </c>
      <c r="M424" s="5" t="s">
        <v>38</v>
      </c>
      <c r="N424" s="5" t="s">
        <v>38</v>
      </c>
      <c r="O424" s="5" t="s">
        <v>40</v>
      </c>
      <c r="P424" s="5" t="s">
        <v>38</v>
      </c>
      <c r="Q424" s="5" t="s">
        <v>38</v>
      </c>
      <c r="R424" s="5" t="s">
        <v>40</v>
      </c>
      <c r="S424" s="5" t="s">
        <v>41</v>
      </c>
      <c r="T424" s="5" t="s">
        <v>4601</v>
      </c>
      <c r="U424" s="5" t="s">
        <v>4602</v>
      </c>
      <c r="V424" s="5" t="s">
        <v>4556</v>
      </c>
      <c r="W424" s="5" t="s">
        <v>4603</v>
      </c>
      <c r="X424" s="5"/>
      <c r="Y424" s="5"/>
      <c r="Z424" s="5" t="s">
        <v>46</v>
      </c>
      <c r="AA424" s="5" t="s">
        <v>4589</v>
      </c>
      <c r="AB424" s="5"/>
      <c r="AC424" s="7">
        <v>1</v>
      </c>
      <c r="AD424" t="str">
        <f>VLOOKUP($T424,[1]NhanSu!$C$5:$M$229,11,0)</f>
        <v>SM0000036</v>
      </c>
    </row>
    <row r="425" spans="1:30" x14ac:dyDescent="0.45">
      <c r="A425" s="8" t="s">
        <v>4550</v>
      </c>
      <c r="B425" s="4">
        <v>218</v>
      </c>
      <c r="C425" s="4" t="s">
        <v>5268</v>
      </c>
      <c r="D425" s="4" t="s">
        <v>5269</v>
      </c>
      <c r="E425" s="4"/>
      <c r="F425" s="4" t="s">
        <v>5270</v>
      </c>
      <c r="G425" s="4" t="s">
        <v>34</v>
      </c>
      <c r="H425" s="4" t="s">
        <v>54</v>
      </c>
      <c r="I425" s="4" t="s">
        <v>5271</v>
      </c>
      <c r="J425" s="4" t="s">
        <v>38</v>
      </c>
      <c r="K425" s="4" t="s">
        <v>38</v>
      </c>
      <c r="L425" s="4" t="s">
        <v>40</v>
      </c>
      <c r="M425" s="4" t="s">
        <v>37</v>
      </c>
      <c r="N425" s="4" t="s">
        <v>37</v>
      </c>
      <c r="O425" s="4" t="s">
        <v>39</v>
      </c>
      <c r="P425" s="4" t="s">
        <v>37</v>
      </c>
      <c r="Q425" s="4" t="s">
        <v>37</v>
      </c>
      <c r="R425" s="4" t="s">
        <v>39</v>
      </c>
      <c r="S425" s="4" t="s">
        <v>41</v>
      </c>
      <c r="T425" s="4" t="s">
        <v>4737</v>
      </c>
      <c r="U425" s="4" t="s">
        <v>4738</v>
      </c>
      <c r="V425" s="4" t="s">
        <v>4556</v>
      </c>
      <c r="W425" s="4" t="s">
        <v>1457</v>
      </c>
      <c r="X425" s="4"/>
      <c r="Y425" s="4"/>
      <c r="Z425" s="4" t="s">
        <v>46</v>
      </c>
      <c r="AA425" s="4" t="s">
        <v>4589</v>
      </c>
      <c r="AB425" s="4"/>
      <c r="AC425" s="9">
        <v>1</v>
      </c>
      <c r="AD425" t="str">
        <f>VLOOKUP($T425,[1]NhanSu!$C$5:$M$229,11,0)</f>
        <v>SM0000158</v>
      </c>
    </row>
    <row r="426" spans="1:30" x14ac:dyDescent="0.45">
      <c r="A426" s="6" t="s">
        <v>4550</v>
      </c>
      <c r="B426" s="5">
        <v>221</v>
      </c>
      <c r="C426" s="5" t="s">
        <v>5281</v>
      </c>
      <c r="D426" s="5" t="s">
        <v>5282</v>
      </c>
      <c r="E426" s="5"/>
      <c r="F426" s="5" t="s">
        <v>1833</v>
      </c>
      <c r="G426" s="5" t="s">
        <v>150</v>
      </c>
      <c r="H426" s="5" t="s">
        <v>1188</v>
      </c>
      <c r="I426" s="5" t="s">
        <v>5283</v>
      </c>
      <c r="J426" s="5" t="s">
        <v>41</v>
      </c>
      <c r="K426" s="5" t="s">
        <v>41</v>
      </c>
      <c r="L426" s="5" t="s">
        <v>41</v>
      </c>
      <c r="M426" s="5" t="s">
        <v>41</v>
      </c>
      <c r="N426" s="5" t="s">
        <v>41</v>
      </c>
      <c r="O426" s="5" t="s">
        <v>41</v>
      </c>
      <c r="P426" s="5" t="s">
        <v>41</v>
      </c>
      <c r="Q426" s="5" t="s">
        <v>41</v>
      </c>
      <c r="R426" s="5" t="s">
        <v>41</v>
      </c>
      <c r="S426" s="5" t="s">
        <v>41</v>
      </c>
      <c r="T426" s="5" t="s">
        <v>4737</v>
      </c>
      <c r="U426" s="5" t="s">
        <v>4738</v>
      </c>
      <c r="V426" s="5" t="s">
        <v>4556</v>
      </c>
      <c r="W426" s="5" t="s">
        <v>1457</v>
      </c>
      <c r="X426" s="5"/>
      <c r="Y426" s="5"/>
      <c r="Z426" s="5" t="s">
        <v>46</v>
      </c>
      <c r="AA426" s="5" t="s">
        <v>4589</v>
      </c>
      <c r="AB426" s="5"/>
      <c r="AC426" s="7">
        <v>1</v>
      </c>
      <c r="AD426" t="str">
        <f>VLOOKUP($T426,[1]NhanSu!$C$5:$M$229,11,0)</f>
        <v>SM0000158</v>
      </c>
    </row>
    <row r="427" spans="1:30" x14ac:dyDescent="0.45">
      <c r="A427" s="8" t="s">
        <v>4550</v>
      </c>
      <c r="B427" s="4">
        <v>225</v>
      </c>
      <c r="C427" s="4" t="s">
        <v>5295</v>
      </c>
      <c r="D427" s="4" t="s">
        <v>5296</v>
      </c>
      <c r="E427" s="4"/>
      <c r="F427" s="4" t="s">
        <v>53</v>
      </c>
      <c r="G427" s="4" t="s">
        <v>34</v>
      </c>
      <c r="H427" s="4" t="s">
        <v>54</v>
      </c>
      <c r="I427" s="4" t="s">
        <v>5297</v>
      </c>
      <c r="J427" s="4" t="s">
        <v>38</v>
      </c>
      <c r="K427" s="4" t="s">
        <v>38</v>
      </c>
      <c r="L427" s="4" t="s">
        <v>40</v>
      </c>
      <c r="M427" s="4" t="s">
        <v>38</v>
      </c>
      <c r="N427" s="4" t="s">
        <v>38</v>
      </c>
      <c r="O427" s="4" t="s">
        <v>39</v>
      </c>
      <c r="P427" s="4" t="s">
        <v>38</v>
      </c>
      <c r="Q427" s="4" t="s">
        <v>38</v>
      </c>
      <c r="R427" s="4" t="s">
        <v>40</v>
      </c>
      <c r="S427" s="4" t="s">
        <v>41</v>
      </c>
      <c r="T427" s="4" t="s">
        <v>4601</v>
      </c>
      <c r="U427" s="4" t="s">
        <v>4602</v>
      </c>
      <c r="V427" s="4" t="s">
        <v>4556</v>
      </c>
      <c r="W427" s="4" t="s">
        <v>4603</v>
      </c>
      <c r="X427" s="4"/>
      <c r="Y427" s="4"/>
      <c r="Z427" s="4" t="s">
        <v>46</v>
      </c>
      <c r="AA427" s="4" t="s">
        <v>4589</v>
      </c>
      <c r="AB427" s="4"/>
      <c r="AC427" s="9">
        <v>1</v>
      </c>
      <c r="AD427" t="str">
        <f>VLOOKUP($T427,[1]NhanSu!$C$5:$M$229,11,0)</f>
        <v>SM0000036</v>
      </c>
    </row>
    <row r="428" spans="1:30" x14ac:dyDescent="0.45">
      <c r="A428" s="6" t="s">
        <v>4550</v>
      </c>
      <c r="B428" s="5">
        <v>226</v>
      </c>
      <c r="C428" s="5" t="s">
        <v>5298</v>
      </c>
      <c r="D428" s="5" t="s">
        <v>5299</v>
      </c>
      <c r="E428" s="5"/>
      <c r="F428" s="5" t="s">
        <v>53</v>
      </c>
      <c r="G428" s="5" t="s">
        <v>34</v>
      </c>
      <c r="H428" s="5" t="s">
        <v>54</v>
      </c>
      <c r="I428" s="5" t="s">
        <v>5300</v>
      </c>
      <c r="J428" s="5" t="s">
        <v>38</v>
      </c>
      <c r="K428" s="5" t="s">
        <v>38</v>
      </c>
      <c r="L428" s="5" t="s">
        <v>40</v>
      </c>
      <c r="M428" s="5" t="s">
        <v>38</v>
      </c>
      <c r="N428" s="5" t="s">
        <v>38</v>
      </c>
      <c r="O428" s="5" t="s">
        <v>40</v>
      </c>
      <c r="P428" s="5" t="s">
        <v>38</v>
      </c>
      <c r="Q428" s="5" t="s">
        <v>38</v>
      </c>
      <c r="R428" s="5" t="s">
        <v>40</v>
      </c>
      <c r="S428" s="5" t="s">
        <v>41</v>
      </c>
      <c r="T428" s="5" t="s">
        <v>4601</v>
      </c>
      <c r="U428" s="5" t="s">
        <v>4602</v>
      </c>
      <c r="V428" s="5" t="s">
        <v>4556</v>
      </c>
      <c r="W428" s="5" t="s">
        <v>4603</v>
      </c>
      <c r="X428" s="5"/>
      <c r="Y428" s="5"/>
      <c r="Z428" s="5" t="s">
        <v>46</v>
      </c>
      <c r="AA428" s="5" t="s">
        <v>4589</v>
      </c>
      <c r="AB428" s="5"/>
      <c r="AC428" s="7">
        <v>1</v>
      </c>
      <c r="AD428" t="str">
        <f>VLOOKUP($T428,[1]NhanSu!$C$5:$M$229,11,0)</f>
        <v>SM0000036</v>
      </c>
    </row>
    <row r="429" spans="1:30" x14ac:dyDescent="0.45">
      <c r="A429" s="8" t="s">
        <v>4550</v>
      </c>
      <c r="B429" s="4">
        <v>236</v>
      </c>
      <c r="C429" s="4" t="s">
        <v>5324</v>
      </c>
      <c r="D429" s="4" t="s">
        <v>3334</v>
      </c>
      <c r="E429" s="4"/>
      <c r="F429" s="4" t="s">
        <v>1871</v>
      </c>
      <c r="G429" s="4" t="s">
        <v>34</v>
      </c>
      <c r="H429" s="4" t="s">
        <v>214</v>
      </c>
      <c r="I429" s="4" t="s">
        <v>5325</v>
      </c>
      <c r="J429" s="4" t="s">
        <v>38</v>
      </c>
      <c r="K429" s="4" t="s">
        <v>38</v>
      </c>
      <c r="L429" s="4" t="s">
        <v>40</v>
      </c>
      <c r="M429" s="4" t="s">
        <v>38</v>
      </c>
      <c r="N429" s="4" t="s">
        <v>38</v>
      </c>
      <c r="O429" s="4" t="s">
        <v>40</v>
      </c>
      <c r="P429" s="4" t="s">
        <v>38</v>
      </c>
      <c r="Q429" s="4" t="s">
        <v>38</v>
      </c>
      <c r="R429" s="4" t="s">
        <v>40</v>
      </c>
      <c r="S429" s="4" t="s">
        <v>41</v>
      </c>
      <c r="T429" s="4" t="s">
        <v>4554</v>
      </c>
      <c r="U429" s="4" t="s">
        <v>4555</v>
      </c>
      <c r="V429" s="4" t="s">
        <v>4556</v>
      </c>
      <c r="W429" s="4" t="s">
        <v>4557</v>
      </c>
      <c r="X429" s="4"/>
      <c r="Y429" s="4"/>
      <c r="Z429" s="4" t="s">
        <v>46</v>
      </c>
      <c r="AA429" s="4" t="s">
        <v>4575</v>
      </c>
      <c r="AB429" s="4"/>
      <c r="AC429" s="9">
        <v>1</v>
      </c>
      <c r="AD429" t="str">
        <f>VLOOKUP($T429,[1]NhanSu!$C$5:$M$229,11,0)</f>
        <v>SM0000031</v>
      </c>
    </row>
    <row r="430" spans="1:30" x14ac:dyDescent="0.45">
      <c r="A430" s="6" t="s">
        <v>4550</v>
      </c>
      <c r="B430" s="5">
        <v>249</v>
      </c>
      <c r="C430" s="5" t="s">
        <v>5364</v>
      </c>
      <c r="D430" s="5" t="s">
        <v>5365</v>
      </c>
      <c r="E430" s="5"/>
      <c r="F430" s="5" t="s">
        <v>2365</v>
      </c>
      <c r="G430" s="5" t="s">
        <v>177</v>
      </c>
      <c r="H430" s="5" t="s">
        <v>54</v>
      </c>
      <c r="I430" s="5" t="s">
        <v>5366</v>
      </c>
      <c r="J430" s="5" t="s">
        <v>37</v>
      </c>
      <c r="K430" s="5" t="s">
        <v>37</v>
      </c>
      <c r="L430" s="5" t="s">
        <v>39</v>
      </c>
      <c r="M430" s="5" t="s">
        <v>56</v>
      </c>
      <c r="N430" s="5" t="s">
        <v>56</v>
      </c>
      <c r="O430" s="5" t="s">
        <v>39</v>
      </c>
      <c r="P430" s="5" t="s">
        <v>775</v>
      </c>
      <c r="Q430" s="5" t="s">
        <v>38</v>
      </c>
      <c r="R430" s="5" t="s">
        <v>39</v>
      </c>
      <c r="S430" s="5" t="s">
        <v>5367</v>
      </c>
      <c r="T430" s="5" t="s">
        <v>5069</v>
      </c>
      <c r="U430" s="5" t="s">
        <v>5070</v>
      </c>
      <c r="V430" s="5" t="s">
        <v>4556</v>
      </c>
      <c r="W430" s="5" t="s">
        <v>4603</v>
      </c>
      <c r="X430" s="5"/>
      <c r="Y430" s="5"/>
      <c r="Z430" s="5" t="s">
        <v>46</v>
      </c>
      <c r="AA430" s="5" t="s">
        <v>4589</v>
      </c>
      <c r="AB430" s="5"/>
      <c r="AC430" s="7">
        <v>1</v>
      </c>
      <c r="AD430" t="str">
        <f>VLOOKUP($T430,[1]NhanSu!$C$5:$M$229,11,0)</f>
        <v>SM0000177</v>
      </c>
    </row>
    <row r="431" spans="1:30" x14ac:dyDescent="0.45">
      <c r="A431" s="8" t="s">
        <v>4550</v>
      </c>
      <c r="B431" s="4">
        <v>251</v>
      </c>
      <c r="C431" s="4" t="s">
        <v>5370</v>
      </c>
      <c r="D431" s="4" t="s">
        <v>5371</v>
      </c>
      <c r="E431" s="4"/>
      <c r="F431" s="4" t="s">
        <v>53</v>
      </c>
      <c r="G431" s="4" t="s">
        <v>34</v>
      </c>
      <c r="H431" s="4" t="s">
        <v>54</v>
      </c>
      <c r="I431" s="4" t="s">
        <v>5372</v>
      </c>
      <c r="J431" s="4" t="s">
        <v>56</v>
      </c>
      <c r="K431" s="4" t="s">
        <v>56</v>
      </c>
      <c r="L431" s="4" t="s">
        <v>39</v>
      </c>
      <c r="M431" s="4" t="s">
        <v>775</v>
      </c>
      <c r="N431" s="4" t="s">
        <v>37</v>
      </c>
      <c r="O431" s="4" t="s">
        <v>39</v>
      </c>
      <c r="P431" s="4" t="s">
        <v>1034</v>
      </c>
      <c r="Q431" s="4" t="s">
        <v>37</v>
      </c>
      <c r="R431" s="4" t="s">
        <v>39</v>
      </c>
      <c r="S431" s="4" t="s">
        <v>5373</v>
      </c>
      <c r="T431" s="4" t="s">
        <v>5069</v>
      </c>
      <c r="U431" s="4" t="s">
        <v>5070</v>
      </c>
      <c r="V431" s="4" t="s">
        <v>4556</v>
      </c>
      <c r="W431" s="4" t="s">
        <v>4603</v>
      </c>
      <c r="X431" s="4"/>
      <c r="Y431" s="4"/>
      <c r="Z431" s="4" t="s">
        <v>46</v>
      </c>
      <c r="AA431" s="4" t="s">
        <v>4575</v>
      </c>
      <c r="AB431" s="4"/>
      <c r="AC431" s="9">
        <v>1</v>
      </c>
      <c r="AD431" t="str">
        <f>VLOOKUP($T431,[1]NhanSu!$C$5:$M$229,11,0)</f>
        <v>SM0000177</v>
      </c>
    </row>
    <row r="432" spans="1:30" x14ac:dyDescent="0.45">
      <c r="A432" s="6" t="s">
        <v>4550</v>
      </c>
      <c r="B432" s="5">
        <v>253</v>
      </c>
      <c r="C432" s="5" t="s">
        <v>5377</v>
      </c>
      <c r="D432" s="5" t="s">
        <v>5378</v>
      </c>
      <c r="E432" s="5"/>
      <c r="F432" s="5" t="s">
        <v>401</v>
      </c>
      <c r="G432" s="5" t="s">
        <v>34</v>
      </c>
      <c r="H432" s="5" t="s">
        <v>1542</v>
      </c>
      <c r="I432" s="5" t="s">
        <v>5379</v>
      </c>
      <c r="J432" s="5" t="s">
        <v>38</v>
      </c>
      <c r="K432" s="5" t="s">
        <v>38</v>
      </c>
      <c r="L432" s="5" t="s">
        <v>40</v>
      </c>
      <c r="M432" s="5" t="s">
        <v>37</v>
      </c>
      <c r="N432" s="5" t="s">
        <v>56</v>
      </c>
      <c r="O432" s="5" t="s">
        <v>40</v>
      </c>
      <c r="P432" s="5" t="s">
        <v>38</v>
      </c>
      <c r="Q432" s="5" t="s">
        <v>38</v>
      </c>
      <c r="R432" s="5" t="s">
        <v>40</v>
      </c>
      <c r="S432" s="5" t="s">
        <v>5380</v>
      </c>
      <c r="T432" s="5" t="s">
        <v>4835</v>
      </c>
      <c r="U432" s="5" t="s">
        <v>4802</v>
      </c>
      <c r="V432" s="5" t="s">
        <v>4556</v>
      </c>
      <c r="W432" s="5" t="s">
        <v>1457</v>
      </c>
      <c r="X432" s="5"/>
      <c r="Y432" s="5"/>
      <c r="Z432" s="5" t="s">
        <v>46</v>
      </c>
      <c r="AA432" s="5" t="s">
        <v>4589</v>
      </c>
      <c r="AB432" s="5"/>
      <c r="AC432" s="7">
        <v>1</v>
      </c>
      <c r="AD432" t="str">
        <f>VLOOKUP($T432,[1]NhanSu!$C$5:$M$229,11,0)</f>
        <v>SM0000159</v>
      </c>
    </row>
    <row r="433" spans="1:30" x14ac:dyDescent="0.45">
      <c r="A433" s="8" t="s">
        <v>4550</v>
      </c>
      <c r="B433" s="4">
        <v>257</v>
      </c>
      <c r="C433" s="4" t="s">
        <v>5390</v>
      </c>
      <c r="D433" s="4" t="s">
        <v>5391</v>
      </c>
      <c r="E433" s="4"/>
      <c r="F433" s="4" t="s">
        <v>2365</v>
      </c>
      <c r="G433" s="4" t="s">
        <v>34</v>
      </c>
      <c r="H433" s="4" t="s">
        <v>54</v>
      </c>
      <c r="I433" s="4" t="s">
        <v>5392</v>
      </c>
      <c r="J433" s="4" t="s">
        <v>38</v>
      </c>
      <c r="K433" s="4" t="s">
        <v>38</v>
      </c>
      <c r="L433" s="4" t="s">
        <v>40</v>
      </c>
      <c r="M433" s="4" t="s">
        <v>38</v>
      </c>
      <c r="N433" s="4" t="s">
        <v>38</v>
      </c>
      <c r="O433" s="4" t="s">
        <v>40</v>
      </c>
      <c r="P433" s="4" t="s">
        <v>38</v>
      </c>
      <c r="Q433" s="4" t="s">
        <v>38</v>
      </c>
      <c r="R433" s="4" t="s">
        <v>40</v>
      </c>
      <c r="S433" s="4" t="s">
        <v>5363</v>
      </c>
      <c r="T433" s="4" t="s">
        <v>4746</v>
      </c>
      <c r="U433" s="4" t="s">
        <v>4747</v>
      </c>
      <c r="V433" s="4" t="s">
        <v>4556</v>
      </c>
      <c r="W433" s="4" t="s">
        <v>4603</v>
      </c>
      <c r="X433" s="4"/>
      <c r="Y433" s="4"/>
      <c r="Z433" s="4" t="s">
        <v>46</v>
      </c>
      <c r="AA433" s="4" t="s">
        <v>4589</v>
      </c>
      <c r="AB433" s="4"/>
      <c r="AC433" s="9">
        <v>1</v>
      </c>
      <c r="AD433" t="str">
        <f>VLOOKUP($T433,[1]NhanSu!$C$5:$M$229,11,0)</f>
        <v>SM0000187</v>
      </c>
    </row>
    <row r="434" spans="1:30" x14ac:dyDescent="0.45">
      <c r="A434" s="6" t="s">
        <v>4550</v>
      </c>
      <c r="B434" s="5">
        <v>260</v>
      </c>
      <c r="C434" s="5" t="s">
        <v>5401</v>
      </c>
      <c r="D434" s="5" t="s">
        <v>5402</v>
      </c>
      <c r="E434" s="5"/>
      <c r="F434" s="5" t="s">
        <v>4298</v>
      </c>
      <c r="G434" s="5" t="s">
        <v>34</v>
      </c>
      <c r="H434" s="5" t="s">
        <v>565</v>
      </c>
      <c r="I434" s="5" t="s">
        <v>5403</v>
      </c>
      <c r="J434" s="5" t="s">
        <v>37</v>
      </c>
      <c r="K434" s="5" t="s">
        <v>37</v>
      </c>
      <c r="L434" s="5" t="s">
        <v>39</v>
      </c>
      <c r="M434" s="5" t="s">
        <v>37</v>
      </c>
      <c r="N434" s="5" t="s">
        <v>37</v>
      </c>
      <c r="O434" s="5" t="s">
        <v>39</v>
      </c>
      <c r="P434" s="5" t="s">
        <v>37</v>
      </c>
      <c r="Q434" s="5" t="s">
        <v>37</v>
      </c>
      <c r="R434" s="5" t="s">
        <v>39</v>
      </c>
      <c r="S434" s="5" t="s">
        <v>41</v>
      </c>
      <c r="T434" s="5" t="s">
        <v>4737</v>
      </c>
      <c r="U434" s="5" t="s">
        <v>4738</v>
      </c>
      <c r="V434" s="5" t="s">
        <v>4556</v>
      </c>
      <c r="W434" s="5" t="s">
        <v>1457</v>
      </c>
      <c r="X434" s="5"/>
      <c r="Y434" s="5"/>
      <c r="Z434" s="5" t="s">
        <v>46</v>
      </c>
      <c r="AA434" s="5" t="s">
        <v>4575</v>
      </c>
      <c r="AB434" s="5"/>
      <c r="AC434" s="7">
        <v>1</v>
      </c>
      <c r="AD434" t="str">
        <f>VLOOKUP($T434,[1]NhanSu!$C$5:$M$229,11,0)</f>
        <v>SM0000158</v>
      </c>
    </row>
    <row r="435" spans="1:30" x14ac:dyDescent="0.45">
      <c r="A435" s="8" t="s">
        <v>4550</v>
      </c>
      <c r="B435" s="4">
        <v>263</v>
      </c>
      <c r="C435" s="4" t="s">
        <v>5410</v>
      </c>
      <c r="D435" s="4" t="s">
        <v>5411</v>
      </c>
      <c r="E435" s="4"/>
      <c r="F435" s="4" t="s">
        <v>4933</v>
      </c>
      <c r="G435" s="4" t="s">
        <v>34</v>
      </c>
      <c r="H435" s="4" t="s">
        <v>54</v>
      </c>
      <c r="I435" s="4" t="s">
        <v>5412</v>
      </c>
      <c r="J435" s="4" t="s">
        <v>38</v>
      </c>
      <c r="K435" s="4" t="s">
        <v>37</v>
      </c>
      <c r="L435" s="4" t="s">
        <v>40</v>
      </c>
      <c r="M435" s="4" t="s">
        <v>56</v>
      </c>
      <c r="N435" s="4" t="s">
        <v>775</v>
      </c>
      <c r="O435" s="4" t="s">
        <v>39</v>
      </c>
      <c r="P435" s="4" t="s">
        <v>38</v>
      </c>
      <c r="Q435" s="4" t="s">
        <v>38</v>
      </c>
      <c r="R435" s="4" t="s">
        <v>40</v>
      </c>
      <c r="S435" s="4" t="s">
        <v>5413</v>
      </c>
      <c r="T435" s="4" t="s">
        <v>4835</v>
      </c>
      <c r="U435" s="4" t="s">
        <v>4802</v>
      </c>
      <c r="V435" s="4" t="s">
        <v>4556</v>
      </c>
      <c r="W435" s="4" t="s">
        <v>1457</v>
      </c>
      <c r="X435" s="4"/>
      <c r="Y435" s="4"/>
      <c r="Z435" s="4" t="s">
        <v>46</v>
      </c>
      <c r="AA435" s="4" t="s">
        <v>4589</v>
      </c>
      <c r="AB435" s="4"/>
      <c r="AC435" s="9">
        <v>1</v>
      </c>
      <c r="AD435" t="str">
        <f>VLOOKUP($T435,[1]NhanSu!$C$5:$M$229,11,0)</f>
        <v>SM0000159</v>
      </c>
    </row>
    <row r="436" spans="1:30" x14ac:dyDescent="0.45">
      <c r="A436" s="6" t="s">
        <v>4550</v>
      </c>
      <c r="B436" s="5">
        <v>264</v>
      </c>
      <c r="C436" s="5" t="s">
        <v>5414</v>
      </c>
      <c r="D436" s="5" t="s">
        <v>3998</v>
      </c>
      <c r="E436" s="5"/>
      <c r="F436" s="5" t="s">
        <v>5415</v>
      </c>
      <c r="G436" s="5" t="s">
        <v>34</v>
      </c>
      <c r="H436" s="5" t="s">
        <v>54</v>
      </c>
      <c r="I436" s="5" t="s">
        <v>5416</v>
      </c>
      <c r="J436" s="5" t="s">
        <v>37</v>
      </c>
      <c r="K436" s="5" t="s">
        <v>37</v>
      </c>
      <c r="L436" s="5" t="s">
        <v>39</v>
      </c>
      <c r="M436" s="5" t="s">
        <v>56</v>
      </c>
      <c r="N436" s="5" t="s">
        <v>56</v>
      </c>
      <c r="O436" s="5" t="s">
        <v>39</v>
      </c>
      <c r="P436" s="5" t="s">
        <v>37</v>
      </c>
      <c r="Q436" s="5" t="s">
        <v>37</v>
      </c>
      <c r="R436" s="5" t="s">
        <v>39</v>
      </c>
      <c r="S436" s="5" t="s">
        <v>41</v>
      </c>
      <c r="T436" s="5" t="s">
        <v>4737</v>
      </c>
      <c r="U436" s="5" t="s">
        <v>4738</v>
      </c>
      <c r="V436" s="5" t="s">
        <v>4556</v>
      </c>
      <c r="W436" s="5" t="s">
        <v>1457</v>
      </c>
      <c r="X436" s="5"/>
      <c r="Y436" s="5"/>
      <c r="Z436" s="5" t="s">
        <v>46</v>
      </c>
      <c r="AA436" s="5" t="s">
        <v>4589</v>
      </c>
      <c r="AB436" s="5"/>
      <c r="AC436" s="7">
        <v>1</v>
      </c>
      <c r="AD436" t="str">
        <f>VLOOKUP($T436,[1]NhanSu!$C$5:$M$229,11,0)</f>
        <v>SM0000158</v>
      </c>
    </row>
    <row r="437" spans="1:30" x14ac:dyDescent="0.45">
      <c r="A437" s="8" t="s">
        <v>4550</v>
      </c>
      <c r="B437" s="4">
        <v>269</v>
      </c>
      <c r="C437" s="4" t="s">
        <v>5432</v>
      </c>
      <c r="D437" s="4" t="s">
        <v>5433</v>
      </c>
      <c r="E437" s="4"/>
      <c r="F437" s="4" t="s">
        <v>1981</v>
      </c>
      <c r="G437" s="4" t="s">
        <v>34</v>
      </c>
      <c r="H437" s="4" t="s">
        <v>565</v>
      </c>
      <c r="I437" s="4" t="s">
        <v>5434</v>
      </c>
      <c r="J437" s="4" t="s">
        <v>38</v>
      </c>
      <c r="K437" s="4" t="s">
        <v>38</v>
      </c>
      <c r="L437" s="4" t="s">
        <v>40</v>
      </c>
      <c r="M437" s="4" t="s">
        <v>37</v>
      </c>
      <c r="N437" s="4" t="s">
        <v>37</v>
      </c>
      <c r="O437" s="4" t="s">
        <v>39</v>
      </c>
      <c r="P437" s="4" t="s">
        <v>37</v>
      </c>
      <c r="Q437" s="4" t="s">
        <v>37</v>
      </c>
      <c r="R437" s="4" t="s">
        <v>39</v>
      </c>
      <c r="S437" s="4" t="s">
        <v>41</v>
      </c>
      <c r="T437" s="4" t="s">
        <v>4737</v>
      </c>
      <c r="U437" s="4" t="s">
        <v>4738</v>
      </c>
      <c r="V437" s="4" t="s">
        <v>4556</v>
      </c>
      <c r="W437" s="4" t="s">
        <v>1457</v>
      </c>
      <c r="X437" s="4"/>
      <c r="Y437" s="4"/>
      <c r="Z437" s="4" t="s">
        <v>46</v>
      </c>
      <c r="AA437" s="4" t="s">
        <v>4575</v>
      </c>
      <c r="AB437" s="4"/>
      <c r="AC437" s="9">
        <v>1</v>
      </c>
      <c r="AD437" t="str">
        <f>VLOOKUP($T437,[1]NhanSu!$C$5:$M$229,11,0)</f>
        <v>SM0000158</v>
      </c>
    </row>
    <row r="438" spans="1:30" x14ac:dyDescent="0.45">
      <c r="A438" s="6" t="s">
        <v>4550</v>
      </c>
      <c r="B438" s="5">
        <v>272</v>
      </c>
      <c r="C438" s="5" t="s">
        <v>5441</v>
      </c>
      <c r="D438" s="5" t="s">
        <v>3256</v>
      </c>
      <c r="E438" s="5"/>
      <c r="F438" s="5" t="s">
        <v>5442</v>
      </c>
      <c r="G438" s="5" t="s">
        <v>34</v>
      </c>
      <c r="H438" s="5" t="s">
        <v>54</v>
      </c>
      <c r="I438" s="5" t="s">
        <v>2350</v>
      </c>
      <c r="J438" s="5" t="s">
        <v>38</v>
      </c>
      <c r="K438" s="5" t="s">
        <v>38</v>
      </c>
      <c r="L438" s="5" t="s">
        <v>40</v>
      </c>
      <c r="M438" s="5" t="s">
        <v>38</v>
      </c>
      <c r="N438" s="5" t="s">
        <v>38</v>
      </c>
      <c r="O438" s="5" t="s">
        <v>40</v>
      </c>
      <c r="P438" s="5" t="s">
        <v>38</v>
      </c>
      <c r="Q438" s="5" t="s">
        <v>38</v>
      </c>
      <c r="R438" s="5" t="s">
        <v>40</v>
      </c>
      <c r="S438" s="5" t="s">
        <v>4783</v>
      </c>
      <c r="T438" s="5" t="s">
        <v>4565</v>
      </c>
      <c r="U438" s="5" t="s">
        <v>4566</v>
      </c>
      <c r="V438" s="5" t="s">
        <v>4556</v>
      </c>
      <c r="W438" s="5" t="s">
        <v>4567</v>
      </c>
      <c r="X438" s="5"/>
      <c r="Y438" s="5"/>
      <c r="Z438" s="5" t="s">
        <v>46</v>
      </c>
      <c r="AA438" s="5" t="s">
        <v>4589</v>
      </c>
      <c r="AB438" s="5"/>
      <c r="AC438" s="7">
        <v>1</v>
      </c>
      <c r="AD438" t="str">
        <f>VLOOKUP($T438,[1]NhanSu!$C$5:$M$229,11,0)</f>
        <v>SM0000165</v>
      </c>
    </row>
    <row r="439" spans="1:30" x14ac:dyDescent="0.45">
      <c r="A439" s="8" t="s">
        <v>4550</v>
      </c>
      <c r="B439" s="4">
        <v>273</v>
      </c>
      <c r="C439" s="4" t="s">
        <v>5443</v>
      </c>
      <c r="D439" s="4" t="s">
        <v>5022</v>
      </c>
      <c r="E439" s="4"/>
      <c r="F439" s="4" t="s">
        <v>417</v>
      </c>
      <c r="G439" s="4" t="s">
        <v>34</v>
      </c>
      <c r="H439" s="4" t="s">
        <v>214</v>
      </c>
      <c r="I439" s="4" t="s">
        <v>5444</v>
      </c>
      <c r="J439" s="4" t="s">
        <v>38</v>
      </c>
      <c r="K439" s="4" t="s">
        <v>38</v>
      </c>
      <c r="L439" s="4" t="s">
        <v>40</v>
      </c>
      <c r="M439" s="4" t="s">
        <v>38</v>
      </c>
      <c r="N439" s="4" t="s">
        <v>56</v>
      </c>
      <c r="O439" s="4" t="s">
        <v>39</v>
      </c>
      <c r="P439" s="4" t="s">
        <v>38</v>
      </c>
      <c r="Q439" s="4" t="s">
        <v>38</v>
      </c>
      <c r="R439" s="4" t="s">
        <v>40</v>
      </c>
      <c r="S439" s="4" t="s">
        <v>41</v>
      </c>
      <c r="T439" s="4" t="s">
        <v>4667</v>
      </c>
      <c r="U439" s="4" t="s">
        <v>4668</v>
      </c>
      <c r="V439" s="4" t="s">
        <v>4556</v>
      </c>
      <c r="W439" s="4" t="s">
        <v>4567</v>
      </c>
      <c r="X439" s="4"/>
      <c r="Y439" s="4"/>
      <c r="Z439" s="4" t="s">
        <v>46</v>
      </c>
      <c r="AA439" s="4" t="s">
        <v>4589</v>
      </c>
      <c r="AB439" s="4"/>
      <c r="AC439" s="9">
        <v>1</v>
      </c>
      <c r="AD439" t="str">
        <f>VLOOKUP($T439,[1]NhanSu!$C$5:$M$229,11,0)</f>
        <v>SM0000163</v>
      </c>
    </row>
    <row r="440" spans="1:30" x14ac:dyDescent="0.45">
      <c r="A440" s="6" t="s">
        <v>4550</v>
      </c>
      <c r="B440" s="5">
        <v>278</v>
      </c>
      <c r="C440" s="5" t="s">
        <v>5459</v>
      </c>
      <c r="D440" s="5" t="s">
        <v>2951</v>
      </c>
      <c r="E440" s="5"/>
      <c r="F440" s="5" t="s">
        <v>115</v>
      </c>
      <c r="G440" s="5" t="s">
        <v>34</v>
      </c>
      <c r="H440" s="5" t="s">
        <v>54</v>
      </c>
      <c r="I440" s="5" t="s">
        <v>4782</v>
      </c>
      <c r="J440" s="5" t="s">
        <v>38</v>
      </c>
      <c r="K440" s="5" t="s">
        <v>38</v>
      </c>
      <c r="L440" s="5" t="s">
        <v>40</v>
      </c>
      <c r="M440" s="5" t="s">
        <v>38</v>
      </c>
      <c r="N440" s="5" t="s">
        <v>38</v>
      </c>
      <c r="O440" s="5" t="s">
        <v>40</v>
      </c>
      <c r="P440" s="5" t="s">
        <v>38</v>
      </c>
      <c r="Q440" s="5" t="s">
        <v>38</v>
      </c>
      <c r="R440" s="5" t="s">
        <v>40</v>
      </c>
      <c r="S440" s="5" t="s">
        <v>5460</v>
      </c>
      <c r="T440" s="5" t="s">
        <v>4565</v>
      </c>
      <c r="U440" s="5" t="s">
        <v>4566</v>
      </c>
      <c r="V440" s="5" t="s">
        <v>4556</v>
      </c>
      <c r="W440" s="5" t="s">
        <v>4567</v>
      </c>
      <c r="X440" s="5"/>
      <c r="Y440" s="5"/>
      <c r="Z440" s="5" t="s">
        <v>46</v>
      </c>
      <c r="AA440" s="5" t="s">
        <v>4589</v>
      </c>
      <c r="AB440" s="5"/>
      <c r="AC440" s="7">
        <v>1</v>
      </c>
      <c r="AD440" t="str">
        <f>VLOOKUP($T440,[1]NhanSu!$C$5:$M$229,11,0)</f>
        <v>SM0000165</v>
      </c>
    </row>
    <row r="441" spans="1:30" x14ac:dyDescent="0.45">
      <c r="A441" s="8" t="s">
        <v>4550</v>
      </c>
      <c r="B441" s="4">
        <v>279</v>
      </c>
      <c r="C441" s="4" t="s">
        <v>5461</v>
      </c>
      <c r="D441" s="4" t="s">
        <v>5462</v>
      </c>
      <c r="E441" s="4"/>
      <c r="F441" s="4" t="s">
        <v>401</v>
      </c>
      <c r="G441" s="4" t="s">
        <v>34</v>
      </c>
      <c r="H441" s="4" t="s">
        <v>332</v>
      </c>
      <c r="I441" s="4" t="s">
        <v>5463</v>
      </c>
      <c r="J441" s="4" t="s">
        <v>38</v>
      </c>
      <c r="K441" s="4" t="s">
        <v>38</v>
      </c>
      <c r="L441" s="4" t="s">
        <v>40</v>
      </c>
      <c r="M441" s="4" t="s">
        <v>38</v>
      </c>
      <c r="N441" s="4" t="s">
        <v>775</v>
      </c>
      <c r="O441" s="4" t="s">
        <v>39</v>
      </c>
      <c r="P441" s="4" t="s">
        <v>38</v>
      </c>
      <c r="Q441" s="4" t="s">
        <v>38</v>
      </c>
      <c r="R441" s="4" t="s">
        <v>40</v>
      </c>
      <c r="S441" s="4" t="s">
        <v>41</v>
      </c>
      <c r="T441" s="4" t="s">
        <v>4667</v>
      </c>
      <c r="U441" s="4" t="s">
        <v>4668</v>
      </c>
      <c r="V441" s="4" t="s">
        <v>4556</v>
      </c>
      <c r="W441" s="4" t="s">
        <v>4567</v>
      </c>
      <c r="X441" s="4"/>
      <c r="Y441" s="4"/>
      <c r="Z441" s="4" t="s">
        <v>46</v>
      </c>
      <c r="AA441" s="4" t="s">
        <v>4589</v>
      </c>
      <c r="AB441" s="4"/>
      <c r="AC441" s="9">
        <v>1</v>
      </c>
      <c r="AD441" t="str">
        <f>VLOOKUP($T441,[1]NhanSu!$C$5:$M$229,11,0)</f>
        <v>SM0000163</v>
      </c>
    </row>
    <row r="442" spans="1:30" x14ac:dyDescent="0.45">
      <c r="A442" s="6" t="s">
        <v>4550</v>
      </c>
      <c r="B442" s="5">
        <v>280</v>
      </c>
      <c r="C442" s="5" t="s">
        <v>5464</v>
      </c>
      <c r="D442" s="5" t="s">
        <v>5465</v>
      </c>
      <c r="E442" s="5"/>
      <c r="F442" s="5" t="s">
        <v>53</v>
      </c>
      <c r="G442" s="5" t="s">
        <v>34</v>
      </c>
      <c r="H442" s="5" t="s">
        <v>54</v>
      </c>
      <c r="I442" s="5" t="s">
        <v>5466</v>
      </c>
      <c r="J442" s="5" t="s">
        <v>38</v>
      </c>
      <c r="K442" s="5" t="s">
        <v>38</v>
      </c>
      <c r="L442" s="5" t="s">
        <v>39</v>
      </c>
      <c r="M442" s="5" t="s">
        <v>38</v>
      </c>
      <c r="N442" s="5" t="s">
        <v>37</v>
      </c>
      <c r="O442" s="5" t="s">
        <v>39</v>
      </c>
      <c r="P442" s="5" t="s">
        <v>38</v>
      </c>
      <c r="Q442" s="5" t="s">
        <v>38</v>
      </c>
      <c r="R442" s="5" t="s">
        <v>40</v>
      </c>
      <c r="S442" s="5" t="s">
        <v>5467</v>
      </c>
      <c r="T442" s="5" t="s">
        <v>4801</v>
      </c>
      <c r="U442" s="5" t="s">
        <v>4802</v>
      </c>
      <c r="V442" s="5" t="s">
        <v>4556</v>
      </c>
      <c r="W442" s="5" t="s">
        <v>1457</v>
      </c>
      <c r="X442" s="5"/>
      <c r="Y442" s="5"/>
      <c r="Z442" s="5" t="s">
        <v>46</v>
      </c>
      <c r="AA442" s="5" t="s">
        <v>4589</v>
      </c>
      <c r="AB442" s="5"/>
      <c r="AC442" s="7">
        <v>1</v>
      </c>
      <c r="AD442" t="str">
        <f>VLOOKUP($T442,[1]NhanSu!$C$5:$M$229,11,0)</f>
        <v>SM0000178</v>
      </c>
    </row>
    <row r="443" spans="1:30" x14ac:dyDescent="0.45">
      <c r="A443" s="8" t="s">
        <v>4550</v>
      </c>
      <c r="B443" s="4">
        <v>282</v>
      </c>
      <c r="C443" s="4" t="s">
        <v>5471</v>
      </c>
      <c r="D443" s="4" t="s">
        <v>1749</v>
      </c>
      <c r="E443" s="4"/>
      <c r="F443" s="4" t="s">
        <v>1833</v>
      </c>
      <c r="G443" s="4" t="s">
        <v>34</v>
      </c>
      <c r="H443" s="4" t="s">
        <v>1184</v>
      </c>
      <c r="I443" s="4" t="s">
        <v>5472</v>
      </c>
      <c r="J443" s="4" t="s">
        <v>38</v>
      </c>
      <c r="K443" s="4" t="s">
        <v>38</v>
      </c>
      <c r="L443" s="4" t="s">
        <v>40</v>
      </c>
      <c r="M443" s="4" t="s">
        <v>38</v>
      </c>
      <c r="N443" s="4" t="s">
        <v>56</v>
      </c>
      <c r="O443" s="4" t="s">
        <v>39</v>
      </c>
      <c r="P443" s="4" t="s">
        <v>38</v>
      </c>
      <c r="Q443" s="4" t="s">
        <v>38</v>
      </c>
      <c r="R443" s="4" t="s">
        <v>40</v>
      </c>
      <c r="S443" s="4" t="s">
        <v>41</v>
      </c>
      <c r="T443" s="4" t="s">
        <v>4667</v>
      </c>
      <c r="U443" s="4" t="s">
        <v>4668</v>
      </c>
      <c r="V443" s="4" t="s">
        <v>4556</v>
      </c>
      <c r="W443" s="4" t="s">
        <v>4567</v>
      </c>
      <c r="X443" s="4"/>
      <c r="Y443" s="4"/>
      <c r="Z443" s="4" t="s">
        <v>46</v>
      </c>
      <c r="AA443" s="4" t="s">
        <v>4589</v>
      </c>
      <c r="AB443" s="4"/>
      <c r="AC443" s="9">
        <v>1</v>
      </c>
      <c r="AD443" t="str">
        <f>VLOOKUP($T443,[1]NhanSu!$C$5:$M$229,11,0)</f>
        <v>SM0000163</v>
      </c>
    </row>
    <row r="444" spans="1:30" x14ac:dyDescent="0.45">
      <c r="A444" s="6" t="s">
        <v>4550</v>
      </c>
      <c r="B444" s="5">
        <v>283</v>
      </c>
      <c r="C444" s="5" t="s">
        <v>5473</v>
      </c>
      <c r="D444" s="5" t="s">
        <v>5474</v>
      </c>
      <c r="E444" s="5"/>
      <c r="F444" s="5" t="s">
        <v>166</v>
      </c>
      <c r="G444" s="5" t="s">
        <v>34</v>
      </c>
      <c r="H444" s="5" t="s">
        <v>54</v>
      </c>
      <c r="I444" s="5" t="s">
        <v>5475</v>
      </c>
      <c r="J444" s="5" t="s">
        <v>38</v>
      </c>
      <c r="K444" s="5" t="s">
        <v>38</v>
      </c>
      <c r="L444" s="5" t="s">
        <v>40</v>
      </c>
      <c r="M444" s="5" t="s">
        <v>38</v>
      </c>
      <c r="N444" s="5" t="s">
        <v>38</v>
      </c>
      <c r="O444" s="5" t="s">
        <v>39</v>
      </c>
      <c r="P444" s="5" t="s">
        <v>38</v>
      </c>
      <c r="Q444" s="5" t="s">
        <v>38</v>
      </c>
      <c r="R444" s="5" t="s">
        <v>40</v>
      </c>
      <c r="S444" s="5" t="s">
        <v>627</v>
      </c>
      <c r="T444" s="5" t="s">
        <v>4565</v>
      </c>
      <c r="U444" s="5" t="s">
        <v>4566</v>
      </c>
      <c r="V444" s="5" t="s">
        <v>4556</v>
      </c>
      <c r="W444" s="5" t="s">
        <v>4567</v>
      </c>
      <c r="X444" s="5"/>
      <c r="Y444" s="5"/>
      <c r="Z444" s="5" t="s">
        <v>46</v>
      </c>
      <c r="AA444" s="5" t="s">
        <v>4589</v>
      </c>
      <c r="AB444" s="5"/>
      <c r="AC444" s="7">
        <v>1</v>
      </c>
      <c r="AD444" t="str">
        <f>VLOOKUP($T444,[1]NhanSu!$C$5:$M$229,11,0)</f>
        <v>SM0000165</v>
      </c>
    </row>
    <row r="445" spans="1:30" x14ac:dyDescent="0.45">
      <c r="A445" s="8" t="s">
        <v>4550</v>
      </c>
      <c r="B445" s="4">
        <v>288</v>
      </c>
      <c r="C445" s="4" t="s">
        <v>5488</v>
      </c>
      <c r="D445" s="4" t="s">
        <v>5489</v>
      </c>
      <c r="E445" s="4"/>
      <c r="F445" s="4" t="s">
        <v>53</v>
      </c>
      <c r="G445" s="4" t="s">
        <v>177</v>
      </c>
      <c r="H445" s="4" t="s">
        <v>54</v>
      </c>
      <c r="I445" s="4" t="s">
        <v>5490</v>
      </c>
      <c r="J445" s="4" t="s">
        <v>38</v>
      </c>
      <c r="K445" s="4" t="s">
        <v>38</v>
      </c>
      <c r="L445" s="4" t="s">
        <v>40</v>
      </c>
      <c r="M445" s="4" t="s">
        <v>37</v>
      </c>
      <c r="N445" s="4" t="s">
        <v>37</v>
      </c>
      <c r="O445" s="4" t="s">
        <v>39</v>
      </c>
      <c r="P445" s="4" t="s">
        <v>38</v>
      </c>
      <c r="Q445" s="4" t="s">
        <v>38</v>
      </c>
      <c r="R445" s="4" t="s">
        <v>40</v>
      </c>
      <c r="S445" s="4" t="s">
        <v>41</v>
      </c>
      <c r="T445" s="4" t="s">
        <v>4601</v>
      </c>
      <c r="U445" s="4" t="s">
        <v>4602</v>
      </c>
      <c r="V445" s="4" t="s">
        <v>4556</v>
      </c>
      <c r="W445" s="4" t="s">
        <v>4603</v>
      </c>
      <c r="X445" s="4"/>
      <c r="Y445" s="4"/>
      <c r="Z445" s="4" t="s">
        <v>46</v>
      </c>
      <c r="AA445" s="4" t="s">
        <v>4589</v>
      </c>
      <c r="AB445" s="4"/>
      <c r="AC445" s="9">
        <v>1</v>
      </c>
      <c r="AD445" t="str">
        <f>VLOOKUP($T445,[1]NhanSu!$C$5:$M$229,11,0)</f>
        <v>SM0000036</v>
      </c>
    </row>
    <row r="446" spans="1:30" x14ac:dyDescent="0.45">
      <c r="A446" s="6" t="s">
        <v>4550</v>
      </c>
      <c r="B446" s="5">
        <v>290</v>
      </c>
      <c r="C446" s="5" t="s">
        <v>5493</v>
      </c>
      <c r="D446" s="5" t="s">
        <v>5494</v>
      </c>
      <c r="E446" s="5"/>
      <c r="F446" s="5" t="s">
        <v>2365</v>
      </c>
      <c r="G446" s="5" t="s">
        <v>177</v>
      </c>
      <c r="H446" s="5" t="s">
        <v>4115</v>
      </c>
      <c r="I446" s="5" t="s">
        <v>5495</v>
      </c>
      <c r="J446" s="5" t="s">
        <v>38</v>
      </c>
      <c r="K446" s="5" t="s">
        <v>38</v>
      </c>
      <c r="L446" s="5" t="s">
        <v>39</v>
      </c>
      <c r="M446" s="5" t="s">
        <v>37</v>
      </c>
      <c r="N446" s="5" t="s">
        <v>37</v>
      </c>
      <c r="O446" s="5" t="s">
        <v>39</v>
      </c>
      <c r="P446" s="5" t="s">
        <v>38</v>
      </c>
      <c r="Q446" s="5" t="s">
        <v>38</v>
      </c>
      <c r="R446" s="5" t="s">
        <v>39</v>
      </c>
      <c r="S446" s="5" t="s">
        <v>41</v>
      </c>
      <c r="T446" s="5" t="s">
        <v>4601</v>
      </c>
      <c r="U446" s="5" t="s">
        <v>4602</v>
      </c>
      <c r="V446" s="5" t="s">
        <v>4556</v>
      </c>
      <c r="W446" s="5" t="s">
        <v>4603</v>
      </c>
      <c r="X446" s="5"/>
      <c r="Y446" s="5"/>
      <c r="Z446" s="5" t="s">
        <v>46</v>
      </c>
      <c r="AA446" s="5" t="s">
        <v>4589</v>
      </c>
      <c r="AB446" s="5"/>
      <c r="AC446" s="7">
        <v>1</v>
      </c>
      <c r="AD446" t="str">
        <f>VLOOKUP($T446,[1]NhanSu!$C$5:$M$229,11,0)</f>
        <v>SM0000036</v>
      </c>
    </row>
    <row r="447" spans="1:30" x14ac:dyDescent="0.45">
      <c r="A447" s="8" t="s">
        <v>4550</v>
      </c>
      <c r="B447" s="4">
        <v>294</v>
      </c>
      <c r="C447" s="4" t="s">
        <v>5507</v>
      </c>
      <c r="D447" s="4" t="s">
        <v>5508</v>
      </c>
      <c r="E447" s="4"/>
      <c r="F447" s="4" t="s">
        <v>331</v>
      </c>
      <c r="G447" s="4" t="s">
        <v>34</v>
      </c>
      <c r="H447" s="4" t="s">
        <v>54</v>
      </c>
      <c r="I447" s="4" t="s">
        <v>1845</v>
      </c>
      <c r="J447" s="4" t="s">
        <v>38</v>
      </c>
      <c r="K447" s="4" t="s">
        <v>38</v>
      </c>
      <c r="L447" s="4" t="s">
        <v>40</v>
      </c>
      <c r="M447" s="4" t="s">
        <v>38</v>
      </c>
      <c r="N447" s="4" t="s">
        <v>38</v>
      </c>
      <c r="O447" s="4" t="s">
        <v>39</v>
      </c>
      <c r="P447" s="4" t="s">
        <v>38</v>
      </c>
      <c r="Q447" s="4" t="s">
        <v>38</v>
      </c>
      <c r="R447" s="4" t="s">
        <v>40</v>
      </c>
      <c r="S447" s="4" t="s">
        <v>41</v>
      </c>
      <c r="T447" s="4" t="s">
        <v>4565</v>
      </c>
      <c r="U447" s="4" t="s">
        <v>4566</v>
      </c>
      <c r="V447" s="4" t="s">
        <v>4556</v>
      </c>
      <c r="W447" s="4" t="s">
        <v>4567</v>
      </c>
      <c r="X447" s="4"/>
      <c r="Y447" s="4"/>
      <c r="Z447" s="4" t="s">
        <v>46</v>
      </c>
      <c r="AA447" s="4" t="s">
        <v>4589</v>
      </c>
      <c r="AB447" s="4"/>
      <c r="AC447" s="9">
        <v>1</v>
      </c>
      <c r="AD447" t="str">
        <f>VLOOKUP($T447,[1]NhanSu!$C$5:$M$229,11,0)</f>
        <v>SM0000165</v>
      </c>
    </row>
    <row r="448" spans="1:30" x14ac:dyDescent="0.45">
      <c r="A448" s="6" t="s">
        <v>4550</v>
      </c>
      <c r="B448" s="5">
        <v>295</v>
      </c>
      <c r="C448" s="5" t="s">
        <v>5509</v>
      </c>
      <c r="D448" s="5" t="s">
        <v>5510</v>
      </c>
      <c r="E448" s="5"/>
      <c r="F448" s="5" t="s">
        <v>417</v>
      </c>
      <c r="G448" s="5" t="s">
        <v>34</v>
      </c>
      <c r="H448" s="5" t="s">
        <v>214</v>
      </c>
      <c r="I448" s="5" t="s">
        <v>5511</v>
      </c>
      <c r="J448" s="5" t="s">
        <v>38</v>
      </c>
      <c r="K448" s="5" t="s">
        <v>38</v>
      </c>
      <c r="L448" s="5" t="s">
        <v>40</v>
      </c>
      <c r="M448" s="5" t="s">
        <v>38</v>
      </c>
      <c r="N448" s="5" t="s">
        <v>775</v>
      </c>
      <c r="O448" s="5" t="s">
        <v>39</v>
      </c>
      <c r="P448" s="5" t="s">
        <v>38</v>
      </c>
      <c r="Q448" s="5" t="s">
        <v>38</v>
      </c>
      <c r="R448" s="5" t="s">
        <v>40</v>
      </c>
      <c r="S448" s="5" t="s">
        <v>41</v>
      </c>
      <c r="T448" s="5" t="s">
        <v>4667</v>
      </c>
      <c r="U448" s="5" t="s">
        <v>4668</v>
      </c>
      <c r="V448" s="5" t="s">
        <v>4556</v>
      </c>
      <c r="W448" s="5" t="s">
        <v>4567</v>
      </c>
      <c r="X448" s="5"/>
      <c r="Y448" s="5"/>
      <c r="Z448" s="5" t="s">
        <v>46</v>
      </c>
      <c r="AA448" s="5" t="s">
        <v>4589</v>
      </c>
      <c r="AB448" s="5"/>
      <c r="AC448" s="7">
        <v>1</v>
      </c>
      <c r="AD448" t="str">
        <f>VLOOKUP($T448,[1]NhanSu!$C$5:$M$229,11,0)</f>
        <v>SM0000163</v>
      </c>
    </row>
    <row r="449" spans="1:30" x14ac:dyDescent="0.45">
      <c r="A449" s="8" t="s">
        <v>4550</v>
      </c>
      <c r="B449" s="4">
        <v>302</v>
      </c>
      <c r="C449" s="4" t="s">
        <v>5531</v>
      </c>
      <c r="D449" s="4" t="s">
        <v>5532</v>
      </c>
      <c r="E449" s="4"/>
      <c r="F449" s="4" t="s">
        <v>115</v>
      </c>
      <c r="G449" s="4" t="s">
        <v>34</v>
      </c>
      <c r="H449" s="4" t="s">
        <v>171</v>
      </c>
      <c r="I449" s="4" t="s">
        <v>5533</v>
      </c>
      <c r="J449" s="4" t="s">
        <v>38</v>
      </c>
      <c r="K449" s="4" t="s">
        <v>37</v>
      </c>
      <c r="L449" s="4" t="s">
        <v>40</v>
      </c>
      <c r="M449" s="4" t="s">
        <v>56</v>
      </c>
      <c r="N449" s="4" t="s">
        <v>56</v>
      </c>
      <c r="O449" s="4" t="s">
        <v>39</v>
      </c>
      <c r="P449" s="4" t="s">
        <v>38</v>
      </c>
      <c r="Q449" s="4" t="s">
        <v>38</v>
      </c>
      <c r="R449" s="4" t="s">
        <v>39</v>
      </c>
      <c r="S449" s="4" t="s">
        <v>41</v>
      </c>
      <c r="T449" s="4" t="s">
        <v>4737</v>
      </c>
      <c r="U449" s="4" t="s">
        <v>4738</v>
      </c>
      <c r="V449" s="4" t="s">
        <v>4556</v>
      </c>
      <c r="W449" s="4" t="s">
        <v>1457</v>
      </c>
      <c r="X449" s="4"/>
      <c r="Y449" s="4"/>
      <c r="Z449" s="4" t="s">
        <v>46</v>
      </c>
      <c r="AA449" s="4" t="s">
        <v>4575</v>
      </c>
      <c r="AB449" s="4"/>
      <c r="AC449" s="9">
        <v>1</v>
      </c>
      <c r="AD449" t="str">
        <f>VLOOKUP($T449,[1]NhanSu!$C$5:$M$229,11,0)</f>
        <v>SM0000158</v>
      </c>
    </row>
    <row r="450" spans="1:30" x14ac:dyDescent="0.45">
      <c r="A450" s="6" t="s">
        <v>4550</v>
      </c>
      <c r="B450" s="5">
        <v>309</v>
      </c>
      <c r="C450" s="5" t="s">
        <v>5555</v>
      </c>
      <c r="D450" s="5" t="s">
        <v>5556</v>
      </c>
      <c r="E450" s="5"/>
      <c r="F450" s="5" t="s">
        <v>1471</v>
      </c>
      <c r="G450" s="5" t="s">
        <v>150</v>
      </c>
      <c r="H450" s="5" t="s">
        <v>214</v>
      </c>
      <c r="I450" s="5" t="s">
        <v>5557</v>
      </c>
      <c r="J450" s="5" t="s">
        <v>38</v>
      </c>
      <c r="K450" s="5" t="s">
        <v>38</v>
      </c>
      <c r="L450" s="5" t="s">
        <v>40</v>
      </c>
      <c r="M450" s="5" t="s">
        <v>38</v>
      </c>
      <c r="N450" s="5" t="s">
        <v>38</v>
      </c>
      <c r="O450" s="5" t="s">
        <v>40</v>
      </c>
      <c r="P450" s="5" t="s">
        <v>38</v>
      </c>
      <c r="Q450" s="5" t="s">
        <v>38</v>
      </c>
      <c r="R450" s="5" t="s">
        <v>40</v>
      </c>
      <c r="S450" s="5" t="s">
        <v>41</v>
      </c>
      <c r="T450" s="5" t="s">
        <v>4565</v>
      </c>
      <c r="U450" s="5" t="s">
        <v>4566</v>
      </c>
      <c r="V450" s="5" t="s">
        <v>4556</v>
      </c>
      <c r="W450" s="5" t="s">
        <v>4567</v>
      </c>
      <c r="X450" s="5"/>
      <c r="Y450" s="5"/>
      <c r="Z450" s="5" t="s">
        <v>46</v>
      </c>
      <c r="AA450" s="5" t="s">
        <v>4575</v>
      </c>
      <c r="AB450" s="5"/>
      <c r="AC450" s="7">
        <v>1</v>
      </c>
      <c r="AD450" t="str">
        <f>VLOOKUP($T450,[1]NhanSu!$C$5:$M$229,11,0)</f>
        <v>SM0000165</v>
      </c>
    </row>
    <row r="451" spans="1:30" x14ac:dyDescent="0.45">
      <c r="A451" s="8" t="s">
        <v>5558</v>
      </c>
      <c r="B451" s="4">
        <v>111</v>
      </c>
      <c r="C451" s="4" t="s">
        <v>5559</v>
      </c>
      <c r="D451" s="4" t="s">
        <v>5560</v>
      </c>
      <c r="E451" s="4" t="s">
        <v>657</v>
      </c>
      <c r="F451" s="4" t="s">
        <v>70</v>
      </c>
      <c r="G451" s="4" t="s">
        <v>34</v>
      </c>
      <c r="H451" s="4" t="s">
        <v>171</v>
      </c>
      <c r="I451" s="4" t="s">
        <v>5561</v>
      </c>
      <c r="J451" s="4" t="s">
        <v>1034</v>
      </c>
      <c r="K451" s="4" t="s">
        <v>775</v>
      </c>
      <c r="L451" s="4" t="s">
        <v>39</v>
      </c>
      <c r="M451" s="4" t="s">
        <v>775</v>
      </c>
      <c r="N451" s="4" t="s">
        <v>56</v>
      </c>
      <c r="O451" s="4" t="s">
        <v>39</v>
      </c>
      <c r="P451" s="4" t="s">
        <v>37</v>
      </c>
      <c r="Q451" s="4" t="s">
        <v>775</v>
      </c>
      <c r="R451" s="4" t="s">
        <v>39</v>
      </c>
      <c r="S451" s="4" t="s">
        <v>41</v>
      </c>
      <c r="T451" s="4" t="s">
        <v>5562</v>
      </c>
      <c r="U451" s="4" t="s">
        <v>5563</v>
      </c>
      <c r="V451" s="4" t="s">
        <v>5564</v>
      </c>
      <c r="W451" s="4" t="s">
        <v>5565</v>
      </c>
      <c r="X451" s="4"/>
      <c r="Y451" s="4"/>
      <c r="Z451" s="4" t="s">
        <v>46</v>
      </c>
      <c r="AA451" s="4" t="s">
        <v>5566</v>
      </c>
      <c r="AB451" s="4" t="s">
        <v>3109</v>
      </c>
      <c r="AC451" s="9">
        <v>1</v>
      </c>
      <c r="AD451" t="str">
        <f>VLOOKUP($T451,[1]NhanSu!$C$5:$M$229,11,0)</f>
        <v>SM0000120</v>
      </c>
    </row>
    <row r="452" spans="1:30" x14ac:dyDescent="0.45">
      <c r="A452" s="6" t="s">
        <v>5558</v>
      </c>
      <c r="B452" s="5">
        <v>330</v>
      </c>
      <c r="C452" s="5" t="s">
        <v>5567</v>
      </c>
      <c r="D452" s="5" t="s">
        <v>5568</v>
      </c>
      <c r="E452" s="5" t="s">
        <v>32</v>
      </c>
      <c r="F452" s="5" t="s">
        <v>5569</v>
      </c>
      <c r="G452" s="5" t="s">
        <v>34</v>
      </c>
      <c r="H452" s="5" t="s">
        <v>2952</v>
      </c>
      <c r="I452" s="5" t="s">
        <v>5570</v>
      </c>
      <c r="J452" s="5" t="s">
        <v>775</v>
      </c>
      <c r="K452" s="5" t="s">
        <v>1034</v>
      </c>
      <c r="L452" s="5" t="s">
        <v>39</v>
      </c>
      <c r="M452" s="5" t="s">
        <v>775</v>
      </c>
      <c r="N452" s="5" t="s">
        <v>775</v>
      </c>
      <c r="O452" s="5" t="s">
        <v>39</v>
      </c>
      <c r="P452" s="5" t="s">
        <v>1034</v>
      </c>
      <c r="Q452" s="5" t="s">
        <v>1034</v>
      </c>
      <c r="R452" s="5" t="s">
        <v>39</v>
      </c>
      <c r="S452" s="5" t="s">
        <v>41</v>
      </c>
      <c r="T452" s="5" t="s">
        <v>5562</v>
      </c>
      <c r="U452" s="5" t="s">
        <v>5563</v>
      </c>
      <c r="V452" s="5" t="s">
        <v>5564</v>
      </c>
      <c r="W452" s="5" t="s">
        <v>5565</v>
      </c>
      <c r="X452" s="5"/>
      <c r="Y452" s="5"/>
      <c r="Z452" s="5" t="s">
        <v>46</v>
      </c>
      <c r="AA452" s="5" t="s">
        <v>5566</v>
      </c>
      <c r="AB452" s="5"/>
      <c r="AC452" s="7">
        <v>1</v>
      </c>
      <c r="AD452" t="str">
        <f>VLOOKUP($T452,[1]NhanSu!$C$5:$M$229,11,0)</f>
        <v>SM0000120</v>
      </c>
    </row>
    <row r="453" spans="1:30" x14ac:dyDescent="0.45">
      <c r="A453" s="8" t="s">
        <v>5558</v>
      </c>
      <c r="B453" s="4">
        <v>566</v>
      </c>
      <c r="C453" s="4" t="s">
        <v>5571</v>
      </c>
      <c r="D453" s="4" t="s">
        <v>5572</v>
      </c>
      <c r="E453" s="4" t="s">
        <v>355</v>
      </c>
      <c r="F453" s="4" t="s">
        <v>5573</v>
      </c>
      <c r="G453" s="4" t="s">
        <v>34</v>
      </c>
      <c r="H453" s="4" t="s">
        <v>2952</v>
      </c>
      <c r="I453" s="4"/>
      <c r="J453" s="4" t="s">
        <v>775</v>
      </c>
      <c r="K453" s="4" t="s">
        <v>1034</v>
      </c>
      <c r="L453" s="4" t="s">
        <v>40</v>
      </c>
      <c r="M453" s="4" t="s">
        <v>56</v>
      </c>
      <c r="N453" s="4" t="s">
        <v>56</v>
      </c>
      <c r="O453" s="4" t="s">
        <v>39</v>
      </c>
      <c r="P453" s="4" t="s">
        <v>1034</v>
      </c>
      <c r="Q453" s="4" t="s">
        <v>1034</v>
      </c>
      <c r="R453" s="4" t="s">
        <v>40</v>
      </c>
      <c r="S453" s="4" t="s">
        <v>41</v>
      </c>
      <c r="T453" s="4" t="s">
        <v>5562</v>
      </c>
      <c r="U453" s="4" t="s">
        <v>5563</v>
      </c>
      <c r="V453" s="4" t="s">
        <v>5564</v>
      </c>
      <c r="W453" s="4" t="s">
        <v>5565</v>
      </c>
      <c r="X453" s="4"/>
      <c r="Y453" s="4"/>
      <c r="Z453" s="4" t="s">
        <v>46</v>
      </c>
      <c r="AA453" s="4" t="s">
        <v>5566</v>
      </c>
      <c r="AB453" s="4" t="s">
        <v>4223</v>
      </c>
      <c r="AC453" s="9">
        <v>1</v>
      </c>
      <c r="AD453" t="str">
        <f>VLOOKUP($T453,[1]NhanSu!$C$5:$M$229,11,0)</f>
        <v>SM0000120</v>
      </c>
    </row>
    <row r="454" spans="1:30" x14ac:dyDescent="0.45">
      <c r="A454" s="6" t="s">
        <v>5558</v>
      </c>
      <c r="B454" s="5">
        <v>1917</v>
      </c>
      <c r="C454" s="5" t="s">
        <v>5574</v>
      </c>
      <c r="D454" s="5" t="s">
        <v>5575</v>
      </c>
      <c r="E454" s="5" t="s">
        <v>1610</v>
      </c>
      <c r="F454" s="5" t="s">
        <v>1871</v>
      </c>
      <c r="G454" s="5" t="s">
        <v>34</v>
      </c>
      <c r="H454" s="5" t="s">
        <v>2170</v>
      </c>
      <c r="I454" s="5" t="s">
        <v>5576</v>
      </c>
      <c r="J454" s="5" t="s">
        <v>38</v>
      </c>
      <c r="K454" s="5" t="s">
        <v>38</v>
      </c>
      <c r="L454" s="5" t="s">
        <v>40</v>
      </c>
      <c r="M454" s="5" t="s">
        <v>38</v>
      </c>
      <c r="N454" s="5" t="s">
        <v>38</v>
      </c>
      <c r="O454" s="5" t="s">
        <v>40</v>
      </c>
      <c r="P454" s="5" t="s">
        <v>38</v>
      </c>
      <c r="Q454" s="5" t="s">
        <v>38</v>
      </c>
      <c r="R454" s="5" t="s">
        <v>40</v>
      </c>
      <c r="S454" s="5" t="s">
        <v>41</v>
      </c>
      <c r="T454" s="5" t="s">
        <v>5577</v>
      </c>
      <c r="U454" s="5" t="s">
        <v>5563</v>
      </c>
      <c r="V454" s="5" t="s">
        <v>5564</v>
      </c>
      <c r="W454" s="5" t="s">
        <v>5565</v>
      </c>
      <c r="X454" s="5"/>
      <c r="Y454" s="5"/>
      <c r="Z454" s="5" t="s">
        <v>46</v>
      </c>
      <c r="AA454" s="5" t="s">
        <v>5566</v>
      </c>
      <c r="AB454" s="5"/>
      <c r="AC454" s="7">
        <v>1</v>
      </c>
      <c r="AD454" t="str">
        <f>VLOOKUP($T454,[1]NhanSu!$C$5:$M$229,11,0)</f>
        <v>SM0000121</v>
      </c>
    </row>
    <row r="455" spans="1:30" x14ac:dyDescent="0.45">
      <c r="A455" s="8" t="s">
        <v>5578</v>
      </c>
      <c r="B455" s="4">
        <v>11</v>
      </c>
      <c r="C455" s="4" t="s">
        <v>5579</v>
      </c>
      <c r="D455" s="4" t="s">
        <v>5580</v>
      </c>
      <c r="E455" s="4" t="s">
        <v>5581</v>
      </c>
      <c r="F455" s="4" t="s">
        <v>5582</v>
      </c>
      <c r="G455" s="4" t="s">
        <v>34</v>
      </c>
      <c r="H455" s="4" t="s">
        <v>345</v>
      </c>
      <c r="I455" s="4" t="s">
        <v>5583</v>
      </c>
      <c r="J455" s="4" t="s">
        <v>38</v>
      </c>
      <c r="K455" s="4" t="s">
        <v>38</v>
      </c>
      <c r="L455" s="4" t="s">
        <v>40</v>
      </c>
      <c r="M455" s="4" t="s">
        <v>38</v>
      </c>
      <c r="N455" s="4" t="s">
        <v>38</v>
      </c>
      <c r="O455" s="4" t="s">
        <v>40</v>
      </c>
      <c r="P455" s="4" t="s">
        <v>38</v>
      </c>
      <c r="Q455" s="4" t="s">
        <v>38</v>
      </c>
      <c r="R455" s="4" t="s">
        <v>40</v>
      </c>
      <c r="S455" s="4" t="s">
        <v>41</v>
      </c>
      <c r="T455" s="4" t="s">
        <v>5584</v>
      </c>
      <c r="U455" s="4" t="s">
        <v>5585</v>
      </c>
      <c r="V455" s="4" t="s">
        <v>5586</v>
      </c>
      <c r="W455" s="4" t="s">
        <v>5587</v>
      </c>
      <c r="X455" s="4"/>
      <c r="Y455" s="4"/>
      <c r="Z455" s="4" t="s">
        <v>46</v>
      </c>
      <c r="AA455" s="4" t="s">
        <v>5588</v>
      </c>
      <c r="AB455" s="4" t="s">
        <v>4223</v>
      </c>
      <c r="AC455" s="9">
        <v>1</v>
      </c>
      <c r="AD455" t="str">
        <f>VLOOKUP($T455,[1]NhanSu!$C$5:$M$229,11,0)</f>
        <v>SM0000132</v>
      </c>
    </row>
    <row r="456" spans="1:30" x14ac:dyDescent="0.45">
      <c r="A456" s="6" t="s">
        <v>5578</v>
      </c>
      <c r="B456" s="5">
        <v>16</v>
      </c>
      <c r="C456" s="5" t="s">
        <v>5589</v>
      </c>
      <c r="D456" s="5" t="s">
        <v>5590</v>
      </c>
      <c r="E456" s="5" t="s">
        <v>5591</v>
      </c>
      <c r="F456" s="5" t="s">
        <v>2682</v>
      </c>
      <c r="G456" s="5" t="s">
        <v>34</v>
      </c>
      <c r="H456" s="5" t="s">
        <v>658</v>
      </c>
      <c r="I456" s="5" t="s">
        <v>5592</v>
      </c>
      <c r="J456" s="5" t="s">
        <v>38</v>
      </c>
      <c r="K456" s="5" t="s">
        <v>38</v>
      </c>
      <c r="L456" s="5" t="s">
        <v>40</v>
      </c>
      <c r="M456" s="5" t="s">
        <v>56</v>
      </c>
      <c r="N456" s="5" t="s">
        <v>56</v>
      </c>
      <c r="O456" s="5" t="s">
        <v>40</v>
      </c>
      <c r="P456" s="5" t="s">
        <v>38</v>
      </c>
      <c r="Q456" s="5" t="s">
        <v>38</v>
      </c>
      <c r="R456" s="5" t="s">
        <v>40</v>
      </c>
      <c r="S456" s="5" t="s">
        <v>41</v>
      </c>
      <c r="T456" s="5" t="s">
        <v>5584</v>
      </c>
      <c r="U456" s="5" t="s">
        <v>5585</v>
      </c>
      <c r="V456" s="5" t="s">
        <v>5586</v>
      </c>
      <c r="W456" s="5" t="s">
        <v>5587</v>
      </c>
      <c r="X456" s="5"/>
      <c r="Y456" s="5"/>
      <c r="Z456" s="5" t="s">
        <v>46</v>
      </c>
      <c r="AA456" s="5" t="s">
        <v>5588</v>
      </c>
      <c r="AB456" s="5" t="s">
        <v>3109</v>
      </c>
      <c r="AC456" s="7">
        <v>1</v>
      </c>
      <c r="AD456" t="str">
        <f>VLOOKUP($T456,[1]NhanSu!$C$5:$M$229,11,0)</f>
        <v>SM0000132</v>
      </c>
    </row>
    <row r="457" spans="1:30" x14ac:dyDescent="0.45">
      <c r="A457" s="8" t="s">
        <v>5578</v>
      </c>
      <c r="B457" s="4">
        <v>28</v>
      </c>
      <c r="C457" s="4" t="s">
        <v>5593</v>
      </c>
      <c r="D457" s="4" t="s">
        <v>4796</v>
      </c>
      <c r="E457" s="4" t="s">
        <v>455</v>
      </c>
      <c r="F457" s="4" t="s">
        <v>5594</v>
      </c>
      <c r="G457" s="4" t="s">
        <v>177</v>
      </c>
      <c r="H457" s="4" t="s">
        <v>54</v>
      </c>
      <c r="I457" s="4" t="s">
        <v>5595</v>
      </c>
      <c r="J457" s="4" t="s">
        <v>38</v>
      </c>
      <c r="K457" s="4" t="s">
        <v>38</v>
      </c>
      <c r="L457" s="4" t="s">
        <v>39</v>
      </c>
      <c r="M457" s="4" t="s">
        <v>38</v>
      </c>
      <c r="N457" s="4" t="s">
        <v>38</v>
      </c>
      <c r="O457" s="4" t="s">
        <v>39</v>
      </c>
      <c r="P457" s="4" t="s">
        <v>38</v>
      </c>
      <c r="Q457" s="4" t="s">
        <v>38</v>
      </c>
      <c r="R457" s="4" t="s">
        <v>39</v>
      </c>
      <c r="S457" s="4" t="s">
        <v>41</v>
      </c>
      <c r="T457" s="4" t="s">
        <v>5596</v>
      </c>
      <c r="U457" s="4" t="s">
        <v>5597</v>
      </c>
      <c r="V457" s="4" t="s">
        <v>5586</v>
      </c>
      <c r="W457" s="4" t="s">
        <v>5598</v>
      </c>
      <c r="X457" s="4"/>
      <c r="Y457" s="4"/>
      <c r="Z457" s="4" t="s">
        <v>46</v>
      </c>
      <c r="AA457" s="4" t="s">
        <v>5599</v>
      </c>
      <c r="AB457" s="4" t="s">
        <v>4223</v>
      </c>
      <c r="AC457" s="9">
        <v>1</v>
      </c>
      <c r="AD457" t="str">
        <f>VLOOKUP($T457,[1]NhanSu!$C$5:$M$229,11,0)</f>
        <v>SM0000129</v>
      </c>
    </row>
    <row r="458" spans="1:30" x14ac:dyDescent="0.45">
      <c r="A458" s="6" t="s">
        <v>5578</v>
      </c>
      <c r="B458" s="5">
        <v>39</v>
      </c>
      <c r="C458" s="5" t="s">
        <v>5611</v>
      </c>
      <c r="D458" s="5" t="s">
        <v>5612</v>
      </c>
      <c r="E458" s="5" t="s">
        <v>529</v>
      </c>
      <c r="F458" s="5" t="s">
        <v>53</v>
      </c>
      <c r="G458" s="5" t="s">
        <v>34</v>
      </c>
      <c r="H458" s="5" t="s">
        <v>1199</v>
      </c>
      <c r="I458" s="5" t="s">
        <v>5613</v>
      </c>
      <c r="J458" s="5" t="s">
        <v>38</v>
      </c>
      <c r="K458" s="5" t="s">
        <v>38</v>
      </c>
      <c r="L458" s="5" t="s">
        <v>40</v>
      </c>
      <c r="M458" s="5" t="s">
        <v>38</v>
      </c>
      <c r="N458" s="5" t="s">
        <v>38</v>
      </c>
      <c r="O458" s="5" t="s">
        <v>40</v>
      </c>
      <c r="P458" s="5" t="s">
        <v>38</v>
      </c>
      <c r="Q458" s="5" t="s">
        <v>38</v>
      </c>
      <c r="R458" s="5" t="s">
        <v>40</v>
      </c>
      <c r="S458" s="5" t="s">
        <v>41</v>
      </c>
      <c r="T458" s="5" t="s">
        <v>5614</v>
      </c>
      <c r="U458" s="5" t="s">
        <v>5585</v>
      </c>
      <c r="V458" s="5" t="s">
        <v>5586</v>
      </c>
      <c r="W458" s="5" t="s">
        <v>5587</v>
      </c>
      <c r="X458" s="5"/>
      <c r="Y458" s="5"/>
      <c r="Z458" s="5" t="s">
        <v>46</v>
      </c>
      <c r="AA458" s="5" t="s">
        <v>5588</v>
      </c>
      <c r="AB458" s="5" t="s">
        <v>3109</v>
      </c>
      <c r="AC458" s="7">
        <v>1</v>
      </c>
      <c r="AD458" t="str">
        <f>VLOOKUP($T458,[1]NhanSu!$C$5:$M$229,11,0)</f>
        <v>SM0000119</v>
      </c>
    </row>
    <row r="459" spans="1:30" x14ac:dyDescent="0.45">
      <c r="A459" s="8" t="s">
        <v>5578</v>
      </c>
      <c r="B459" s="4">
        <v>73</v>
      </c>
      <c r="C459" s="4" t="s">
        <v>5637</v>
      </c>
      <c r="D459" s="4" t="s">
        <v>5638</v>
      </c>
      <c r="E459" s="4" t="s">
        <v>98</v>
      </c>
      <c r="F459" s="4" t="s">
        <v>53</v>
      </c>
      <c r="G459" s="4" t="s">
        <v>34</v>
      </c>
      <c r="H459" s="4" t="s">
        <v>525</v>
      </c>
      <c r="I459" s="4"/>
      <c r="J459" s="4" t="s">
        <v>38</v>
      </c>
      <c r="K459" s="4" t="s">
        <v>38</v>
      </c>
      <c r="L459" s="4" t="s">
        <v>39</v>
      </c>
      <c r="M459" s="4" t="s">
        <v>38</v>
      </c>
      <c r="N459" s="4" t="s">
        <v>38</v>
      </c>
      <c r="O459" s="4" t="s">
        <v>39</v>
      </c>
      <c r="P459" s="4" t="s">
        <v>38</v>
      </c>
      <c r="Q459" s="4" t="s">
        <v>38</v>
      </c>
      <c r="R459" s="4" t="s">
        <v>39</v>
      </c>
      <c r="S459" s="4" t="s">
        <v>41</v>
      </c>
      <c r="T459" s="4" t="s">
        <v>5639</v>
      </c>
      <c r="U459" s="4" t="s">
        <v>5640</v>
      </c>
      <c r="V459" s="4" t="s">
        <v>5586</v>
      </c>
      <c r="W459" s="4" t="s">
        <v>5565</v>
      </c>
      <c r="X459" s="4"/>
      <c r="Y459" s="4"/>
      <c r="Z459" s="4" t="s">
        <v>46</v>
      </c>
      <c r="AA459" s="4" t="s">
        <v>5588</v>
      </c>
      <c r="AB459" s="4" t="s">
        <v>3109</v>
      </c>
      <c r="AC459" s="9">
        <v>1</v>
      </c>
      <c r="AD459" t="str">
        <f>VLOOKUP($T459,[1]NhanSu!$C$5:$M$229,11,0)</f>
        <v>SM0000175</v>
      </c>
    </row>
    <row r="460" spans="1:30" x14ac:dyDescent="0.45">
      <c r="A460" s="6" t="s">
        <v>5578</v>
      </c>
      <c r="B460" s="5">
        <v>84</v>
      </c>
      <c r="C460" s="5" t="s">
        <v>5641</v>
      </c>
      <c r="D460" s="5" t="s">
        <v>5642</v>
      </c>
      <c r="E460" s="5" t="s">
        <v>291</v>
      </c>
      <c r="F460" s="5" t="s">
        <v>115</v>
      </c>
      <c r="G460" s="5" t="s">
        <v>34</v>
      </c>
      <c r="H460" s="5" t="s">
        <v>214</v>
      </c>
      <c r="I460" s="5" t="s">
        <v>5643</v>
      </c>
      <c r="J460" s="5" t="s">
        <v>38</v>
      </c>
      <c r="K460" s="5" t="s">
        <v>38</v>
      </c>
      <c r="L460" s="5" t="s">
        <v>40</v>
      </c>
      <c r="M460" s="5" t="s">
        <v>38</v>
      </c>
      <c r="N460" s="5" t="s">
        <v>38</v>
      </c>
      <c r="O460" s="5" t="s">
        <v>40</v>
      </c>
      <c r="P460" s="5" t="s">
        <v>38</v>
      </c>
      <c r="Q460" s="5" t="s">
        <v>38</v>
      </c>
      <c r="R460" s="5" t="s">
        <v>40</v>
      </c>
      <c r="S460" s="5" t="s">
        <v>4783</v>
      </c>
      <c r="T460" s="5" t="s">
        <v>5614</v>
      </c>
      <c r="U460" s="5" t="s">
        <v>5585</v>
      </c>
      <c r="V460" s="5" t="s">
        <v>5586</v>
      </c>
      <c r="W460" s="5" t="s">
        <v>5587</v>
      </c>
      <c r="X460" s="5"/>
      <c r="Y460" s="5"/>
      <c r="Z460" s="5" t="s">
        <v>46</v>
      </c>
      <c r="AA460" s="5" t="s">
        <v>5588</v>
      </c>
      <c r="AB460" s="5" t="s">
        <v>3109</v>
      </c>
      <c r="AC460" s="7">
        <v>1</v>
      </c>
      <c r="AD460" t="str">
        <f>VLOOKUP($T460,[1]NhanSu!$C$5:$M$229,11,0)</f>
        <v>SM0000119</v>
      </c>
    </row>
    <row r="461" spans="1:30" x14ac:dyDescent="0.45">
      <c r="A461" s="8" t="s">
        <v>5578</v>
      </c>
      <c r="B461" s="4">
        <v>117</v>
      </c>
      <c r="C461" s="4" t="s">
        <v>5650</v>
      </c>
      <c r="D461" s="4" t="s">
        <v>5651</v>
      </c>
      <c r="E461" s="4" t="s">
        <v>138</v>
      </c>
      <c r="F461" s="4" t="s">
        <v>115</v>
      </c>
      <c r="G461" s="4" t="s">
        <v>34</v>
      </c>
      <c r="H461" s="4" t="s">
        <v>2593</v>
      </c>
      <c r="I461" s="4" t="s">
        <v>5613</v>
      </c>
      <c r="J461" s="4" t="s">
        <v>38</v>
      </c>
      <c r="K461" s="4" t="s">
        <v>38</v>
      </c>
      <c r="L461" s="4" t="s">
        <v>40</v>
      </c>
      <c r="M461" s="4" t="s">
        <v>38</v>
      </c>
      <c r="N461" s="4" t="s">
        <v>38</v>
      </c>
      <c r="O461" s="4" t="s">
        <v>39</v>
      </c>
      <c r="P461" s="4" t="s">
        <v>38</v>
      </c>
      <c r="Q461" s="4" t="s">
        <v>38</v>
      </c>
      <c r="R461" s="4" t="s">
        <v>40</v>
      </c>
      <c r="S461" s="4" t="s">
        <v>5625</v>
      </c>
      <c r="T461" s="4" t="s">
        <v>5614</v>
      </c>
      <c r="U461" s="4" t="s">
        <v>5585</v>
      </c>
      <c r="V461" s="4" t="s">
        <v>5586</v>
      </c>
      <c r="W461" s="4" t="s">
        <v>5587</v>
      </c>
      <c r="X461" s="4"/>
      <c r="Y461" s="4"/>
      <c r="Z461" s="4" t="s">
        <v>46</v>
      </c>
      <c r="AA461" s="4" t="s">
        <v>5588</v>
      </c>
      <c r="AB461" s="4" t="s">
        <v>3109</v>
      </c>
      <c r="AC461" s="9">
        <v>1</v>
      </c>
      <c r="AD461" t="str">
        <f>VLOOKUP($T461,[1]NhanSu!$C$5:$M$229,11,0)</f>
        <v>SM0000119</v>
      </c>
    </row>
    <row r="462" spans="1:30" x14ac:dyDescent="0.45">
      <c r="A462" s="6" t="s">
        <v>5578</v>
      </c>
      <c r="B462" s="5">
        <v>133</v>
      </c>
      <c r="C462" s="5" t="s">
        <v>5659</v>
      </c>
      <c r="D462" s="5" t="s">
        <v>5660</v>
      </c>
      <c r="E462" s="5" t="s">
        <v>657</v>
      </c>
      <c r="F462" s="5" t="s">
        <v>191</v>
      </c>
      <c r="G462" s="5" t="s">
        <v>177</v>
      </c>
      <c r="H462" s="5" t="s">
        <v>54</v>
      </c>
      <c r="I462" s="5" t="s">
        <v>5657</v>
      </c>
      <c r="J462" s="5" t="s">
        <v>37</v>
      </c>
      <c r="K462" s="5" t="s">
        <v>37</v>
      </c>
      <c r="L462" s="5" t="s">
        <v>39</v>
      </c>
      <c r="M462" s="5" t="s">
        <v>38</v>
      </c>
      <c r="N462" s="5" t="s">
        <v>37</v>
      </c>
      <c r="O462" s="5" t="s">
        <v>39</v>
      </c>
      <c r="P462" s="5" t="s">
        <v>38</v>
      </c>
      <c r="Q462" s="5" t="s">
        <v>37</v>
      </c>
      <c r="R462" s="5" t="s">
        <v>39</v>
      </c>
      <c r="S462" s="5" t="s">
        <v>5662</v>
      </c>
      <c r="T462" s="5" t="s">
        <v>5633</v>
      </c>
      <c r="U462" s="5" t="s">
        <v>5620</v>
      </c>
      <c r="V462" s="5" t="s">
        <v>5586</v>
      </c>
      <c r="W462" s="5" t="s">
        <v>5621</v>
      </c>
      <c r="X462" s="5"/>
      <c r="Y462" s="5"/>
      <c r="Z462" s="5" t="s">
        <v>46</v>
      </c>
      <c r="AA462" s="5" t="s">
        <v>5599</v>
      </c>
      <c r="AB462" s="5" t="s">
        <v>4223</v>
      </c>
      <c r="AC462" s="7">
        <v>1</v>
      </c>
      <c r="AD462" t="str">
        <f>VLOOKUP($T462,[1]NhanSu!$C$5:$M$229,11,0)</f>
        <v>SM0000127</v>
      </c>
    </row>
    <row r="463" spans="1:30" x14ac:dyDescent="0.45">
      <c r="A463" s="8" t="s">
        <v>5578</v>
      </c>
      <c r="B463" s="4">
        <v>156</v>
      </c>
      <c r="C463" s="4" t="s">
        <v>5663</v>
      </c>
      <c r="D463" s="4" t="s">
        <v>5664</v>
      </c>
      <c r="E463" s="4" t="s">
        <v>788</v>
      </c>
      <c r="F463" s="4" t="s">
        <v>53</v>
      </c>
      <c r="G463" s="4" t="s">
        <v>34</v>
      </c>
      <c r="H463" s="4" t="s">
        <v>54</v>
      </c>
      <c r="I463" s="4" t="s">
        <v>5665</v>
      </c>
      <c r="J463" s="4" t="s">
        <v>38</v>
      </c>
      <c r="K463" s="4" t="s">
        <v>38</v>
      </c>
      <c r="L463" s="4" t="s">
        <v>40</v>
      </c>
      <c r="M463" s="4" t="s">
        <v>38</v>
      </c>
      <c r="N463" s="4" t="s">
        <v>38</v>
      </c>
      <c r="O463" s="4" t="s">
        <v>40</v>
      </c>
      <c r="P463" s="4" t="s">
        <v>38</v>
      </c>
      <c r="Q463" s="4" t="s">
        <v>38</v>
      </c>
      <c r="R463" s="4" t="s">
        <v>40</v>
      </c>
      <c r="S463" s="4" t="s">
        <v>5666</v>
      </c>
      <c r="T463" s="4" t="s">
        <v>5633</v>
      </c>
      <c r="U463" s="4" t="s">
        <v>5620</v>
      </c>
      <c r="V463" s="4" t="s">
        <v>5586</v>
      </c>
      <c r="W463" s="4" t="s">
        <v>5621</v>
      </c>
      <c r="X463" s="4"/>
      <c r="Y463" s="4"/>
      <c r="Z463" s="4" t="s">
        <v>46</v>
      </c>
      <c r="AA463" s="4" t="s">
        <v>5599</v>
      </c>
      <c r="AB463" s="4" t="s">
        <v>5667</v>
      </c>
      <c r="AC463" s="9">
        <v>1</v>
      </c>
      <c r="AD463" t="str">
        <f>VLOOKUP($T463,[1]NhanSu!$C$5:$M$229,11,0)</f>
        <v>SM0000127</v>
      </c>
    </row>
    <row r="464" spans="1:30" x14ac:dyDescent="0.45">
      <c r="A464" s="6" t="s">
        <v>5578</v>
      </c>
      <c r="B464" s="5">
        <v>188</v>
      </c>
      <c r="C464" s="5" t="s">
        <v>5673</v>
      </c>
      <c r="D464" s="5" t="s">
        <v>5674</v>
      </c>
      <c r="E464" s="5" t="s">
        <v>3826</v>
      </c>
      <c r="F464" s="5" t="s">
        <v>441</v>
      </c>
      <c r="G464" s="5" t="s">
        <v>34</v>
      </c>
      <c r="H464" s="5" t="s">
        <v>565</v>
      </c>
      <c r="I464" s="5" t="s">
        <v>5675</v>
      </c>
      <c r="J464" s="5" t="s">
        <v>775</v>
      </c>
      <c r="K464" s="5" t="s">
        <v>775</v>
      </c>
      <c r="L464" s="5" t="s">
        <v>39</v>
      </c>
      <c r="M464" s="5" t="s">
        <v>56</v>
      </c>
      <c r="N464" s="5" t="s">
        <v>56</v>
      </c>
      <c r="O464" s="5" t="s">
        <v>39</v>
      </c>
      <c r="P464" s="5" t="s">
        <v>37</v>
      </c>
      <c r="Q464" s="5" t="s">
        <v>37</v>
      </c>
      <c r="R464" s="5" t="s">
        <v>39</v>
      </c>
      <c r="S464" s="5" t="s">
        <v>41</v>
      </c>
      <c r="T464" s="5" t="s">
        <v>5676</v>
      </c>
      <c r="U464" s="5" t="s">
        <v>5677</v>
      </c>
      <c r="V464" s="5" t="s">
        <v>5586</v>
      </c>
      <c r="W464" s="5" t="s">
        <v>5607</v>
      </c>
      <c r="X464" s="5"/>
      <c r="Y464" s="5"/>
      <c r="Z464" s="5" t="s">
        <v>46</v>
      </c>
      <c r="AA464" s="5" t="s">
        <v>5678</v>
      </c>
      <c r="AB464" s="5" t="s">
        <v>3109</v>
      </c>
      <c r="AC464" s="7">
        <v>1</v>
      </c>
      <c r="AD464" t="str">
        <f>VLOOKUP($T464,[1]NhanSu!$C$5:$M$229,11,0)</f>
        <v>SM0000111</v>
      </c>
    </row>
    <row r="465" spans="1:30" x14ac:dyDescent="0.45">
      <c r="A465" s="8" t="s">
        <v>5578</v>
      </c>
      <c r="B465" s="4">
        <v>242</v>
      </c>
      <c r="C465" s="4" t="s">
        <v>5686</v>
      </c>
      <c r="D465" s="4" t="s">
        <v>5687</v>
      </c>
      <c r="E465" s="4" t="s">
        <v>4270</v>
      </c>
      <c r="F465" s="4" t="s">
        <v>426</v>
      </c>
      <c r="G465" s="4" t="s">
        <v>150</v>
      </c>
      <c r="H465" s="4" t="s">
        <v>2251</v>
      </c>
      <c r="I465" s="4" t="s">
        <v>5688</v>
      </c>
      <c r="J465" s="4" t="s">
        <v>38</v>
      </c>
      <c r="K465" s="4" t="s">
        <v>38</v>
      </c>
      <c r="L465" s="4" t="s">
        <v>39</v>
      </c>
      <c r="M465" s="4" t="s">
        <v>37</v>
      </c>
      <c r="N465" s="4" t="s">
        <v>37</v>
      </c>
      <c r="O465" s="4" t="s">
        <v>39</v>
      </c>
      <c r="P465" s="4" t="s">
        <v>38</v>
      </c>
      <c r="Q465" s="4" t="s">
        <v>38</v>
      </c>
      <c r="R465" s="4" t="s">
        <v>40</v>
      </c>
      <c r="S465" s="4" t="s">
        <v>41</v>
      </c>
      <c r="T465" s="4" t="s">
        <v>5605</v>
      </c>
      <c r="U465" s="4" t="s">
        <v>5606</v>
      </c>
      <c r="V465" s="4" t="s">
        <v>5586</v>
      </c>
      <c r="W465" s="4" t="s">
        <v>5607</v>
      </c>
      <c r="X465" s="4"/>
      <c r="Y465" s="4"/>
      <c r="Z465" s="4" t="s">
        <v>46</v>
      </c>
      <c r="AA465" s="4" t="s">
        <v>5678</v>
      </c>
      <c r="AB465" s="4" t="s">
        <v>4223</v>
      </c>
      <c r="AC465" s="9">
        <v>1</v>
      </c>
      <c r="AD465" t="str">
        <f>VLOOKUP($T465,[1]NhanSu!$C$5:$M$229,11,0)</f>
        <v>SM0000112</v>
      </c>
    </row>
    <row r="466" spans="1:30" x14ac:dyDescent="0.45">
      <c r="A466" s="6" t="s">
        <v>5578</v>
      </c>
      <c r="B466" s="5">
        <v>245</v>
      </c>
      <c r="C466" s="5" t="s">
        <v>5689</v>
      </c>
      <c r="D466" s="5" t="s">
        <v>5690</v>
      </c>
      <c r="E466" s="5" t="s">
        <v>128</v>
      </c>
      <c r="F466" s="5" t="s">
        <v>115</v>
      </c>
      <c r="G466" s="5" t="s">
        <v>34</v>
      </c>
      <c r="H466" s="5" t="s">
        <v>402</v>
      </c>
      <c r="I466" s="5" t="s">
        <v>5613</v>
      </c>
      <c r="J466" s="5" t="s">
        <v>38</v>
      </c>
      <c r="K466" s="5" t="s">
        <v>38</v>
      </c>
      <c r="L466" s="5" t="s">
        <v>40</v>
      </c>
      <c r="M466" s="5" t="s">
        <v>38</v>
      </c>
      <c r="N466" s="5" t="s">
        <v>38</v>
      </c>
      <c r="O466" s="5" t="s">
        <v>40</v>
      </c>
      <c r="P466" s="5" t="s">
        <v>38</v>
      </c>
      <c r="Q466" s="5" t="s">
        <v>38</v>
      </c>
      <c r="R466" s="5" t="s">
        <v>40</v>
      </c>
      <c r="S466" s="5" t="s">
        <v>5691</v>
      </c>
      <c r="T466" s="5" t="s">
        <v>5614</v>
      </c>
      <c r="U466" s="5" t="s">
        <v>5585</v>
      </c>
      <c r="V466" s="5" t="s">
        <v>5586</v>
      </c>
      <c r="W466" s="5" t="s">
        <v>5587</v>
      </c>
      <c r="X466" s="5"/>
      <c r="Y466" s="5"/>
      <c r="Z466" s="5" t="s">
        <v>46</v>
      </c>
      <c r="AA466" s="5" t="s">
        <v>5588</v>
      </c>
      <c r="AB466" s="5" t="s">
        <v>4223</v>
      </c>
      <c r="AC466" s="7">
        <v>1</v>
      </c>
      <c r="AD466" t="str">
        <f>VLOOKUP($T466,[1]NhanSu!$C$5:$M$229,11,0)</f>
        <v>SM0000119</v>
      </c>
    </row>
    <row r="467" spans="1:30" x14ac:dyDescent="0.45">
      <c r="A467" s="8" t="s">
        <v>5578</v>
      </c>
      <c r="B467" s="4">
        <v>265</v>
      </c>
      <c r="C467" s="4" t="s">
        <v>5692</v>
      </c>
      <c r="D467" s="4" t="s">
        <v>5693</v>
      </c>
      <c r="E467" s="4" t="s">
        <v>32</v>
      </c>
      <c r="F467" s="4" t="s">
        <v>53</v>
      </c>
      <c r="G467" s="4" t="s">
        <v>177</v>
      </c>
      <c r="H467" s="4" t="s">
        <v>54</v>
      </c>
      <c r="I467" s="4" t="s">
        <v>5694</v>
      </c>
      <c r="J467" s="4" t="s">
        <v>38</v>
      </c>
      <c r="K467" s="4" t="s">
        <v>38</v>
      </c>
      <c r="L467" s="4" t="s">
        <v>40</v>
      </c>
      <c r="M467" s="4" t="s">
        <v>38</v>
      </c>
      <c r="N467" s="4" t="s">
        <v>38</v>
      </c>
      <c r="O467" s="4" t="s">
        <v>40</v>
      </c>
      <c r="P467" s="4" t="s">
        <v>38</v>
      </c>
      <c r="Q467" s="4" t="s">
        <v>38</v>
      </c>
      <c r="R467" s="4" t="s">
        <v>40</v>
      </c>
      <c r="S467" s="4" t="s">
        <v>5662</v>
      </c>
      <c r="T467" s="4" t="s">
        <v>5633</v>
      </c>
      <c r="U467" s="4" t="s">
        <v>5620</v>
      </c>
      <c r="V467" s="4" t="s">
        <v>5586</v>
      </c>
      <c r="W467" s="4" t="s">
        <v>5621</v>
      </c>
      <c r="X467" s="4"/>
      <c r="Y467" s="4"/>
      <c r="Z467" s="4" t="s">
        <v>46</v>
      </c>
      <c r="AA467" s="4" t="s">
        <v>5599</v>
      </c>
      <c r="AB467" s="4" t="s">
        <v>4223</v>
      </c>
      <c r="AC467" s="9">
        <v>1</v>
      </c>
      <c r="AD467" t="str">
        <f>VLOOKUP($T467,[1]NhanSu!$C$5:$M$229,11,0)</f>
        <v>SM0000127</v>
      </c>
    </row>
    <row r="468" spans="1:30" x14ac:dyDescent="0.45">
      <c r="A468" s="6" t="s">
        <v>5578</v>
      </c>
      <c r="B468" s="5">
        <v>298</v>
      </c>
      <c r="C468" s="5" t="s">
        <v>5695</v>
      </c>
      <c r="D468" s="5" t="s">
        <v>5696</v>
      </c>
      <c r="E468" s="5" t="s">
        <v>5697</v>
      </c>
      <c r="F468" s="5" t="s">
        <v>2365</v>
      </c>
      <c r="G468" s="5" t="s">
        <v>1458</v>
      </c>
      <c r="H468" s="5" t="s">
        <v>1904</v>
      </c>
      <c r="I468" s="5" t="s">
        <v>5698</v>
      </c>
      <c r="J468" s="5" t="s">
        <v>37</v>
      </c>
      <c r="K468" s="5" t="s">
        <v>37</v>
      </c>
      <c r="L468" s="5" t="s">
        <v>39</v>
      </c>
      <c r="M468" s="5" t="s">
        <v>1034</v>
      </c>
      <c r="N468" s="5" t="s">
        <v>38</v>
      </c>
      <c r="O468" s="5" t="s">
        <v>39</v>
      </c>
      <c r="P468" s="5" t="s">
        <v>38</v>
      </c>
      <c r="Q468" s="5" t="s">
        <v>38</v>
      </c>
      <c r="R468" s="5" t="s">
        <v>39</v>
      </c>
      <c r="S468" s="5" t="s">
        <v>5699</v>
      </c>
      <c r="T468" s="5" t="s">
        <v>5647</v>
      </c>
      <c r="U468" s="5" t="s">
        <v>5648</v>
      </c>
      <c r="V468" s="5" t="s">
        <v>5586</v>
      </c>
      <c r="W468" s="5" t="s">
        <v>5649</v>
      </c>
      <c r="X468" s="5"/>
      <c r="Y468" s="5"/>
      <c r="Z468" s="5" t="s">
        <v>46</v>
      </c>
      <c r="AA468" s="5" t="s">
        <v>5678</v>
      </c>
      <c r="AB468" s="5" t="s">
        <v>5658</v>
      </c>
      <c r="AC468" s="7">
        <v>1</v>
      </c>
      <c r="AD468" t="str">
        <f>VLOOKUP($T468,[1]NhanSu!$C$5:$M$229,11,0)</f>
        <v>SM0000113</v>
      </c>
    </row>
    <row r="469" spans="1:30" x14ac:dyDescent="0.45">
      <c r="A469" s="8" t="s">
        <v>5578</v>
      </c>
      <c r="B469" s="4">
        <v>567</v>
      </c>
      <c r="C469" s="4" t="s">
        <v>5713</v>
      </c>
      <c r="D469" s="4" t="s">
        <v>5714</v>
      </c>
      <c r="E469" s="4" t="s">
        <v>91</v>
      </c>
      <c r="F469" s="4" t="s">
        <v>53</v>
      </c>
      <c r="G469" s="4" t="s">
        <v>177</v>
      </c>
      <c r="H469" s="4" t="s">
        <v>1164</v>
      </c>
      <c r="I469" s="4" t="s">
        <v>5715</v>
      </c>
      <c r="J469" s="4" t="s">
        <v>38</v>
      </c>
      <c r="K469" s="4" t="s">
        <v>37</v>
      </c>
      <c r="L469" s="4" t="s">
        <v>39</v>
      </c>
      <c r="M469" s="4" t="s">
        <v>37</v>
      </c>
      <c r="N469" s="4" t="s">
        <v>37</v>
      </c>
      <c r="O469" s="4" t="s">
        <v>39</v>
      </c>
      <c r="P469" s="4" t="s">
        <v>37</v>
      </c>
      <c r="Q469" s="4" t="s">
        <v>37</v>
      </c>
      <c r="R469" s="4" t="s">
        <v>39</v>
      </c>
      <c r="S469" s="4" t="s">
        <v>4751</v>
      </c>
      <c r="T469" s="4" t="s">
        <v>5619</v>
      </c>
      <c r="U469" s="4" t="s">
        <v>5620</v>
      </c>
      <c r="V469" s="4" t="s">
        <v>5586</v>
      </c>
      <c r="W469" s="4" t="s">
        <v>5621</v>
      </c>
      <c r="X469" s="4"/>
      <c r="Y469" s="4"/>
      <c r="Z469" s="4" t="s">
        <v>46</v>
      </c>
      <c r="AA469" s="4" t="s">
        <v>5599</v>
      </c>
      <c r="AB469" s="4" t="s">
        <v>4223</v>
      </c>
      <c r="AC469" s="9">
        <v>1</v>
      </c>
      <c r="AD469" t="str">
        <f>VLOOKUP($T469,[1]NhanSu!$C$5:$M$229,11,0)</f>
        <v>SM0000138</v>
      </c>
    </row>
    <row r="470" spans="1:30" x14ac:dyDescent="0.45">
      <c r="A470" s="6" t="s">
        <v>5578</v>
      </c>
      <c r="B470" s="5">
        <v>695</v>
      </c>
      <c r="C470" s="5" t="s">
        <v>5732</v>
      </c>
      <c r="D470" s="5" t="s">
        <v>5733</v>
      </c>
      <c r="E470" s="5" t="s">
        <v>416</v>
      </c>
      <c r="F470" s="5" t="s">
        <v>53</v>
      </c>
      <c r="G470" s="5" t="s">
        <v>34</v>
      </c>
      <c r="H470" s="5" t="s">
        <v>214</v>
      </c>
      <c r="I470" s="5" t="s">
        <v>5734</v>
      </c>
      <c r="J470" s="5" t="s">
        <v>775</v>
      </c>
      <c r="K470" s="5" t="s">
        <v>775</v>
      </c>
      <c r="L470" s="5" t="s">
        <v>39</v>
      </c>
      <c r="M470" s="5" t="s">
        <v>56</v>
      </c>
      <c r="N470" s="5" t="s">
        <v>56</v>
      </c>
      <c r="O470" s="5" t="s">
        <v>39</v>
      </c>
      <c r="P470" s="5" t="s">
        <v>37</v>
      </c>
      <c r="Q470" s="5" t="s">
        <v>37</v>
      </c>
      <c r="R470" s="5" t="s">
        <v>39</v>
      </c>
      <c r="S470" s="5" t="s">
        <v>41</v>
      </c>
      <c r="T470" s="5" t="s">
        <v>5676</v>
      </c>
      <c r="U470" s="5" t="s">
        <v>5677</v>
      </c>
      <c r="V470" s="5" t="s">
        <v>5586</v>
      </c>
      <c r="W470" s="5" t="s">
        <v>5607</v>
      </c>
      <c r="X470" s="5"/>
      <c r="Y470" s="5"/>
      <c r="Z470" s="5" t="s">
        <v>46</v>
      </c>
      <c r="AA470" s="5" t="s">
        <v>5678</v>
      </c>
      <c r="AB470" s="5" t="s">
        <v>117</v>
      </c>
      <c r="AC470" s="7">
        <v>1</v>
      </c>
      <c r="AD470" t="str">
        <f>VLOOKUP($T470,[1]NhanSu!$C$5:$M$229,11,0)</f>
        <v>SM0000111</v>
      </c>
    </row>
    <row r="471" spans="1:30" x14ac:dyDescent="0.45">
      <c r="A471" s="8" t="s">
        <v>5578</v>
      </c>
      <c r="B471" s="4">
        <v>774</v>
      </c>
      <c r="C471" s="4" t="s">
        <v>5748</v>
      </c>
      <c r="D471" s="4" t="s">
        <v>5749</v>
      </c>
      <c r="E471" s="4" t="s">
        <v>5750</v>
      </c>
      <c r="F471" s="4" t="s">
        <v>426</v>
      </c>
      <c r="G471" s="4" t="s">
        <v>177</v>
      </c>
      <c r="H471" s="4" t="s">
        <v>697</v>
      </c>
      <c r="I471" s="4" t="s">
        <v>5751</v>
      </c>
      <c r="J471" s="4" t="s">
        <v>37</v>
      </c>
      <c r="K471" s="4" t="s">
        <v>37</v>
      </c>
      <c r="L471" s="4" t="s">
        <v>39</v>
      </c>
      <c r="M471" s="4" t="s">
        <v>37</v>
      </c>
      <c r="N471" s="4" t="s">
        <v>37</v>
      </c>
      <c r="O471" s="4" t="s">
        <v>39</v>
      </c>
      <c r="P471" s="4" t="s">
        <v>37</v>
      </c>
      <c r="Q471" s="4" t="s">
        <v>37</v>
      </c>
      <c r="R471" s="4" t="s">
        <v>39</v>
      </c>
      <c r="S471" s="4" t="s">
        <v>4751</v>
      </c>
      <c r="T471" s="4" t="s">
        <v>5619</v>
      </c>
      <c r="U471" s="4" t="s">
        <v>5620</v>
      </c>
      <c r="V471" s="4" t="s">
        <v>5586</v>
      </c>
      <c r="W471" s="4" t="s">
        <v>5621</v>
      </c>
      <c r="X471" s="4"/>
      <c r="Y471" s="4"/>
      <c r="Z471" s="4" t="s">
        <v>46</v>
      </c>
      <c r="AA471" s="4" t="s">
        <v>5599</v>
      </c>
      <c r="AB471" s="4" t="s">
        <v>3109</v>
      </c>
      <c r="AC471" s="9">
        <v>1</v>
      </c>
      <c r="AD471" t="str">
        <f>VLOOKUP($T471,[1]NhanSu!$C$5:$M$229,11,0)</f>
        <v>SM0000138</v>
      </c>
    </row>
    <row r="472" spans="1:30" x14ac:dyDescent="0.45">
      <c r="A472" s="6" t="s">
        <v>5578</v>
      </c>
      <c r="B472" s="5">
        <v>830</v>
      </c>
      <c r="C472" s="5" t="s">
        <v>5774</v>
      </c>
      <c r="D472" s="5" t="s">
        <v>5775</v>
      </c>
      <c r="E472" s="5" t="s">
        <v>157</v>
      </c>
      <c r="F472" s="5" t="s">
        <v>5776</v>
      </c>
      <c r="G472" s="5" t="s">
        <v>177</v>
      </c>
      <c r="H472" s="5" t="s">
        <v>214</v>
      </c>
      <c r="I472" s="5" t="s">
        <v>5777</v>
      </c>
      <c r="J472" s="5" t="s">
        <v>38</v>
      </c>
      <c r="K472" s="5" t="s">
        <v>38</v>
      </c>
      <c r="L472" s="5" t="s">
        <v>39</v>
      </c>
      <c r="M472" s="5" t="s">
        <v>38</v>
      </c>
      <c r="N472" s="5" t="s">
        <v>38</v>
      </c>
      <c r="O472" s="5" t="s">
        <v>39</v>
      </c>
      <c r="P472" s="5" t="s">
        <v>38</v>
      </c>
      <c r="Q472" s="5" t="s">
        <v>38</v>
      </c>
      <c r="R472" s="5" t="s">
        <v>39</v>
      </c>
      <c r="S472" s="5" t="s">
        <v>41</v>
      </c>
      <c r="T472" s="5" t="s">
        <v>5596</v>
      </c>
      <c r="U472" s="5" t="s">
        <v>5597</v>
      </c>
      <c r="V472" s="5" t="s">
        <v>5586</v>
      </c>
      <c r="W472" s="5" t="s">
        <v>5598</v>
      </c>
      <c r="X472" s="5"/>
      <c r="Y472" s="5"/>
      <c r="Z472" s="5" t="s">
        <v>46</v>
      </c>
      <c r="AA472" s="5" t="s">
        <v>5599</v>
      </c>
      <c r="AB472" s="5" t="s">
        <v>3109</v>
      </c>
      <c r="AC472" s="7">
        <v>1</v>
      </c>
      <c r="AD472" t="str">
        <f>VLOOKUP($T472,[1]NhanSu!$C$5:$M$229,11,0)</f>
        <v>SM0000129</v>
      </c>
    </row>
    <row r="473" spans="1:30" x14ac:dyDescent="0.45">
      <c r="A473" s="8" t="s">
        <v>5578</v>
      </c>
      <c r="B473" s="4">
        <v>886</v>
      </c>
      <c r="C473" s="4" t="s">
        <v>5801</v>
      </c>
      <c r="D473" s="4" t="s">
        <v>5802</v>
      </c>
      <c r="E473" s="4" t="s">
        <v>143</v>
      </c>
      <c r="F473" s="4" t="s">
        <v>339</v>
      </c>
      <c r="G473" s="4" t="s">
        <v>34</v>
      </c>
      <c r="H473" s="4" t="s">
        <v>332</v>
      </c>
      <c r="I473" s="4" t="s">
        <v>5803</v>
      </c>
      <c r="J473" s="4" t="s">
        <v>38</v>
      </c>
      <c r="K473" s="4" t="s">
        <v>38</v>
      </c>
      <c r="L473" s="4" t="s">
        <v>40</v>
      </c>
      <c r="M473" s="4" t="s">
        <v>37</v>
      </c>
      <c r="N473" s="4" t="s">
        <v>37</v>
      </c>
      <c r="O473" s="4" t="s">
        <v>39</v>
      </c>
      <c r="P473" s="4" t="s">
        <v>38</v>
      </c>
      <c r="Q473" s="4" t="s">
        <v>37</v>
      </c>
      <c r="R473" s="4" t="s">
        <v>39</v>
      </c>
      <c r="S473" s="4" t="s">
        <v>41</v>
      </c>
      <c r="T473" s="4" t="s">
        <v>5711</v>
      </c>
      <c r="U473" s="4" t="s">
        <v>5712</v>
      </c>
      <c r="V473" s="4" t="s">
        <v>5586</v>
      </c>
      <c r="W473" s="4" t="s">
        <v>5649</v>
      </c>
      <c r="X473" s="4"/>
      <c r="Y473" s="4"/>
      <c r="Z473" s="4" t="s">
        <v>46</v>
      </c>
      <c r="AA473" s="4" t="s">
        <v>5678</v>
      </c>
      <c r="AB473" s="4" t="s">
        <v>4223</v>
      </c>
      <c r="AC473" s="9">
        <v>1</v>
      </c>
      <c r="AD473" t="str">
        <f>VLOOKUP($T473,[1]NhanSu!$C$5:$M$229,11,0)</f>
        <v>SM0000186</v>
      </c>
    </row>
    <row r="474" spans="1:30" x14ac:dyDescent="0.45">
      <c r="A474" s="6" t="s">
        <v>5578</v>
      </c>
      <c r="B474" s="5">
        <v>913</v>
      </c>
      <c r="C474" s="5" t="s">
        <v>5820</v>
      </c>
      <c r="D474" s="5" t="s">
        <v>5785</v>
      </c>
      <c r="E474" s="5" t="s">
        <v>5821</v>
      </c>
      <c r="F474" s="5" t="s">
        <v>2365</v>
      </c>
      <c r="G474" s="5" t="s">
        <v>34</v>
      </c>
      <c r="H474" s="5" t="s">
        <v>1715</v>
      </c>
      <c r="I474" s="5" t="s">
        <v>5822</v>
      </c>
      <c r="J474" s="5" t="s">
        <v>38</v>
      </c>
      <c r="K474" s="5" t="s">
        <v>38</v>
      </c>
      <c r="L474" s="5" t="s">
        <v>39</v>
      </c>
      <c r="M474" s="5" t="s">
        <v>37</v>
      </c>
      <c r="N474" s="5" t="s">
        <v>37</v>
      </c>
      <c r="O474" s="5" t="s">
        <v>39</v>
      </c>
      <c r="P474" s="5" t="s">
        <v>38</v>
      </c>
      <c r="Q474" s="5" t="s">
        <v>38</v>
      </c>
      <c r="R474" s="5" t="s">
        <v>39</v>
      </c>
      <c r="S474" s="5" t="s">
        <v>41</v>
      </c>
      <c r="T474" s="5" t="s">
        <v>5647</v>
      </c>
      <c r="U474" s="5" t="s">
        <v>5648</v>
      </c>
      <c r="V474" s="5" t="s">
        <v>5586</v>
      </c>
      <c r="W474" s="5" t="s">
        <v>5649</v>
      </c>
      <c r="X474" s="5"/>
      <c r="Y474" s="5"/>
      <c r="Z474" s="5" t="s">
        <v>46</v>
      </c>
      <c r="AA474" s="5" t="s">
        <v>5678</v>
      </c>
      <c r="AB474" s="5" t="s">
        <v>4223</v>
      </c>
      <c r="AC474" s="7">
        <v>1</v>
      </c>
      <c r="AD474" t="str">
        <f>VLOOKUP($T474,[1]NhanSu!$C$5:$M$229,11,0)</f>
        <v>SM0000113</v>
      </c>
    </row>
    <row r="475" spans="1:30" x14ac:dyDescent="0.45">
      <c r="A475" s="8" t="s">
        <v>5578</v>
      </c>
      <c r="B475" s="4">
        <v>939</v>
      </c>
      <c r="C475" s="4" t="s">
        <v>5826</v>
      </c>
      <c r="D475" s="4" t="s">
        <v>5827</v>
      </c>
      <c r="E475" s="4" t="s">
        <v>5828</v>
      </c>
      <c r="F475" s="4" t="s">
        <v>5829</v>
      </c>
      <c r="G475" s="4" t="s">
        <v>177</v>
      </c>
      <c r="H475" s="4" t="s">
        <v>546</v>
      </c>
      <c r="I475" s="4" t="s">
        <v>5830</v>
      </c>
      <c r="J475" s="4" t="s">
        <v>37</v>
      </c>
      <c r="K475" s="4" t="s">
        <v>37</v>
      </c>
      <c r="L475" s="4" t="s">
        <v>39</v>
      </c>
      <c r="M475" s="4" t="s">
        <v>37</v>
      </c>
      <c r="N475" s="4" t="s">
        <v>37</v>
      </c>
      <c r="O475" s="4" t="s">
        <v>39</v>
      </c>
      <c r="P475" s="4" t="s">
        <v>37</v>
      </c>
      <c r="Q475" s="4" t="s">
        <v>37</v>
      </c>
      <c r="R475" s="4" t="s">
        <v>39</v>
      </c>
      <c r="S475" s="4" t="s">
        <v>5831</v>
      </c>
      <c r="T475" s="4" t="s">
        <v>5619</v>
      </c>
      <c r="U475" s="4" t="s">
        <v>5620</v>
      </c>
      <c r="V475" s="4" t="s">
        <v>5586</v>
      </c>
      <c r="W475" s="4" t="s">
        <v>5621</v>
      </c>
      <c r="X475" s="4"/>
      <c r="Y475" s="4"/>
      <c r="Z475" s="4" t="s">
        <v>46</v>
      </c>
      <c r="AA475" s="4" t="s">
        <v>5599</v>
      </c>
      <c r="AB475" s="4" t="s">
        <v>3109</v>
      </c>
      <c r="AC475" s="9">
        <v>1</v>
      </c>
      <c r="AD475" t="str">
        <f>VLOOKUP($T475,[1]NhanSu!$C$5:$M$229,11,0)</f>
        <v>SM0000138</v>
      </c>
    </row>
    <row r="476" spans="1:30" x14ac:dyDescent="0.45">
      <c r="A476" s="6" t="s">
        <v>5578</v>
      </c>
      <c r="B476" s="5">
        <v>941</v>
      </c>
      <c r="C476" s="5" t="s">
        <v>5832</v>
      </c>
      <c r="D476" s="5" t="s">
        <v>5833</v>
      </c>
      <c r="E476" s="5" t="s">
        <v>304</v>
      </c>
      <c r="F476" s="5" t="s">
        <v>53</v>
      </c>
      <c r="G476" s="5" t="s">
        <v>177</v>
      </c>
      <c r="H476" s="5" t="s">
        <v>54</v>
      </c>
      <c r="I476" s="5" t="s">
        <v>5834</v>
      </c>
      <c r="J476" s="5" t="s">
        <v>38</v>
      </c>
      <c r="K476" s="5" t="s">
        <v>38</v>
      </c>
      <c r="L476" s="5" t="s">
        <v>39</v>
      </c>
      <c r="M476" s="5" t="s">
        <v>38</v>
      </c>
      <c r="N476" s="5" t="s">
        <v>38</v>
      </c>
      <c r="O476" s="5" t="s">
        <v>39</v>
      </c>
      <c r="P476" s="5" t="s">
        <v>38</v>
      </c>
      <c r="Q476" s="5" t="s">
        <v>38</v>
      </c>
      <c r="R476" s="5" t="s">
        <v>40</v>
      </c>
      <c r="S476" s="5" t="s">
        <v>41</v>
      </c>
      <c r="T476" s="5" t="s">
        <v>5596</v>
      </c>
      <c r="U476" s="5" t="s">
        <v>5597</v>
      </c>
      <c r="V476" s="5" t="s">
        <v>5586</v>
      </c>
      <c r="W476" s="5" t="s">
        <v>5598</v>
      </c>
      <c r="X476" s="5"/>
      <c r="Y476" s="5"/>
      <c r="Z476" s="5" t="s">
        <v>46</v>
      </c>
      <c r="AA476" s="5" t="s">
        <v>5599</v>
      </c>
      <c r="AB476" s="5" t="s">
        <v>3109</v>
      </c>
      <c r="AC476" s="7">
        <v>1</v>
      </c>
      <c r="AD476" t="str">
        <f>VLOOKUP($T476,[1]NhanSu!$C$5:$M$229,11,0)</f>
        <v>SM0000129</v>
      </c>
    </row>
    <row r="477" spans="1:30" x14ac:dyDescent="0.45">
      <c r="A477" s="8" t="s">
        <v>5578</v>
      </c>
      <c r="B477" s="4">
        <v>946</v>
      </c>
      <c r="C477" s="4" t="s">
        <v>5835</v>
      </c>
      <c r="D477" s="4" t="s">
        <v>5836</v>
      </c>
      <c r="E477" s="4" t="s">
        <v>108</v>
      </c>
      <c r="F477" s="4" t="s">
        <v>426</v>
      </c>
      <c r="G477" s="4" t="s">
        <v>177</v>
      </c>
      <c r="H477" s="4" t="s">
        <v>54</v>
      </c>
      <c r="I477" s="4" t="s">
        <v>5838</v>
      </c>
      <c r="J477" s="4" t="s">
        <v>38</v>
      </c>
      <c r="K477" s="4" t="s">
        <v>38</v>
      </c>
      <c r="L477" s="4" t="s">
        <v>39</v>
      </c>
      <c r="M477" s="4" t="s">
        <v>38</v>
      </c>
      <c r="N477" s="4" t="s">
        <v>38</v>
      </c>
      <c r="O477" s="4" t="s">
        <v>39</v>
      </c>
      <c r="P477" s="4" t="s">
        <v>38</v>
      </c>
      <c r="Q477" s="4" t="s">
        <v>38</v>
      </c>
      <c r="R477" s="4" t="s">
        <v>39</v>
      </c>
      <c r="S477" s="4" t="s">
        <v>41</v>
      </c>
      <c r="T477" s="4" t="s">
        <v>5596</v>
      </c>
      <c r="U477" s="4" t="s">
        <v>5597</v>
      </c>
      <c r="V477" s="4" t="s">
        <v>5586</v>
      </c>
      <c r="W477" s="4" t="s">
        <v>5598</v>
      </c>
      <c r="X477" s="4"/>
      <c r="Y477" s="4"/>
      <c r="Z477" s="4" t="s">
        <v>46</v>
      </c>
      <c r="AA477" s="4" t="s">
        <v>5599</v>
      </c>
      <c r="AB477" s="4" t="s">
        <v>3109</v>
      </c>
      <c r="AC477" s="9">
        <v>1</v>
      </c>
      <c r="AD477" t="str">
        <f>VLOOKUP($T477,[1]NhanSu!$C$5:$M$229,11,0)</f>
        <v>SM0000129</v>
      </c>
    </row>
    <row r="478" spans="1:30" x14ac:dyDescent="0.45">
      <c r="A478" s="6" t="s">
        <v>5578</v>
      </c>
      <c r="B478" s="5">
        <v>898</v>
      </c>
      <c r="C478" s="5" t="s">
        <v>5842</v>
      </c>
      <c r="D478" s="5" t="s">
        <v>5843</v>
      </c>
      <c r="E478" s="5" t="s">
        <v>2812</v>
      </c>
      <c r="F478" s="5" t="s">
        <v>53</v>
      </c>
      <c r="G478" s="5" t="s">
        <v>1624</v>
      </c>
      <c r="H478" s="5" t="s">
        <v>54</v>
      </c>
      <c r="I478" s="5"/>
      <c r="J478" s="5" t="s">
        <v>38</v>
      </c>
      <c r="K478" s="5" t="s">
        <v>38</v>
      </c>
      <c r="L478" s="5" t="s">
        <v>39</v>
      </c>
      <c r="M478" s="5" t="s">
        <v>56</v>
      </c>
      <c r="N478" s="5" t="s">
        <v>37</v>
      </c>
      <c r="O478" s="5" t="s">
        <v>39</v>
      </c>
      <c r="P478" s="5" t="s">
        <v>38</v>
      </c>
      <c r="Q478" s="5" t="s">
        <v>38</v>
      </c>
      <c r="R478" s="5" t="s">
        <v>39</v>
      </c>
      <c r="S478" s="5" t="s">
        <v>41</v>
      </c>
      <c r="T478" s="5" t="s">
        <v>5647</v>
      </c>
      <c r="U478" s="5" t="s">
        <v>5648</v>
      </c>
      <c r="V478" s="5" t="s">
        <v>5586</v>
      </c>
      <c r="W478" s="5" t="s">
        <v>5649</v>
      </c>
      <c r="X478" s="5"/>
      <c r="Y478" s="5"/>
      <c r="Z478" s="5" t="s">
        <v>46</v>
      </c>
      <c r="AA478" s="5" t="s">
        <v>5678</v>
      </c>
      <c r="AB478" s="5" t="s">
        <v>3109</v>
      </c>
      <c r="AC478" s="7">
        <v>1</v>
      </c>
      <c r="AD478" t="str">
        <f>VLOOKUP($T478,[1]NhanSu!$C$5:$M$229,11,0)</f>
        <v>SM0000113</v>
      </c>
    </row>
    <row r="479" spans="1:30" x14ac:dyDescent="0.45">
      <c r="A479" s="8" t="s">
        <v>5578</v>
      </c>
      <c r="B479" s="4">
        <v>1034</v>
      </c>
      <c r="C479" s="4" t="s">
        <v>5855</v>
      </c>
      <c r="D479" s="4" t="s">
        <v>5856</v>
      </c>
      <c r="E479" s="4" t="s">
        <v>5602</v>
      </c>
      <c r="F479" s="4" t="s">
        <v>1340</v>
      </c>
      <c r="G479" s="4" t="s">
        <v>177</v>
      </c>
      <c r="H479" s="4" t="s">
        <v>171</v>
      </c>
      <c r="I479" s="4" t="s">
        <v>5857</v>
      </c>
      <c r="J479" s="4" t="s">
        <v>38</v>
      </c>
      <c r="K479" s="4" t="s">
        <v>38</v>
      </c>
      <c r="L479" s="4" t="s">
        <v>40</v>
      </c>
      <c r="M479" s="4" t="s">
        <v>38</v>
      </c>
      <c r="N479" s="4" t="s">
        <v>37</v>
      </c>
      <c r="O479" s="4" t="s">
        <v>40</v>
      </c>
      <c r="P479" s="4" t="s">
        <v>38</v>
      </c>
      <c r="Q479" s="4" t="s">
        <v>38</v>
      </c>
      <c r="R479" s="4" t="s">
        <v>40</v>
      </c>
      <c r="S479" s="4" t="s">
        <v>41</v>
      </c>
      <c r="T479" s="4" t="s">
        <v>5766</v>
      </c>
      <c r="U479" s="4" t="s">
        <v>5597</v>
      </c>
      <c r="V479" s="4" t="s">
        <v>5586</v>
      </c>
      <c r="W479" s="4" t="s">
        <v>5598</v>
      </c>
      <c r="X479" s="4"/>
      <c r="Y479" s="4"/>
      <c r="Z479" s="4" t="s">
        <v>46</v>
      </c>
      <c r="AA479" s="4" t="s">
        <v>5599</v>
      </c>
      <c r="AB479" s="4" t="s">
        <v>4223</v>
      </c>
      <c r="AC479" s="9">
        <v>1</v>
      </c>
      <c r="AD479" t="str">
        <f>VLOOKUP($T479,[1]NhanSu!$C$5:$M$229,11,0)</f>
        <v>SM0000188</v>
      </c>
    </row>
    <row r="480" spans="1:30" x14ac:dyDescent="0.45">
      <c r="A480" s="6" t="s">
        <v>5578</v>
      </c>
      <c r="B480" s="5">
        <v>1053</v>
      </c>
      <c r="C480" s="5" t="s">
        <v>5858</v>
      </c>
      <c r="D480" s="5" t="s">
        <v>5859</v>
      </c>
      <c r="E480" s="5" t="s">
        <v>108</v>
      </c>
      <c r="F480" s="5" t="s">
        <v>53</v>
      </c>
      <c r="G480" s="5" t="s">
        <v>177</v>
      </c>
      <c r="H480" s="5" t="s">
        <v>54</v>
      </c>
      <c r="I480" s="5" t="s">
        <v>5860</v>
      </c>
      <c r="J480" s="5" t="s">
        <v>38</v>
      </c>
      <c r="K480" s="5" t="s">
        <v>38</v>
      </c>
      <c r="L480" s="5" t="s">
        <v>39</v>
      </c>
      <c r="M480" s="5" t="s">
        <v>38</v>
      </c>
      <c r="N480" s="5" t="s">
        <v>38</v>
      </c>
      <c r="O480" s="5" t="s">
        <v>39</v>
      </c>
      <c r="P480" s="5" t="s">
        <v>38</v>
      </c>
      <c r="Q480" s="5" t="s">
        <v>38</v>
      </c>
      <c r="R480" s="5" t="s">
        <v>40</v>
      </c>
      <c r="S480" s="5" t="s">
        <v>41</v>
      </c>
      <c r="T480" s="5" t="s">
        <v>5596</v>
      </c>
      <c r="U480" s="5" t="s">
        <v>5597</v>
      </c>
      <c r="V480" s="5" t="s">
        <v>5586</v>
      </c>
      <c r="W480" s="5" t="s">
        <v>5598</v>
      </c>
      <c r="X480" s="5"/>
      <c r="Y480" s="5"/>
      <c r="Z480" s="5" t="s">
        <v>46</v>
      </c>
      <c r="AA480" s="5" t="s">
        <v>5599</v>
      </c>
      <c r="AB480" s="5" t="s">
        <v>4223</v>
      </c>
      <c r="AC480" s="7">
        <v>1</v>
      </c>
      <c r="AD480" t="str">
        <f>VLOOKUP($T480,[1]NhanSu!$C$5:$M$229,11,0)</f>
        <v>SM0000129</v>
      </c>
    </row>
    <row r="481" spans="1:30" x14ac:dyDescent="0.45">
      <c r="A481" s="8" t="s">
        <v>5578</v>
      </c>
      <c r="B481" s="4">
        <v>1058</v>
      </c>
      <c r="C481" s="4" t="s">
        <v>5864</v>
      </c>
      <c r="D481" s="4" t="s">
        <v>5865</v>
      </c>
      <c r="E481" s="4" t="s">
        <v>290</v>
      </c>
      <c r="F481" s="4" t="s">
        <v>426</v>
      </c>
      <c r="G481" s="4" t="s">
        <v>177</v>
      </c>
      <c r="H481" s="4" t="s">
        <v>54</v>
      </c>
      <c r="I481" s="4" t="s">
        <v>5867</v>
      </c>
      <c r="J481" s="4" t="s">
        <v>38</v>
      </c>
      <c r="K481" s="4" t="s">
        <v>38</v>
      </c>
      <c r="L481" s="4" t="s">
        <v>39</v>
      </c>
      <c r="M481" s="4" t="s">
        <v>38</v>
      </c>
      <c r="N481" s="4" t="s">
        <v>38</v>
      </c>
      <c r="O481" s="4" t="s">
        <v>39</v>
      </c>
      <c r="P481" s="4" t="s">
        <v>38</v>
      </c>
      <c r="Q481" s="4" t="s">
        <v>38</v>
      </c>
      <c r="R481" s="4" t="s">
        <v>39</v>
      </c>
      <c r="S481" s="4" t="s">
        <v>41</v>
      </c>
      <c r="T481" s="4" t="s">
        <v>5596</v>
      </c>
      <c r="U481" s="4" t="s">
        <v>5597</v>
      </c>
      <c r="V481" s="4" t="s">
        <v>5586</v>
      </c>
      <c r="W481" s="4" t="s">
        <v>5598</v>
      </c>
      <c r="X481" s="4"/>
      <c r="Y481" s="4"/>
      <c r="Z481" s="4" t="s">
        <v>46</v>
      </c>
      <c r="AA481" s="4" t="s">
        <v>5599</v>
      </c>
      <c r="AB481" s="4" t="s">
        <v>4223</v>
      </c>
      <c r="AC481" s="9">
        <v>1</v>
      </c>
      <c r="AD481" t="str">
        <f>VLOOKUP($T481,[1]NhanSu!$C$5:$M$229,11,0)</f>
        <v>SM0000129</v>
      </c>
    </row>
    <row r="482" spans="1:30" x14ac:dyDescent="0.45">
      <c r="A482" s="6" t="s">
        <v>5578</v>
      </c>
      <c r="B482" s="5">
        <v>1064</v>
      </c>
      <c r="C482" s="5" t="s">
        <v>5868</v>
      </c>
      <c r="D482" s="5" t="s">
        <v>5869</v>
      </c>
      <c r="E482" s="5" t="s">
        <v>304</v>
      </c>
      <c r="F482" s="5" t="s">
        <v>53</v>
      </c>
      <c r="G482" s="5" t="s">
        <v>177</v>
      </c>
      <c r="H482" s="5" t="s">
        <v>54</v>
      </c>
      <c r="I482" s="5" t="s">
        <v>5870</v>
      </c>
      <c r="J482" s="5" t="s">
        <v>38</v>
      </c>
      <c r="K482" s="5" t="s">
        <v>38</v>
      </c>
      <c r="L482" s="5" t="s">
        <v>39</v>
      </c>
      <c r="M482" s="5" t="s">
        <v>38</v>
      </c>
      <c r="N482" s="5" t="s">
        <v>38</v>
      </c>
      <c r="O482" s="5" t="s">
        <v>39</v>
      </c>
      <c r="P482" s="5" t="s">
        <v>38</v>
      </c>
      <c r="Q482" s="5" t="s">
        <v>38</v>
      </c>
      <c r="R482" s="5" t="s">
        <v>39</v>
      </c>
      <c r="S482" s="5" t="s">
        <v>41</v>
      </c>
      <c r="T482" s="5" t="s">
        <v>5596</v>
      </c>
      <c r="U482" s="5" t="s">
        <v>5597</v>
      </c>
      <c r="V482" s="5" t="s">
        <v>5586</v>
      </c>
      <c r="W482" s="5" t="s">
        <v>5598</v>
      </c>
      <c r="X482" s="5"/>
      <c r="Y482" s="5"/>
      <c r="Z482" s="5" t="s">
        <v>46</v>
      </c>
      <c r="AA482" s="5" t="s">
        <v>5599</v>
      </c>
      <c r="AB482" s="5" t="s">
        <v>3109</v>
      </c>
      <c r="AC482" s="7">
        <v>1</v>
      </c>
      <c r="AD482" t="str">
        <f>VLOOKUP($T482,[1]NhanSu!$C$5:$M$229,11,0)</f>
        <v>SM0000129</v>
      </c>
    </row>
    <row r="483" spans="1:30" x14ac:dyDescent="0.45">
      <c r="A483" s="8" t="s">
        <v>5578</v>
      </c>
      <c r="B483" s="4">
        <v>1078</v>
      </c>
      <c r="C483" s="4" t="s">
        <v>5879</v>
      </c>
      <c r="D483" s="4" t="s">
        <v>5880</v>
      </c>
      <c r="E483" s="4" t="s">
        <v>113</v>
      </c>
      <c r="F483" s="4" t="s">
        <v>53</v>
      </c>
      <c r="G483" s="4" t="s">
        <v>177</v>
      </c>
      <c r="H483" s="4" t="s">
        <v>54</v>
      </c>
      <c r="I483" s="4" t="s">
        <v>5881</v>
      </c>
      <c r="J483" s="4" t="s">
        <v>38</v>
      </c>
      <c r="K483" s="4" t="s">
        <v>38</v>
      </c>
      <c r="L483" s="4" t="s">
        <v>40</v>
      </c>
      <c r="M483" s="4" t="s">
        <v>38</v>
      </c>
      <c r="N483" s="4" t="s">
        <v>38</v>
      </c>
      <c r="O483" s="4" t="s">
        <v>40</v>
      </c>
      <c r="P483" s="4" t="s">
        <v>38</v>
      </c>
      <c r="Q483" s="4" t="s">
        <v>38</v>
      </c>
      <c r="R483" s="4" t="s">
        <v>40</v>
      </c>
      <c r="S483" s="4" t="s">
        <v>5662</v>
      </c>
      <c r="T483" s="4" t="s">
        <v>5633</v>
      </c>
      <c r="U483" s="4" t="s">
        <v>5620</v>
      </c>
      <c r="V483" s="4" t="s">
        <v>5586</v>
      </c>
      <c r="W483" s="4" t="s">
        <v>5621</v>
      </c>
      <c r="X483" s="4"/>
      <c r="Y483" s="4"/>
      <c r="Z483" s="4" t="s">
        <v>46</v>
      </c>
      <c r="AA483" s="4" t="s">
        <v>5599</v>
      </c>
      <c r="AB483" s="4" t="s">
        <v>3109</v>
      </c>
      <c r="AC483" s="9">
        <v>1</v>
      </c>
      <c r="AD483" t="str">
        <f>VLOOKUP($T483,[1]NhanSu!$C$5:$M$229,11,0)</f>
        <v>SM0000127</v>
      </c>
    </row>
    <row r="484" spans="1:30" x14ac:dyDescent="0.45">
      <c r="A484" s="6" t="s">
        <v>5578</v>
      </c>
      <c r="B484" s="5">
        <v>1089</v>
      </c>
      <c r="C484" s="5" t="s">
        <v>5890</v>
      </c>
      <c r="D484" s="5" t="s">
        <v>5891</v>
      </c>
      <c r="E484" s="5" t="s">
        <v>742</v>
      </c>
      <c r="F484" s="5" t="s">
        <v>5892</v>
      </c>
      <c r="G484" s="5" t="s">
        <v>177</v>
      </c>
      <c r="H484" s="5" t="s">
        <v>1280</v>
      </c>
      <c r="I484" s="5" t="s">
        <v>5893</v>
      </c>
      <c r="J484" s="5" t="s">
        <v>38</v>
      </c>
      <c r="K484" s="5" t="s">
        <v>38</v>
      </c>
      <c r="L484" s="5" t="s">
        <v>39</v>
      </c>
      <c r="M484" s="5" t="s">
        <v>38</v>
      </c>
      <c r="N484" s="5" t="s">
        <v>38</v>
      </c>
      <c r="O484" s="5" t="s">
        <v>39</v>
      </c>
      <c r="P484" s="5" t="s">
        <v>38</v>
      </c>
      <c r="Q484" s="5" t="s">
        <v>38</v>
      </c>
      <c r="R484" s="5" t="s">
        <v>39</v>
      </c>
      <c r="S484" s="5" t="s">
        <v>41</v>
      </c>
      <c r="T484" s="5" t="s">
        <v>5596</v>
      </c>
      <c r="U484" s="5" t="s">
        <v>5597</v>
      </c>
      <c r="V484" s="5" t="s">
        <v>5586</v>
      </c>
      <c r="W484" s="5" t="s">
        <v>5598</v>
      </c>
      <c r="X484" s="5"/>
      <c r="Y484" s="5"/>
      <c r="Z484" s="5" t="s">
        <v>46</v>
      </c>
      <c r="AA484" s="5" t="s">
        <v>5599</v>
      </c>
      <c r="AB484" s="5" t="s">
        <v>5658</v>
      </c>
      <c r="AC484" s="7">
        <v>1</v>
      </c>
      <c r="AD484" t="str">
        <f>VLOOKUP($T484,[1]NhanSu!$C$5:$M$229,11,0)</f>
        <v>SM0000129</v>
      </c>
    </row>
    <row r="485" spans="1:30" x14ac:dyDescent="0.45">
      <c r="A485" s="8" t="s">
        <v>5578</v>
      </c>
      <c r="B485" s="4">
        <v>1113</v>
      </c>
      <c r="C485" s="4" t="s">
        <v>5901</v>
      </c>
      <c r="D485" s="4" t="s">
        <v>5902</v>
      </c>
      <c r="E485" s="4" t="s">
        <v>148</v>
      </c>
      <c r="F485" s="4" t="s">
        <v>426</v>
      </c>
      <c r="G485" s="4" t="s">
        <v>177</v>
      </c>
      <c r="H485" s="4" t="s">
        <v>842</v>
      </c>
      <c r="I485" s="4" t="s">
        <v>5903</v>
      </c>
      <c r="J485" s="4" t="s">
        <v>37</v>
      </c>
      <c r="K485" s="4" t="s">
        <v>37</v>
      </c>
      <c r="L485" s="4" t="s">
        <v>39</v>
      </c>
      <c r="M485" s="4" t="s">
        <v>37</v>
      </c>
      <c r="N485" s="4" t="s">
        <v>37</v>
      </c>
      <c r="O485" s="4" t="s">
        <v>39</v>
      </c>
      <c r="P485" s="4" t="s">
        <v>38</v>
      </c>
      <c r="Q485" s="4" t="s">
        <v>38</v>
      </c>
      <c r="R485" s="4" t="s">
        <v>40</v>
      </c>
      <c r="S485" s="4" t="s">
        <v>41</v>
      </c>
      <c r="T485" s="4" t="s">
        <v>5596</v>
      </c>
      <c r="U485" s="4" t="s">
        <v>5597</v>
      </c>
      <c r="V485" s="4" t="s">
        <v>5586</v>
      </c>
      <c r="W485" s="4" t="s">
        <v>5598</v>
      </c>
      <c r="X485" s="4"/>
      <c r="Y485" s="4"/>
      <c r="Z485" s="4" t="s">
        <v>46</v>
      </c>
      <c r="AA485" s="4" t="s">
        <v>5599</v>
      </c>
      <c r="AB485" s="4" t="s">
        <v>3109</v>
      </c>
      <c r="AC485" s="9">
        <v>1</v>
      </c>
      <c r="AD485" t="str">
        <f>VLOOKUP($T485,[1]NhanSu!$C$5:$M$229,11,0)</f>
        <v>SM0000129</v>
      </c>
    </row>
    <row r="486" spans="1:30" x14ac:dyDescent="0.45">
      <c r="A486" s="6" t="s">
        <v>5578</v>
      </c>
      <c r="B486" s="5">
        <v>1139</v>
      </c>
      <c r="C486" s="5" t="s">
        <v>5913</v>
      </c>
      <c r="D486" s="5" t="s">
        <v>5914</v>
      </c>
      <c r="E486" s="5" t="s">
        <v>1172</v>
      </c>
      <c r="F486" s="5" t="s">
        <v>1787</v>
      </c>
      <c r="G486" s="5" t="s">
        <v>34</v>
      </c>
      <c r="H486" s="5" t="s">
        <v>2952</v>
      </c>
      <c r="I486" s="5" t="s">
        <v>5915</v>
      </c>
      <c r="J486" s="5" t="s">
        <v>37</v>
      </c>
      <c r="K486" s="5" t="s">
        <v>37</v>
      </c>
      <c r="L486" s="5" t="s">
        <v>39</v>
      </c>
      <c r="M486" s="5" t="s">
        <v>37</v>
      </c>
      <c r="N486" s="5" t="s">
        <v>37</v>
      </c>
      <c r="O486" s="5" t="s">
        <v>39</v>
      </c>
      <c r="P486" s="5" t="s">
        <v>37</v>
      </c>
      <c r="Q486" s="5" t="s">
        <v>37</v>
      </c>
      <c r="R486" s="5" t="s">
        <v>39</v>
      </c>
      <c r="S486" s="5" t="s">
        <v>41</v>
      </c>
      <c r="T486" s="5" t="s">
        <v>5916</v>
      </c>
      <c r="U486" s="5" t="s">
        <v>5917</v>
      </c>
      <c r="V486" s="5" t="s">
        <v>5586</v>
      </c>
      <c r="W486" s="5" t="s">
        <v>5598</v>
      </c>
      <c r="X486" s="5"/>
      <c r="Y486" s="5"/>
      <c r="Z486" s="5" t="s">
        <v>46</v>
      </c>
      <c r="AA486" s="5" t="s">
        <v>5599</v>
      </c>
      <c r="AB486" s="5" t="s">
        <v>4223</v>
      </c>
      <c r="AC486" s="7">
        <v>1</v>
      </c>
      <c r="AD486" t="str">
        <f>VLOOKUP($T486,[1]NhanSu!$C$5:$M$229,11,0)</f>
        <v>SM0000128</v>
      </c>
    </row>
    <row r="487" spans="1:30" x14ac:dyDescent="0.45">
      <c r="A487" s="8" t="s">
        <v>5578</v>
      </c>
      <c r="B487" s="4">
        <v>1186</v>
      </c>
      <c r="C487" s="4" t="s">
        <v>5918</v>
      </c>
      <c r="D487" s="4" t="s">
        <v>5919</v>
      </c>
      <c r="E487" s="4" t="s">
        <v>828</v>
      </c>
      <c r="F487" s="4" t="s">
        <v>5920</v>
      </c>
      <c r="G487" s="4" t="s">
        <v>150</v>
      </c>
      <c r="H487" s="4" t="s">
        <v>54</v>
      </c>
      <c r="I487" s="4" t="s">
        <v>5921</v>
      </c>
      <c r="J487" s="4" t="s">
        <v>37</v>
      </c>
      <c r="K487" s="4" t="s">
        <v>37</v>
      </c>
      <c r="L487" s="4" t="s">
        <v>39</v>
      </c>
      <c r="M487" s="4" t="s">
        <v>1034</v>
      </c>
      <c r="N487" s="4" t="s">
        <v>37</v>
      </c>
      <c r="O487" s="4" t="s">
        <v>39</v>
      </c>
      <c r="P487" s="4" t="s">
        <v>38</v>
      </c>
      <c r="Q487" s="4" t="s">
        <v>38</v>
      </c>
      <c r="R487" s="4" t="s">
        <v>39</v>
      </c>
      <c r="S487" s="4" t="s">
        <v>41</v>
      </c>
      <c r="T487" s="4" t="s">
        <v>5647</v>
      </c>
      <c r="U487" s="4" t="s">
        <v>5648</v>
      </c>
      <c r="V487" s="4" t="s">
        <v>5586</v>
      </c>
      <c r="W487" s="4" t="s">
        <v>5649</v>
      </c>
      <c r="X487" s="4"/>
      <c r="Y487" s="4"/>
      <c r="Z487" s="4" t="s">
        <v>46</v>
      </c>
      <c r="AA487" s="4" t="s">
        <v>5678</v>
      </c>
      <c r="AB487" s="4" t="s">
        <v>3109</v>
      </c>
      <c r="AC487" s="9">
        <v>1</v>
      </c>
      <c r="AD487" t="str">
        <f>VLOOKUP($T487,[1]NhanSu!$C$5:$M$229,11,0)</f>
        <v>SM0000113</v>
      </c>
    </row>
    <row r="488" spans="1:30" x14ac:dyDescent="0.45">
      <c r="A488" s="6" t="s">
        <v>5578</v>
      </c>
      <c r="B488" s="5">
        <v>1231</v>
      </c>
      <c r="C488" s="5" t="s">
        <v>5922</v>
      </c>
      <c r="D488" s="5" t="s">
        <v>5923</v>
      </c>
      <c r="E488" s="5" t="s">
        <v>5925</v>
      </c>
      <c r="F488" s="5" t="s">
        <v>478</v>
      </c>
      <c r="G488" s="5" t="s">
        <v>177</v>
      </c>
      <c r="H488" s="5" t="s">
        <v>54</v>
      </c>
      <c r="I488" s="5" t="s">
        <v>5926</v>
      </c>
      <c r="J488" s="5" t="s">
        <v>37</v>
      </c>
      <c r="K488" s="5" t="s">
        <v>37</v>
      </c>
      <c r="L488" s="5" t="s">
        <v>39</v>
      </c>
      <c r="M488" s="5" t="s">
        <v>37</v>
      </c>
      <c r="N488" s="5" t="s">
        <v>37</v>
      </c>
      <c r="O488" s="5" t="s">
        <v>39</v>
      </c>
      <c r="P488" s="5" t="s">
        <v>38</v>
      </c>
      <c r="Q488" s="5" t="s">
        <v>37</v>
      </c>
      <c r="R488" s="5" t="s">
        <v>39</v>
      </c>
      <c r="S488" s="5" t="s">
        <v>5927</v>
      </c>
      <c r="T488" s="5" t="s">
        <v>5633</v>
      </c>
      <c r="U488" s="5" t="s">
        <v>5620</v>
      </c>
      <c r="V488" s="5" t="s">
        <v>5586</v>
      </c>
      <c r="W488" s="5" t="s">
        <v>5621</v>
      </c>
      <c r="X488" s="5"/>
      <c r="Y488" s="5"/>
      <c r="Z488" s="5" t="s">
        <v>46</v>
      </c>
      <c r="AA488" s="5" t="s">
        <v>5599</v>
      </c>
      <c r="AB488" s="5" t="s">
        <v>4223</v>
      </c>
      <c r="AC488" s="7">
        <v>1</v>
      </c>
      <c r="AD488" t="str">
        <f>VLOOKUP($T488,[1]NhanSu!$C$5:$M$229,11,0)</f>
        <v>SM0000127</v>
      </c>
    </row>
    <row r="489" spans="1:30" x14ac:dyDescent="0.45">
      <c r="A489" s="8" t="s">
        <v>5578</v>
      </c>
      <c r="B489" s="4">
        <v>1240</v>
      </c>
      <c r="C489" s="4" t="s">
        <v>5934</v>
      </c>
      <c r="D489" s="4" t="s">
        <v>5935</v>
      </c>
      <c r="E489" s="4" t="s">
        <v>1964</v>
      </c>
      <c r="F489" s="4" t="s">
        <v>5386</v>
      </c>
      <c r="G489" s="4" t="s">
        <v>1624</v>
      </c>
      <c r="H489" s="4" t="s">
        <v>77</v>
      </c>
      <c r="I489" s="4" t="s">
        <v>5936</v>
      </c>
      <c r="J489" s="4" t="s">
        <v>775</v>
      </c>
      <c r="K489" s="4" t="s">
        <v>775</v>
      </c>
      <c r="L489" s="4" t="s">
        <v>39</v>
      </c>
      <c r="M489" s="4" t="s">
        <v>37</v>
      </c>
      <c r="N489" s="4" t="s">
        <v>37</v>
      </c>
      <c r="O489" s="4" t="s">
        <v>39</v>
      </c>
      <c r="P489" s="4" t="s">
        <v>37</v>
      </c>
      <c r="Q489" s="4" t="s">
        <v>37</v>
      </c>
      <c r="R489" s="4" t="s">
        <v>39</v>
      </c>
      <c r="S489" s="4" t="s">
        <v>41</v>
      </c>
      <c r="T489" s="4" t="s">
        <v>5676</v>
      </c>
      <c r="U489" s="4" t="s">
        <v>5677</v>
      </c>
      <c r="V489" s="4" t="s">
        <v>5586</v>
      </c>
      <c r="W489" s="4" t="s">
        <v>5607</v>
      </c>
      <c r="X489" s="4"/>
      <c r="Y489" s="4"/>
      <c r="Z489" s="4" t="s">
        <v>46</v>
      </c>
      <c r="AA489" s="4" t="s">
        <v>5678</v>
      </c>
      <c r="AB489" s="4" t="s">
        <v>4223</v>
      </c>
      <c r="AC489" s="9">
        <v>1</v>
      </c>
      <c r="AD489" t="str">
        <f>VLOOKUP($T489,[1]NhanSu!$C$5:$M$229,11,0)</f>
        <v>SM0000111</v>
      </c>
    </row>
    <row r="490" spans="1:30" x14ac:dyDescent="0.45">
      <c r="A490" s="6" t="s">
        <v>5578</v>
      </c>
      <c r="B490" s="5">
        <v>1284</v>
      </c>
      <c r="C490" s="5" t="s">
        <v>5945</v>
      </c>
      <c r="D490" s="5" t="s">
        <v>5946</v>
      </c>
      <c r="E490" s="5" t="s">
        <v>789</v>
      </c>
      <c r="F490" s="5" t="s">
        <v>298</v>
      </c>
      <c r="G490" s="5" t="s">
        <v>1624</v>
      </c>
      <c r="H490" s="5" t="s">
        <v>2251</v>
      </c>
      <c r="I490" s="5" t="s">
        <v>5947</v>
      </c>
      <c r="J490" s="5" t="s">
        <v>775</v>
      </c>
      <c r="K490" s="5" t="s">
        <v>775</v>
      </c>
      <c r="L490" s="5" t="s">
        <v>39</v>
      </c>
      <c r="M490" s="5" t="s">
        <v>37</v>
      </c>
      <c r="N490" s="5" t="s">
        <v>37</v>
      </c>
      <c r="O490" s="5" t="s">
        <v>39</v>
      </c>
      <c r="P490" s="5" t="s">
        <v>37</v>
      </c>
      <c r="Q490" s="5" t="s">
        <v>37</v>
      </c>
      <c r="R490" s="5" t="s">
        <v>39</v>
      </c>
      <c r="S490" s="5" t="s">
        <v>41</v>
      </c>
      <c r="T490" s="5" t="s">
        <v>5676</v>
      </c>
      <c r="U490" s="5" t="s">
        <v>5677</v>
      </c>
      <c r="V490" s="5" t="s">
        <v>5586</v>
      </c>
      <c r="W490" s="5" t="s">
        <v>5607</v>
      </c>
      <c r="X490" s="5"/>
      <c r="Y490" s="5"/>
      <c r="Z490" s="5" t="s">
        <v>46</v>
      </c>
      <c r="AA490" s="5" t="s">
        <v>5678</v>
      </c>
      <c r="AB490" s="5" t="s">
        <v>3109</v>
      </c>
      <c r="AC490" s="7">
        <v>1</v>
      </c>
      <c r="AD490" t="str">
        <f>VLOOKUP($T490,[1]NhanSu!$C$5:$M$229,11,0)</f>
        <v>SM0000111</v>
      </c>
    </row>
    <row r="491" spans="1:30" x14ac:dyDescent="0.45">
      <c r="A491" s="8" t="s">
        <v>5578</v>
      </c>
      <c r="B491" s="4">
        <v>1299</v>
      </c>
      <c r="C491" s="4" t="s">
        <v>5953</v>
      </c>
      <c r="D491" s="4" t="s">
        <v>5954</v>
      </c>
      <c r="E491" s="4" t="s">
        <v>5955</v>
      </c>
      <c r="F491" s="4" t="s">
        <v>4655</v>
      </c>
      <c r="G491" s="4" t="s">
        <v>1458</v>
      </c>
      <c r="H491" s="4" t="s">
        <v>54</v>
      </c>
      <c r="I491" s="4" t="s">
        <v>5956</v>
      </c>
      <c r="J491" s="4" t="s">
        <v>38</v>
      </c>
      <c r="K491" s="4" t="s">
        <v>38</v>
      </c>
      <c r="L491" s="4" t="s">
        <v>39</v>
      </c>
      <c r="M491" s="4" t="s">
        <v>1034</v>
      </c>
      <c r="N491" s="4" t="s">
        <v>37</v>
      </c>
      <c r="O491" s="4" t="s">
        <v>121</v>
      </c>
      <c r="P491" s="4" t="s">
        <v>38</v>
      </c>
      <c r="Q491" s="4" t="s">
        <v>38</v>
      </c>
      <c r="R491" s="4" t="s">
        <v>39</v>
      </c>
      <c r="S491" s="4" t="s">
        <v>41</v>
      </c>
      <c r="T491" s="4" t="s">
        <v>5647</v>
      </c>
      <c r="U491" s="4" t="s">
        <v>5648</v>
      </c>
      <c r="V491" s="4" t="s">
        <v>5586</v>
      </c>
      <c r="W491" s="4" t="s">
        <v>5649</v>
      </c>
      <c r="X491" s="4"/>
      <c r="Y491" s="4"/>
      <c r="Z491" s="4" t="s">
        <v>46</v>
      </c>
      <c r="AA491" s="4" t="s">
        <v>5678</v>
      </c>
      <c r="AB491" s="4" t="s">
        <v>3109</v>
      </c>
      <c r="AC491" s="9">
        <v>1</v>
      </c>
      <c r="AD491" t="str">
        <f>VLOOKUP($T491,[1]NhanSu!$C$5:$M$229,11,0)</f>
        <v>SM0000113</v>
      </c>
    </row>
    <row r="492" spans="1:30" x14ac:dyDescent="0.45">
      <c r="A492" s="6" t="s">
        <v>5578</v>
      </c>
      <c r="B492" s="5">
        <v>1336</v>
      </c>
      <c r="C492" s="5" t="s">
        <v>5963</v>
      </c>
      <c r="D492" s="5" t="s">
        <v>5964</v>
      </c>
      <c r="E492" s="5" t="s">
        <v>206</v>
      </c>
      <c r="F492" s="5" t="s">
        <v>441</v>
      </c>
      <c r="G492" s="5" t="s">
        <v>34</v>
      </c>
      <c r="H492" s="5" t="s">
        <v>54</v>
      </c>
      <c r="I492" s="5" t="s">
        <v>5965</v>
      </c>
      <c r="J492" s="5" t="s">
        <v>38</v>
      </c>
      <c r="K492" s="5" t="s">
        <v>38</v>
      </c>
      <c r="L492" s="5" t="s">
        <v>39</v>
      </c>
      <c r="M492" s="5" t="s">
        <v>38</v>
      </c>
      <c r="N492" s="5" t="s">
        <v>38</v>
      </c>
      <c r="O492" s="5" t="s">
        <v>39</v>
      </c>
      <c r="P492" s="5" t="s">
        <v>38</v>
      </c>
      <c r="Q492" s="5" t="s">
        <v>38</v>
      </c>
      <c r="R492" s="5" t="s">
        <v>40</v>
      </c>
      <c r="S492" s="5" t="s">
        <v>41</v>
      </c>
      <c r="T492" s="5" t="s">
        <v>5596</v>
      </c>
      <c r="U492" s="5" t="s">
        <v>5597</v>
      </c>
      <c r="V492" s="5" t="s">
        <v>5586</v>
      </c>
      <c r="W492" s="5" t="s">
        <v>5598</v>
      </c>
      <c r="X492" s="5"/>
      <c r="Y492" s="5"/>
      <c r="Z492" s="5" t="s">
        <v>46</v>
      </c>
      <c r="AA492" s="5" t="s">
        <v>5599</v>
      </c>
      <c r="AB492" s="5" t="s">
        <v>4223</v>
      </c>
      <c r="AC492" s="7">
        <v>1</v>
      </c>
      <c r="AD492" t="str">
        <f>VLOOKUP($T492,[1]NhanSu!$C$5:$M$229,11,0)</f>
        <v>SM0000129</v>
      </c>
    </row>
    <row r="493" spans="1:30" x14ac:dyDescent="0.45">
      <c r="A493" s="8" t="s">
        <v>5578</v>
      </c>
      <c r="B493" s="4">
        <v>1346</v>
      </c>
      <c r="C493" s="4" t="s">
        <v>5966</v>
      </c>
      <c r="D493" s="4" t="s">
        <v>3715</v>
      </c>
      <c r="E493" s="4" t="s">
        <v>5968</v>
      </c>
      <c r="F493" s="4" t="s">
        <v>5969</v>
      </c>
      <c r="G493" s="4" t="s">
        <v>1458</v>
      </c>
      <c r="H493" s="4" t="s">
        <v>54</v>
      </c>
      <c r="I493" s="4" t="s">
        <v>5970</v>
      </c>
      <c r="J493" s="4" t="s">
        <v>38</v>
      </c>
      <c r="K493" s="4" t="s">
        <v>38</v>
      </c>
      <c r="L493" s="4" t="s">
        <v>39</v>
      </c>
      <c r="M493" s="4" t="s">
        <v>775</v>
      </c>
      <c r="N493" s="4" t="s">
        <v>37</v>
      </c>
      <c r="O493" s="4" t="s">
        <v>121</v>
      </c>
      <c r="P493" s="4" t="s">
        <v>38</v>
      </c>
      <c r="Q493" s="4" t="s">
        <v>38</v>
      </c>
      <c r="R493" s="4" t="s">
        <v>39</v>
      </c>
      <c r="S493" s="4" t="s">
        <v>41</v>
      </c>
      <c r="T493" s="4" t="s">
        <v>5647</v>
      </c>
      <c r="U493" s="4" t="s">
        <v>5648</v>
      </c>
      <c r="V493" s="4" t="s">
        <v>5586</v>
      </c>
      <c r="W493" s="4" t="s">
        <v>5649</v>
      </c>
      <c r="X493" s="4"/>
      <c r="Y493" s="4"/>
      <c r="Z493" s="4" t="s">
        <v>46</v>
      </c>
      <c r="AA493" s="4" t="s">
        <v>5678</v>
      </c>
      <c r="AB493" s="4" t="s">
        <v>2999</v>
      </c>
      <c r="AC493" s="9">
        <v>1</v>
      </c>
      <c r="AD493" t="str">
        <f>VLOOKUP($T493,[1]NhanSu!$C$5:$M$229,11,0)</f>
        <v>SM0000113</v>
      </c>
    </row>
    <row r="494" spans="1:30" x14ac:dyDescent="0.45">
      <c r="A494" s="6" t="s">
        <v>5578</v>
      </c>
      <c r="B494" s="5">
        <v>1357</v>
      </c>
      <c r="C494" s="5" t="s">
        <v>5978</v>
      </c>
      <c r="D494" s="5" t="s">
        <v>5979</v>
      </c>
      <c r="E494" s="5" t="s">
        <v>290</v>
      </c>
      <c r="F494" s="5" t="s">
        <v>53</v>
      </c>
      <c r="G494" s="5" t="s">
        <v>177</v>
      </c>
      <c r="H494" s="5" t="s">
        <v>54</v>
      </c>
      <c r="I494" s="5" t="s">
        <v>5980</v>
      </c>
      <c r="J494" s="5" t="s">
        <v>38</v>
      </c>
      <c r="K494" s="5" t="s">
        <v>38</v>
      </c>
      <c r="L494" s="5" t="s">
        <v>39</v>
      </c>
      <c r="M494" s="5" t="s">
        <v>38</v>
      </c>
      <c r="N494" s="5" t="s">
        <v>38</v>
      </c>
      <c r="O494" s="5" t="s">
        <v>39</v>
      </c>
      <c r="P494" s="5" t="s">
        <v>38</v>
      </c>
      <c r="Q494" s="5" t="s">
        <v>38</v>
      </c>
      <c r="R494" s="5" t="s">
        <v>40</v>
      </c>
      <c r="S494" s="5" t="s">
        <v>41</v>
      </c>
      <c r="T494" s="5" t="s">
        <v>5596</v>
      </c>
      <c r="U494" s="5" t="s">
        <v>5597</v>
      </c>
      <c r="V494" s="5" t="s">
        <v>5586</v>
      </c>
      <c r="W494" s="5" t="s">
        <v>5598</v>
      </c>
      <c r="X494" s="5"/>
      <c r="Y494" s="5"/>
      <c r="Z494" s="5" t="s">
        <v>46</v>
      </c>
      <c r="AA494" s="5" t="s">
        <v>5599</v>
      </c>
      <c r="AB494" s="5" t="s">
        <v>4223</v>
      </c>
      <c r="AC494" s="7">
        <v>1</v>
      </c>
      <c r="AD494" t="str">
        <f>VLOOKUP($T494,[1]NhanSu!$C$5:$M$229,11,0)</f>
        <v>SM0000129</v>
      </c>
    </row>
    <row r="495" spans="1:30" x14ac:dyDescent="0.45">
      <c r="A495" s="8" t="s">
        <v>5578</v>
      </c>
      <c r="B495" s="4">
        <v>1371</v>
      </c>
      <c r="C495" s="4" t="s">
        <v>5986</v>
      </c>
      <c r="D495" s="4" t="s">
        <v>5987</v>
      </c>
      <c r="E495" s="4" t="s">
        <v>5988</v>
      </c>
      <c r="F495" s="4" t="s">
        <v>1423</v>
      </c>
      <c r="G495" s="4" t="s">
        <v>1624</v>
      </c>
      <c r="H495" s="4" t="s">
        <v>1648</v>
      </c>
      <c r="I495" s="4" t="s">
        <v>5989</v>
      </c>
      <c r="J495" s="4" t="s">
        <v>56</v>
      </c>
      <c r="K495" s="4" t="s">
        <v>56</v>
      </c>
      <c r="L495" s="4" t="s">
        <v>39</v>
      </c>
      <c r="M495" s="4" t="s">
        <v>37</v>
      </c>
      <c r="N495" s="4" t="s">
        <v>37</v>
      </c>
      <c r="O495" s="4" t="s">
        <v>39</v>
      </c>
      <c r="P495" s="4" t="s">
        <v>37</v>
      </c>
      <c r="Q495" s="4" t="s">
        <v>37</v>
      </c>
      <c r="R495" s="4" t="s">
        <v>39</v>
      </c>
      <c r="S495" s="4" t="s">
        <v>41</v>
      </c>
      <c r="T495" s="4" t="s">
        <v>5676</v>
      </c>
      <c r="U495" s="4" t="s">
        <v>5677</v>
      </c>
      <c r="V495" s="4" t="s">
        <v>5586</v>
      </c>
      <c r="W495" s="4" t="s">
        <v>5607</v>
      </c>
      <c r="X495" s="4"/>
      <c r="Y495" s="4"/>
      <c r="Z495" s="4" t="s">
        <v>46</v>
      </c>
      <c r="AA495" s="4" t="s">
        <v>5678</v>
      </c>
      <c r="AB495" s="4" t="s">
        <v>4223</v>
      </c>
      <c r="AC495" s="9">
        <v>1</v>
      </c>
      <c r="AD495" t="str">
        <f>VLOOKUP($T495,[1]NhanSu!$C$5:$M$229,11,0)</f>
        <v>SM0000111</v>
      </c>
    </row>
    <row r="496" spans="1:30" x14ac:dyDescent="0.45">
      <c r="A496" s="6" t="s">
        <v>5578</v>
      </c>
      <c r="B496" s="5">
        <v>1426</v>
      </c>
      <c r="C496" s="5" t="s">
        <v>5993</v>
      </c>
      <c r="D496" s="5" t="s">
        <v>5994</v>
      </c>
      <c r="E496" s="5" t="s">
        <v>5995</v>
      </c>
      <c r="F496" s="5" t="s">
        <v>280</v>
      </c>
      <c r="G496" s="5" t="s">
        <v>150</v>
      </c>
      <c r="H496" s="5" t="s">
        <v>319</v>
      </c>
      <c r="I496" s="5" t="s">
        <v>5996</v>
      </c>
      <c r="J496" s="5" t="s">
        <v>1034</v>
      </c>
      <c r="K496" s="5" t="s">
        <v>775</v>
      </c>
      <c r="L496" s="5" t="s">
        <v>39</v>
      </c>
      <c r="M496" s="5" t="s">
        <v>56</v>
      </c>
      <c r="N496" s="5" t="s">
        <v>56</v>
      </c>
      <c r="O496" s="5" t="s">
        <v>39</v>
      </c>
      <c r="P496" s="5" t="s">
        <v>37</v>
      </c>
      <c r="Q496" s="5" t="s">
        <v>37</v>
      </c>
      <c r="R496" s="5" t="s">
        <v>39</v>
      </c>
      <c r="S496" s="5" t="s">
        <v>41</v>
      </c>
      <c r="T496" s="5" t="s">
        <v>5676</v>
      </c>
      <c r="U496" s="5" t="s">
        <v>5677</v>
      </c>
      <c r="V496" s="5" t="s">
        <v>5586</v>
      </c>
      <c r="W496" s="5" t="s">
        <v>5607</v>
      </c>
      <c r="X496" s="5"/>
      <c r="Y496" s="5"/>
      <c r="Z496" s="5" t="s">
        <v>46</v>
      </c>
      <c r="AA496" s="5" t="s">
        <v>5678</v>
      </c>
      <c r="AB496" s="5" t="s">
        <v>3109</v>
      </c>
      <c r="AC496" s="7">
        <v>1</v>
      </c>
      <c r="AD496" t="str">
        <f>VLOOKUP($T496,[1]NhanSu!$C$5:$M$229,11,0)</f>
        <v>SM0000111</v>
      </c>
    </row>
    <row r="497" spans="1:30" x14ac:dyDescent="0.45">
      <c r="A497" s="8" t="s">
        <v>5578</v>
      </c>
      <c r="B497" s="4">
        <v>1470</v>
      </c>
      <c r="C497" s="4" t="s">
        <v>5997</v>
      </c>
      <c r="D497" s="4" t="s">
        <v>5998</v>
      </c>
      <c r="E497" s="4" t="s">
        <v>5999</v>
      </c>
      <c r="F497" s="4" t="s">
        <v>2368</v>
      </c>
      <c r="G497" s="4" t="s">
        <v>1624</v>
      </c>
      <c r="H497" s="4" t="s">
        <v>54</v>
      </c>
      <c r="I497" s="4" t="s">
        <v>6000</v>
      </c>
      <c r="J497" s="4" t="s">
        <v>37</v>
      </c>
      <c r="K497" s="4" t="s">
        <v>38</v>
      </c>
      <c r="L497" s="4" t="s">
        <v>39</v>
      </c>
      <c r="M497" s="4" t="s">
        <v>775</v>
      </c>
      <c r="N497" s="4" t="s">
        <v>37</v>
      </c>
      <c r="O497" s="4" t="s">
        <v>121</v>
      </c>
      <c r="P497" s="4" t="s">
        <v>38</v>
      </c>
      <c r="Q497" s="4" t="s">
        <v>38</v>
      </c>
      <c r="R497" s="4" t="s">
        <v>39</v>
      </c>
      <c r="S497" s="4" t="s">
        <v>41</v>
      </c>
      <c r="T497" s="4" t="s">
        <v>5647</v>
      </c>
      <c r="U497" s="4" t="s">
        <v>5648</v>
      </c>
      <c r="V497" s="4" t="s">
        <v>5586</v>
      </c>
      <c r="W497" s="4" t="s">
        <v>5649</v>
      </c>
      <c r="X497" s="4"/>
      <c r="Y497" s="4"/>
      <c r="Z497" s="4" t="s">
        <v>46</v>
      </c>
      <c r="AA497" s="4" t="s">
        <v>5678</v>
      </c>
      <c r="AB497" s="4" t="s">
        <v>3109</v>
      </c>
      <c r="AC497" s="9">
        <v>1</v>
      </c>
      <c r="AD497" t="str">
        <f>VLOOKUP($T497,[1]NhanSu!$C$5:$M$229,11,0)</f>
        <v>SM0000113</v>
      </c>
    </row>
    <row r="498" spans="1:30" x14ac:dyDescent="0.45">
      <c r="A498" s="6" t="s">
        <v>5578</v>
      </c>
      <c r="B498" s="5">
        <v>1630</v>
      </c>
      <c r="C498" s="5" t="s">
        <v>6020</v>
      </c>
      <c r="D498" s="5" t="s">
        <v>6021</v>
      </c>
      <c r="E498" s="5" t="s">
        <v>523</v>
      </c>
      <c r="F498" s="5" t="s">
        <v>426</v>
      </c>
      <c r="G498" s="5" t="s">
        <v>177</v>
      </c>
      <c r="H498" s="5" t="s">
        <v>3620</v>
      </c>
      <c r="I498" s="5" t="s">
        <v>6022</v>
      </c>
      <c r="J498" s="5" t="s">
        <v>37</v>
      </c>
      <c r="K498" s="5" t="s">
        <v>37</v>
      </c>
      <c r="L498" s="5" t="s">
        <v>39</v>
      </c>
      <c r="M498" s="5" t="s">
        <v>38</v>
      </c>
      <c r="N498" s="5" t="s">
        <v>37</v>
      </c>
      <c r="O498" s="5" t="s">
        <v>39</v>
      </c>
      <c r="P498" s="5" t="s">
        <v>37</v>
      </c>
      <c r="Q498" s="5" t="s">
        <v>37</v>
      </c>
      <c r="R498" s="5" t="s">
        <v>39</v>
      </c>
      <c r="S498" s="5" t="s">
        <v>4751</v>
      </c>
      <c r="T498" s="5" t="s">
        <v>5619</v>
      </c>
      <c r="U498" s="5" t="s">
        <v>5620</v>
      </c>
      <c r="V498" s="5" t="s">
        <v>5586</v>
      </c>
      <c r="W498" s="5" t="s">
        <v>5621</v>
      </c>
      <c r="X498" s="5"/>
      <c r="Y498" s="5"/>
      <c r="Z498" s="5" t="s">
        <v>46</v>
      </c>
      <c r="AA498" s="5" t="s">
        <v>5599</v>
      </c>
      <c r="AB498" s="5" t="s">
        <v>3109</v>
      </c>
      <c r="AC498" s="7">
        <v>1</v>
      </c>
      <c r="AD498" t="str">
        <f>VLOOKUP($T498,[1]NhanSu!$C$5:$M$229,11,0)</f>
        <v>SM0000138</v>
      </c>
    </row>
    <row r="499" spans="1:30" x14ac:dyDescent="0.45">
      <c r="A499" s="8" t="s">
        <v>5578</v>
      </c>
      <c r="B499" s="4">
        <v>1711</v>
      </c>
      <c r="C499" s="4" t="s">
        <v>6045</v>
      </c>
      <c r="D499" s="4" t="s">
        <v>6046</v>
      </c>
      <c r="E499" s="4" t="s">
        <v>2630</v>
      </c>
      <c r="F499" s="4" t="s">
        <v>4061</v>
      </c>
      <c r="G499" s="4" t="s">
        <v>34</v>
      </c>
      <c r="H499" s="4" t="s">
        <v>1746</v>
      </c>
      <c r="I499" s="4" t="s">
        <v>6047</v>
      </c>
      <c r="J499" s="4" t="s">
        <v>38</v>
      </c>
      <c r="K499" s="4" t="s">
        <v>38</v>
      </c>
      <c r="L499" s="4" t="s">
        <v>40</v>
      </c>
      <c r="M499" s="4" t="s">
        <v>37</v>
      </c>
      <c r="N499" s="4" t="s">
        <v>37</v>
      </c>
      <c r="O499" s="4" t="s">
        <v>39</v>
      </c>
      <c r="P499" s="4" t="s">
        <v>38</v>
      </c>
      <c r="Q499" s="4" t="s">
        <v>37</v>
      </c>
      <c r="R499" s="4" t="s">
        <v>39</v>
      </c>
      <c r="S499" s="4" t="s">
        <v>41</v>
      </c>
      <c r="T499" s="4" t="s">
        <v>5711</v>
      </c>
      <c r="U499" s="4" t="s">
        <v>5712</v>
      </c>
      <c r="V499" s="4" t="s">
        <v>5586</v>
      </c>
      <c r="W499" s="4" t="s">
        <v>5649</v>
      </c>
      <c r="X499" s="4"/>
      <c r="Y499" s="4"/>
      <c r="Z499" s="4" t="s">
        <v>46</v>
      </c>
      <c r="AA499" s="4" t="s">
        <v>5678</v>
      </c>
      <c r="AB499" s="4" t="s">
        <v>3109</v>
      </c>
      <c r="AC499" s="9">
        <v>1</v>
      </c>
      <c r="AD499" t="str">
        <f>VLOOKUP($T499,[1]NhanSu!$C$5:$M$229,11,0)</f>
        <v>SM0000186</v>
      </c>
    </row>
    <row r="500" spans="1:30" x14ac:dyDescent="0.45">
      <c r="A500" s="6" t="s">
        <v>5578</v>
      </c>
      <c r="B500" s="5">
        <v>1712</v>
      </c>
      <c r="C500" s="5" t="s">
        <v>6048</v>
      </c>
      <c r="D500" s="5" t="s">
        <v>6049</v>
      </c>
      <c r="E500" s="5" t="s">
        <v>370</v>
      </c>
      <c r="F500" s="5" t="s">
        <v>3764</v>
      </c>
      <c r="G500" s="5" t="s">
        <v>34</v>
      </c>
      <c r="H500" s="5" t="s">
        <v>319</v>
      </c>
      <c r="I500" s="5" t="s">
        <v>6050</v>
      </c>
      <c r="J500" s="5" t="s">
        <v>56</v>
      </c>
      <c r="K500" s="5" t="s">
        <v>56</v>
      </c>
      <c r="L500" s="5" t="s">
        <v>39</v>
      </c>
      <c r="M500" s="5" t="s">
        <v>56</v>
      </c>
      <c r="N500" s="5" t="s">
        <v>56</v>
      </c>
      <c r="O500" s="5" t="s">
        <v>39</v>
      </c>
      <c r="P500" s="5" t="s">
        <v>37</v>
      </c>
      <c r="Q500" s="5" t="s">
        <v>37</v>
      </c>
      <c r="R500" s="5" t="s">
        <v>39</v>
      </c>
      <c r="S500" s="5" t="s">
        <v>41</v>
      </c>
      <c r="T500" s="5" t="s">
        <v>5676</v>
      </c>
      <c r="U500" s="5" t="s">
        <v>5677</v>
      </c>
      <c r="V500" s="5" t="s">
        <v>5586</v>
      </c>
      <c r="W500" s="5" t="s">
        <v>5607</v>
      </c>
      <c r="X500" s="5"/>
      <c r="Y500" s="5"/>
      <c r="Z500" s="5" t="s">
        <v>46</v>
      </c>
      <c r="AA500" s="5" t="s">
        <v>5678</v>
      </c>
      <c r="AB500" s="5" t="s">
        <v>3109</v>
      </c>
      <c r="AC500" s="7">
        <v>1</v>
      </c>
      <c r="AD500" t="str">
        <f>VLOOKUP($T500,[1]NhanSu!$C$5:$M$229,11,0)</f>
        <v>SM0000111</v>
      </c>
    </row>
    <row r="501" spans="1:30" x14ac:dyDescent="0.45">
      <c r="A501" s="8" t="s">
        <v>5578</v>
      </c>
      <c r="B501" s="4">
        <v>1721</v>
      </c>
      <c r="C501" s="4" t="s">
        <v>6054</v>
      </c>
      <c r="D501" s="4" t="s">
        <v>6055</v>
      </c>
      <c r="E501" s="4" t="s">
        <v>1695</v>
      </c>
      <c r="F501" s="4" t="s">
        <v>3069</v>
      </c>
      <c r="G501" s="4" t="s">
        <v>34</v>
      </c>
      <c r="H501" s="4" t="s">
        <v>842</v>
      </c>
      <c r="I501" s="4" t="s">
        <v>6056</v>
      </c>
      <c r="J501" s="4" t="s">
        <v>38</v>
      </c>
      <c r="K501" s="4" t="s">
        <v>38</v>
      </c>
      <c r="L501" s="4" t="s">
        <v>40</v>
      </c>
      <c r="M501" s="4" t="s">
        <v>37</v>
      </c>
      <c r="N501" s="4" t="s">
        <v>37</v>
      </c>
      <c r="O501" s="4" t="s">
        <v>39</v>
      </c>
      <c r="P501" s="4" t="s">
        <v>38</v>
      </c>
      <c r="Q501" s="4" t="s">
        <v>37</v>
      </c>
      <c r="R501" s="4" t="s">
        <v>39</v>
      </c>
      <c r="S501" s="4" t="s">
        <v>41</v>
      </c>
      <c r="T501" s="4" t="s">
        <v>5711</v>
      </c>
      <c r="U501" s="4" t="s">
        <v>5712</v>
      </c>
      <c r="V501" s="4" t="s">
        <v>5586</v>
      </c>
      <c r="W501" s="4" t="s">
        <v>5649</v>
      </c>
      <c r="X501" s="4"/>
      <c r="Y501" s="4"/>
      <c r="Z501" s="4" t="s">
        <v>46</v>
      </c>
      <c r="AA501" s="4" t="s">
        <v>5678</v>
      </c>
      <c r="AB501" s="4" t="s">
        <v>3109</v>
      </c>
      <c r="AC501" s="9">
        <v>1</v>
      </c>
      <c r="AD501" t="str">
        <f>VLOOKUP($T501,[1]NhanSu!$C$5:$M$229,11,0)</f>
        <v>SM0000186</v>
      </c>
    </row>
    <row r="502" spans="1:30" x14ac:dyDescent="0.45">
      <c r="A502" s="6" t="s">
        <v>5578</v>
      </c>
      <c r="B502" s="5">
        <v>1732</v>
      </c>
      <c r="C502" s="5" t="s">
        <v>6063</v>
      </c>
      <c r="D502" s="5" t="s">
        <v>6064</v>
      </c>
      <c r="E502" s="5" t="s">
        <v>297</v>
      </c>
      <c r="F502" s="5" t="s">
        <v>339</v>
      </c>
      <c r="G502" s="5" t="s">
        <v>34</v>
      </c>
      <c r="H502" s="5" t="s">
        <v>1746</v>
      </c>
      <c r="I502" s="5" t="s">
        <v>6065</v>
      </c>
      <c r="J502" s="5" t="s">
        <v>38</v>
      </c>
      <c r="K502" s="5" t="s">
        <v>38</v>
      </c>
      <c r="L502" s="5" t="s">
        <v>40</v>
      </c>
      <c r="M502" s="5" t="s">
        <v>37</v>
      </c>
      <c r="N502" s="5" t="s">
        <v>38</v>
      </c>
      <c r="O502" s="5" t="s">
        <v>39</v>
      </c>
      <c r="P502" s="5" t="s">
        <v>38</v>
      </c>
      <c r="Q502" s="5" t="s">
        <v>37</v>
      </c>
      <c r="R502" s="5" t="s">
        <v>39</v>
      </c>
      <c r="S502" s="5" t="s">
        <v>41</v>
      </c>
      <c r="T502" s="5" t="s">
        <v>5711</v>
      </c>
      <c r="U502" s="5" t="s">
        <v>5712</v>
      </c>
      <c r="V502" s="5" t="s">
        <v>5586</v>
      </c>
      <c r="W502" s="5" t="s">
        <v>5649</v>
      </c>
      <c r="X502" s="5"/>
      <c r="Y502" s="5"/>
      <c r="Z502" s="5" t="s">
        <v>46</v>
      </c>
      <c r="AA502" s="5" t="s">
        <v>5678</v>
      </c>
      <c r="AB502" s="5" t="s">
        <v>4223</v>
      </c>
      <c r="AC502" s="7">
        <v>1</v>
      </c>
      <c r="AD502" t="str">
        <f>VLOOKUP($T502,[1]NhanSu!$C$5:$M$229,11,0)</f>
        <v>SM0000186</v>
      </c>
    </row>
    <row r="503" spans="1:30" x14ac:dyDescent="0.45">
      <c r="A503" s="8" t="s">
        <v>5578</v>
      </c>
      <c r="B503" s="4">
        <v>1755</v>
      </c>
      <c r="C503" s="4" t="s">
        <v>6073</v>
      </c>
      <c r="D503" s="4" t="s">
        <v>6074</v>
      </c>
      <c r="E503" s="4" t="s">
        <v>157</v>
      </c>
      <c r="F503" s="4" t="s">
        <v>930</v>
      </c>
      <c r="G503" s="4" t="s">
        <v>34</v>
      </c>
      <c r="H503" s="4" t="s">
        <v>54</v>
      </c>
      <c r="I503" s="4" t="s">
        <v>6075</v>
      </c>
      <c r="J503" s="4" t="s">
        <v>38</v>
      </c>
      <c r="K503" s="4" t="s">
        <v>38</v>
      </c>
      <c r="L503" s="4" t="s">
        <v>39</v>
      </c>
      <c r="M503" s="4" t="s">
        <v>38</v>
      </c>
      <c r="N503" s="4" t="s">
        <v>38</v>
      </c>
      <c r="O503" s="4" t="s">
        <v>39</v>
      </c>
      <c r="P503" s="4" t="s">
        <v>38</v>
      </c>
      <c r="Q503" s="4" t="s">
        <v>38</v>
      </c>
      <c r="R503" s="4" t="s">
        <v>40</v>
      </c>
      <c r="S503" s="4" t="s">
        <v>41</v>
      </c>
      <c r="T503" s="4" t="s">
        <v>5596</v>
      </c>
      <c r="U503" s="4" t="s">
        <v>5597</v>
      </c>
      <c r="V503" s="4" t="s">
        <v>5586</v>
      </c>
      <c r="W503" s="4" t="s">
        <v>5598</v>
      </c>
      <c r="X503" s="4"/>
      <c r="Y503" s="4"/>
      <c r="Z503" s="4" t="s">
        <v>46</v>
      </c>
      <c r="AA503" s="4" t="s">
        <v>5599</v>
      </c>
      <c r="AB503" s="4" t="s">
        <v>3109</v>
      </c>
      <c r="AC503" s="9">
        <v>1</v>
      </c>
      <c r="AD503" t="str">
        <f>VLOOKUP($T503,[1]NhanSu!$C$5:$M$229,11,0)</f>
        <v>SM0000129</v>
      </c>
    </row>
    <row r="504" spans="1:30" x14ac:dyDescent="0.45">
      <c r="A504" s="6" t="s">
        <v>5578</v>
      </c>
      <c r="B504" s="5">
        <v>1759</v>
      </c>
      <c r="C504" s="5" t="s">
        <v>6076</v>
      </c>
      <c r="D504" s="5" t="s">
        <v>6077</v>
      </c>
      <c r="E504" s="5" t="s">
        <v>771</v>
      </c>
      <c r="F504" s="5" t="s">
        <v>3522</v>
      </c>
      <c r="G504" s="5" t="s">
        <v>34</v>
      </c>
      <c r="H504" s="5" t="s">
        <v>214</v>
      </c>
      <c r="I504" s="5" t="s">
        <v>6078</v>
      </c>
      <c r="J504" s="5" t="s">
        <v>38</v>
      </c>
      <c r="K504" s="5" t="s">
        <v>38</v>
      </c>
      <c r="L504" s="5" t="s">
        <v>40</v>
      </c>
      <c r="M504" s="5" t="s">
        <v>38</v>
      </c>
      <c r="N504" s="5" t="s">
        <v>38</v>
      </c>
      <c r="O504" s="5" t="s">
        <v>40</v>
      </c>
      <c r="P504" s="5" t="s">
        <v>38</v>
      </c>
      <c r="Q504" s="5" t="s">
        <v>38</v>
      </c>
      <c r="R504" s="5" t="s">
        <v>40</v>
      </c>
      <c r="S504" s="5" t="s">
        <v>41</v>
      </c>
      <c r="T504" s="5" t="s">
        <v>5766</v>
      </c>
      <c r="U504" s="5" t="s">
        <v>5597</v>
      </c>
      <c r="V504" s="5" t="s">
        <v>5586</v>
      </c>
      <c r="W504" s="5" t="s">
        <v>5598</v>
      </c>
      <c r="X504" s="5"/>
      <c r="Y504" s="5"/>
      <c r="Z504" s="5" t="s">
        <v>46</v>
      </c>
      <c r="AA504" s="5" t="s">
        <v>5599</v>
      </c>
      <c r="AB504" s="5" t="s">
        <v>4223</v>
      </c>
      <c r="AC504" s="7">
        <v>1</v>
      </c>
      <c r="AD504" t="str">
        <f>VLOOKUP($T504,[1]NhanSu!$C$5:$M$229,11,0)</f>
        <v>SM0000188</v>
      </c>
    </row>
    <row r="505" spans="1:30" x14ac:dyDescent="0.45">
      <c r="A505" s="8" t="s">
        <v>5578</v>
      </c>
      <c r="B505" s="4">
        <v>1771</v>
      </c>
      <c r="C505" s="4" t="s">
        <v>6084</v>
      </c>
      <c r="D505" s="4" t="s">
        <v>6085</v>
      </c>
      <c r="E505" s="4" t="s">
        <v>6086</v>
      </c>
      <c r="F505" s="4" t="s">
        <v>6087</v>
      </c>
      <c r="G505" s="4" t="s">
        <v>1624</v>
      </c>
      <c r="H505" s="4" t="s">
        <v>1188</v>
      </c>
      <c r="I505" s="4" t="s">
        <v>6088</v>
      </c>
      <c r="J505" s="4" t="s">
        <v>56</v>
      </c>
      <c r="K505" s="4" t="s">
        <v>56</v>
      </c>
      <c r="L505" s="4" t="s">
        <v>39</v>
      </c>
      <c r="M505" s="4" t="s">
        <v>37</v>
      </c>
      <c r="N505" s="4" t="s">
        <v>37</v>
      </c>
      <c r="O505" s="4" t="s">
        <v>39</v>
      </c>
      <c r="P505" s="4" t="s">
        <v>38</v>
      </c>
      <c r="Q505" s="4" t="s">
        <v>38</v>
      </c>
      <c r="R505" s="4" t="s">
        <v>40</v>
      </c>
      <c r="S505" s="4" t="s">
        <v>41</v>
      </c>
      <c r="T505" s="4" t="s">
        <v>5676</v>
      </c>
      <c r="U505" s="4" t="s">
        <v>5677</v>
      </c>
      <c r="V505" s="4" t="s">
        <v>5586</v>
      </c>
      <c r="W505" s="4" t="s">
        <v>5607</v>
      </c>
      <c r="X505" s="4"/>
      <c r="Y505" s="4"/>
      <c r="Z505" s="4" t="s">
        <v>46</v>
      </c>
      <c r="AA505" s="4" t="s">
        <v>5678</v>
      </c>
      <c r="AB505" s="4" t="s">
        <v>3109</v>
      </c>
      <c r="AC505" s="9">
        <v>1</v>
      </c>
      <c r="AD505" t="str">
        <f>VLOOKUP($T505,[1]NhanSu!$C$5:$M$229,11,0)</f>
        <v>SM0000111</v>
      </c>
    </row>
    <row r="506" spans="1:30" x14ac:dyDescent="0.45">
      <c r="A506" s="6" t="s">
        <v>5578</v>
      </c>
      <c r="B506" s="5">
        <v>1804</v>
      </c>
      <c r="C506" s="5" t="s">
        <v>6095</v>
      </c>
      <c r="D506" s="5" t="s">
        <v>6096</v>
      </c>
      <c r="E506" s="5" t="s">
        <v>128</v>
      </c>
      <c r="F506" s="5" t="s">
        <v>401</v>
      </c>
      <c r="G506" s="5" t="s">
        <v>150</v>
      </c>
      <c r="H506" s="5" t="s">
        <v>1280</v>
      </c>
      <c r="I506" s="5" t="s">
        <v>6097</v>
      </c>
      <c r="J506" s="5" t="s">
        <v>56</v>
      </c>
      <c r="K506" s="5" t="s">
        <v>56</v>
      </c>
      <c r="L506" s="5" t="s">
        <v>39</v>
      </c>
      <c r="M506" s="5" t="s">
        <v>37</v>
      </c>
      <c r="N506" s="5" t="s">
        <v>37</v>
      </c>
      <c r="O506" s="5" t="s">
        <v>39</v>
      </c>
      <c r="P506" s="5" t="s">
        <v>38</v>
      </c>
      <c r="Q506" s="5" t="s">
        <v>38</v>
      </c>
      <c r="R506" s="5" t="s">
        <v>40</v>
      </c>
      <c r="S506" s="5" t="s">
        <v>41</v>
      </c>
      <c r="T506" s="5" t="s">
        <v>5676</v>
      </c>
      <c r="U506" s="5" t="s">
        <v>5677</v>
      </c>
      <c r="V506" s="5" t="s">
        <v>5586</v>
      </c>
      <c r="W506" s="5" t="s">
        <v>5607</v>
      </c>
      <c r="X506" s="5"/>
      <c r="Y506" s="5"/>
      <c r="Z506" s="5" t="s">
        <v>46</v>
      </c>
      <c r="AA506" s="5" t="s">
        <v>5678</v>
      </c>
      <c r="AB506" s="5" t="s">
        <v>5658</v>
      </c>
      <c r="AC506" s="7">
        <v>1</v>
      </c>
      <c r="AD506" t="str">
        <f>VLOOKUP($T506,[1]NhanSu!$C$5:$M$229,11,0)</f>
        <v>SM0000111</v>
      </c>
    </row>
    <row r="507" spans="1:30" x14ac:dyDescent="0.45">
      <c r="A507" s="8" t="s">
        <v>5578</v>
      </c>
      <c r="B507" s="4">
        <v>1846</v>
      </c>
      <c r="C507" s="4" t="s">
        <v>6113</v>
      </c>
      <c r="D507" s="4" t="s">
        <v>3790</v>
      </c>
      <c r="E507" s="4" t="s">
        <v>296</v>
      </c>
      <c r="F507" s="4" t="s">
        <v>292</v>
      </c>
      <c r="G507" s="4" t="s">
        <v>177</v>
      </c>
      <c r="H507" s="4" t="s">
        <v>214</v>
      </c>
      <c r="I507" s="4" t="s">
        <v>6114</v>
      </c>
      <c r="J507" s="4" t="s">
        <v>38</v>
      </c>
      <c r="K507" s="4" t="s">
        <v>38</v>
      </c>
      <c r="L507" s="4" t="s">
        <v>40</v>
      </c>
      <c r="M507" s="4" t="s">
        <v>37</v>
      </c>
      <c r="N507" s="4" t="s">
        <v>37</v>
      </c>
      <c r="O507" s="4" t="s">
        <v>39</v>
      </c>
      <c r="P507" s="4" t="s">
        <v>38</v>
      </c>
      <c r="Q507" s="4" t="s">
        <v>37</v>
      </c>
      <c r="R507" s="4" t="s">
        <v>39</v>
      </c>
      <c r="S507" s="4" t="s">
        <v>41</v>
      </c>
      <c r="T507" s="4" t="s">
        <v>5711</v>
      </c>
      <c r="U507" s="4" t="s">
        <v>5712</v>
      </c>
      <c r="V507" s="4" t="s">
        <v>5586</v>
      </c>
      <c r="W507" s="4" t="s">
        <v>5649</v>
      </c>
      <c r="X507" s="4"/>
      <c r="Y507" s="4"/>
      <c r="Z507" s="4" t="s">
        <v>46</v>
      </c>
      <c r="AA507" s="4" t="s">
        <v>5678</v>
      </c>
      <c r="AB507" s="4" t="s">
        <v>3109</v>
      </c>
      <c r="AC507" s="9">
        <v>1</v>
      </c>
      <c r="AD507" t="str">
        <f>VLOOKUP($T507,[1]NhanSu!$C$5:$M$229,11,0)</f>
        <v>SM0000186</v>
      </c>
    </row>
    <row r="508" spans="1:30" x14ac:dyDescent="0.45">
      <c r="A508" s="6" t="s">
        <v>5578</v>
      </c>
      <c r="B508" s="5">
        <v>1913</v>
      </c>
      <c r="C508" s="5" t="s">
        <v>6122</v>
      </c>
      <c r="D508" s="5" t="s">
        <v>6123</v>
      </c>
      <c r="E508" s="5" t="s">
        <v>6124</v>
      </c>
      <c r="F508" s="5" t="s">
        <v>6125</v>
      </c>
      <c r="G508" s="5" t="s">
        <v>150</v>
      </c>
      <c r="H508" s="5" t="s">
        <v>1280</v>
      </c>
      <c r="I508" s="5" t="s">
        <v>6126</v>
      </c>
      <c r="J508" s="5" t="s">
        <v>56</v>
      </c>
      <c r="K508" s="5" t="s">
        <v>56</v>
      </c>
      <c r="L508" s="5" t="s">
        <v>39</v>
      </c>
      <c r="M508" s="5" t="s">
        <v>37</v>
      </c>
      <c r="N508" s="5" t="s">
        <v>37</v>
      </c>
      <c r="O508" s="5" t="s">
        <v>39</v>
      </c>
      <c r="P508" s="5" t="s">
        <v>38</v>
      </c>
      <c r="Q508" s="5" t="s">
        <v>38</v>
      </c>
      <c r="R508" s="5" t="s">
        <v>40</v>
      </c>
      <c r="S508" s="5" t="s">
        <v>41</v>
      </c>
      <c r="T508" s="5" t="s">
        <v>5676</v>
      </c>
      <c r="U508" s="5" t="s">
        <v>5677</v>
      </c>
      <c r="V508" s="5" t="s">
        <v>5586</v>
      </c>
      <c r="W508" s="5" t="s">
        <v>5607</v>
      </c>
      <c r="X508" s="5"/>
      <c r="Y508" s="5"/>
      <c r="Z508" s="5" t="s">
        <v>46</v>
      </c>
      <c r="AA508" s="5" t="s">
        <v>5678</v>
      </c>
      <c r="AB508" s="5" t="s">
        <v>3109</v>
      </c>
      <c r="AC508" s="7">
        <v>1</v>
      </c>
      <c r="AD508" t="str">
        <f>VLOOKUP($T508,[1]NhanSu!$C$5:$M$229,11,0)</f>
        <v>SM0000111</v>
      </c>
    </row>
    <row r="509" spans="1:30" x14ac:dyDescent="0.45">
      <c r="A509" s="8" t="s">
        <v>5578</v>
      </c>
      <c r="B509" s="4">
        <v>2011</v>
      </c>
      <c r="C509" s="4" t="s">
        <v>6158</v>
      </c>
      <c r="D509" s="4" t="s">
        <v>6159</v>
      </c>
      <c r="E509" s="4" t="s">
        <v>2020</v>
      </c>
      <c r="F509" s="4" t="s">
        <v>331</v>
      </c>
      <c r="G509" s="4" t="s">
        <v>150</v>
      </c>
      <c r="H509" s="4" t="s">
        <v>54</v>
      </c>
      <c r="I509" s="4" t="s">
        <v>6160</v>
      </c>
      <c r="J509" s="4" t="s">
        <v>38</v>
      </c>
      <c r="K509" s="4" t="s">
        <v>38</v>
      </c>
      <c r="L509" s="4" t="s">
        <v>39</v>
      </c>
      <c r="M509" s="4" t="s">
        <v>56</v>
      </c>
      <c r="N509" s="4" t="s">
        <v>38</v>
      </c>
      <c r="O509" s="4" t="s">
        <v>121</v>
      </c>
      <c r="P509" s="4" t="s">
        <v>37</v>
      </c>
      <c r="Q509" s="4" t="s">
        <v>37</v>
      </c>
      <c r="R509" s="4" t="s">
        <v>39</v>
      </c>
      <c r="S509" s="4" t="s">
        <v>41</v>
      </c>
      <c r="T509" s="4" t="s">
        <v>5647</v>
      </c>
      <c r="U509" s="4" t="s">
        <v>5648</v>
      </c>
      <c r="V509" s="4" t="s">
        <v>5586</v>
      </c>
      <c r="W509" s="4" t="s">
        <v>5649</v>
      </c>
      <c r="X509" s="4"/>
      <c r="Y509" s="4"/>
      <c r="Z509" s="4" t="s">
        <v>46</v>
      </c>
      <c r="AA509" s="4" t="s">
        <v>5678</v>
      </c>
      <c r="AB509" s="4" t="s">
        <v>3109</v>
      </c>
      <c r="AC509" s="9">
        <v>1</v>
      </c>
      <c r="AD509" t="str">
        <f>VLOOKUP($T509,[1]NhanSu!$C$5:$M$229,11,0)</f>
        <v>SM0000113</v>
      </c>
    </row>
    <row r="510" spans="1:30" x14ac:dyDescent="0.45">
      <c r="A510" s="6" t="s">
        <v>5578</v>
      </c>
      <c r="B510" s="5">
        <v>2068</v>
      </c>
      <c r="C510" s="5" t="s">
        <v>6179</v>
      </c>
      <c r="D510" s="5" t="s">
        <v>6180</v>
      </c>
      <c r="E510" s="5" t="s">
        <v>2148</v>
      </c>
      <c r="F510" s="5" t="s">
        <v>166</v>
      </c>
      <c r="G510" s="5" t="s">
        <v>177</v>
      </c>
      <c r="H510" s="5" t="s">
        <v>3620</v>
      </c>
      <c r="I510" s="5" t="s">
        <v>6181</v>
      </c>
      <c r="J510" s="5" t="s">
        <v>37</v>
      </c>
      <c r="K510" s="5" t="s">
        <v>37</v>
      </c>
      <c r="L510" s="5" t="s">
        <v>39</v>
      </c>
      <c r="M510" s="5" t="s">
        <v>38</v>
      </c>
      <c r="N510" s="5" t="s">
        <v>37</v>
      </c>
      <c r="O510" s="5" t="s">
        <v>39</v>
      </c>
      <c r="P510" s="5" t="s">
        <v>37</v>
      </c>
      <c r="Q510" s="5" t="s">
        <v>37</v>
      </c>
      <c r="R510" s="5" t="s">
        <v>39</v>
      </c>
      <c r="S510" s="5" t="s">
        <v>4959</v>
      </c>
      <c r="T510" s="5" t="s">
        <v>5619</v>
      </c>
      <c r="U510" s="5" t="s">
        <v>5620</v>
      </c>
      <c r="V510" s="5" t="s">
        <v>5586</v>
      </c>
      <c r="W510" s="5" t="s">
        <v>5621</v>
      </c>
      <c r="X510" s="5"/>
      <c r="Y510" s="5"/>
      <c r="Z510" s="5" t="s">
        <v>46</v>
      </c>
      <c r="AA510" s="5" t="s">
        <v>5599</v>
      </c>
      <c r="AB510" s="5" t="s">
        <v>3109</v>
      </c>
      <c r="AC510" s="7">
        <v>1</v>
      </c>
      <c r="AD510" t="str">
        <f>VLOOKUP($T510,[1]NhanSu!$C$5:$M$229,11,0)</f>
        <v>SM0000138</v>
      </c>
    </row>
    <row r="511" spans="1:30" x14ac:dyDescent="0.45">
      <c r="A511" s="8" t="s">
        <v>5578</v>
      </c>
      <c r="B511" s="4">
        <v>2084</v>
      </c>
      <c r="C511" s="4" t="s">
        <v>6182</v>
      </c>
      <c r="D511" s="4" t="s">
        <v>6183</v>
      </c>
      <c r="E511" s="4" t="s">
        <v>284</v>
      </c>
      <c r="F511" s="4" t="s">
        <v>4472</v>
      </c>
      <c r="G511" s="4" t="s">
        <v>1624</v>
      </c>
      <c r="H511" s="4" t="s">
        <v>842</v>
      </c>
      <c r="I511" s="4" t="s">
        <v>6184</v>
      </c>
      <c r="J511" s="4" t="s">
        <v>38</v>
      </c>
      <c r="K511" s="4" t="s">
        <v>38</v>
      </c>
      <c r="L511" s="4" t="s">
        <v>39</v>
      </c>
      <c r="M511" s="4" t="s">
        <v>37</v>
      </c>
      <c r="N511" s="4" t="s">
        <v>37</v>
      </c>
      <c r="O511" s="4" t="s">
        <v>39</v>
      </c>
      <c r="P511" s="4" t="s">
        <v>38</v>
      </c>
      <c r="Q511" s="4" t="s">
        <v>38</v>
      </c>
      <c r="R511" s="4" t="s">
        <v>39</v>
      </c>
      <c r="S511" s="4" t="s">
        <v>41</v>
      </c>
      <c r="T511" s="4" t="s">
        <v>5647</v>
      </c>
      <c r="U511" s="4" t="s">
        <v>5648</v>
      </c>
      <c r="V511" s="4" t="s">
        <v>5586</v>
      </c>
      <c r="W511" s="4" t="s">
        <v>5649</v>
      </c>
      <c r="X511" s="4"/>
      <c r="Y511" s="4"/>
      <c r="Z511" s="4" t="s">
        <v>46</v>
      </c>
      <c r="AA511" s="4" t="s">
        <v>5678</v>
      </c>
      <c r="AB511" s="4" t="s">
        <v>4223</v>
      </c>
      <c r="AC511" s="9">
        <v>1</v>
      </c>
      <c r="AD511" t="str">
        <f>VLOOKUP($T511,[1]NhanSu!$C$5:$M$229,11,0)</f>
        <v>SM0000113</v>
      </c>
    </row>
    <row r="512" spans="1:30" x14ac:dyDescent="0.45">
      <c r="A512" s="6" t="s">
        <v>5578</v>
      </c>
      <c r="B512" s="5">
        <v>2110</v>
      </c>
      <c r="C512" s="5" t="s">
        <v>6191</v>
      </c>
      <c r="D512" s="5" t="s">
        <v>6192</v>
      </c>
      <c r="E512" s="5" t="s">
        <v>6193</v>
      </c>
      <c r="F512" s="5" t="s">
        <v>426</v>
      </c>
      <c r="G512" s="5" t="s">
        <v>177</v>
      </c>
      <c r="H512" s="5" t="s">
        <v>546</v>
      </c>
      <c r="I512" s="5" t="s">
        <v>6194</v>
      </c>
      <c r="J512" s="5" t="s">
        <v>37</v>
      </c>
      <c r="K512" s="5" t="s">
        <v>37</v>
      </c>
      <c r="L512" s="5" t="s">
        <v>39</v>
      </c>
      <c r="M512" s="5" t="s">
        <v>37</v>
      </c>
      <c r="N512" s="5" t="s">
        <v>37</v>
      </c>
      <c r="O512" s="5" t="s">
        <v>39</v>
      </c>
      <c r="P512" s="5" t="s">
        <v>37</v>
      </c>
      <c r="Q512" s="5" t="s">
        <v>37</v>
      </c>
      <c r="R512" s="5" t="s">
        <v>39</v>
      </c>
      <c r="S512" s="5" t="s">
        <v>4751</v>
      </c>
      <c r="T512" s="5" t="s">
        <v>5619</v>
      </c>
      <c r="U512" s="5" t="s">
        <v>5620</v>
      </c>
      <c r="V512" s="5" t="s">
        <v>5586</v>
      </c>
      <c r="W512" s="5" t="s">
        <v>5621</v>
      </c>
      <c r="X512" s="5"/>
      <c r="Y512" s="5"/>
      <c r="Z512" s="5" t="s">
        <v>46</v>
      </c>
      <c r="AA512" s="5" t="s">
        <v>5599</v>
      </c>
      <c r="AB512" s="5" t="s">
        <v>3109</v>
      </c>
      <c r="AC512" s="7">
        <v>1</v>
      </c>
      <c r="AD512" t="str">
        <f>VLOOKUP($T512,[1]NhanSu!$C$5:$M$229,11,0)</f>
        <v>SM0000138</v>
      </c>
    </row>
    <row r="513" spans="1:30" x14ac:dyDescent="0.45">
      <c r="A513" s="8" t="s">
        <v>5578</v>
      </c>
      <c r="B513" s="4">
        <v>2138</v>
      </c>
      <c r="C513" s="4" t="s">
        <v>6202</v>
      </c>
      <c r="D513" s="4" t="s">
        <v>6203</v>
      </c>
      <c r="E513" s="4" t="s">
        <v>6204</v>
      </c>
      <c r="F513" s="4" t="s">
        <v>325</v>
      </c>
      <c r="G513" s="4" t="s">
        <v>177</v>
      </c>
      <c r="H513" s="4" t="s">
        <v>697</v>
      </c>
      <c r="I513" s="4" t="s">
        <v>6205</v>
      </c>
      <c r="J513" s="4" t="s">
        <v>37</v>
      </c>
      <c r="K513" s="4" t="s">
        <v>37</v>
      </c>
      <c r="L513" s="4" t="s">
        <v>39</v>
      </c>
      <c r="M513" s="4" t="s">
        <v>38</v>
      </c>
      <c r="N513" s="4" t="s">
        <v>38</v>
      </c>
      <c r="O513" s="4" t="s">
        <v>39</v>
      </c>
      <c r="P513" s="4" t="s">
        <v>37</v>
      </c>
      <c r="Q513" s="4" t="s">
        <v>37</v>
      </c>
      <c r="R513" s="4" t="s">
        <v>39</v>
      </c>
      <c r="S513" s="4" t="s">
        <v>4751</v>
      </c>
      <c r="T513" s="4" t="s">
        <v>5619</v>
      </c>
      <c r="U513" s="4" t="s">
        <v>5620</v>
      </c>
      <c r="V513" s="4" t="s">
        <v>5586</v>
      </c>
      <c r="W513" s="4" t="s">
        <v>5621</v>
      </c>
      <c r="X513" s="4"/>
      <c r="Y513" s="4"/>
      <c r="Z513" s="4" t="s">
        <v>46</v>
      </c>
      <c r="AA513" s="4" t="s">
        <v>5599</v>
      </c>
      <c r="AB513" s="4" t="s">
        <v>3109</v>
      </c>
      <c r="AC513" s="9">
        <v>1</v>
      </c>
      <c r="AD513" t="str">
        <f>VLOOKUP($T513,[1]NhanSu!$C$5:$M$229,11,0)</f>
        <v>SM0000138</v>
      </c>
    </row>
    <row r="514" spans="1:30" x14ac:dyDescent="0.45">
      <c r="A514" s="6" t="s">
        <v>5578</v>
      </c>
      <c r="B514" s="5">
        <v>2171</v>
      </c>
      <c r="C514" s="5" t="s">
        <v>6209</v>
      </c>
      <c r="D514" s="5" t="s">
        <v>6210</v>
      </c>
      <c r="E514" s="5" t="s">
        <v>6211</v>
      </c>
      <c r="F514" s="5" t="s">
        <v>1903</v>
      </c>
      <c r="G514" s="5" t="s">
        <v>1624</v>
      </c>
      <c r="H514" s="5" t="s">
        <v>1199</v>
      </c>
      <c r="I514" s="5" t="s">
        <v>6212</v>
      </c>
      <c r="J514" s="5" t="s">
        <v>38</v>
      </c>
      <c r="K514" s="5" t="s">
        <v>38</v>
      </c>
      <c r="L514" s="5" t="s">
        <v>39</v>
      </c>
      <c r="M514" s="5" t="s">
        <v>37</v>
      </c>
      <c r="N514" s="5" t="s">
        <v>38</v>
      </c>
      <c r="O514" s="5" t="s">
        <v>39</v>
      </c>
      <c r="P514" s="5" t="s">
        <v>38</v>
      </c>
      <c r="Q514" s="5" t="s">
        <v>38</v>
      </c>
      <c r="R514" s="5" t="s">
        <v>40</v>
      </c>
      <c r="S514" s="5" t="s">
        <v>41</v>
      </c>
      <c r="T514" s="5" t="s">
        <v>5605</v>
      </c>
      <c r="U514" s="5" t="s">
        <v>5606</v>
      </c>
      <c r="V514" s="5" t="s">
        <v>5586</v>
      </c>
      <c r="W514" s="5" t="s">
        <v>5607</v>
      </c>
      <c r="X514" s="5"/>
      <c r="Y514" s="5"/>
      <c r="Z514" s="5" t="s">
        <v>46</v>
      </c>
      <c r="AA514" s="5" t="s">
        <v>5678</v>
      </c>
      <c r="AB514" s="5" t="s">
        <v>3109</v>
      </c>
      <c r="AC514" s="7">
        <v>1</v>
      </c>
      <c r="AD514" t="str">
        <f>VLOOKUP($T514,[1]NhanSu!$C$5:$M$229,11,0)</f>
        <v>SM0000112</v>
      </c>
    </row>
    <row r="515" spans="1:30" x14ac:dyDescent="0.45">
      <c r="A515" s="8" t="s">
        <v>5578</v>
      </c>
      <c r="B515" s="4">
        <v>2174</v>
      </c>
      <c r="C515" s="4" t="s">
        <v>6213</v>
      </c>
      <c r="D515" s="4" t="s">
        <v>6214</v>
      </c>
      <c r="E515" s="4" t="s">
        <v>162</v>
      </c>
      <c r="F515" s="4" t="s">
        <v>53</v>
      </c>
      <c r="G515" s="4" t="s">
        <v>34</v>
      </c>
      <c r="H515" s="4" t="s">
        <v>54</v>
      </c>
      <c r="I515" s="4" t="s">
        <v>6215</v>
      </c>
      <c r="J515" s="4" t="s">
        <v>37</v>
      </c>
      <c r="K515" s="4" t="s">
        <v>37</v>
      </c>
      <c r="L515" s="4" t="s">
        <v>39</v>
      </c>
      <c r="M515" s="4" t="s">
        <v>37</v>
      </c>
      <c r="N515" s="4" t="s">
        <v>37</v>
      </c>
      <c r="O515" s="4" t="s">
        <v>39</v>
      </c>
      <c r="P515" s="4" t="s">
        <v>37</v>
      </c>
      <c r="Q515" s="4" t="s">
        <v>37</v>
      </c>
      <c r="R515" s="4" t="s">
        <v>39</v>
      </c>
      <c r="S515" s="4" t="s">
        <v>41</v>
      </c>
      <c r="T515" s="4" t="s">
        <v>5647</v>
      </c>
      <c r="U515" s="4" t="s">
        <v>5648</v>
      </c>
      <c r="V515" s="4" t="s">
        <v>5586</v>
      </c>
      <c r="W515" s="4" t="s">
        <v>5649</v>
      </c>
      <c r="X515" s="4"/>
      <c r="Y515" s="4"/>
      <c r="Z515" s="4" t="s">
        <v>46</v>
      </c>
      <c r="AA515" s="4" t="s">
        <v>5678</v>
      </c>
      <c r="AB515" s="4" t="s">
        <v>4223</v>
      </c>
      <c r="AC515" s="9">
        <v>1</v>
      </c>
      <c r="AD515" t="str">
        <f>VLOOKUP($T515,[1]NhanSu!$C$5:$M$229,11,0)</f>
        <v>SM0000113</v>
      </c>
    </row>
    <row r="516" spans="1:30" x14ac:dyDescent="0.45">
      <c r="A516" s="6" t="s">
        <v>5578</v>
      </c>
      <c r="B516" s="5">
        <v>2188</v>
      </c>
      <c r="C516" s="5" t="s">
        <v>6216</v>
      </c>
      <c r="D516" s="5" t="s">
        <v>6217</v>
      </c>
      <c r="E516" s="5" t="s">
        <v>674</v>
      </c>
      <c r="F516" s="5" t="s">
        <v>5772</v>
      </c>
      <c r="G516" s="5" t="s">
        <v>34</v>
      </c>
      <c r="H516" s="5" t="s">
        <v>565</v>
      </c>
      <c r="I516" s="5" t="s">
        <v>6218</v>
      </c>
      <c r="J516" s="5" t="s">
        <v>56</v>
      </c>
      <c r="K516" s="5" t="s">
        <v>56</v>
      </c>
      <c r="L516" s="5" t="s">
        <v>39</v>
      </c>
      <c r="M516" s="5" t="s">
        <v>37</v>
      </c>
      <c r="N516" s="5" t="s">
        <v>37</v>
      </c>
      <c r="O516" s="5" t="s">
        <v>39</v>
      </c>
      <c r="P516" s="5" t="s">
        <v>38</v>
      </c>
      <c r="Q516" s="5" t="s">
        <v>38</v>
      </c>
      <c r="R516" s="5" t="s">
        <v>40</v>
      </c>
      <c r="S516" s="5" t="s">
        <v>41</v>
      </c>
      <c r="T516" s="5" t="s">
        <v>5676</v>
      </c>
      <c r="U516" s="5" t="s">
        <v>5677</v>
      </c>
      <c r="V516" s="5" t="s">
        <v>5586</v>
      </c>
      <c r="W516" s="5" t="s">
        <v>5607</v>
      </c>
      <c r="X516" s="5"/>
      <c r="Y516" s="5"/>
      <c r="Z516" s="5" t="s">
        <v>46</v>
      </c>
      <c r="AA516" s="5" t="s">
        <v>5678</v>
      </c>
      <c r="AB516" s="5" t="s">
        <v>3109</v>
      </c>
      <c r="AC516" s="7">
        <v>1</v>
      </c>
      <c r="AD516" t="str">
        <f>VLOOKUP($T516,[1]NhanSu!$C$5:$M$229,11,0)</f>
        <v>SM0000111</v>
      </c>
    </row>
    <row r="517" spans="1:30" x14ac:dyDescent="0.45">
      <c r="A517" s="8" t="s">
        <v>5578</v>
      </c>
      <c r="B517" s="4">
        <v>2203</v>
      </c>
      <c r="C517" s="4" t="s">
        <v>6219</v>
      </c>
      <c r="D517" s="4" t="s">
        <v>6220</v>
      </c>
      <c r="E517" s="4" t="s">
        <v>296</v>
      </c>
      <c r="F517" s="4" t="s">
        <v>6221</v>
      </c>
      <c r="G517" s="4" t="s">
        <v>150</v>
      </c>
      <c r="H517" s="4" t="s">
        <v>697</v>
      </c>
      <c r="I517" s="4" t="s">
        <v>6222</v>
      </c>
      <c r="J517" s="4" t="s">
        <v>56</v>
      </c>
      <c r="K517" s="4" t="s">
        <v>56</v>
      </c>
      <c r="L517" s="4" t="s">
        <v>39</v>
      </c>
      <c r="M517" s="4" t="s">
        <v>37</v>
      </c>
      <c r="N517" s="4" t="s">
        <v>37</v>
      </c>
      <c r="O517" s="4" t="s">
        <v>39</v>
      </c>
      <c r="P517" s="4" t="s">
        <v>38</v>
      </c>
      <c r="Q517" s="4" t="s">
        <v>38</v>
      </c>
      <c r="R517" s="4" t="s">
        <v>40</v>
      </c>
      <c r="S517" s="4" t="s">
        <v>41</v>
      </c>
      <c r="T517" s="4" t="s">
        <v>5676</v>
      </c>
      <c r="U517" s="4" t="s">
        <v>5677</v>
      </c>
      <c r="V517" s="4" t="s">
        <v>5586</v>
      </c>
      <c r="W517" s="4" t="s">
        <v>5607</v>
      </c>
      <c r="X517" s="4"/>
      <c r="Y517" s="4"/>
      <c r="Z517" s="4" t="s">
        <v>46</v>
      </c>
      <c r="AA517" s="4" t="s">
        <v>5678</v>
      </c>
      <c r="AB517" s="4" t="s">
        <v>4223</v>
      </c>
      <c r="AC517" s="9">
        <v>1</v>
      </c>
      <c r="AD517" t="str">
        <f>VLOOKUP($T517,[1]NhanSu!$C$5:$M$229,11,0)</f>
        <v>SM0000111</v>
      </c>
    </row>
    <row r="518" spans="1:30" x14ac:dyDescent="0.45">
      <c r="A518" s="6" t="s">
        <v>5578</v>
      </c>
      <c r="B518" s="5">
        <v>2220</v>
      </c>
      <c r="C518" s="5" t="s">
        <v>6223</v>
      </c>
      <c r="D518" s="5" t="s">
        <v>5768</v>
      </c>
      <c r="E518" s="5" t="s">
        <v>138</v>
      </c>
      <c r="F518" s="5" t="s">
        <v>70</v>
      </c>
      <c r="G518" s="5" t="s">
        <v>177</v>
      </c>
      <c r="H518" s="5" t="s">
        <v>54</v>
      </c>
      <c r="I518" s="5" t="s">
        <v>6224</v>
      </c>
      <c r="J518" s="5" t="s">
        <v>38</v>
      </c>
      <c r="K518" s="5" t="s">
        <v>38</v>
      </c>
      <c r="L518" s="5" t="s">
        <v>40</v>
      </c>
      <c r="M518" s="5" t="s">
        <v>38</v>
      </c>
      <c r="N518" s="5" t="s">
        <v>38</v>
      </c>
      <c r="O518" s="5" t="s">
        <v>40</v>
      </c>
      <c r="P518" s="5" t="s">
        <v>38</v>
      </c>
      <c r="Q518" s="5" t="s">
        <v>38</v>
      </c>
      <c r="R518" s="5" t="s">
        <v>40</v>
      </c>
      <c r="S518" s="5" t="s">
        <v>41</v>
      </c>
      <c r="T518" s="5" t="s">
        <v>5766</v>
      </c>
      <c r="U518" s="5" t="s">
        <v>5597</v>
      </c>
      <c r="V518" s="5" t="s">
        <v>5586</v>
      </c>
      <c r="W518" s="5" t="s">
        <v>5598</v>
      </c>
      <c r="X518" s="5"/>
      <c r="Y518" s="5"/>
      <c r="Z518" s="5" t="s">
        <v>46</v>
      </c>
      <c r="AA518" s="5" t="s">
        <v>5599</v>
      </c>
      <c r="AB518" s="5" t="s">
        <v>3109</v>
      </c>
      <c r="AC518" s="7">
        <v>1</v>
      </c>
      <c r="AD518" t="str">
        <f>VLOOKUP($T518,[1]NhanSu!$C$5:$M$229,11,0)</f>
        <v>SM0000188</v>
      </c>
    </row>
    <row r="519" spans="1:30" x14ac:dyDescent="0.45">
      <c r="A519" s="8" t="s">
        <v>5578</v>
      </c>
      <c r="B519" s="4">
        <v>2253</v>
      </c>
      <c r="C519" s="4" t="s">
        <v>6229</v>
      </c>
      <c r="D519" s="4" t="s">
        <v>6230</v>
      </c>
      <c r="E519" s="4" t="s">
        <v>529</v>
      </c>
      <c r="F519" s="4" t="s">
        <v>53</v>
      </c>
      <c r="G519" s="4" t="s">
        <v>177</v>
      </c>
      <c r="H519" s="4" t="s">
        <v>54</v>
      </c>
      <c r="I519" s="4" t="s">
        <v>4305</v>
      </c>
      <c r="J519" s="4" t="s">
        <v>38</v>
      </c>
      <c r="K519" s="4" t="s">
        <v>38</v>
      </c>
      <c r="L519" s="4" t="s">
        <v>40</v>
      </c>
      <c r="M519" s="4" t="s">
        <v>38</v>
      </c>
      <c r="N519" s="4" t="s">
        <v>38</v>
      </c>
      <c r="O519" s="4" t="s">
        <v>40</v>
      </c>
      <c r="P519" s="4" t="s">
        <v>38</v>
      </c>
      <c r="Q519" s="4" t="s">
        <v>38</v>
      </c>
      <c r="R519" s="4" t="s">
        <v>40</v>
      </c>
      <c r="S519" s="4" t="s">
        <v>6231</v>
      </c>
      <c r="T519" s="4" t="s">
        <v>5633</v>
      </c>
      <c r="U519" s="4" t="s">
        <v>5620</v>
      </c>
      <c r="V519" s="4" t="s">
        <v>5586</v>
      </c>
      <c r="W519" s="4" t="s">
        <v>5621</v>
      </c>
      <c r="X519" s="4"/>
      <c r="Y519" s="4"/>
      <c r="Z519" s="4" t="s">
        <v>46</v>
      </c>
      <c r="AA519" s="4" t="s">
        <v>5599</v>
      </c>
      <c r="AB519" s="4" t="s">
        <v>3109</v>
      </c>
      <c r="AC519" s="9">
        <v>1</v>
      </c>
      <c r="AD519" t="str">
        <f>VLOOKUP($T519,[1]NhanSu!$C$5:$M$229,11,0)</f>
        <v>SM0000127</v>
      </c>
    </row>
    <row r="520" spans="1:30" x14ac:dyDescent="0.45">
      <c r="A520" s="6" t="s">
        <v>5578</v>
      </c>
      <c r="B520" s="5">
        <v>2268</v>
      </c>
      <c r="C520" s="5" t="s">
        <v>6232</v>
      </c>
      <c r="D520" s="5" t="s">
        <v>6233</v>
      </c>
      <c r="E520" s="5" t="s">
        <v>6234</v>
      </c>
      <c r="F520" s="5" t="s">
        <v>325</v>
      </c>
      <c r="G520" s="5" t="s">
        <v>177</v>
      </c>
      <c r="H520" s="5" t="s">
        <v>3620</v>
      </c>
      <c r="I520" s="5" t="s">
        <v>6235</v>
      </c>
      <c r="J520" s="5" t="s">
        <v>38</v>
      </c>
      <c r="K520" s="5" t="s">
        <v>37</v>
      </c>
      <c r="L520" s="5" t="s">
        <v>39</v>
      </c>
      <c r="M520" s="5" t="s">
        <v>38</v>
      </c>
      <c r="N520" s="5" t="s">
        <v>37</v>
      </c>
      <c r="O520" s="5" t="s">
        <v>39</v>
      </c>
      <c r="P520" s="5" t="s">
        <v>38</v>
      </c>
      <c r="Q520" s="5" t="s">
        <v>37</v>
      </c>
      <c r="R520" s="5" t="s">
        <v>39</v>
      </c>
      <c r="S520" s="5" t="s">
        <v>4751</v>
      </c>
      <c r="T520" s="5" t="s">
        <v>5619</v>
      </c>
      <c r="U520" s="5" t="s">
        <v>5620</v>
      </c>
      <c r="V520" s="5" t="s">
        <v>5586</v>
      </c>
      <c r="W520" s="5" t="s">
        <v>5621</v>
      </c>
      <c r="X520" s="5"/>
      <c r="Y520" s="5"/>
      <c r="Z520" s="5" t="s">
        <v>46</v>
      </c>
      <c r="AA520" s="5" t="s">
        <v>5599</v>
      </c>
      <c r="AB520" s="5" t="s">
        <v>3109</v>
      </c>
      <c r="AC520" s="7">
        <v>1</v>
      </c>
      <c r="AD520" t="str">
        <f>VLOOKUP($T520,[1]NhanSu!$C$5:$M$229,11,0)</f>
        <v>SM0000138</v>
      </c>
    </row>
    <row r="521" spans="1:30" x14ac:dyDescent="0.45">
      <c r="A521" s="8" t="s">
        <v>5578</v>
      </c>
      <c r="B521" s="4">
        <v>2276</v>
      </c>
      <c r="C521" s="4" t="s">
        <v>6236</v>
      </c>
      <c r="D521" s="4" t="s">
        <v>6237</v>
      </c>
      <c r="E521" s="4" t="s">
        <v>529</v>
      </c>
      <c r="F521" s="4" t="s">
        <v>53</v>
      </c>
      <c r="G521" s="4" t="s">
        <v>34</v>
      </c>
      <c r="H521" s="4" t="s">
        <v>54</v>
      </c>
      <c r="I521" s="4" t="s">
        <v>6238</v>
      </c>
      <c r="J521" s="4" t="s">
        <v>38</v>
      </c>
      <c r="K521" s="4" t="s">
        <v>38</v>
      </c>
      <c r="L521" s="4" t="s">
        <v>40</v>
      </c>
      <c r="M521" s="4" t="s">
        <v>38</v>
      </c>
      <c r="N521" s="4" t="s">
        <v>38</v>
      </c>
      <c r="O521" s="4" t="s">
        <v>40</v>
      </c>
      <c r="P521" s="4" t="s">
        <v>38</v>
      </c>
      <c r="Q521" s="4" t="s">
        <v>38</v>
      </c>
      <c r="R521" s="4" t="s">
        <v>40</v>
      </c>
      <c r="S521" s="4" t="s">
        <v>41</v>
      </c>
      <c r="T521" s="4" t="s">
        <v>5633</v>
      </c>
      <c r="U521" s="4" t="s">
        <v>5620</v>
      </c>
      <c r="V521" s="4" t="s">
        <v>5586</v>
      </c>
      <c r="W521" s="4" t="s">
        <v>5621</v>
      </c>
      <c r="X521" s="4"/>
      <c r="Y521" s="4"/>
      <c r="Z521" s="4" t="s">
        <v>46</v>
      </c>
      <c r="AA521" s="4" t="s">
        <v>5599</v>
      </c>
      <c r="AB521" s="4" t="s">
        <v>4223</v>
      </c>
      <c r="AC521" s="9">
        <v>1</v>
      </c>
      <c r="AD521" t="str">
        <f>VLOOKUP($T521,[1]NhanSu!$C$5:$M$229,11,0)</f>
        <v>SM0000127</v>
      </c>
    </row>
    <row r="522" spans="1:30" x14ac:dyDescent="0.45">
      <c r="A522" s="6" t="s">
        <v>5578</v>
      </c>
      <c r="B522" s="5">
        <v>2303</v>
      </c>
      <c r="C522" s="5" t="s">
        <v>6243</v>
      </c>
      <c r="D522" s="5" t="s">
        <v>6244</v>
      </c>
      <c r="E522" s="5" t="s">
        <v>212</v>
      </c>
      <c r="F522" s="5" t="s">
        <v>166</v>
      </c>
      <c r="G522" s="5" t="s">
        <v>34</v>
      </c>
      <c r="H522" s="5" t="s">
        <v>54</v>
      </c>
      <c r="I522" s="5" t="s">
        <v>4582</v>
      </c>
      <c r="J522" s="5" t="s">
        <v>37</v>
      </c>
      <c r="K522" s="5" t="s">
        <v>37</v>
      </c>
      <c r="L522" s="5" t="s">
        <v>39</v>
      </c>
      <c r="M522" s="5" t="s">
        <v>37</v>
      </c>
      <c r="N522" s="5" t="s">
        <v>37</v>
      </c>
      <c r="O522" s="5" t="s">
        <v>39</v>
      </c>
      <c r="P522" s="5" t="s">
        <v>38</v>
      </c>
      <c r="Q522" s="5" t="s">
        <v>37</v>
      </c>
      <c r="R522" s="5" t="s">
        <v>40</v>
      </c>
      <c r="S522" s="5" t="s">
        <v>41</v>
      </c>
      <c r="T522" s="5" t="s">
        <v>5633</v>
      </c>
      <c r="U522" s="5" t="s">
        <v>5620</v>
      </c>
      <c r="V522" s="5" t="s">
        <v>5586</v>
      </c>
      <c r="W522" s="5" t="s">
        <v>5621</v>
      </c>
      <c r="X522" s="5"/>
      <c r="Y522" s="5"/>
      <c r="Z522" s="5" t="s">
        <v>46</v>
      </c>
      <c r="AA522" s="5" t="s">
        <v>5599</v>
      </c>
      <c r="AB522" s="5" t="s">
        <v>4223</v>
      </c>
      <c r="AC522" s="7">
        <v>1</v>
      </c>
      <c r="AD522" t="str">
        <f>VLOOKUP($T522,[1]NhanSu!$C$5:$M$229,11,0)</f>
        <v>SM0000127</v>
      </c>
    </row>
    <row r="523" spans="1:30" x14ac:dyDescent="0.45">
      <c r="A523" s="8" t="s">
        <v>5578</v>
      </c>
      <c r="B523" s="4">
        <v>2311</v>
      </c>
      <c r="C523" s="4" t="s">
        <v>6245</v>
      </c>
      <c r="D523" s="4" t="s">
        <v>6246</v>
      </c>
      <c r="E523" s="4" t="s">
        <v>75</v>
      </c>
      <c r="F523" s="4" t="s">
        <v>53</v>
      </c>
      <c r="G523" s="4" t="s">
        <v>34</v>
      </c>
      <c r="H523" s="4" t="s">
        <v>54</v>
      </c>
      <c r="I523" s="4" t="s">
        <v>6247</v>
      </c>
      <c r="J523" s="4" t="s">
        <v>38</v>
      </c>
      <c r="K523" s="4" t="s">
        <v>38</v>
      </c>
      <c r="L523" s="4" t="s">
        <v>40</v>
      </c>
      <c r="M523" s="4" t="s">
        <v>38</v>
      </c>
      <c r="N523" s="4" t="s">
        <v>38</v>
      </c>
      <c r="O523" s="4" t="s">
        <v>40</v>
      </c>
      <c r="P523" s="4" t="s">
        <v>38</v>
      </c>
      <c r="Q523" s="4" t="s">
        <v>38</v>
      </c>
      <c r="R523" s="4" t="s">
        <v>40</v>
      </c>
      <c r="S523" s="4" t="s">
        <v>41</v>
      </c>
      <c r="T523" s="4" t="s">
        <v>5633</v>
      </c>
      <c r="U523" s="4" t="s">
        <v>5620</v>
      </c>
      <c r="V523" s="4" t="s">
        <v>5586</v>
      </c>
      <c r="W523" s="4" t="s">
        <v>5621</v>
      </c>
      <c r="X523" s="4"/>
      <c r="Y523" s="4"/>
      <c r="Z523" s="4" t="s">
        <v>46</v>
      </c>
      <c r="AA523" s="4" t="s">
        <v>5599</v>
      </c>
      <c r="AB523" s="4" t="s">
        <v>4223</v>
      </c>
      <c r="AC523" s="9">
        <v>1</v>
      </c>
      <c r="AD523" t="str">
        <f>VLOOKUP($T523,[1]NhanSu!$C$5:$M$229,11,0)</f>
        <v>SM0000127</v>
      </c>
    </row>
    <row r="524" spans="1:30" x14ac:dyDescent="0.45">
      <c r="A524" s="6" t="s">
        <v>5578</v>
      </c>
      <c r="B524" s="5">
        <v>2385</v>
      </c>
      <c r="C524" s="5" t="s">
        <v>6255</v>
      </c>
      <c r="D524" s="5" t="s">
        <v>6256</v>
      </c>
      <c r="E524" s="5" t="s">
        <v>6257</v>
      </c>
      <c r="F524" s="5" t="s">
        <v>325</v>
      </c>
      <c r="G524" s="5" t="s">
        <v>177</v>
      </c>
      <c r="H524" s="5" t="s">
        <v>54</v>
      </c>
      <c r="I524" s="5" t="s">
        <v>6258</v>
      </c>
      <c r="J524" s="5" t="s">
        <v>37</v>
      </c>
      <c r="K524" s="5" t="s">
        <v>37</v>
      </c>
      <c r="L524" s="5" t="s">
        <v>39</v>
      </c>
      <c r="M524" s="5" t="s">
        <v>37</v>
      </c>
      <c r="N524" s="5" t="s">
        <v>37</v>
      </c>
      <c r="O524" s="5" t="s">
        <v>39</v>
      </c>
      <c r="P524" s="5" t="s">
        <v>37</v>
      </c>
      <c r="Q524" s="5" t="s">
        <v>37</v>
      </c>
      <c r="R524" s="5" t="s">
        <v>39</v>
      </c>
      <c r="S524" s="5" t="s">
        <v>4751</v>
      </c>
      <c r="T524" s="5" t="s">
        <v>5619</v>
      </c>
      <c r="U524" s="5" t="s">
        <v>5620</v>
      </c>
      <c r="V524" s="5" t="s">
        <v>5586</v>
      </c>
      <c r="W524" s="5" t="s">
        <v>5621</v>
      </c>
      <c r="X524" s="5"/>
      <c r="Y524" s="5"/>
      <c r="Z524" s="5" t="s">
        <v>46</v>
      </c>
      <c r="AA524" s="5" t="s">
        <v>5599</v>
      </c>
      <c r="AB524" s="5" t="s">
        <v>3109</v>
      </c>
      <c r="AC524" s="7">
        <v>1</v>
      </c>
      <c r="AD524" t="str">
        <f>VLOOKUP($T524,[1]NhanSu!$C$5:$M$229,11,0)</f>
        <v>SM0000138</v>
      </c>
    </row>
    <row r="525" spans="1:30" x14ac:dyDescent="0.45">
      <c r="A525" s="8" t="s">
        <v>5578</v>
      </c>
      <c r="B525" s="4">
        <v>2451</v>
      </c>
      <c r="C525" s="4" t="s">
        <v>6259</v>
      </c>
      <c r="D525" s="4" t="s">
        <v>6260</v>
      </c>
      <c r="E525" s="4" t="s">
        <v>6261</v>
      </c>
      <c r="F525" s="4" t="s">
        <v>53</v>
      </c>
      <c r="G525" s="4" t="s">
        <v>177</v>
      </c>
      <c r="H525" s="4" t="s">
        <v>54</v>
      </c>
      <c r="I525" s="4" t="s">
        <v>6262</v>
      </c>
      <c r="J525" s="4" t="s">
        <v>37</v>
      </c>
      <c r="K525" s="4" t="s">
        <v>37</v>
      </c>
      <c r="L525" s="4" t="s">
        <v>39</v>
      </c>
      <c r="M525" s="4" t="s">
        <v>37</v>
      </c>
      <c r="N525" s="4" t="s">
        <v>37</v>
      </c>
      <c r="O525" s="4" t="s">
        <v>39</v>
      </c>
      <c r="P525" s="4" t="s">
        <v>37</v>
      </c>
      <c r="Q525" s="4" t="s">
        <v>37</v>
      </c>
      <c r="R525" s="4" t="s">
        <v>39</v>
      </c>
      <c r="S525" s="4" t="s">
        <v>4751</v>
      </c>
      <c r="T525" s="4" t="s">
        <v>5619</v>
      </c>
      <c r="U525" s="4" t="s">
        <v>5620</v>
      </c>
      <c r="V525" s="4" t="s">
        <v>5586</v>
      </c>
      <c r="W525" s="4" t="s">
        <v>5621</v>
      </c>
      <c r="X525" s="4"/>
      <c r="Y525" s="4"/>
      <c r="Z525" s="4" t="s">
        <v>46</v>
      </c>
      <c r="AA525" s="4" t="s">
        <v>5599</v>
      </c>
      <c r="AB525" s="4" t="s">
        <v>3109</v>
      </c>
      <c r="AC525" s="9">
        <v>1</v>
      </c>
      <c r="AD525" t="str">
        <f>VLOOKUP($T525,[1]NhanSu!$C$5:$M$229,11,0)</f>
        <v>SM0000138</v>
      </c>
    </row>
    <row r="526" spans="1:30" x14ac:dyDescent="0.45">
      <c r="A526" s="6" t="s">
        <v>5578</v>
      </c>
      <c r="B526" s="5">
        <v>2524</v>
      </c>
      <c r="C526" s="5" t="s">
        <v>6272</v>
      </c>
      <c r="D526" s="5" t="s">
        <v>6273</v>
      </c>
      <c r="E526" s="5" t="s">
        <v>108</v>
      </c>
      <c r="F526" s="5" t="s">
        <v>53</v>
      </c>
      <c r="G526" s="5" t="s">
        <v>177</v>
      </c>
      <c r="H526" s="5" t="s">
        <v>54</v>
      </c>
      <c r="I526" s="5" t="s">
        <v>6274</v>
      </c>
      <c r="J526" s="5" t="s">
        <v>37</v>
      </c>
      <c r="K526" s="5" t="s">
        <v>37</v>
      </c>
      <c r="L526" s="5" t="s">
        <v>39</v>
      </c>
      <c r="M526" s="5" t="s">
        <v>37</v>
      </c>
      <c r="N526" s="5" t="s">
        <v>37</v>
      </c>
      <c r="O526" s="5" t="s">
        <v>39</v>
      </c>
      <c r="P526" s="5" t="s">
        <v>37</v>
      </c>
      <c r="Q526" s="5" t="s">
        <v>37</v>
      </c>
      <c r="R526" s="5" t="s">
        <v>39</v>
      </c>
      <c r="S526" s="5" t="s">
        <v>6275</v>
      </c>
      <c r="T526" s="5" t="s">
        <v>5619</v>
      </c>
      <c r="U526" s="5" t="s">
        <v>5620</v>
      </c>
      <c r="V526" s="5" t="s">
        <v>5586</v>
      </c>
      <c r="W526" s="5" t="s">
        <v>5621</v>
      </c>
      <c r="X526" s="5"/>
      <c r="Y526" s="5"/>
      <c r="Z526" s="5" t="s">
        <v>46</v>
      </c>
      <c r="AA526" s="5" t="s">
        <v>5599</v>
      </c>
      <c r="AB526" s="5" t="s">
        <v>3109</v>
      </c>
      <c r="AC526" s="7">
        <v>1</v>
      </c>
      <c r="AD526" t="str">
        <f>VLOOKUP($T526,[1]NhanSu!$C$5:$M$229,11,0)</f>
        <v>SM0000138</v>
      </c>
    </row>
    <row r="527" spans="1:30" x14ac:dyDescent="0.45">
      <c r="A527" s="8" t="s">
        <v>5578</v>
      </c>
      <c r="B527" s="4">
        <v>2560</v>
      </c>
      <c r="C527" s="4" t="s">
        <v>6285</v>
      </c>
      <c r="D527" s="4" t="s">
        <v>6286</v>
      </c>
      <c r="E527" s="4" t="s">
        <v>1182</v>
      </c>
      <c r="F527" s="4" t="s">
        <v>1573</v>
      </c>
      <c r="G527" s="4" t="s">
        <v>34</v>
      </c>
      <c r="H527" s="4" t="s">
        <v>555</v>
      </c>
      <c r="I527" s="4" t="s">
        <v>6287</v>
      </c>
      <c r="J527" s="4" t="s">
        <v>38</v>
      </c>
      <c r="K527" s="4" t="s">
        <v>37</v>
      </c>
      <c r="L527" s="4" t="s">
        <v>40</v>
      </c>
      <c r="M527" s="4" t="s">
        <v>37</v>
      </c>
      <c r="N527" s="4" t="s">
        <v>37</v>
      </c>
      <c r="O527" s="4" t="s">
        <v>39</v>
      </c>
      <c r="P527" s="4" t="s">
        <v>38</v>
      </c>
      <c r="Q527" s="4" t="s">
        <v>37</v>
      </c>
      <c r="R527" s="4" t="s">
        <v>40</v>
      </c>
      <c r="S527" s="4" t="s">
        <v>41</v>
      </c>
      <c r="T527" s="4" t="s">
        <v>5711</v>
      </c>
      <c r="U527" s="4" t="s">
        <v>5712</v>
      </c>
      <c r="V527" s="4" t="s">
        <v>5586</v>
      </c>
      <c r="W527" s="4" t="s">
        <v>5649</v>
      </c>
      <c r="X527" s="4"/>
      <c r="Y527" s="4"/>
      <c r="Z527" s="4" t="s">
        <v>46</v>
      </c>
      <c r="AA527" s="4" t="s">
        <v>5678</v>
      </c>
      <c r="AB527" s="4" t="s">
        <v>4223</v>
      </c>
      <c r="AC527" s="9">
        <v>1</v>
      </c>
      <c r="AD527" t="str">
        <f>VLOOKUP($T527,[1]NhanSu!$C$5:$M$229,11,0)</f>
        <v>SM0000186</v>
      </c>
    </row>
    <row r="528" spans="1:30" x14ac:dyDescent="0.45">
      <c r="A528" s="6" t="s">
        <v>5578</v>
      </c>
      <c r="B528" s="5">
        <v>2713</v>
      </c>
      <c r="C528" s="5" t="s">
        <v>6311</v>
      </c>
      <c r="D528" s="5" t="s">
        <v>6312</v>
      </c>
      <c r="E528" s="5" t="s">
        <v>682</v>
      </c>
      <c r="F528" s="5" t="s">
        <v>280</v>
      </c>
      <c r="G528" s="5" t="s">
        <v>34</v>
      </c>
      <c r="H528" s="5" t="s">
        <v>319</v>
      </c>
      <c r="I528" s="5" t="s">
        <v>6313</v>
      </c>
      <c r="J528" s="5" t="s">
        <v>38</v>
      </c>
      <c r="K528" s="5" t="s">
        <v>37</v>
      </c>
      <c r="L528" s="5" t="s">
        <v>39</v>
      </c>
      <c r="M528" s="5" t="s">
        <v>37</v>
      </c>
      <c r="N528" s="5" t="s">
        <v>37</v>
      </c>
      <c r="O528" s="5" t="s">
        <v>39</v>
      </c>
      <c r="P528" s="5" t="s">
        <v>38</v>
      </c>
      <c r="Q528" s="5" t="s">
        <v>38</v>
      </c>
      <c r="R528" s="5" t="s">
        <v>40</v>
      </c>
      <c r="S528" s="5" t="s">
        <v>41</v>
      </c>
      <c r="T528" s="5" t="s">
        <v>5676</v>
      </c>
      <c r="U528" s="5" t="s">
        <v>5677</v>
      </c>
      <c r="V528" s="5" t="s">
        <v>5586</v>
      </c>
      <c r="W528" s="5" t="s">
        <v>5607</v>
      </c>
      <c r="X528" s="5"/>
      <c r="Y528" s="5"/>
      <c r="Z528" s="5" t="s">
        <v>46</v>
      </c>
      <c r="AA528" s="5" t="s">
        <v>5678</v>
      </c>
      <c r="AB528" s="5" t="s">
        <v>4223</v>
      </c>
      <c r="AC528" s="7">
        <v>1</v>
      </c>
      <c r="AD528" t="str">
        <f>VLOOKUP($T528,[1]NhanSu!$C$5:$M$229,11,0)</f>
        <v>SM0000111</v>
      </c>
    </row>
    <row r="529" spans="1:30" x14ac:dyDescent="0.45">
      <c r="A529" s="8" t="s">
        <v>5578</v>
      </c>
      <c r="B529" s="4">
        <v>2811</v>
      </c>
      <c r="C529" s="4" t="s">
        <v>6324</v>
      </c>
      <c r="D529" s="4" t="s">
        <v>6325</v>
      </c>
      <c r="E529" s="4" t="s">
        <v>91</v>
      </c>
      <c r="F529" s="4" t="s">
        <v>53</v>
      </c>
      <c r="G529" s="4" t="s">
        <v>177</v>
      </c>
      <c r="H529" s="4" t="s">
        <v>54</v>
      </c>
      <c r="I529" s="4" t="s">
        <v>5943</v>
      </c>
      <c r="J529" s="4" t="s">
        <v>37</v>
      </c>
      <c r="K529" s="4" t="s">
        <v>37</v>
      </c>
      <c r="L529" s="4" t="s">
        <v>40</v>
      </c>
      <c r="M529" s="4" t="s">
        <v>38</v>
      </c>
      <c r="N529" s="4" t="s">
        <v>37</v>
      </c>
      <c r="O529" s="4" t="s">
        <v>40</v>
      </c>
      <c r="P529" s="4" t="s">
        <v>38</v>
      </c>
      <c r="Q529" s="4" t="s">
        <v>38</v>
      </c>
      <c r="R529" s="4" t="s">
        <v>40</v>
      </c>
      <c r="S529" s="4" t="s">
        <v>41</v>
      </c>
      <c r="T529" s="4" t="s">
        <v>5633</v>
      </c>
      <c r="U529" s="4" t="s">
        <v>5620</v>
      </c>
      <c r="V529" s="4" t="s">
        <v>5586</v>
      </c>
      <c r="W529" s="4" t="s">
        <v>5621</v>
      </c>
      <c r="X529" s="4"/>
      <c r="Y529" s="4"/>
      <c r="Z529" s="4" t="s">
        <v>46</v>
      </c>
      <c r="AA529" s="4" t="s">
        <v>5599</v>
      </c>
      <c r="AB529" s="4" t="s">
        <v>3109</v>
      </c>
      <c r="AC529" s="9">
        <v>1</v>
      </c>
      <c r="AD529" t="str">
        <f>VLOOKUP($T529,[1]NhanSu!$C$5:$M$229,11,0)</f>
        <v>SM0000127</v>
      </c>
    </row>
    <row r="530" spans="1:30" x14ac:dyDescent="0.45">
      <c r="A530" s="6" t="s">
        <v>5578</v>
      </c>
      <c r="B530" s="5">
        <v>2826</v>
      </c>
      <c r="C530" s="5" t="s">
        <v>6326</v>
      </c>
      <c r="D530" s="5" t="s">
        <v>6327</v>
      </c>
      <c r="E530" s="5" t="s">
        <v>86</v>
      </c>
      <c r="F530" s="5" t="s">
        <v>53</v>
      </c>
      <c r="G530" s="5" t="s">
        <v>177</v>
      </c>
      <c r="H530" s="5" t="s">
        <v>54</v>
      </c>
      <c r="I530" s="5" t="s">
        <v>3188</v>
      </c>
      <c r="J530" s="5" t="s">
        <v>38</v>
      </c>
      <c r="K530" s="5" t="s">
        <v>38</v>
      </c>
      <c r="L530" s="5" t="s">
        <v>40</v>
      </c>
      <c r="M530" s="5" t="s">
        <v>37</v>
      </c>
      <c r="N530" s="5" t="s">
        <v>38</v>
      </c>
      <c r="O530" s="5" t="s">
        <v>40</v>
      </c>
      <c r="P530" s="5" t="s">
        <v>38</v>
      </c>
      <c r="Q530" s="5" t="s">
        <v>37</v>
      </c>
      <c r="R530" s="5" t="s">
        <v>40</v>
      </c>
      <c r="S530" s="5" t="s">
        <v>41</v>
      </c>
      <c r="T530" s="5" t="s">
        <v>5766</v>
      </c>
      <c r="U530" s="5" t="s">
        <v>5597</v>
      </c>
      <c r="V530" s="5" t="s">
        <v>5586</v>
      </c>
      <c r="W530" s="5" t="s">
        <v>5598</v>
      </c>
      <c r="X530" s="5"/>
      <c r="Y530" s="5"/>
      <c r="Z530" s="5" t="s">
        <v>46</v>
      </c>
      <c r="AA530" s="5" t="s">
        <v>5599</v>
      </c>
      <c r="AB530" s="5" t="s">
        <v>3109</v>
      </c>
      <c r="AC530" s="7">
        <v>1</v>
      </c>
      <c r="AD530" t="str">
        <f>VLOOKUP($T530,[1]NhanSu!$C$5:$M$229,11,0)</f>
        <v>SM0000188</v>
      </c>
    </row>
    <row r="531" spans="1:30" x14ac:dyDescent="0.45">
      <c r="A531" s="8" t="s">
        <v>5578</v>
      </c>
      <c r="B531" s="4">
        <v>2850</v>
      </c>
      <c r="C531" s="4" t="s">
        <v>6328</v>
      </c>
      <c r="D531" s="4" t="s">
        <v>6329</v>
      </c>
      <c r="E531" s="4" t="s">
        <v>1015</v>
      </c>
      <c r="F531" s="4" t="s">
        <v>426</v>
      </c>
      <c r="G531" s="4" t="s">
        <v>34</v>
      </c>
      <c r="H531" s="4" t="s">
        <v>1788</v>
      </c>
      <c r="I531" s="4" t="s">
        <v>6331</v>
      </c>
      <c r="J531" s="4" t="s">
        <v>37</v>
      </c>
      <c r="K531" s="4" t="s">
        <v>37</v>
      </c>
      <c r="L531" s="4" t="s">
        <v>39</v>
      </c>
      <c r="M531" s="4" t="s">
        <v>37</v>
      </c>
      <c r="N531" s="4" t="s">
        <v>37</v>
      </c>
      <c r="O531" s="4" t="s">
        <v>39</v>
      </c>
      <c r="P531" s="4" t="s">
        <v>37</v>
      </c>
      <c r="Q531" s="4" t="s">
        <v>37</v>
      </c>
      <c r="R531" s="4" t="s">
        <v>39</v>
      </c>
      <c r="S531" s="4" t="s">
        <v>41</v>
      </c>
      <c r="T531" s="4" t="s">
        <v>5916</v>
      </c>
      <c r="U531" s="4" t="s">
        <v>5917</v>
      </c>
      <c r="V531" s="4" t="s">
        <v>5586</v>
      </c>
      <c r="W531" s="4" t="s">
        <v>5598</v>
      </c>
      <c r="X531" s="4"/>
      <c r="Y531" s="4"/>
      <c r="Z531" s="4" t="s">
        <v>46</v>
      </c>
      <c r="AA531" s="4" t="s">
        <v>5599</v>
      </c>
      <c r="AB531" s="4" t="s">
        <v>3109</v>
      </c>
      <c r="AC531" s="9">
        <v>1</v>
      </c>
      <c r="AD531" t="str">
        <f>VLOOKUP($T531,[1]NhanSu!$C$5:$M$229,11,0)</f>
        <v>SM0000128</v>
      </c>
    </row>
    <row r="532" spans="1:30" x14ac:dyDescent="0.45">
      <c r="A532" s="6" t="s">
        <v>5578</v>
      </c>
      <c r="B532" s="5">
        <v>2864</v>
      </c>
      <c r="C532" s="5" t="s">
        <v>6332</v>
      </c>
      <c r="D532" s="5" t="s">
        <v>6333</v>
      </c>
      <c r="E532" s="5" t="s">
        <v>2390</v>
      </c>
      <c r="F532" s="5" t="s">
        <v>53</v>
      </c>
      <c r="G532" s="5" t="s">
        <v>34</v>
      </c>
      <c r="H532" s="5" t="s">
        <v>2294</v>
      </c>
      <c r="I532" s="5" t="s">
        <v>6334</v>
      </c>
      <c r="J532" s="5" t="s">
        <v>37</v>
      </c>
      <c r="K532" s="5" t="s">
        <v>37</v>
      </c>
      <c r="L532" s="5" t="s">
        <v>40</v>
      </c>
      <c r="M532" s="5" t="s">
        <v>37</v>
      </c>
      <c r="N532" s="5" t="s">
        <v>37</v>
      </c>
      <c r="O532" s="5" t="s">
        <v>39</v>
      </c>
      <c r="P532" s="5" t="s">
        <v>37</v>
      </c>
      <c r="Q532" s="5" t="s">
        <v>37</v>
      </c>
      <c r="R532" s="5" t="s">
        <v>39</v>
      </c>
      <c r="S532" s="5" t="s">
        <v>41</v>
      </c>
      <c r="T532" s="5" t="s">
        <v>5916</v>
      </c>
      <c r="U532" s="5" t="s">
        <v>5917</v>
      </c>
      <c r="V532" s="5" t="s">
        <v>5586</v>
      </c>
      <c r="W532" s="5" t="s">
        <v>5598</v>
      </c>
      <c r="X532" s="5"/>
      <c r="Y532" s="5"/>
      <c r="Z532" s="5" t="s">
        <v>46</v>
      </c>
      <c r="AA532" s="5" t="s">
        <v>5599</v>
      </c>
      <c r="AB532" s="5" t="s">
        <v>3109</v>
      </c>
      <c r="AC532" s="7">
        <v>1</v>
      </c>
      <c r="AD532" t="str">
        <f>VLOOKUP($T532,[1]NhanSu!$C$5:$M$229,11,0)</f>
        <v>SM0000128</v>
      </c>
    </row>
    <row r="533" spans="1:30" x14ac:dyDescent="0.45">
      <c r="A533" s="8" t="s">
        <v>5578</v>
      </c>
      <c r="B533" s="4">
        <v>2872</v>
      </c>
      <c r="C533" s="4" t="s">
        <v>6335</v>
      </c>
      <c r="D533" s="4" t="s">
        <v>6336</v>
      </c>
      <c r="E533" s="4" t="s">
        <v>206</v>
      </c>
      <c r="F533" s="4" t="s">
        <v>53</v>
      </c>
      <c r="G533" s="4" t="s">
        <v>34</v>
      </c>
      <c r="H533" s="4" t="s">
        <v>54</v>
      </c>
      <c r="I533" s="4" t="s">
        <v>6337</v>
      </c>
      <c r="J533" s="4" t="s">
        <v>38</v>
      </c>
      <c r="K533" s="4" t="s">
        <v>37</v>
      </c>
      <c r="L533" s="4" t="s">
        <v>40</v>
      </c>
      <c r="M533" s="4" t="s">
        <v>38</v>
      </c>
      <c r="N533" s="4" t="s">
        <v>37</v>
      </c>
      <c r="O533" s="4" t="s">
        <v>40</v>
      </c>
      <c r="P533" s="4" t="s">
        <v>37</v>
      </c>
      <c r="Q533" s="4" t="s">
        <v>37</v>
      </c>
      <c r="R533" s="4" t="s">
        <v>39</v>
      </c>
      <c r="S533" s="4" t="s">
        <v>41</v>
      </c>
      <c r="T533" s="4" t="s">
        <v>5633</v>
      </c>
      <c r="U533" s="4" t="s">
        <v>5620</v>
      </c>
      <c r="V533" s="4" t="s">
        <v>5586</v>
      </c>
      <c r="W533" s="4" t="s">
        <v>5621</v>
      </c>
      <c r="X533" s="4"/>
      <c r="Y533" s="4"/>
      <c r="Z533" s="4" t="s">
        <v>46</v>
      </c>
      <c r="AA533" s="4" t="s">
        <v>5599</v>
      </c>
      <c r="AB533" s="4" t="s">
        <v>3109</v>
      </c>
      <c r="AC533" s="9">
        <v>1</v>
      </c>
      <c r="AD533" t="str">
        <f>VLOOKUP($T533,[1]NhanSu!$C$5:$M$229,11,0)</f>
        <v>SM0000127</v>
      </c>
    </row>
    <row r="534" spans="1:30" x14ac:dyDescent="0.45">
      <c r="A534" s="6" t="s">
        <v>5578</v>
      </c>
      <c r="B534" s="5">
        <v>2880</v>
      </c>
      <c r="C534" s="5" t="s">
        <v>6338</v>
      </c>
      <c r="D534" s="5" t="s">
        <v>6339</v>
      </c>
      <c r="E534" s="5" t="s">
        <v>522</v>
      </c>
      <c r="F534" s="5" t="s">
        <v>4655</v>
      </c>
      <c r="G534" s="5" t="s">
        <v>34</v>
      </c>
      <c r="H534" s="5" t="s">
        <v>4115</v>
      </c>
      <c r="I534" s="5" t="s">
        <v>6340</v>
      </c>
      <c r="J534" s="5" t="s">
        <v>38</v>
      </c>
      <c r="K534" s="5" t="s">
        <v>37</v>
      </c>
      <c r="L534" s="5" t="s">
        <v>39</v>
      </c>
      <c r="M534" s="5" t="s">
        <v>37</v>
      </c>
      <c r="N534" s="5" t="s">
        <v>37</v>
      </c>
      <c r="O534" s="5" t="s">
        <v>39</v>
      </c>
      <c r="P534" s="5" t="s">
        <v>37</v>
      </c>
      <c r="Q534" s="5" t="s">
        <v>37</v>
      </c>
      <c r="R534" s="5" t="s">
        <v>39</v>
      </c>
      <c r="S534" s="5" t="s">
        <v>41</v>
      </c>
      <c r="T534" s="5" t="s">
        <v>5916</v>
      </c>
      <c r="U534" s="5" t="s">
        <v>5917</v>
      </c>
      <c r="V534" s="5" t="s">
        <v>5586</v>
      </c>
      <c r="W534" s="5" t="s">
        <v>5598</v>
      </c>
      <c r="X534" s="5"/>
      <c r="Y534" s="5"/>
      <c r="Z534" s="5" t="s">
        <v>46</v>
      </c>
      <c r="AA534" s="5" t="s">
        <v>5599</v>
      </c>
      <c r="AB534" s="5" t="s">
        <v>3109</v>
      </c>
      <c r="AC534" s="7">
        <v>1</v>
      </c>
      <c r="AD534" t="str">
        <f>VLOOKUP($T534,[1]NhanSu!$C$5:$M$229,11,0)</f>
        <v>SM0000128</v>
      </c>
    </row>
    <row r="535" spans="1:30" x14ac:dyDescent="0.45">
      <c r="A535" s="8" t="s">
        <v>5578</v>
      </c>
      <c r="B535" s="4">
        <v>2901</v>
      </c>
      <c r="C535" s="4" t="s">
        <v>6345</v>
      </c>
      <c r="D535" s="4" t="s">
        <v>6346</v>
      </c>
      <c r="E535" s="4" t="s">
        <v>6347</v>
      </c>
      <c r="F535" s="4" t="s">
        <v>115</v>
      </c>
      <c r="G535" s="4" t="s">
        <v>177</v>
      </c>
      <c r="H535" s="4" t="s">
        <v>54</v>
      </c>
      <c r="I535" s="4" t="s">
        <v>6348</v>
      </c>
      <c r="J535" s="4" t="s">
        <v>37</v>
      </c>
      <c r="K535" s="4" t="s">
        <v>37</v>
      </c>
      <c r="L535" s="4" t="s">
        <v>39</v>
      </c>
      <c r="M535" s="4" t="s">
        <v>37</v>
      </c>
      <c r="N535" s="4" t="s">
        <v>37</v>
      </c>
      <c r="O535" s="4" t="s">
        <v>39</v>
      </c>
      <c r="P535" s="4" t="s">
        <v>37</v>
      </c>
      <c r="Q535" s="4" t="s">
        <v>37</v>
      </c>
      <c r="R535" s="4" t="s">
        <v>39</v>
      </c>
      <c r="S535" s="4" t="s">
        <v>4751</v>
      </c>
      <c r="T535" s="4" t="s">
        <v>5619</v>
      </c>
      <c r="U535" s="4" t="s">
        <v>5620</v>
      </c>
      <c r="V535" s="4" t="s">
        <v>5586</v>
      </c>
      <c r="W535" s="4" t="s">
        <v>5621</v>
      </c>
      <c r="X535" s="4"/>
      <c r="Y535" s="4"/>
      <c r="Z535" s="4" t="s">
        <v>46</v>
      </c>
      <c r="AA535" s="4" t="s">
        <v>5599</v>
      </c>
      <c r="AB535" s="4" t="s">
        <v>3109</v>
      </c>
      <c r="AC535" s="9">
        <v>1</v>
      </c>
      <c r="AD535" t="str">
        <f>VLOOKUP($T535,[1]NhanSu!$C$5:$M$229,11,0)</f>
        <v>SM0000138</v>
      </c>
    </row>
    <row r="536" spans="1:30" x14ac:dyDescent="0.45">
      <c r="A536" s="6" t="s">
        <v>5578</v>
      </c>
      <c r="B536" s="5">
        <v>2931</v>
      </c>
      <c r="C536" s="5" t="s">
        <v>6353</v>
      </c>
      <c r="D536" s="5" t="s">
        <v>5244</v>
      </c>
      <c r="E536" s="5" t="s">
        <v>6354</v>
      </c>
      <c r="F536" s="5" t="s">
        <v>53</v>
      </c>
      <c r="G536" s="5" t="s">
        <v>177</v>
      </c>
      <c r="H536" s="5" t="s">
        <v>54</v>
      </c>
      <c r="I536" s="5" t="s">
        <v>6355</v>
      </c>
      <c r="J536" s="5" t="s">
        <v>37</v>
      </c>
      <c r="K536" s="5" t="s">
        <v>37</v>
      </c>
      <c r="L536" s="5" t="s">
        <v>39</v>
      </c>
      <c r="M536" s="5" t="s">
        <v>37</v>
      </c>
      <c r="N536" s="5" t="s">
        <v>37</v>
      </c>
      <c r="O536" s="5" t="s">
        <v>39</v>
      </c>
      <c r="P536" s="5" t="s">
        <v>38</v>
      </c>
      <c r="Q536" s="5" t="s">
        <v>37</v>
      </c>
      <c r="R536" s="5" t="s">
        <v>39</v>
      </c>
      <c r="S536" s="5" t="s">
        <v>4751</v>
      </c>
      <c r="T536" s="5" t="s">
        <v>5619</v>
      </c>
      <c r="U536" s="5" t="s">
        <v>5620</v>
      </c>
      <c r="V536" s="5" t="s">
        <v>5586</v>
      </c>
      <c r="W536" s="5" t="s">
        <v>5621</v>
      </c>
      <c r="X536" s="5"/>
      <c r="Y536" s="5"/>
      <c r="Z536" s="5" t="s">
        <v>46</v>
      </c>
      <c r="AA536" s="5" t="s">
        <v>5599</v>
      </c>
      <c r="AB536" s="5" t="s">
        <v>3109</v>
      </c>
      <c r="AC536" s="7">
        <v>1</v>
      </c>
      <c r="AD536" t="str">
        <f>VLOOKUP($T536,[1]NhanSu!$C$5:$M$229,11,0)</f>
        <v>SM0000138</v>
      </c>
    </row>
    <row r="537" spans="1:30" x14ac:dyDescent="0.45">
      <c r="A537" s="8" t="s">
        <v>5578</v>
      </c>
      <c r="B537" s="4">
        <v>2952</v>
      </c>
      <c r="C537" s="4" t="s">
        <v>6356</v>
      </c>
      <c r="D537" s="4" t="s">
        <v>6357</v>
      </c>
      <c r="E537" s="4" t="s">
        <v>455</v>
      </c>
      <c r="F537" s="4" t="s">
        <v>1676</v>
      </c>
      <c r="G537" s="4" t="s">
        <v>34</v>
      </c>
      <c r="H537" s="4" t="s">
        <v>319</v>
      </c>
      <c r="I537" s="4" t="s">
        <v>6358</v>
      </c>
      <c r="J537" s="4" t="s">
        <v>37</v>
      </c>
      <c r="K537" s="4" t="s">
        <v>37</v>
      </c>
      <c r="L537" s="4" t="s">
        <v>39</v>
      </c>
      <c r="M537" s="4" t="s">
        <v>37</v>
      </c>
      <c r="N537" s="4" t="s">
        <v>37</v>
      </c>
      <c r="O537" s="4" t="s">
        <v>39</v>
      </c>
      <c r="P537" s="4" t="s">
        <v>38</v>
      </c>
      <c r="Q537" s="4" t="s">
        <v>38</v>
      </c>
      <c r="R537" s="4" t="s">
        <v>40</v>
      </c>
      <c r="S537" s="4" t="s">
        <v>41</v>
      </c>
      <c r="T537" s="4" t="s">
        <v>5676</v>
      </c>
      <c r="U537" s="4" t="s">
        <v>5677</v>
      </c>
      <c r="V537" s="4" t="s">
        <v>5586</v>
      </c>
      <c r="W537" s="4" t="s">
        <v>5607</v>
      </c>
      <c r="X537" s="4"/>
      <c r="Y537" s="4"/>
      <c r="Z537" s="4" t="s">
        <v>46</v>
      </c>
      <c r="AA537" s="4" t="s">
        <v>5678</v>
      </c>
      <c r="AB537" s="4" t="s">
        <v>3109</v>
      </c>
      <c r="AC537" s="9">
        <v>1</v>
      </c>
      <c r="AD537" t="str">
        <f>VLOOKUP($T537,[1]NhanSu!$C$5:$M$229,11,0)</f>
        <v>SM0000111</v>
      </c>
    </row>
    <row r="538" spans="1:30" x14ac:dyDescent="0.45">
      <c r="A538" s="6" t="s">
        <v>5578</v>
      </c>
      <c r="B538" s="5">
        <v>2959</v>
      </c>
      <c r="C538" s="5" t="s">
        <v>6361</v>
      </c>
      <c r="D538" s="5" t="s">
        <v>6362</v>
      </c>
      <c r="E538" s="5" t="s">
        <v>138</v>
      </c>
      <c r="F538" s="5" t="s">
        <v>166</v>
      </c>
      <c r="G538" s="5" t="s">
        <v>34</v>
      </c>
      <c r="H538" s="5" t="s">
        <v>457</v>
      </c>
      <c r="I538" s="5" t="s">
        <v>6363</v>
      </c>
      <c r="J538" s="5" t="s">
        <v>56</v>
      </c>
      <c r="K538" s="5" t="s">
        <v>56</v>
      </c>
      <c r="L538" s="5" t="s">
        <v>39</v>
      </c>
      <c r="M538" s="5" t="s">
        <v>37</v>
      </c>
      <c r="N538" s="5" t="s">
        <v>37</v>
      </c>
      <c r="O538" s="5" t="s">
        <v>39</v>
      </c>
      <c r="P538" s="5" t="s">
        <v>38</v>
      </c>
      <c r="Q538" s="5" t="s">
        <v>37</v>
      </c>
      <c r="R538" s="5" t="s">
        <v>39</v>
      </c>
      <c r="S538" s="5" t="s">
        <v>41</v>
      </c>
      <c r="T538" s="5" t="s">
        <v>5676</v>
      </c>
      <c r="U538" s="5" t="s">
        <v>5677</v>
      </c>
      <c r="V538" s="5" t="s">
        <v>5586</v>
      </c>
      <c r="W538" s="5" t="s">
        <v>5607</v>
      </c>
      <c r="X538" s="5"/>
      <c r="Y538" s="5"/>
      <c r="Z538" s="5" t="s">
        <v>46</v>
      </c>
      <c r="AA538" s="5" t="s">
        <v>5678</v>
      </c>
      <c r="AB538" s="5" t="s">
        <v>3109</v>
      </c>
      <c r="AC538" s="7">
        <v>1</v>
      </c>
      <c r="AD538" t="str">
        <f>VLOOKUP($T538,[1]NhanSu!$C$5:$M$229,11,0)</f>
        <v>SM0000111</v>
      </c>
    </row>
    <row r="539" spans="1:30" x14ac:dyDescent="0.45">
      <c r="A539" s="8" t="s">
        <v>5578</v>
      </c>
      <c r="B539" s="4">
        <v>3030</v>
      </c>
      <c r="C539" s="4" t="s">
        <v>6372</v>
      </c>
      <c r="D539" s="4" t="s">
        <v>6373</v>
      </c>
      <c r="E539" s="4" t="s">
        <v>657</v>
      </c>
      <c r="F539" s="4" t="s">
        <v>1573</v>
      </c>
      <c r="G539" s="4" t="s">
        <v>34</v>
      </c>
      <c r="H539" s="4" t="s">
        <v>402</v>
      </c>
      <c r="I539" s="4" t="s">
        <v>6374</v>
      </c>
      <c r="J539" s="4" t="s">
        <v>38</v>
      </c>
      <c r="K539" s="4" t="s">
        <v>38</v>
      </c>
      <c r="L539" s="4" t="s">
        <v>40</v>
      </c>
      <c r="M539" s="4" t="s">
        <v>37</v>
      </c>
      <c r="N539" s="4" t="s">
        <v>37</v>
      </c>
      <c r="O539" s="4" t="s">
        <v>39</v>
      </c>
      <c r="P539" s="4" t="s">
        <v>37</v>
      </c>
      <c r="Q539" s="4" t="s">
        <v>37</v>
      </c>
      <c r="R539" s="4" t="s">
        <v>40</v>
      </c>
      <c r="S539" s="4" t="s">
        <v>41</v>
      </c>
      <c r="T539" s="4" t="s">
        <v>5711</v>
      </c>
      <c r="U539" s="4" t="s">
        <v>5712</v>
      </c>
      <c r="V539" s="4" t="s">
        <v>5586</v>
      </c>
      <c r="W539" s="4" t="s">
        <v>5649</v>
      </c>
      <c r="X539" s="4"/>
      <c r="Y539" s="4"/>
      <c r="Z539" s="4" t="s">
        <v>46</v>
      </c>
      <c r="AA539" s="4" t="s">
        <v>5678</v>
      </c>
      <c r="AB539" s="4" t="s">
        <v>3109</v>
      </c>
      <c r="AC539" s="9">
        <v>1</v>
      </c>
      <c r="AD539" t="str">
        <f>VLOOKUP($T539,[1]NhanSu!$C$5:$M$229,11,0)</f>
        <v>SM0000186</v>
      </c>
    </row>
    <row r="540" spans="1:30" x14ac:dyDescent="0.45">
      <c r="A540" s="6" t="s">
        <v>5578</v>
      </c>
      <c r="B540" s="5">
        <v>3043</v>
      </c>
      <c r="C540" s="5" t="s">
        <v>6375</v>
      </c>
      <c r="D540" s="5" t="s">
        <v>6376</v>
      </c>
      <c r="E540" s="5" t="s">
        <v>6377</v>
      </c>
      <c r="F540" s="5" t="s">
        <v>6378</v>
      </c>
      <c r="G540" s="5" t="s">
        <v>150</v>
      </c>
      <c r="H540" s="5" t="s">
        <v>685</v>
      </c>
      <c r="I540" s="5" t="s">
        <v>6379</v>
      </c>
      <c r="J540" s="5" t="s">
        <v>37</v>
      </c>
      <c r="K540" s="5" t="s">
        <v>37</v>
      </c>
      <c r="L540" s="5" t="s">
        <v>39</v>
      </c>
      <c r="M540" s="5" t="s">
        <v>37</v>
      </c>
      <c r="N540" s="5" t="s">
        <v>37</v>
      </c>
      <c r="O540" s="5" t="s">
        <v>39</v>
      </c>
      <c r="P540" s="5" t="s">
        <v>38</v>
      </c>
      <c r="Q540" s="5" t="s">
        <v>38</v>
      </c>
      <c r="R540" s="5" t="s">
        <v>40</v>
      </c>
      <c r="S540" s="5" t="s">
        <v>6380</v>
      </c>
      <c r="T540" s="5" t="s">
        <v>5605</v>
      </c>
      <c r="U540" s="5" t="s">
        <v>5606</v>
      </c>
      <c r="V540" s="5" t="s">
        <v>5586</v>
      </c>
      <c r="W540" s="5" t="s">
        <v>5607</v>
      </c>
      <c r="X540" s="5"/>
      <c r="Y540" s="5"/>
      <c r="Z540" s="5" t="s">
        <v>46</v>
      </c>
      <c r="AA540" s="5" t="s">
        <v>5678</v>
      </c>
      <c r="AB540" s="5" t="s">
        <v>3109</v>
      </c>
      <c r="AC540" s="7">
        <v>1</v>
      </c>
      <c r="AD540" t="str">
        <f>VLOOKUP($T540,[1]NhanSu!$C$5:$M$229,11,0)</f>
        <v>SM0000112</v>
      </c>
    </row>
    <row r="541" spans="1:30" x14ac:dyDescent="0.45">
      <c r="A541" s="8" t="s">
        <v>5578</v>
      </c>
      <c r="B541" s="4">
        <v>3055</v>
      </c>
      <c r="C541" s="4" t="s">
        <v>6384</v>
      </c>
      <c r="D541" s="4" t="s">
        <v>6385</v>
      </c>
      <c r="E541" s="4" t="s">
        <v>6386</v>
      </c>
      <c r="F541" s="4" t="s">
        <v>1994</v>
      </c>
      <c r="G541" s="4" t="s">
        <v>177</v>
      </c>
      <c r="H541" s="4" t="s">
        <v>685</v>
      </c>
      <c r="I541" s="4" t="s">
        <v>6387</v>
      </c>
      <c r="J541" s="4" t="s">
        <v>37</v>
      </c>
      <c r="K541" s="4" t="s">
        <v>37</v>
      </c>
      <c r="L541" s="4" t="s">
        <v>39</v>
      </c>
      <c r="M541" s="4" t="s">
        <v>37</v>
      </c>
      <c r="N541" s="4" t="s">
        <v>37</v>
      </c>
      <c r="O541" s="4" t="s">
        <v>39</v>
      </c>
      <c r="P541" s="4" t="s">
        <v>37</v>
      </c>
      <c r="Q541" s="4" t="s">
        <v>37</v>
      </c>
      <c r="R541" s="4" t="s">
        <v>39</v>
      </c>
      <c r="S541" s="4" t="s">
        <v>41</v>
      </c>
      <c r="T541" s="4" t="s">
        <v>5596</v>
      </c>
      <c r="U541" s="4" t="s">
        <v>5597</v>
      </c>
      <c r="V541" s="4" t="s">
        <v>5586</v>
      </c>
      <c r="W541" s="4" t="s">
        <v>5598</v>
      </c>
      <c r="X541" s="4"/>
      <c r="Y541" s="4"/>
      <c r="Z541" s="4" t="s">
        <v>46</v>
      </c>
      <c r="AA541" s="4" t="s">
        <v>5599</v>
      </c>
      <c r="AB541" s="4" t="s">
        <v>4223</v>
      </c>
      <c r="AC541" s="9">
        <v>1</v>
      </c>
      <c r="AD541" t="str">
        <f>VLOOKUP($T541,[1]NhanSu!$C$5:$M$229,11,0)</f>
        <v>SM0000129</v>
      </c>
    </row>
    <row r="542" spans="1:30" x14ac:dyDescent="0.45">
      <c r="A542" s="6" t="s">
        <v>5578</v>
      </c>
      <c r="B542" s="5">
        <v>3082</v>
      </c>
      <c r="C542" s="5" t="s">
        <v>6388</v>
      </c>
      <c r="D542" s="5" t="s">
        <v>6389</v>
      </c>
      <c r="E542" s="5" t="s">
        <v>211</v>
      </c>
      <c r="F542" s="5" t="s">
        <v>1471</v>
      </c>
      <c r="G542" s="5" t="s">
        <v>177</v>
      </c>
      <c r="H542" s="5" t="s">
        <v>2459</v>
      </c>
      <c r="I542" s="5" t="s">
        <v>6390</v>
      </c>
      <c r="J542" s="5" t="s">
        <v>38</v>
      </c>
      <c r="K542" s="5" t="s">
        <v>37</v>
      </c>
      <c r="L542" s="5" t="s">
        <v>40</v>
      </c>
      <c r="M542" s="5" t="s">
        <v>38</v>
      </c>
      <c r="N542" s="5" t="s">
        <v>37</v>
      </c>
      <c r="O542" s="5" t="s">
        <v>39</v>
      </c>
      <c r="P542" s="5" t="s">
        <v>37</v>
      </c>
      <c r="Q542" s="5" t="s">
        <v>37</v>
      </c>
      <c r="R542" s="5" t="s">
        <v>40</v>
      </c>
      <c r="S542" s="5" t="s">
        <v>6231</v>
      </c>
      <c r="T542" s="5" t="s">
        <v>5633</v>
      </c>
      <c r="U542" s="5" t="s">
        <v>5620</v>
      </c>
      <c r="V542" s="5" t="s">
        <v>5586</v>
      </c>
      <c r="W542" s="5" t="s">
        <v>5621</v>
      </c>
      <c r="X542" s="5"/>
      <c r="Y542" s="5"/>
      <c r="Z542" s="5" t="s">
        <v>46</v>
      </c>
      <c r="AA542" s="5" t="s">
        <v>5599</v>
      </c>
      <c r="AB542" s="5" t="s">
        <v>4223</v>
      </c>
      <c r="AC542" s="7">
        <v>1</v>
      </c>
      <c r="AD542" t="str">
        <f>VLOOKUP($T542,[1]NhanSu!$C$5:$M$229,11,0)</f>
        <v>SM0000127</v>
      </c>
    </row>
    <row r="543" spans="1:30" x14ac:dyDescent="0.45">
      <c r="A543" s="8" t="s">
        <v>5578</v>
      </c>
      <c r="B543" s="4">
        <v>3090</v>
      </c>
      <c r="C543" s="4" t="s">
        <v>6395</v>
      </c>
      <c r="D543" s="4" t="s">
        <v>6396</v>
      </c>
      <c r="E543" s="4" t="s">
        <v>2580</v>
      </c>
      <c r="F543" s="4" t="s">
        <v>6397</v>
      </c>
      <c r="G543" s="4" t="s">
        <v>177</v>
      </c>
      <c r="H543" s="4" t="s">
        <v>133</v>
      </c>
      <c r="I543" s="4" t="s">
        <v>6398</v>
      </c>
      <c r="J543" s="4" t="s">
        <v>37</v>
      </c>
      <c r="K543" s="4" t="s">
        <v>37</v>
      </c>
      <c r="L543" s="4" t="s">
        <v>39</v>
      </c>
      <c r="M543" s="4" t="s">
        <v>37</v>
      </c>
      <c r="N543" s="4" t="s">
        <v>37</v>
      </c>
      <c r="O543" s="4" t="s">
        <v>39</v>
      </c>
      <c r="P543" s="4" t="s">
        <v>37</v>
      </c>
      <c r="Q543" s="4" t="s">
        <v>37</v>
      </c>
      <c r="R543" s="4" t="s">
        <v>39</v>
      </c>
      <c r="S543" s="4" t="s">
        <v>6399</v>
      </c>
      <c r="T543" s="4" t="s">
        <v>5916</v>
      </c>
      <c r="U543" s="4" t="s">
        <v>5917</v>
      </c>
      <c r="V543" s="4" t="s">
        <v>5586</v>
      </c>
      <c r="W543" s="4" t="s">
        <v>5598</v>
      </c>
      <c r="X543" s="4"/>
      <c r="Y543" s="4"/>
      <c r="Z543" s="4" t="s">
        <v>46</v>
      </c>
      <c r="AA543" s="4" t="s">
        <v>5599</v>
      </c>
      <c r="AB543" s="4" t="s">
        <v>4223</v>
      </c>
      <c r="AC543" s="9">
        <v>1</v>
      </c>
      <c r="AD543" t="str">
        <f>VLOOKUP($T543,[1]NhanSu!$C$5:$M$229,11,0)</f>
        <v>SM0000128</v>
      </c>
    </row>
    <row r="544" spans="1:30" x14ac:dyDescent="0.45">
      <c r="A544" s="6" t="s">
        <v>5578</v>
      </c>
      <c r="B544" s="5">
        <v>3094</v>
      </c>
      <c r="C544" s="5" t="s">
        <v>6400</v>
      </c>
      <c r="D544" s="5" t="s">
        <v>6401</v>
      </c>
      <c r="E544" s="5" t="s">
        <v>6402</v>
      </c>
      <c r="F544" s="5" t="s">
        <v>166</v>
      </c>
      <c r="G544" s="5" t="s">
        <v>177</v>
      </c>
      <c r="H544" s="5" t="s">
        <v>54</v>
      </c>
      <c r="I544" s="5" t="s">
        <v>6403</v>
      </c>
      <c r="J544" s="5" t="s">
        <v>37</v>
      </c>
      <c r="K544" s="5" t="s">
        <v>37</v>
      </c>
      <c r="L544" s="5" t="s">
        <v>39</v>
      </c>
      <c r="M544" s="5" t="s">
        <v>37</v>
      </c>
      <c r="N544" s="5" t="s">
        <v>37</v>
      </c>
      <c r="O544" s="5" t="s">
        <v>39</v>
      </c>
      <c r="P544" s="5" t="s">
        <v>38</v>
      </c>
      <c r="Q544" s="5" t="s">
        <v>37</v>
      </c>
      <c r="R544" s="5" t="s">
        <v>39</v>
      </c>
      <c r="S544" s="5" t="s">
        <v>6404</v>
      </c>
      <c r="T544" s="5" t="s">
        <v>5619</v>
      </c>
      <c r="U544" s="5" t="s">
        <v>5620</v>
      </c>
      <c r="V544" s="5" t="s">
        <v>5586</v>
      </c>
      <c r="W544" s="5" t="s">
        <v>5621</v>
      </c>
      <c r="X544" s="5"/>
      <c r="Y544" s="5"/>
      <c r="Z544" s="5" t="s">
        <v>46</v>
      </c>
      <c r="AA544" s="5" t="s">
        <v>5599</v>
      </c>
      <c r="AB544" s="5" t="s">
        <v>3109</v>
      </c>
      <c r="AC544" s="7">
        <v>1</v>
      </c>
      <c r="AD544" t="str">
        <f>VLOOKUP($T544,[1]NhanSu!$C$5:$M$229,11,0)</f>
        <v>SM0000138</v>
      </c>
    </row>
    <row r="545" spans="1:30" x14ac:dyDescent="0.45">
      <c r="A545" s="8" t="s">
        <v>5578</v>
      </c>
      <c r="B545" s="4">
        <v>3108</v>
      </c>
      <c r="C545" s="4" t="s">
        <v>6410</v>
      </c>
      <c r="D545" s="4" t="s">
        <v>6411</v>
      </c>
      <c r="E545" s="4" t="s">
        <v>354</v>
      </c>
      <c r="F545" s="4" t="s">
        <v>4321</v>
      </c>
      <c r="G545" s="4" t="s">
        <v>34</v>
      </c>
      <c r="H545" s="4" t="s">
        <v>1188</v>
      </c>
      <c r="I545" s="4" t="s">
        <v>6412</v>
      </c>
      <c r="J545" s="4" t="s">
        <v>56</v>
      </c>
      <c r="K545" s="4" t="s">
        <v>37</v>
      </c>
      <c r="L545" s="4" t="s">
        <v>39</v>
      </c>
      <c r="M545" s="4" t="s">
        <v>37</v>
      </c>
      <c r="N545" s="4" t="s">
        <v>37</v>
      </c>
      <c r="O545" s="4" t="s">
        <v>39</v>
      </c>
      <c r="P545" s="4" t="s">
        <v>37</v>
      </c>
      <c r="Q545" s="4" t="s">
        <v>37</v>
      </c>
      <c r="R545" s="4" t="s">
        <v>39</v>
      </c>
      <c r="S545" s="4" t="s">
        <v>41</v>
      </c>
      <c r="T545" s="4" t="s">
        <v>5916</v>
      </c>
      <c r="U545" s="4" t="s">
        <v>5917</v>
      </c>
      <c r="V545" s="4" t="s">
        <v>5586</v>
      </c>
      <c r="W545" s="4" t="s">
        <v>5598</v>
      </c>
      <c r="X545" s="4"/>
      <c r="Y545" s="4"/>
      <c r="Z545" s="4" t="s">
        <v>46</v>
      </c>
      <c r="AA545" s="4" t="s">
        <v>5599</v>
      </c>
      <c r="AB545" s="4" t="s">
        <v>3109</v>
      </c>
      <c r="AC545" s="9">
        <v>1</v>
      </c>
      <c r="AD545" t="str">
        <f>VLOOKUP($T545,[1]NhanSu!$C$5:$M$229,11,0)</f>
        <v>SM0000128</v>
      </c>
    </row>
    <row r="546" spans="1:30" x14ac:dyDescent="0.45">
      <c r="A546" s="6" t="s">
        <v>5578</v>
      </c>
      <c r="B546" s="5">
        <v>3158</v>
      </c>
      <c r="C546" s="5" t="s">
        <v>6416</v>
      </c>
      <c r="D546" s="5" t="s">
        <v>6417</v>
      </c>
      <c r="E546" s="5" t="s">
        <v>181</v>
      </c>
      <c r="F546" s="5" t="s">
        <v>166</v>
      </c>
      <c r="G546" s="5" t="s">
        <v>34</v>
      </c>
      <c r="H546" s="5" t="s">
        <v>4115</v>
      </c>
      <c r="I546" s="5" t="s">
        <v>6419</v>
      </c>
      <c r="J546" s="5" t="s">
        <v>37</v>
      </c>
      <c r="K546" s="5" t="s">
        <v>37</v>
      </c>
      <c r="L546" s="5" t="s">
        <v>39</v>
      </c>
      <c r="M546" s="5" t="s">
        <v>37</v>
      </c>
      <c r="N546" s="5" t="s">
        <v>37</v>
      </c>
      <c r="O546" s="5" t="s">
        <v>39</v>
      </c>
      <c r="P546" s="5" t="s">
        <v>37</v>
      </c>
      <c r="Q546" s="5" t="s">
        <v>37</v>
      </c>
      <c r="R546" s="5" t="s">
        <v>39</v>
      </c>
      <c r="S546" s="5" t="s">
        <v>41</v>
      </c>
      <c r="T546" s="5" t="s">
        <v>5916</v>
      </c>
      <c r="U546" s="5" t="s">
        <v>5917</v>
      </c>
      <c r="V546" s="5" t="s">
        <v>5586</v>
      </c>
      <c r="W546" s="5" t="s">
        <v>5598</v>
      </c>
      <c r="X546" s="5"/>
      <c r="Y546" s="5"/>
      <c r="Z546" s="5" t="s">
        <v>46</v>
      </c>
      <c r="AA546" s="5" t="s">
        <v>5599</v>
      </c>
      <c r="AB546" s="5" t="s">
        <v>4223</v>
      </c>
      <c r="AC546" s="7">
        <v>1</v>
      </c>
      <c r="AD546" t="str">
        <f>VLOOKUP($T546,[1]NhanSu!$C$5:$M$229,11,0)</f>
        <v>SM0000128</v>
      </c>
    </row>
    <row r="547" spans="1:30" x14ac:dyDescent="0.45">
      <c r="A547" s="8" t="s">
        <v>5578</v>
      </c>
      <c r="B547" s="4">
        <v>3170</v>
      </c>
      <c r="C547" s="4" t="s">
        <v>6420</v>
      </c>
      <c r="D547" s="4" t="s">
        <v>6421</v>
      </c>
      <c r="E547" s="4" t="s">
        <v>108</v>
      </c>
      <c r="F547" s="4" t="s">
        <v>191</v>
      </c>
      <c r="G547" s="4" t="s">
        <v>177</v>
      </c>
      <c r="H547" s="4" t="s">
        <v>54</v>
      </c>
      <c r="I547" s="4" t="s">
        <v>6422</v>
      </c>
      <c r="J547" s="4" t="s">
        <v>37</v>
      </c>
      <c r="K547" s="4" t="s">
        <v>38</v>
      </c>
      <c r="L547" s="4" t="s">
        <v>40</v>
      </c>
      <c r="M547" s="4" t="s">
        <v>38</v>
      </c>
      <c r="N547" s="4" t="s">
        <v>38</v>
      </c>
      <c r="O547" s="4" t="s">
        <v>40</v>
      </c>
      <c r="P547" s="4" t="s">
        <v>38</v>
      </c>
      <c r="Q547" s="4" t="s">
        <v>38</v>
      </c>
      <c r="R547" s="4" t="s">
        <v>40</v>
      </c>
      <c r="S547" s="4" t="s">
        <v>41</v>
      </c>
      <c r="T547" s="4" t="s">
        <v>5766</v>
      </c>
      <c r="U547" s="4" t="s">
        <v>5597</v>
      </c>
      <c r="V547" s="4" t="s">
        <v>5586</v>
      </c>
      <c r="W547" s="4" t="s">
        <v>5598</v>
      </c>
      <c r="X547" s="4"/>
      <c r="Y547" s="4"/>
      <c r="Z547" s="4" t="s">
        <v>46</v>
      </c>
      <c r="AA547" s="4" t="s">
        <v>5599</v>
      </c>
      <c r="AB547" s="4" t="s">
        <v>3109</v>
      </c>
      <c r="AC547" s="9">
        <v>1</v>
      </c>
      <c r="AD547" t="str">
        <f>VLOOKUP($T547,[1]NhanSu!$C$5:$M$229,11,0)</f>
        <v>SM0000188</v>
      </c>
    </row>
    <row r="548" spans="1:30" x14ac:dyDescent="0.45">
      <c r="A548" s="6" t="s">
        <v>5578</v>
      </c>
      <c r="B548" s="5">
        <v>3180</v>
      </c>
      <c r="C548" s="5" t="s">
        <v>6426</v>
      </c>
      <c r="D548" s="5" t="s">
        <v>6427</v>
      </c>
      <c r="E548" s="5" t="s">
        <v>64</v>
      </c>
      <c r="F548" s="5" t="s">
        <v>53</v>
      </c>
      <c r="G548" s="5" t="s">
        <v>177</v>
      </c>
      <c r="H548" s="5" t="s">
        <v>54</v>
      </c>
      <c r="I548" s="5" t="s">
        <v>6425</v>
      </c>
      <c r="J548" s="5" t="s">
        <v>38</v>
      </c>
      <c r="K548" s="5" t="s">
        <v>38</v>
      </c>
      <c r="L548" s="5" t="s">
        <v>40</v>
      </c>
      <c r="M548" s="5" t="s">
        <v>38</v>
      </c>
      <c r="N548" s="5" t="s">
        <v>38</v>
      </c>
      <c r="O548" s="5" t="s">
        <v>40</v>
      </c>
      <c r="P548" s="5" t="s">
        <v>38</v>
      </c>
      <c r="Q548" s="5" t="s">
        <v>38</v>
      </c>
      <c r="R548" s="5" t="s">
        <v>40</v>
      </c>
      <c r="S548" s="5" t="s">
        <v>41</v>
      </c>
      <c r="T548" s="5" t="s">
        <v>5596</v>
      </c>
      <c r="U548" s="5" t="s">
        <v>5597</v>
      </c>
      <c r="V548" s="5" t="s">
        <v>5586</v>
      </c>
      <c r="W548" s="5" t="s">
        <v>5598</v>
      </c>
      <c r="X548" s="5"/>
      <c r="Y548" s="5"/>
      <c r="Z548" s="5" t="s">
        <v>46</v>
      </c>
      <c r="AA548" s="5" t="s">
        <v>5599</v>
      </c>
      <c r="AB548" s="5" t="s">
        <v>3109</v>
      </c>
      <c r="AC548" s="7">
        <v>1</v>
      </c>
      <c r="AD548" t="str">
        <f>VLOOKUP($T548,[1]NhanSu!$C$5:$M$229,11,0)</f>
        <v>SM0000129</v>
      </c>
    </row>
    <row r="549" spans="1:30" x14ac:dyDescent="0.45">
      <c r="A549" s="8" t="s">
        <v>6444</v>
      </c>
      <c r="B549" s="4">
        <v>2</v>
      </c>
      <c r="C549" s="4" t="s">
        <v>6452</v>
      </c>
      <c r="D549" s="4" t="s">
        <v>6453</v>
      </c>
      <c r="E549" s="4" t="s">
        <v>6454</v>
      </c>
      <c r="F549" s="4" t="s">
        <v>1887</v>
      </c>
      <c r="G549" s="4" t="s">
        <v>1458</v>
      </c>
      <c r="H549" s="4" t="s">
        <v>54</v>
      </c>
      <c r="I549" s="4" t="s">
        <v>6455</v>
      </c>
      <c r="J549" s="4" t="s">
        <v>37</v>
      </c>
      <c r="K549" s="4" t="s">
        <v>38</v>
      </c>
      <c r="L549" s="4" t="s">
        <v>40</v>
      </c>
      <c r="M549" s="4" t="s">
        <v>37</v>
      </c>
      <c r="N549" s="4" t="s">
        <v>37</v>
      </c>
      <c r="O549" s="4" t="s">
        <v>39</v>
      </c>
      <c r="P549" s="4" t="s">
        <v>38</v>
      </c>
      <c r="Q549" s="4" t="s">
        <v>38</v>
      </c>
      <c r="R549" s="4" t="s">
        <v>40</v>
      </c>
      <c r="S549" s="4" t="s">
        <v>41</v>
      </c>
      <c r="T549" s="4" t="s">
        <v>6456</v>
      </c>
      <c r="U549" s="4" t="s">
        <v>6449</v>
      </c>
      <c r="V549" s="4" t="s">
        <v>6450</v>
      </c>
      <c r="W549" s="4" t="s">
        <v>6451</v>
      </c>
      <c r="X549" s="4"/>
      <c r="Y549" s="4"/>
      <c r="Z549" s="4" t="s">
        <v>46</v>
      </c>
      <c r="AA549" s="4" t="s">
        <v>6457</v>
      </c>
      <c r="AB549" s="4" t="s">
        <v>3109</v>
      </c>
      <c r="AC549" s="9">
        <v>1</v>
      </c>
      <c r="AD549" t="str">
        <f>VLOOKUP($T549,[1]NhanSu!$C$5:$M$229,11,0)</f>
        <v>SM0000147</v>
      </c>
    </row>
    <row r="550" spans="1:30" x14ac:dyDescent="0.45">
      <c r="A550" s="6" t="s">
        <v>6444</v>
      </c>
      <c r="B550" s="5">
        <v>9</v>
      </c>
      <c r="C550" s="5" t="s">
        <v>6474</v>
      </c>
      <c r="D550" s="5" t="s">
        <v>6475</v>
      </c>
      <c r="E550" s="5" t="s">
        <v>6476</v>
      </c>
      <c r="F550" s="5" t="s">
        <v>5885</v>
      </c>
      <c r="G550" s="5" t="s">
        <v>34</v>
      </c>
      <c r="H550" s="5" t="s">
        <v>356</v>
      </c>
      <c r="I550" s="5" t="s">
        <v>6477</v>
      </c>
      <c r="J550" s="5" t="s">
        <v>37</v>
      </c>
      <c r="K550" s="5" t="s">
        <v>37</v>
      </c>
      <c r="L550" s="5" t="s">
        <v>40</v>
      </c>
      <c r="M550" s="5" t="s">
        <v>37</v>
      </c>
      <c r="N550" s="5" t="s">
        <v>37</v>
      </c>
      <c r="O550" s="5" t="s">
        <v>39</v>
      </c>
      <c r="P550" s="5" t="s">
        <v>37</v>
      </c>
      <c r="Q550" s="5" t="s">
        <v>38</v>
      </c>
      <c r="R550" s="5" t="s">
        <v>40</v>
      </c>
      <c r="S550" s="5" t="s">
        <v>41</v>
      </c>
      <c r="T550" s="5" t="s">
        <v>6456</v>
      </c>
      <c r="U550" s="5" t="s">
        <v>6449</v>
      </c>
      <c r="V550" s="5" t="s">
        <v>6450</v>
      </c>
      <c r="W550" s="5" t="s">
        <v>6451</v>
      </c>
      <c r="X550" s="5"/>
      <c r="Y550" s="5"/>
      <c r="Z550" s="5" t="s">
        <v>46</v>
      </c>
      <c r="AA550" s="5" t="s">
        <v>6457</v>
      </c>
      <c r="AB550" s="5"/>
      <c r="AC550" s="7">
        <v>1</v>
      </c>
      <c r="AD550" t="str">
        <f>VLOOKUP($T550,[1]NhanSu!$C$5:$M$229,11,0)</f>
        <v>SM0000147</v>
      </c>
    </row>
    <row r="551" spans="1:30" x14ac:dyDescent="0.45">
      <c r="A551" s="8" t="s">
        <v>6444</v>
      </c>
      <c r="B551" s="4">
        <v>11</v>
      </c>
      <c r="C551" s="4" t="s">
        <v>6481</v>
      </c>
      <c r="D551" s="4" t="s">
        <v>6479</v>
      </c>
      <c r="E551" s="4" t="s">
        <v>32</v>
      </c>
      <c r="F551" s="4" t="s">
        <v>53</v>
      </c>
      <c r="G551" s="4" t="s">
        <v>1458</v>
      </c>
      <c r="H551" s="4" t="s">
        <v>4335</v>
      </c>
      <c r="I551" s="4" t="s">
        <v>6482</v>
      </c>
      <c r="J551" s="4" t="s">
        <v>38</v>
      </c>
      <c r="K551" s="4" t="s">
        <v>38</v>
      </c>
      <c r="L551" s="4" t="s">
        <v>40</v>
      </c>
      <c r="M551" s="4" t="s">
        <v>37</v>
      </c>
      <c r="N551" s="4" t="s">
        <v>37</v>
      </c>
      <c r="O551" s="4" t="s">
        <v>40</v>
      </c>
      <c r="P551" s="4" t="s">
        <v>38</v>
      </c>
      <c r="Q551" s="4" t="s">
        <v>38</v>
      </c>
      <c r="R551" s="4" t="s">
        <v>40</v>
      </c>
      <c r="S551" s="4" t="s">
        <v>41</v>
      </c>
      <c r="T551" s="4" t="s">
        <v>6456</v>
      </c>
      <c r="U551" s="4" t="s">
        <v>6449</v>
      </c>
      <c r="V551" s="4" t="s">
        <v>6450</v>
      </c>
      <c r="W551" s="4" t="s">
        <v>6451</v>
      </c>
      <c r="X551" s="4"/>
      <c r="Y551" s="4"/>
      <c r="Z551" s="4" t="s">
        <v>46</v>
      </c>
      <c r="AA551" s="4" t="s">
        <v>6457</v>
      </c>
      <c r="AB551" s="4"/>
      <c r="AC551" s="9">
        <v>1</v>
      </c>
      <c r="AD551" t="str">
        <f>VLOOKUP($T551,[1]NhanSu!$C$5:$M$229,11,0)</f>
        <v>SM0000147</v>
      </c>
    </row>
    <row r="552" spans="1:30" x14ac:dyDescent="0.45">
      <c r="A552" s="6" t="s">
        <v>6444</v>
      </c>
      <c r="B552" s="5">
        <v>12</v>
      </c>
      <c r="C552" s="5" t="s">
        <v>6483</v>
      </c>
      <c r="D552" s="5" t="s">
        <v>6484</v>
      </c>
      <c r="E552" s="5" t="s">
        <v>323</v>
      </c>
      <c r="F552" s="5" t="s">
        <v>2902</v>
      </c>
      <c r="G552" s="5" t="s">
        <v>150</v>
      </c>
      <c r="H552" s="5" t="s">
        <v>402</v>
      </c>
      <c r="I552" s="5" t="s">
        <v>6485</v>
      </c>
      <c r="J552" s="5" t="s">
        <v>37</v>
      </c>
      <c r="K552" s="5" t="s">
        <v>37</v>
      </c>
      <c r="L552" s="5" t="s">
        <v>40</v>
      </c>
      <c r="M552" s="5" t="s">
        <v>37</v>
      </c>
      <c r="N552" s="5" t="s">
        <v>56</v>
      </c>
      <c r="O552" s="5" t="s">
        <v>40</v>
      </c>
      <c r="P552" s="5" t="s">
        <v>37</v>
      </c>
      <c r="Q552" s="5" t="s">
        <v>37</v>
      </c>
      <c r="R552" s="5" t="s">
        <v>40</v>
      </c>
      <c r="S552" s="5" t="s">
        <v>41</v>
      </c>
      <c r="T552" s="5" t="s">
        <v>6456</v>
      </c>
      <c r="U552" s="5" t="s">
        <v>6449</v>
      </c>
      <c r="V552" s="5" t="s">
        <v>6450</v>
      </c>
      <c r="W552" s="5" t="s">
        <v>6451</v>
      </c>
      <c r="X552" s="5"/>
      <c r="Y552" s="5"/>
      <c r="Z552" s="5" t="s">
        <v>46</v>
      </c>
      <c r="AA552" s="5" t="s">
        <v>6486</v>
      </c>
      <c r="AB552" s="5" t="s">
        <v>4223</v>
      </c>
      <c r="AC552" s="7">
        <v>1</v>
      </c>
      <c r="AD552" t="str">
        <f>VLOOKUP($T552,[1]NhanSu!$C$5:$M$229,11,0)</f>
        <v>SM0000147</v>
      </c>
    </row>
    <row r="553" spans="1:30" x14ac:dyDescent="0.45">
      <c r="A553" s="8" t="s">
        <v>6444</v>
      </c>
      <c r="B553" s="4">
        <v>13</v>
      </c>
      <c r="C553" s="4" t="s">
        <v>6487</v>
      </c>
      <c r="D553" s="4" t="s">
        <v>6488</v>
      </c>
      <c r="E553" s="4" t="s">
        <v>219</v>
      </c>
      <c r="F553" s="4" t="s">
        <v>4472</v>
      </c>
      <c r="G553" s="4" t="s">
        <v>34</v>
      </c>
      <c r="H553" s="4" t="s">
        <v>1904</v>
      </c>
      <c r="I553" s="4" t="s">
        <v>6489</v>
      </c>
      <c r="J553" s="4" t="s">
        <v>56</v>
      </c>
      <c r="K553" s="4" t="s">
        <v>38</v>
      </c>
      <c r="L553" s="4" t="s">
        <v>40</v>
      </c>
      <c r="M553" s="4" t="s">
        <v>37</v>
      </c>
      <c r="N553" s="4" t="s">
        <v>37</v>
      </c>
      <c r="O553" s="4" t="s">
        <v>40</v>
      </c>
      <c r="P553" s="4" t="s">
        <v>38</v>
      </c>
      <c r="Q553" s="4" t="s">
        <v>38</v>
      </c>
      <c r="R553" s="4" t="s">
        <v>40</v>
      </c>
      <c r="S553" s="4" t="s">
        <v>41</v>
      </c>
      <c r="T553" s="4" t="s">
        <v>6456</v>
      </c>
      <c r="U553" s="4" t="s">
        <v>6449</v>
      </c>
      <c r="V553" s="4" t="s">
        <v>6450</v>
      </c>
      <c r="W553" s="4" t="s">
        <v>6451</v>
      </c>
      <c r="X553" s="4"/>
      <c r="Y553" s="4"/>
      <c r="Z553" s="4" t="s">
        <v>46</v>
      </c>
      <c r="AA553" s="4" t="s">
        <v>6486</v>
      </c>
      <c r="AB553" s="4"/>
      <c r="AC553" s="9">
        <v>1</v>
      </c>
      <c r="AD553" t="str">
        <f>VLOOKUP($T553,[1]NhanSu!$C$5:$M$229,11,0)</f>
        <v>SM0000147</v>
      </c>
    </row>
    <row r="554" spans="1:30" x14ac:dyDescent="0.45">
      <c r="A554" s="6" t="s">
        <v>6444</v>
      </c>
      <c r="B554" s="5">
        <v>14</v>
      </c>
      <c r="C554" s="5" t="s">
        <v>6490</v>
      </c>
      <c r="D554" s="5" t="s">
        <v>6491</v>
      </c>
      <c r="E554" s="5" t="s">
        <v>1610</v>
      </c>
      <c r="F554" s="5" t="s">
        <v>707</v>
      </c>
      <c r="G554" s="5" t="s">
        <v>34</v>
      </c>
      <c r="H554" s="5" t="s">
        <v>1639</v>
      </c>
      <c r="I554" s="5" t="s">
        <v>2834</v>
      </c>
      <c r="J554" s="5" t="s">
        <v>38</v>
      </c>
      <c r="K554" s="5" t="s">
        <v>38</v>
      </c>
      <c r="L554" s="5" t="s">
        <v>40</v>
      </c>
      <c r="M554" s="5" t="s">
        <v>37</v>
      </c>
      <c r="N554" s="5" t="s">
        <v>37</v>
      </c>
      <c r="O554" s="5" t="s">
        <v>40</v>
      </c>
      <c r="P554" s="5" t="s">
        <v>38</v>
      </c>
      <c r="Q554" s="5" t="s">
        <v>38</v>
      </c>
      <c r="R554" s="5" t="s">
        <v>40</v>
      </c>
      <c r="S554" s="5" t="s">
        <v>41</v>
      </c>
      <c r="T554" s="5" t="s">
        <v>6456</v>
      </c>
      <c r="U554" s="5" t="s">
        <v>6449</v>
      </c>
      <c r="V554" s="5" t="s">
        <v>6450</v>
      </c>
      <c r="W554" s="5" t="s">
        <v>6451</v>
      </c>
      <c r="X554" s="5"/>
      <c r="Y554" s="5"/>
      <c r="Z554" s="5" t="s">
        <v>46</v>
      </c>
      <c r="AA554" s="5" t="s">
        <v>6457</v>
      </c>
      <c r="AB554" s="5"/>
      <c r="AC554" s="7">
        <v>1</v>
      </c>
      <c r="AD554" t="str">
        <f>VLOOKUP($T554,[1]NhanSu!$C$5:$M$229,11,0)</f>
        <v>SM0000147</v>
      </c>
    </row>
    <row r="555" spans="1:30" x14ac:dyDescent="0.45">
      <c r="A555" s="8" t="s">
        <v>6444</v>
      </c>
      <c r="B555" s="4">
        <v>16</v>
      </c>
      <c r="C555" s="4" t="s">
        <v>6494</v>
      </c>
      <c r="D555" s="4" t="s">
        <v>6495</v>
      </c>
      <c r="E555" s="4" t="s">
        <v>307</v>
      </c>
      <c r="F555" s="4" t="s">
        <v>5233</v>
      </c>
      <c r="G555" s="4" t="s">
        <v>34</v>
      </c>
      <c r="H555" s="4" t="s">
        <v>1164</v>
      </c>
      <c r="I555" s="4" t="s">
        <v>6496</v>
      </c>
      <c r="J555" s="4" t="s">
        <v>38</v>
      </c>
      <c r="K555" s="4" t="s">
        <v>38</v>
      </c>
      <c r="L555" s="4" t="s">
        <v>40</v>
      </c>
      <c r="M555" s="4" t="s">
        <v>38</v>
      </c>
      <c r="N555" s="4" t="s">
        <v>38</v>
      </c>
      <c r="O555" s="4" t="s">
        <v>40</v>
      </c>
      <c r="P555" s="4" t="s">
        <v>38</v>
      </c>
      <c r="Q555" s="4" t="s">
        <v>38</v>
      </c>
      <c r="R555" s="4" t="s">
        <v>39</v>
      </c>
      <c r="S555" s="4" t="s">
        <v>41</v>
      </c>
      <c r="T555" s="4" t="s">
        <v>6448</v>
      </c>
      <c r="U555" s="4" t="s">
        <v>6449</v>
      </c>
      <c r="V555" s="4" t="s">
        <v>6450</v>
      </c>
      <c r="W555" s="4" t="s">
        <v>6451</v>
      </c>
      <c r="X555" s="4"/>
      <c r="Y555" s="4"/>
      <c r="Z555" s="4" t="s">
        <v>46</v>
      </c>
      <c r="AA555" s="4" t="s">
        <v>6486</v>
      </c>
      <c r="AB555" s="4" t="s">
        <v>4223</v>
      </c>
      <c r="AC555" s="9">
        <v>1</v>
      </c>
      <c r="AD555" t="str">
        <f>VLOOKUP($T555,[1]NhanSu!$C$5:$M$229,11,0)</f>
        <v>SM0000137</v>
      </c>
    </row>
    <row r="556" spans="1:30" x14ac:dyDescent="0.45">
      <c r="A556" s="6" t="s">
        <v>6444</v>
      </c>
      <c r="B556" s="5">
        <v>17</v>
      </c>
      <c r="C556" s="5" t="s">
        <v>6497</v>
      </c>
      <c r="D556" s="5" t="s">
        <v>6498</v>
      </c>
      <c r="E556" s="5" t="s">
        <v>97</v>
      </c>
      <c r="F556" s="5" t="s">
        <v>53</v>
      </c>
      <c r="G556" s="5" t="s">
        <v>34</v>
      </c>
      <c r="H556" s="5" t="s">
        <v>4182</v>
      </c>
      <c r="I556" s="5" t="s">
        <v>6499</v>
      </c>
      <c r="J556" s="5" t="s">
        <v>37</v>
      </c>
      <c r="K556" s="5" t="s">
        <v>38</v>
      </c>
      <c r="L556" s="5" t="s">
        <v>40</v>
      </c>
      <c r="M556" s="5" t="s">
        <v>37</v>
      </c>
      <c r="N556" s="5" t="s">
        <v>37</v>
      </c>
      <c r="O556" s="5" t="s">
        <v>40</v>
      </c>
      <c r="P556" s="5" t="s">
        <v>38</v>
      </c>
      <c r="Q556" s="5" t="s">
        <v>38</v>
      </c>
      <c r="R556" s="5" t="s">
        <v>40</v>
      </c>
      <c r="S556" s="5" t="s">
        <v>41</v>
      </c>
      <c r="T556" s="5" t="s">
        <v>6456</v>
      </c>
      <c r="U556" s="5" t="s">
        <v>6449</v>
      </c>
      <c r="V556" s="5" t="s">
        <v>6450</v>
      </c>
      <c r="W556" s="5" t="s">
        <v>6451</v>
      </c>
      <c r="X556" s="5"/>
      <c r="Y556" s="5"/>
      <c r="Z556" s="5" t="s">
        <v>46</v>
      </c>
      <c r="AA556" s="5" t="s">
        <v>6457</v>
      </c>
      <c r="AB556" s="5" t="s">
        <v>3109</v>
      </c>
      <c r="AC556" s="7">
        <v>1</v>
      </c>
      <c r="AD556" t="str">
        <f>VLOOKUP($T556,[1]NhanSu!$C$5:$M$229,11,0)</f>
        <v>SM0000147</v>
      </c>
    </row>
    <row r="557" spans="1:30" x14ac:dyDescent="0.45">
      <c r="A557" s="8" t="s">
        <v>6444</v>
      </c>
      <c r="B557" s="4">
        <v>20</v>
      </c>
      <c r="C557" s="4" t="s">
        <v>6505</v>
      </c>
      <c r="D557" s="4" t="s">
        <v>6506</v>
      </c>
      <c r="E557" s="4" t="s">
        <v>657</v>
      </c>
      <c r="F557" s="4" t="s">
        <v>4431</v>
      </c>
      <c r="G557" s="4" t="s">
        <v>34</v>
      </c>
      <c r="H557" s="4" t="s">
        <v>546</v>
      </c>
      <c r="I557" s="4" t="s">
        <v>6496</v>
      </c>
      <c r="J557" s="4" t="s">
        <v>38</v>
      </c>
      <c r="K557" s="4" t="s">
        <v>38</v>
      </c>
      <c r="L557" s="4" t="s">
        <v>40</v>
      </c>
      <c r="M557" s="4" t="s">
        <v>38</v>
      </c>
      <c r="N557" s="4" t="s">
        <v>38</v>
      </c>
      <c r="O557" s="4" t="s">
        <v>39</v>
      </c>
      <c r="P557" s="4" t="s">
        <v>38</v>
      </c>
      <c r="Q557" s="4" t="s">
        <v>38</v>
      </c>
      <c r="R557" s="4" t="s">
        <v>39</v>
      </c>
      <c r="S557" s="4" t="s">
        <v>41</v>
      </c>
      <c r="T557" s="4" t="s">
        <v>6448</v>
      </c>
      <c r="U557" s="4" t="s">
        <v>6449</v>
      </c>
      <c r="V557" s="4" t="s">
        <v>6450</v>
      </c>
      <c r="W557" s="4" t="s">
        <v>6451</v>
      </c>
      <c r="X557" s="4"/>
      <c r="Y557" s="4"/>
      <c r="Z557" s="4" t="s">
        <v>46</v>
      </c>
      <c r="AA557" s="4" t="s">
        <v>6486</v>
      </c>
      <c r="AB557" s="4" t="s">
        <v>3109</v>
      </c>
      <c r="AC557" s="9">
        <v>1</v>
      </c>
      <c r="AD557" t="str">
        <f>VLOOKUP($T557,[1]NhanSu!$C$5:$M$229,11,0)</f>
        <v>SM0000137</v>
      </c>
    </row>
    <row r="558" spans="1:30" x14ac:dyDescent="0.45">
      <c r="A558" s="6" t="s">
        <v>6444</v>
      </c>
      <c r="B558" s="5">
        <v>21</v>
      </c>
      <c r="C558" s="5" t="s">
        <v>6507</v>
      </c>
      <c r="D558" s="5" t="s">
        <v>6508</v>
      </c>
      <c r="E558" s="5" t="s">
        <v>91</v>
      </c>
      <c r="F558" s="5" t="s">
        <v>2784</v>
      </c>
      <c r="G558" s="5" t="s">
        <v>34</v>
      </c>
      <c r="H558" s="5" t="s">
        <v>214</v>
      </c>
      <c r="I558" s="5" t="s">
        <v>6509</v>
      </c>
      <c r="J558" s="5" t="s">
        <v>37</v>
      </c>
      <c r="K558" s="5" t="s">
        <v>38</v>
      </c>
      <c r="L558" s="5" t="s">
        <v>40</v>
      </c>
      <c r="M558" s="5" t="s">
        <v>37</v>
      </c>
      <c r="N558" s="5" t="s">
        <v>37</v>
      </c>
      <c r="O558" s="5" t="s">
        <v>40</v>
      </c>
      <c r="P558" s="5" t="s">
        <v>38</v>
      </c>
      <c r="Q558" s="5" t="s">
        <v>38</v>
      </c>
      <c r="R558" s="5" t="s">
        <v>40</v>
      </c>
      <c r="S558" s="5" t="s">
        <v>41</v>
      </c>
      <c r="T558" s="5" t="s">
        <v>6456</v>
      </c>
      <c r="U558" s="5" t="s">
        <v>6449</v>
      </c>
      <c r="V558" s="5" t="s">
        <v>6450</v>
      </c>
      <c r="W558" s="5" t="s">
        <v>6451</v>
      </c>
      <c r="X558" s="5"/>
      <c r="Y558" s="5"/>
      <c r="Z558" s="5" t="s">
        <v>46</v>
      </c>
      <c r="AA558" s="5" t="s">
        <v>6457</v>
      </c>
      <c r="AB558" s="5"/>
      <c r="AC558" s="7">
        <v>1</v>
      </c>
      <c r="AD558" t="str">
        <f>VLOOKUP($T558,[1]NhanSu!$C$5:$M$229,11,0)</f>
        <v>SM0000147</v>
      </c>
    </row>
    <row r="559" spans="1:30" x14ac:dyDescent="0.45">
      <c r="A559" s="8" t="s">
        <v>6444</v>
      </c>
      <c r="B559" s="4">
        <v>23</v>
      </c>
      <c r="C559" s="4" t="s">
        <v>6512</v>
      </c>
      <c r="D559" s="4" t="s">
        <v>6513</v>
      </c>
      <c r="E559" s="4" t="s">
        <v>212</v>
      </c>
      <c r="F559" s="4" t="s">
        <v>5976</v>
      </c>
      <c r="G559" s="4" t="s">
        <v>34</v>
      </c>
      <c r="H559" s="4" t="s">
        <v>3620</v>
      </c>
      <c r="I559" s="4" t="s">
        <v>6496</v>
      </c>
      <c r="J559" s="4" t="s">
        <v>38</v>
      </c>
      <c r="K559" s="4" t="s">
        <v>38</v>
      </c>
      <c r="L559" s="4" t="s">
        <v>40</v>
      </c>
      <c r="M559" s="4" t="s">
        <v>38</v>
      </c>
      <c r="N559" s="4" t="s">
        <v>38</v>
      </c>
      <c r="O559" s="4" t="s">
        <v>39</v>
      </c>
      <c r="P559" s="4" t="s">
        <v>38</v>
      </c>
      <c r="Q559" s="4" t="s">
        <v>38</v>
      </c>
      <c r="R559" s="4" t="s">
        <v>39</v>
      </c>
      <c r="S559" s="4" t="s">
        <v>41</v>
      </c>
      <c r="T559" s="4" t="s">
        <v>6448</v>
      </c>
      <c r="U559" s="4" t="s">
        <v>6449</v>
      </c>
      <c r="V559" s="4" t="s">
        <v>6450</v>
      </c>
      <c r="W559" s="4" t="s">
        <v>6451</v>
      </c>
      <c r="X559" s="4"/>
      <c r="Y559" s="4"/>
      <c r="Z559" s="4" t="s">
        <v>46</v>
      </c>
      <c r="AA559" s="4" t="s">
        <v>6486</v>
      </c>
      <c r="AB559" s="4" t="s">
        <v>4223</v>
      </c>
      <c r="AC559" s="9">
        <v>1</v>
      </c>
      <c r="AD559" t="str">
        <f>VLOOKUP($T559,[1]NhanSu!$C$5:$M$229,11,0)</f>
        <v>SM0000137</v>
      </c>
    </row>
    <row r="560" spans="1:30" x14ac:dyDescent="0.45">
      <c r="A560" s="6" t="s">
        <v>6444</v>
      </c>
      <c r="B560" s="5">
        <v>25</v>
      </c>
      <c r="C560" s="5" t="s">
        <v>6517</v>
      </c>
      <c r="D560" s="5" t="s">
        <v>4035</v>
      </c>
      <c r="E560" s="5" t="s">
        <v>657</v>
      </c>
      <c r="F560" s="5" t="s">
        <v>5233</v>
      </c>
      <c r="G560" s="5" t="s">
        <v>34</v>
      </c>
      <c r="H560" s="5" t="s">
        <v>1942</v>
      </c>
      <c r="I560" s="5" t="s">
        <v>6518</v>
      </c>
      <c r="J560" s="5" t="s">
        <v>37</v>
      </c>
      <c r="K560" s="5" t="s">
        <v>37</v>
      </c>
      <c r="L560" s="5" t="s">
        <v>40</v>
      </c>
      <c r="M560" s="5" t="s">
        <v>37</v>
      </c>
      <c r="N560" s="5" t="s">
        <v>37</v>
      </c>
      <c r="O560" s="5" t="s">
        <v>39</v>
      </c>
      <c r="P560" s="5" t="s">
        <v>38</v>
      </c>
      <c r="Q560" s="5" t="s">
        <v>38</v>
      </c>
      <c r="R560" s="5" t="s">
        <v>40</v>
      </c>
      <c r="S560" s="5" t="s">
        <v>41</v>
      </c>
      <c r="T560" s="5" t="s">
        <v>6456</v>
      </c>
      <c r="U560" s="5" t="s">
        <v>6449</v>
      </c>
      <c r="V560" s="5" t="s">
        <v>6450</v>
      </c>
      <c r="W560" s="5" t="s">
        <v>6451</v>
      </c>
      <c r="X560" s="5"/>
      <c r="Y560" s="5"/>
      <c r="Z560" s="5" t="s">
        <v>46</v>
      </c>
      <c r="AA560" s="5" t="s">
        <v>6486</v>
      </c>
      <c r="AB560" s="5" t="s">
        <v>2999</v>
      </c>
      <c r="AC560" s="7">
        <v>1</v>
      </c>
      <c r="AD560" t="str">
        <f>VLOOKUP($T560,[1]NhanSu!$C$5:$M$229,11,0)</f>
        <v>SM0000147</v>
      </c>
    </row>
    <row r="561" spans="1:30" x14ac:dyDescent="0.45">
      <c r="A561" s="8" t="s">
        <v>6444</v>
      </c>
      <c r="B561" s="4">
        <v>26</v>
      </c>
      <c r="C561" s="4" t="s">
        <v>6519</v>
      </c>
      <c r="D561" s="4" t="s">
        <v>6520</v>
      </c>
      <c r="E561" s="4" t="s">
        <v>1775</v>
      </c>
      <c r="F561" s="4" t="s">
        <v>4688</v>
      </c>
      <c r="G561" s="4" t="s">
        <v>34</v>
      </c>
      <c r="H561" s="4" t="s">
        <v>171</v>
      </c>
      <c r="I561" s="4" t="s">
        <v>6521</v>
      </c>
      <c r="J561" s="4" t="s">
        <v>38</v>
      </c>
      <c r="K561" s="4" t="s">
        <v>38</v>
      </c>
      <c r="L561" s="4" t="s">
        <v>40</v>
      </c>
      <c r="M561" s="4" t="s">
        <v>38</v>
      </c>
      <c r="N561" s="4" t="s">
        <v>38</v>
      </c>
      <c r="O561" s="4" t="s">
        <v>40</v>
      </c>
      <c r="P561" s="4" t="s">
        <v>38</v>
      </c>
      <c r="Q561" s="4" t="s">
        <v>38</v>
      </c>
      <c r="R561" s="4" t="s">
        <v>40</v>
      </c>
      <c r="S561" s="4" t="s">
        <v>41</v>
      </c>
      <c r="T561" s="4" t="s">
        <v>6504</v>
      </c>
      <c r="U561" s="4" t="s">
        <v>6469</v>
      </c>
      <c r="V561" s="4" t="s">
        <v>6450</v>
      </c>
      <c r="W561" s="4" t="s">
        <v>6451</v>
      </c>
      <c r="X561" s="4" t="s">
        <v>46</v>
      </c>
      <c r="Y561" s="4"/>
      <c r="Z561" s="4" t="s">
        <v>46</v>
      </c>
      <c r="AA561" s="4" t="s">
        <v>6457</v>
      </c>
      <c r="AB561" s="4" t="s">
        <v>3109</v>
      </c>
      <c r="AC561" s="9">
        <v>1</v>
      </c>
      <c r="AD561" t="str">
        <f>VLOOKUP($T561,[1]NhanSu!$C$5:$M$229,11,0)</f>
        <v>SM0000139</v>
      </c>
    </row>
    <row r="562" spans="1:30" x14ac:dyDescent="0.45">
      <c r="A562" s="6" t="s">
        <v>6444</v>
      </c>
      <c r="B562" s="5">
        <v>27</v>
      </c>
      <c r="C562" s="5" t="s">
        <v>6522</v>
      </c>
      <c r="D562" s="5" t="s">
        <v>6523</v>
      </c>
      <c r="E562" s="5" t="s">
        <v>6524</v>
      </c>
      <c r="F562" s="5" t="s">
        <v>325</v>
      </c>
      <c r="G562" s="5" t="s">
        <v>177</v>
      </c>
      <c r="H562" s="5" t="s">
        <v>54</v>
      </c>
      <c r="I562" s="5" t="s">
        <v>5162</v>
      </c>
      <c r="J562" s="5" t="s">
        <v>38</v>
      </c>
      <c r="K562" s="5" t="s">
        <v>38</v>
      </c>
      <c r="L562" s="5" t="s">
        <v>39</v>
      </c>
      <c r="M562" s="5" t="s">
        <v>38</v>
      </c>
      <c r="N562" s="5" t="s">
        <v>38</v>
      </c>
      <c r="O562" s="5" t="s">
        <v>39</v>
      </c>
      <c r="P562" s="5" t="s">
        <v>38</v>
      </c>
      <c r="Q562" s="5" t="s">
        <v>38</v>
      </c>
      <c r="R562" s="5" t="s">
        <v>40</v>
      </c>
      <c r="S562" s="5" t="s">
        <v>4751</v>
      </c>
      <c r="T562" s="5" t="s">
        <v>6468</v>
      </c>
      <c r="U562" s="5" t="s">
        <v>6469</v>
      </c>
      <c r="V562" s="5" t="s">
        <v>6450</v>
      </c>
      <c r="W562" s="5" t="s">
        <v>6451</v>
      </c>
      <c r="X562" s="5"/>
      <c r="Y562" s="5"/>
      <c r="Z562" s="5" t="s">
        <v>46</v>
      </c>
      <c r="AA562" s="5" t="s">
        <v>6486</v>
      </c>
      <c r="AB562" s="5"/>
      <c r="AC562" s="7">
        <v>1</v>
      </c>
      <c r="AD562" t="str">
        <f>VLOOKUP($T562,[1]NhanSu!$C$5:$M$229,11,0)</f>
        <v>SM0000100</v>
      </c>
    </row>
    <row r="563" spans="1:30" x14ac:dyDescent="0.45">
      <c r="A563" s="8" t="s">
        <v>6444</v>
      </c>
      <c r="B563" s="4">
        <v>28</v>
      </c>
      <c r="C563" s="4" t="s">
        <v>6525</v>
      </c>
      <c r="D563" s="4" t="s">
        <v>6526</v>
      </c>
      <c r="E563" s="4" t="s">
        <v>162</v>
      </c>
      <c r="F563" s="4" t="s">
        <v>115</v>
      </c>
      <c r="G563" s="4" t="s">
        <v>177</v>
      </c>
      <c r="H563" s="4" t="s">
        <v>54</v>
      </c>
      <c r="I563" s="4" t="s">
        <v>5162</v>
      </c>
      <c r="J563" s="4" t="s">
        <v>38</v>
      </c>
      <c r="K563" s="4" t="s">
        <v>38</v>
      </c>
      <c r="L563" s="4" t="s">
        <v>39</v>
      </c>
      <c r="M563" s="4" t="s">
        <v>38</v>
      </c>
      <c r="N563" s="4" t="s">
        <v>38</v>
      </c>
      <c r="O563" s="4" t="s">
        <v>39</v>
      </c>
      <c r="P563" s="4" t="s">
        <v>38</v>
      </c>
      <c r="Q563" s="4" t="s">
        <v>38</v>
      </c>
      <c r="R563" s="4" t="s">
        <v>40</v>
      </c>
      <c r="S563" s="4" t="s">
        <v>6527</v>
      </c>
      <c r="T563" s="4" t="s">
        <v>6468</v>
      </c>
      <c r="U563" s="4" t="s">
        <v>6469</v>
      </c>
      <c r="V563" s="4" t="s">
        <v>6450</v>
      </c>
      <c r="W563" s="4" t="s">
        <v>6451</v>
      </c>
      <c r="X563" s="4"/>
      <c r="Y563" s="4"/>
      <c r="Z563" s="4" t="s">
        <v>46</v>
      </c>
      <c r="AA563" s="4" t="s">
        <v>6486</v>
      </c>
      <c r="AB563" s="4" t="s">
        <v>3109</v>
      </c>
      <c r="AC563" s="9">
        <v>1</v>
      </c>
      <c r="AD563" t="str">
        <f>VLOOKUP($T563,[1]NhanSu!$C$5:$M$229,11,0)</f>
        <v>SM0000100</v>
      </c>
    </row>
    <row r="564" spans="1:30" x14ac:dyDescent="0.45">
      <c r="A564" s="6" t="s">
        <v>6444</v>
      </c>
      <c r="B564" s="5">
        <v>29</v>
      </c>
      <c r="C564" s="5" t="s">
        <v>6528</v>
      </c>
      <c r="D564" s="5" t="s">
        <v>6529</v>
      </c>
      <c r="E564" s="5" t="s">
        <v>6530</v>
      </c>
      <c r="F564" s="5" t="s">
        <v>2425</v>
      </c>
      <c r="G564" s="5" t="s">
        <v>34</v>
      </c>
      <c r="H564" s="5" t="s">
        <v>54</v>
      </c>
      <c r="I564" s="5" t="s">
        <v>6531</v>
      </c>
      <c r="J564" s="5" t="s">
        <v>38</v>
      </c>
      <c r="K564" s="5" t="s">
        <v>38</v>
      </c>
      <c r="L564" s="5" t="s">
        <v>39</v>
      </c>
      <c r="M564" s="5" t="s">
        <v>38</v>
      </c>
      <c r="N564" s="5" t="s">
        <v>38</v>
      </c>
      <c r="O564" s="5" t="s">
        <v>39</v>
      </c>
      <c r="P564" s="5" t="s">
        <v>38</v>
      </c>
      <c r="Q564" s="5" t="s">
        <v>38</v>
      </c>
      <c r="R564" s="5" t="s">
        <v>40</v>
      </c>
      <c r="S564" s="5" t="s">
        <v>41</v>
      </c>
      <c r="T564" s="5" t="s">
        <v>6468</v>
      </c>
      <c r="U564" s="5" t="s">
        <v>6469</v>
      </c>
      <c r="V564" s="5" t="s">
        <v>6450</v>
      </c>
      <c r="W564" s="5" t="s">
        <v>6451</v>
      </c>
      <c r="X564" s="5"/>
      <c r="Y564" s="5"/>
      <c r="Z564" s="5" t="s">
        <v>46</v>
      </c>
      <c r="AA564" s="5" t="s">
        <v>6486</v>
      </c>
      <c r="AB564" s="5"/>
      <c r="AC564" s="7">
        <v>1</v>
      </c>
      <c r="AD564" t="str">
        <f>VLOOKUP($T564,[1]NhanSu!$C$5:$M$229,11,0)</f>
        <v>SM0000100</v>
      </c>
    </row>
    <row r="565" spans="1:30" x14ac:dyDescent="0.45">
      <c r="A565" s="8" t="s">
        <v>6444</v>
      </c>
      <c r="B565" s="4">
        <v>32</v>
      </c>
      <c r="C565" s="4" t="s">
        <v>6537</v>
      </c>
      <c r="D565" s="4" t="s">
        <v>4069</v>
      </c>
      <c r="E565" s="4" t="s">
        <v>6538</v>
      </c>
      <c r="F565" s="4" t="s">
        <v>325</v>
      </c>
      <c r="G565" s="4" t="s">
        <v>34</v>
      </c>
      <c r="H565" s="4" t="s">
        <v>54</v>
      </c>
      <c r="I565" s="4" t="s">
        <v>2460</v>
      </c>
      <c r="J565" s="4" t="s">
        <v>38</v>
      </c>
      <c r="K565" s="4" t="s">
        <v>38</v>
      </c>
      <c r="L565" s="4" t="s">
        <v>39</v>
      </c>
      <c r="M565" s="4" t="s">
        <v>38</v>
      </c>
      <c r="N565" s="4" t="s">
        <v>38</v>
      </c>
      <c r="O565" s="4" t="s">
        <v>39</v>
      </c>
      <c r="P565" s="4" t="s">
        <v>38</v>
      </c>
      <c r="Q565" s="4" t="s">
        <v>38</v>
      </c>
      <c r="R565" s="4" t="s">
        <v>40</v>
      </c>
      <c r="S565" s="4" t="s">
        <v>41</v>
      </c>
      <c r="T565" s="4" t="s">
        <v>6468</v>
      </c>
      <c r="U565" s="4" t="s">
        <v>6469</v>
      </c>
      <c r="V565" s="4" t="s">
        <v>6450</v>
      </c>
      <c r="W565" s="4" t="s">
        <v>6451</v>
      </c>
      <c r="X565" s="4"/>
      <c r="Y565" s="4"/>
      <c r="Z565" s="4" t="s">
        <v>46</v>
      </c>
      <c r="AA565" s="4" t="s">
        <v>6486</v>
      </c>
      <c r="AB565" s="4" t="s">
        <v>3012</v>
      </c>
      <c r="AC565" s="9">
        <v>1</v>
      </c>
      <c r="AD565" t="str">
        <f>VLOOKUP($T565,[1]NhanSu!$C$5:$M$229,11,0)</f>
        <v>SM0000100</v>
      </c>
    </row>
    <row r="566" spans="1:30" x14ac:dyDescent="0.45">
      <c r="A566" s="6" t="s">
        <v>6444</v>
      </c>
      <c r="B566" s="5">
        <v>34</v>
      </c>
      <c r="C566" s="5" t="s">
        <v>6542</v>
      </c>
      <c r="D566" s="5" t="s">
        <v>6543</v>
      </c>
      <c r="E566" s="5" t="s">
        <v>742</v>
      </c>
      <c r="F566" s="5" t="s">
        <v>2911</v>
      </c>
      <c r="G566" s="5" t="s">
        <v>34</v>
      </c>
      <c r="H566" s="5" t="s">
        <v>3620</v>
      </c>
      <c r="I566" s="5" t="s">
        <v>6544</v>
      </c>
      <c r="J566" s="5" t="s">
        <v>38</v>
      </c>
      <c r="K566" s="5" t="s">
        <v>38</v>
      </c>
      <c r="L566" s="5" t="s">
        <v>40</v>
      </c>
      <c r="M566" s="5" t="s">
        <v>38</v>
      </c>
      <c r="N566" s="5" t="s">
        <v>38</v>
      </c>
      <c r="O566" s="5" t="s">
        <v>39</v>
      </c>
      <c r="P566" s="5" t="s">
        <v>38</v>
      </c>
      <c r="Q566" s="5" t="s">
        <v>38</v>
      </c>
      <c r="R566" s="5" t="s">
        <v>39</v>
      </c>
      <c r="S566" s="5" t="s">
        <v>41</v>
      </c>
      <c r="T566" s="5" t="s">
        <v>6448</v>
      </c>
      <c r="U566" s="5" t="s">
        <v>6449</v>
      </c>
      <c r="V566" s="5" t="s">
        <v>6450</v>
      </c>
      <c r="W566" s="5" t="s">
        <v>6451</v>
      </c>
      <c r="X566" s="5"/>
      <c r="Y566" s="5"/>
      <c r="Z566" s="5" t="s">
        <v>46</v>
      </c>
      <c r="AA566" s="5" t="s">
        <v>6486</v>
      </c>
      <c r="AB566" s="5" t="s">
        <v>4223</v>
      </c>
      <c r="AC566" s="7">
        <v>1</v>
      </c>
      <c r="AD566" t="str">
        <f>VLOOKUP($T566,[1]NhanSu!$C$5:$M$229,11,0)</f>
        <v>SM0000137</v>
      </c>
    </row>
    <row r="567" spans="1:30" x14ac:dyDescent="0.45">
      <c r="A567" s="8" t="s">
        <v>6444</v>
      </c>
      <c r="B567" s="4">
        <v>35</v>
      </c>
      <c r="C567" s="4" t="s">
        <v>6545</v>
      </c>
      <c r="D567" s="4" t="s">
        <v>6546</v>
      </c>
      <c r="E567" s="4" t="s">
        <v>64</v>
      </c>
      <c r="F567" s="4" t="s">
        <v>33</v>
      </c>
      <c r="G567" s="4" t="s">
        <v>34</v>
      </c>
      <c r="H567" s="4" t="s">
        <v>214</v>
      </c>
      <c r="I567" s="4" t="s">
        <v>6447</v>
      </c>
      <c r="J567" s="4" t="s">
        <v>37</v>
      </c>
      <c r="K567" s="4" t="s">
        <v>37</v>
      </c>
      <c r="L567" s="4" t="s">
        <v>39</v>
      </c>
      <c r="M567" s="4" t="s">
        <v>37</v>
      </c>
      <c r="N567" s="4" t="s">
        <v>37</v>
      </c>
      <c r="O567" s="4" t="s">
        <v>39</v>
      </c>
      <c r="P567" s="4" t="s">
        <v>38</v>
      </c>
      <c r="Q567" s="4" t="s">
        <v>38</v>
      </c>
      <c r="R567" s="4" t="s">
        <v>39</v>
      </c>
      <c r="S567" s="4" t="s">
        <v>41</v>
      </c>
      <c r="T567" s="4" t="s">
        <v>6448</v>
      </c>
      <c r="U567" s="4" t="s">
        <v>6449</v>
      </c>
      <c r="V567" s="4" t="s">
        <v>6450</v>
      </c>
      <c r="W567" s="4" t="s">
        <v>6451</v>
      </c>
      <c r="X567" s="4"/>
      <c r="Y567" s="4"/>
      <c r="Z567" s="4" t="s">
        <v>46</v>
      </c>
      <c r="AA567" s="4" t="s">
        <v>6486</v>
      </c>
      <c r="AB567" s="4"/>
      <c r="AC567" s="9">
        <v>1</v>
      </c>
      <c r="AD567" t="str">
        <f>VLOOKUP($T567,[1]NhanSu!$C$5:$M$229,11,0)</f>
        <v>SM0000137</v>
      </c>
    </row>
    <row r="568" spans="1:30" x14ac:dyDescent="0.45">
      <c r="A568" s="6" t="s">
        <v>6444</v>
      </c>
      <c r="B568" s="5">
        <v>38</v>
      </c>
      <c r="C568" s="5" t="s">
        <v>6553</v>
      </c>
      <c r="D568" s="5" t="s">
        <v>6554</v>
      </c>
      <c r="E568" s="5" t="s">
        <v>641</v>
      </c>
      <c r="F568" s="5" t="s">
        <v>417</v>
      </c>
      <c r="G568" s="5" t="s">
        <v>34</v>
      </c>
      <c r="H568" s="5" t="s">
        <v>697</v>
      </c>
      <c r="I568" s="5" t="s">
        <v>6460</v>
      </c>
      <c r="J568" s="5" t="s">
        <v>37</v>
      </c>
      <c r="K568" s="5" t="s">
        <v>37</v>
      </c>
      <c r="L568" s="5" t="s">
        <v>39</v>
      </c>
      <c r="M568" s="5" t="s">
        <v>37</v>
      </c>
      <c r="N568" s="5" t="s">
        <v>37</v>
      </c>
      <c r="O568" s="5" t="s">
        <v>39</v>
      </c>
      <c r="P568" s="5" t="s">
        <v>37</v>
      </c>
      <c r="Q568" s="5" t="s">
        <v>38</v>
      </c>
      <c r="R568" s="5" t="s">
        <v>39</v>
      </c>
      <c r="S568" s="5" t="s">
        <v>41</v>
      </c>
      <c r="T568" s="5" t="s">
        <v>6448</v>
      </c>
      <c r="U568" s="5" t="s">
        <v>6449</v>
      </c>
      <c r="V568" s="5" t="s">
        <v>6450</v>
      </c>
      <c r="W568" s="5" t="s">
        <v>6451</v>
      </c>
      <c r="X568" s="5"/>
      <c r="Y568" s="5"/>
      <c r="Z568" s="5" t="s">
        <v>46</v>
      </c>
      <c r="AA568" s="5" t="s">
        <v>6486</v>
      </c>
      <c r="AB568" s="5"/>
      <c r="AC568" s="7">
        <v>1</v>
      </c>
      <c r="AD568" t="str">
        <f>VLOOKUP($T568,[1]NhanSu!$C$5:$M$229,11,0)</f>
        <v>SM0000137</v>
      </c>
    </row>
    <row r="569" spans="1:30" x14ac:dyDescent="0.45">
      <c r="A569" s="8" t="s">
        <v>6444</v>
      </c>
      <c r="B569" s="4">
        <v>39</v>
      </c>
      <c r="C569" s="4" t="s">
        <v>6555</v>
      </c>
      <c r="D569" s="4" t="s">
        <v>6556</v>
      </c>
      <c r="E569" s="4" t="s">
        <v>323</v>
      </c>
      <c r="F569" s="4" t="s">
        <v>6557</v>
      </c>
      <c r="G569" s="4" t="s">
        <v>34</v>
      </c>
      <c r="H569" s="4" t="s">
        <v>1736</v>
      </c>
      <c r="I569" s="4" t="s">
        <v>6558</v>
      </c>
      <c r="J569" s="4" t="s">
        <v>37</v>
      </c>
      <c r="K569" s="4" t="s">
        <v>37</v>
      </c>
      <c r="L569" s="4" t="s">
        <v>40</v>
      </c>
      <c r="M569" s="4" t="s">
        <v>37</v>
      </c>
      <c r="N569" s="4" t="s">
        <v>37</v>
      </c>
      <c r="O569" s="4" t="s">
        <v>40</v>
      </c>
      <c r="P569" s="4" t="s">
        <v>37</v>
      </c>
      <c r="Q569" s="4" t="s">
        <v>38</v>
      </c>
      <c r="R569" s="4" t="s">
        <v>40</v>
      </c>
      <c r="S569" s="4" t="s">
        <v>41</v>
      </c>
      <c r="T569" s="4" t="s">
        <v>6456</v>
      </c>
      <c r="U569" s="4" t="s">
        <v>6449</v>
      </c>
      <c r="V569" s="4" t="s">
        <v>6450</v>
      </c>
      <c r="W569" s="4" t="s">
        <v>6451</v>
      </c>
      <c r="X569" s="4"/>
      <c r="Y569" s="4"/>
      <c r="Z569" s="4" t="s">
        <v>46</v>
      </c>
      <c r="AA569" s="4" t="s">
        <v>6457</v>
      </c>
      <c r="AB569" s="4" t="s">
        <v>4223</v>
      </c>
      <c r="AC569" s="9">
        <v>1</v>
      </c>
      <c r="AD569" t="str">
        <f>VLOOKUP($T569,[1]NhanSu!$C$5:$M$229,11,0)</f>
        <v>SM0000147</v>
      </c>
    </row>
    <row r="570" spans="1:30" x14ac:dyDescent="0.45">
      <c r="A570" s="6" t="s">
        <v>6444</v>
      </c>
      <c r="B570" s="5">
        <v>40</v>
      </c>
      <c r="C570" s="5" t="s">
        <v>6559</v>
      </c>
      <c r="D570" s="5" t="s">
        <v>6560</v>
      </c>
      <c r="E570" s="5" t="s">
        <v>1695</v>
      </c>
      <c r="F570" s="5" t="s">
        <v>6561</v>
      </c>
      <c r="G570" s="5" t="s">
        <v>34</v>
      </c>
      <c r="H570" s="5" t="s">
        <v>1188</v>
      </c>
      <c r="I570" s="5" t="s">
        <v>6562</v>
      </c>
      <c r="J570" s="5" t="s">
        <v>37</v>
      </c>
      <c r="K570" s="5" t="s">
        <v>38</v>
      </c>
      <c r="L570" s="5" t="s">
        <v>40</v>
      </c>
      <c r="M570" s="5" t="s">
        <v>37</v>
      </c>
      <c r="N570" s="5" t="s">
        <v>37</v>
      </c>
      <c r="O570" s="5" t="s">
        <v>39</v>
      </c>
      <c r="P570" s="5" t="s">
        <v>38</v>
      </c>
      <c r="Q570" s="5" t="s">
        <v>38</v>
      </c>
      <c r="R570" s="5" t="s">
        <v>40</v>
      </c>
      <c r="S570" s="5" t="s">
        <v>41</v>
      </c>
      <c r="T570" s="5" t="s">
        <v>6456</v>
      </c>
      <c r="U570" s="5" t="s">
        <v>6449</v>
      </c>
      <c r="V570" s="5" t="s">
        <v>6450</v>
      </c>
      <c r="W570" s="5" t="s">
        <v>6451</v>
      </c>
      <c r="X570" s="5"/>
      <c r="Y570" s="5"/>
      <c r="Z570" s="5" t="s">
        <v>46</v>
      </c>
      <c r="AA570" s="5" t="s">
        <v>6457</v>
      </c>
      <c r="AB570" s="5" t="s">
        <v>3109</v>
      </c>
      <c r="AC570" s="7">
        <v>1</v>
      </c>
      <c r="AD570" t="str">
        <f>VLOOKUP($T570,[1]NhanSu!$C$5:$M$229,11,0)</f>
        <v>SM0000147</v>
      </c>
    </row>
    <row r="571" spans="1:30" x14ac:dyDescent="0.45">
      <c r="A571" s="8" t="s">
        <v>6444</v>
      </c>
      <c r="B571" s="4">
        <v>43</v>
      </c>
      <c r="C571" s="4" t="s">
        <v>6568</v>
      </c>
      <c r="D571" s="4" t="s">
        <v>6569</v>
      </c>
      <c r="E571" s="4" t="s">
        <v>4274</v>
      </c>
      <c r="F571" s="4" t="s">
        <v>6570</v>
      </c>
      <c r="G571" s="4" t="s">
        <v>177</v>
      </c>
      <c r="H571" s="4" t="s">
        <v>214</v>
      </c>
      <c r="I571" s="4" t="s">
        <v>6571</v>
      </c>
      <c r="J571" s="4" t="s">
        <v>38</v>
      </c>
      <c r="K571" s="4" t="s">
        <v>38</v>
      </c>
      <c r="L571" s="4" t="s">
        <v>40</v>
      </c>
      <c r="M571" s="4" t="s">
        <v>37</v>
      </c>
      <c r="N571" s="4" t="s">
        <v>37</v>
      </c>
      <c r="O571" s="4" t="s">
        <v>39</v>
      </c>
      <c r="P571" s="4" t="s">
        <v>38</v>
      </c>
      <c r="Q571" s="4" t="s">
        <v>38</v>
      </c>
      <c r="R571" s="4" t="s">
        <v>40</v>
      </c>
      <c r="S571" s="4" t="s">
        <v>6572</v>
      </c>
      <c r="T571" s="4" t="s">
        <v>6504</v>
      </c>
      <c r="U571" s="4" t="s">
        <v>6469</v>
      </c>
      <c r="V571" s="4" t="s">
        <v>6450</v>
      </c>
      <c r="W571" s="4" t="s">
        <v>6451</v>
      </c>
      <c r="X571" s="4"/>
      <c r="Y571" s="4"/>
      <c r="Z571" s="4" t="s">
        <v>46</v>
      </c>
      <c r="AA571" s="4" t="s">
        <v>6457</v>
      </c>
      <c r="AB571" s="4" t="s">
        <v>3109</v>
      </c>
      <c r="AC571" s="9">
        <v>1</v>
      </c>
      <c r="AD571" t="str">
        <f>VLOOKUP($T571,[1]NhanSu!$C$5:$M$229,11,0)</f>
        <v>SM0000139</v>
      </c>
    </row>
    <row r="572" spans="1:30" x14ac:dyDescent="0.45">
      <c r="A572" s="6" t="s">
        <v>6444</v>
      </c>
      <c r="B572" s="5">
        <v>48</v>
      </c>
      <c r="C572" s="5" t="s">
        <v>6586</v>
      </c>
      <c r="D572" s="5" t="s">
        <v>6587</v>
      </c>
      <c r="E572" s="5" t="s">
        <v>6588</v>
      </c>
      <c r="F572" s="5" t="s">
        <v>6589</v>
      </c>
      <c r="G572" s="5" t="s">
        <v>177</v>
      </c>
      <c r="H572" s="5" t="s">
        <v>1188</v>
      </c>
      <c r="I572" s="5" t="s">
        <v>6590</v>
      </c>
      <c r="J572" s="5" t="s">
        <v>37</v>
      </c>
      <c r="K572" s="5" t="s">
        <v>37</v>
      </c>
      <c r="L572" s="5" t="s">
        <v>39</v>
      </c>
      <c r="M572" s="5" t="s">
        <v>37</v>
      </c>
      <c r="N572" s="5" t="s">
        <v>37</v>
      </c>
      <c r="O572" s="5" t="s">
        <v>39</v>
      </c>
      <c r="P572" s="5" t="s">
        <v>38</v>
      </c>
      <c r="Q572" s="5" t="s">
        <v>38</v>
      </c>
      <c r="R572" s="5" t="s">
        <v>39</v>
      </c>
      <c r="S572" s="5" t="s">
        <v>6572</v>
      </c>
      <c r="T572" s="5" t="s">
        <v>6504</v>
      </c>
      <c r="U572" s="5" t="s">
        <v>6469</v>
      </c>
      <c r="V572" s="5" t="s">
        <v>6450</v>
      </c>
      <c r="W572" s="5" t="s">
        <v>6451</v>
      </c>
      <c r="X572" s="5"/>
      <c r="Y572" s="5"/>
      <c r="Z572" s="5" t="s">
        <v>46</v>
      </c>
      <c r="AA572" s="5" t="s">
        <v>6457</v>
      </c>
      <c r="AB572" s="5" t="s">
        <v>4223</v>
      </c>
      <c r="AC572" s="7">
        <v>1</v>
      </c>
      <c r="AD572" t="str">
        <f>VLOOKUP($T572,[1]NhanSu!$C$5:$M$229,11,0)</f>
        <v>SM0000139</v>
      </c>
    </row>
    <row r="573" spans="1:30" x14ac:dyDescent="0.45">
      <c r="A573" s="8" t="s">
        <v>6444</v>
      </c>
      <c r="B573" s="4">
        <v>51</v>
      </c>
      <c r="C573" s="4" t="s">
        <v>6599</v>
      </c>
      <c r="D573" s="4" t="s">
        <v>6600</v>
      </c>
      <c r="E573" s="4" t="s">
        <v>6601</v>
      </c>
      <c r="F573" s="4" t="s">
        <v>325</v>
      </c>
      <c r="G573" s="4" t="s">
        <v>177</v>
      </c>
      <c r="H573" s="4" t="s">
        <v>54</v>
      </c>
      <c r="I573" s="4" t="s">
        <v>2460</v>
      </c>
      <c r="J573" s="4" t="s">
        <v>38</v>
      </c>
      <c r="K573" s="4" t="s">
        <v>38</v>
      </c>
      <c r="L573" s="4" t="s">
        <v>39</v>
      </c>
      <c r="M573" s="4" t="s">
        <v>38</v>
      </c>
      <c r="N573" s="4" t="s">
        <v>38</v>
      </c>
      <c r="O573" s="4" t="s">
        <v>39</v>
      </c>
      <c r="P573" s="4" t="s">
        <v>38</v>
      </c>
      <c r="Q573" s="4" t="s">
        <v>38</v>
      </c>
      <c r="R573" s="4" t="s">
        <v>40</v>
      </c>
      <c r="S573" s="4" t="s">
        <v>6602</v>
      </c>
      <c r="T573" s="4" t="s">
        <v>6468</v>
      </c>
      <c r="U573" s="4" t="s">
        <v>6469</v>
      </c>
      <c r="V573" s="4" t="s">
        <v>6450</v>
      </c>
      <c r="W573" s="4" t="s">
        <v>6451</v>
      </c>
      <c r="X573" s="4"/>
      <c r="Y573" s="4"/>
      <c r="Z573" s="4" t="s">
        <v>46</v>
      </c>
      <c r="AA573" s="4" t="s">
        <v>6486</v>
      </c>
      <c r="AB573" s="4" t="s">
        <v>3109</v>
      </c>
      <c r="AC573" s="9">
        <v>1</v>
      </c>
      <c r="AD573" t="str">
        <f>VLOOKUP($T573,[1]NhanSu!$C$5:$M$229,11,0)</f>
        <v>SM0000100</v>
      </c>
    </row>
    <row r="574" spans="1:30" x14ac:dyDescent="0.45">
      <c r="A574" s="6" t="s">
        <v>6444</v>
      </c>
      <c r="B574" s="5">
        <v>53</v>
      </c>
      <c r="C574" s="5" t="s">
        <v>6607</v>
      </c>
      <c r="D574" s="5" t="s">
        <v>6608</v>
      </c>
      <c r="E574" s="5" t="s">
        <v>6609</v>
      </c>
      <c r="F574" s="5" t="s">
        <v>559</v>
      </c>
      <c r="G574" s="5" t="s">
        <v>150</v>
      </c>
      <c r="H574" s="5" t="s">
        <v>1971</v>
      </c>
      <c r="I574" s="5" t="s">
        <v>6610</v>
      </c>
      <c r="J574" s="5" t="s">
        <v>37</v>
      </c>
      <c r="K574" s="5" t="s">
        <v>38</v>
      </c>
      <c r="L574" s="5" t="s">
        <v>40</v>
      </c>
      <c r="M574" s="5" t="s">
        <v>37</v>
      </c>
      <c r="N574" s="5" t="s">
        <v>37</v>
      </c>
      <c r="O574" s="5" t="s">
        <v>40</v>
      </c>
      <c r="P574" s="5" t="s">
        <v>38</v>
      </c>
      <c r="Q574" s="5" t="s">
        <v>38</v>
      </c>
      <c r="R574" s="5" t="s">
        <v>40</v>
      </c>
      <c r="S574" s="5" t="s">
        <v>41</v>
      </c>
      <c r="T574" s="5" t="s">
        <v>6456</v>
      </c>
      <c r="U574" s="5" t="s">
        <v>6449</v>
      </c>
      <c r="V574" s="5" t="s">
        <v>6450</v>
      </c>
      <c r="W574" s="5" t="s">
        <v>6451</v>
      </c>
      <c r="X574" s="5"/>
      <c r="Y574" s="5"/>
      <c r="Z574" s="5" t="s">
        <v>46</v>
      </c>
      <c r="AA574" s="5" t="s">
        <v>6457</v>
      </c>
      <c r="AB574" s="5"/>
      <c r="AC574" s="7">
        <v>1</v>
      </c>
      <c r="AD574" t="str">
        <f>VLOOKUP($T574,[1]NhanSu!$C$5:$M$229,11,0)</f>
        <v>SM0000147</v>
      </c>
    </row>
    <row r="575" spans="1:30" x14ac:dyDescent="0.45">
      <c r="A575" s="8" t="s">
        <v>6444</v>
      </c>
      <c r="B575" s="4">
        <v>54</v>
      </c>
      <c r="C575" s="4" t="s">
        <v>6611</v>
      </c>
      <c r="D575" s="4" t="s">
        <v>6612</v>
      </c>
      <c r="E575" s="4" t="s">
        <v>6613</v>
      </c>
      <c r="F575" s="4" t="s">
        <v>6614</v>
      </c>
      <c r="G575" s="4" t="s">
        <v>34</v>
      </c>
      <c r="H575" s="4" t="s">
        <v>54</v>
      </c>
      <c r="I575" s="4" t="s">
        <v>6615</v>
      </c>
      <c r="J575" s="4" t="s">
        <v>38</v>
      </c>
      <c r="K575" s="4" t="s">
        <v>38</v>
      </c>
      <c r="L575" s="4" t="s">
        <v>40</v>
      </c>
      <c r="M575" s="4" t="s">
        <v>38</v>
      </c>
      <c r="N575" s="4" t="s">
        <v>38</v>
      </c>
      <c r="O575" s="4" t="s">
        <v>40</v>
      </c>
      <c r="P575" s="4" t="s">
        <v>38</v>
      </c>
      <c r="Q575" s="4" t="s">
        <v>38</v>
      </c>
      <c r="R575" s="4" t="s">
        <v>40</v>
      </c>
      <c r="S575" s="4" t="s">
        <v>6616</v>
      </c>
      <c r="T575" s="4" t="s">
        <v>6504</v>
      </c>
      <c r="U575" s="4" t="s">
        <v>6469</v>
      </c>
      <c r="V575" s="4" t="s">
        <v>6450</v>
      </c>
      <c r="W575" s="4" t="s">
        <v>6451</v>
      </c>
      <c r="X575" s="4"/>
      <c r="Y575" s="4"/>
      <c r="Z575" s="4" t="s">
        <v>46</v>
      </c>
      <c r="AA575" s="4" t="s">
        <v>6457</v>
      </c>
      <c r="AB575" s="4" t="s">
        <v>4223</v>
      </c>
      <c r="AC575" s="9">
        <v>1</v>
      </c>
      <c r="AD575" t="str">
        <f>VLOOKUP($T575,[1]NhanSu!$C$5:$M$229,11,0)</f>
        <v>SM0000139</v>
      </c>
    </row>
    <row r="576" spans="1:30" x14ac:dyDescent="0.45">
      <c r="A576" s="6" t="s">
        <v>6444</v>
      </c>
      <c r="B576" s="5">
        <v>56</v>
      </c>
      <c r="C576" s="5" t="s">
        <v>6620</v>
      </c>
      <c r="D576" s="5" t="s">
        <v>6621</v>
      </c>
      <c r="E576" s="5" t="s">
        <v>1663</v>
      </c>
      <c r="F576" s="5" t="s">
        <v>6622</v>
      </c>
      <c r="G576" s="5" t="s">
        <v>150</v>
      </c>
      <c r="H576" s="5" t="s">
        <v>842</v>
      </c>
      <c r="I576" s="5" t="s">
        <v>6623</v>
      </c>
      <c r="J576" s="5" t="s">
        <v>37</v>
      </c>
      <c r="K576" s="5" t="s">
        <v>37</v>
      </c>
      <c r="L576" s="5" t="s">
        <v>39</v>
      </c>
      <c r="M576" s="5" t="s">
        <v>37</v>
      </c>
      <c r="N576" s="5" t="s">
        <v>37</v>
      </c>
      <c r="O576" s="5" t="s">
        <v>39</v>
      </c>
      <c r="P576" s="5" t="s">
        <v>37</v>
      </c>
      <c r="Q576" s="5" t="s">
        <v>37</v>
      </c>
      <c r="R576" s="5" t="s">
        <v>40</v>
      </c>
      <c r="S576" s="5" t="s">
        <v>41</v>
      </c>
      <c r="T576" s="5" t="s">
        <v>6456</v>
      </c>
      <c r="U576" s="5" t="s">
        <v>6449</v>
      </c>
      <c r="V576" s="5" t="s">
        <v>6450</v>
      </c>
      <c r="W576" s="5" t="s">
        <v>6451</v>
      </c>
      <c r="X576" s="5"/>
      <c r="Y576" s="5"/>
      <c r="Z576" s="5" t="s">
        <v>46</v>
      </c>
      <c r="AA576" s="5" t="s">
        <v>6486</v>
      </c>
      <c r="AB576" s="5" t="s">
        <v>3109</v>
      </c>
      <c r="AC576" s="7">
        <v>1</v>
      </c>
      <c r="AD576" t="str">
        <f>VLOOKUP($T576,[1]NhanSu!$C$5:$M$229,11,0)</f>
        <v>SM0000147</v>
      </c>
    </row>
    <row r="577" spans="1:30" x14ac:dyDescent="0.45">
      <c r="A577" s="8" t="s">
        <v>6444</v>
      </c>
      <c r="B577" s="4">
        <v>57</v>
      </c>
      <c r="C577" s="4" t="s">
        <v>6624</v>
      </c>
      <c r="D577" s="4" t="s">
        <v>6625</v>
      </c>
      <c r="E577" s="4" t="s">
        <v>1695</v>
      </c>
      <c r="F577" s="4" t="s">
        <v>6626</v>
      </c>
      <c r="G577" s="4" t="s">
        <v>34</v>
      </c>
      <c r="H577" s="4" t="s">
        <v>842</v>
      </c>
      <c r="I577" s="4" t="s">
        <v>6627</v>
      </c>
      <c r="J577" s="4" t="s">
        <v>37</v>
      </c>
      <c r="K577" s="4" t="s">
        <v>56</v>
      </c>
      <c r="L577" s="4" t="s">
        <v>39</v>
      </c>
      <c r="M577" s="4" t="s">
        <v>37</v>
      </c>
      <c r="N577" s="4" t="s">
        <v>56</v>
      </c>
      <c r="O577" s="4" t="s">
        <v>39</v>
      </c>
      <c r="P577" s="4" t="s">
        <v>37</v>
      </c>
      <c r="Q577" s="4" t="s">
        <v>38</v>
      </c>
      <c r="R577" s="4" t="s">
        <v>39</v>
      </c>
      <c r="S577" s="4" t="s">
        <v>41</v>
      </c>
      <c r="T577" s="4" t="s">
        <v>6456</v>
      </c>
      <c r="U577" s="4" t="s">
        <v>6449</v>
      </c>
      <c r="V577" s="4" t="s">
        <v>6450</v>
      </c>
      <c r="W577" s="4" t="s">
        <v>6451</v>
      </c>
      <c r="X577" s="4"/>
      <c r="Y577" s="4"/>
      <c r="Z577" s="4" t="s">
        <v>46</v>
      </c>
      <c r="AA577" s="4" t="s">
        <v>6457</v>
      </c>
      <c r="AB577" s="4" t="s">
        <v>5658</v>
      </c>
      <c r="AC577" s="9">
        <v>1</v>
      </c>
      <c r="AD577" t="str">
        <f>VLOOKUP($T577,[1]NhanSu!$C$5:$M$229,11,0)</f>
        <v>SM0000147</v>
      </c>
    </row>
    <row r="578" spans="1:30" x14ac:dyDescent="0.45">
      <c r="A578" s="6" t="s">
        <v>6444</v>
      </c>
      <c r="B578" s="5">
        <v>59</v>
      </c>
      <c r="C578" s="5" t="s">
        <v>6631</v>
      </c>
      <c r="D578" s="5" t="s">
        <v>1740</v>
      </c>
      <c r="E578" s="5" t="s">
        <v>127</v>
      </c>
      <c r="F578" s="5" t="s">
        <v>559</v>
      </c>
      <c r="G578" s="5" t="s">
        <v>34</v>
      </c>
      <c r="H578" s="5" t="s">
        <v>917</v>
      </c>
      <c r="I578" s="5" t="s">
        <v>6632</v>
      </c>
      <c r="J578" s="5" t="s">
        <v>56</v>
      </c>
      <c r="K578" s="5" t="s">
        <v>37</v>
      </c>
      <c r="L578" s="5" t="s">
        <v>39</v>
      </c>
      <c r="M578" s="5" t="s">
        <v>56</v>
      </c>
      <c r="N578" s="5" t="s">
        <v>56</v>
      </c>
      <c r="O578" s="5" t="s">
        <v>39</v>
      </c>
      <c r="P578" s="5" t="s">
        <v>37</v>
      </c>
      <c r="Q578" s="5" t="s">
        <v>37</v>
      </c>
      <c r="R578" s="5" t="s">
        <v>39</v>
      </c>
      <c r="S578" s="5" t="s">
        <v>41</v>
      </c>
      <c r="T578" s="5" t="s">
        <v>6456</v>
      </c>
      <c r="U578" s="5" t="s">
        <v>6449</v>
      </c>
      <c r="V578" s="5" t="s">
        <v>6450</v>
      </c>
      <c r="W578" s="5" t="s">
        <v>6451</v>
      </c>
      <c r="X578" s="5"/>
      <c r="Y578" s="5"/>
      <c r="Z578" s="5" t="s">
        <v>46</v>
      </c>
      <c r="AA578" s="5" t="s">
        <v>6457</v>
      </c>
      <c r="AB578" s="5" t="s">
        <v>4223</v>
      </c>
      <c r="AC578" s="7">
        <v>1</v>
      </c>
      <c r="AD578" t="str">
        <f>VLOOKUP($T578,[1]NhanSu!$C$5:$M$229,11,0)</f>
        <v>SM0000147</v>
      </c>
    </row>
    <row r="579" spans="1:30" x14ac:dyDescent="0.45">
      <c r="A579" s="8" t="s">
        <v>6444</v>
      </c>
      <c r="B579" s="4">
        <v>60</v>
      </c>
      <c r="C579" s="4" t="s">
        <v>6633</v>
      </c>
      <c r="D579" s="4" t="s">
        <v>6634</v>
      </c>
      <c r="E579" s="4" t="s">
        <v>4274</v>
      </c>
      <c r="F579" s="4" t="s">
        <v>166</v>
      </c>
      <c r="G579" s="4" t="s">
        <v>177</v>
      </c>
      <c r="H579" s="4" t="s">
        <v>214</v>
      </c>
      <c r="I579" s="4" t="s">
        <v>4322</v>
      </c>
      <c r="J579" s="4" t="s">
        <v>38</v>
      </c>
      <c r="K579" s="4" t="s">
        <v>38</v>
      </c>
      <c r="L579" s="4" t="s">
        <v>40</v>
      </c>
      <c r="M579" s="4" t="s">
        <v>38</v>
      </c>
      <c r="N579" s="4" t="s">
        <v>38</v>
      </c>
      <c r="O579" s="4" t="s">
        <v>39</v>
      </c>
      <c r="P579" s="4" t="s">
        <v>38</v>
      </c>
      <c r="Q579" s="4" t="s">
        <v>38</v>
      </c>
      <c r="R579" s="4" t="s">
        <v>40</v>
      </c>
      <c r="S579" s="4" t="s">
        <v>6635</v>
      </c>
      <c r="T579" s="4" t="s">
        <v>6504</v>
      </c>
      <c r="U579" s="4" t="s">
        <v>6469</v>
      </c>
      <c r="V579" s="4" t="s">
        <v>6450</v>
      </c>
      <c r="W579" s="4" t="s">
        <v>6451</v>
      </c>
      <c r="X579" s="4"/>
      <c r="Y579" s="4"/>
      <c r="Z579" s="4" t="s">
        <v>46</v>
      </c>
      <c r="AA579" s="4" t="s">
        <v>6486</v>
      </c>
      <c r="AB579" s="4" t="s">
        <v>3109</v>
      </c>
      <c r="AC579" s="9">
        <v>1</v>
      </c>
      <c r="AD579" t="str">
        <f>VLOOKUP($T579,[1]NhanSu!$C$5:$M$229,11,0)</f>
        <v>SM0000139</v>
      </c>
    </row>
    <row r="580" spans="1:30" x14ac:dyDescent="0.45">
      <c r="A580" s="6" t="s">
        <v>6444</v>
      </c>
      <c r="B580" s="5">
        <v>63</v>
      </c>
      <c r="C580" s="5" t="s">
        <v>6641</v>
      </c>
      <c r="D580" s="5" t="s">
        <v>6642</v>
      </c>
      <c r="E580" s="5" t="s">
        <v>338</v>
      </c>
      <c r="F580" s="5" t="s">
        <v>4431</v>
      </c>
      <c r="G580" s="5" t="s">
        <v>150</v>
      </c>
      <c r="H580" s="5" t="s">
        <v>1280</v>
      </c>
      <c r="I580" s="5" t="s">
        <v>6643</v>
      </c>
      <c r="J580" s="5" t="s">
        <v>56</v>
      </c>
      <c r="K580" s="5" t="s">
        <v>37</v>
      </c>
      <c r="L580" s="5" t="s">
        <v>39</v>
      </c>
      <c r="M580" s="5" t="s">
        <v>56</v>
      </c>
      <c r="N580" s="5" t="s">
        <v>56</v>
      </c>
      <c r="O580" s="5" t="s">
        <v>39</v>
      </c>
      <c r="P580" s="5" t="s">
        <v>37</v>
      </c>
      <c r="Q580" s="5" t="s">
        <v>37</v>
      </c>
      <c r="R580" s="5" t="s">
        <v>39</v>
      </c>
      <c r="S580" s="5" t="s">
        <v>41</v>
      </c>
      <c r="T580" s="5" t="s">
        <v>6456</v>
      </c>
      <c r="U580" s="5" t="s">
        <v>6449</v>
      </c>
      <c r="V580" s="5" t="s">
        <v>6450</v>
      </c>
      <c r="W580" s="5" t="s">
        <v>6451</v>
      </c>
      <c r="X580" s="5"/>
      <c r="Y580" s="5"/>
      <c r="Z580" s="5" t="s">
        <v>46</v>
      </c>
      <c r="AA580" s="5" t="s">
        <v>6486</v>
      </c>
      <c r="AB580" s="5"/>
      <c r="AC580" s="7">
        <v>1</v>
      </c>
      <c r="AD580" t="str">
        <f>VLOOKUP($T580,[1]NhanSu!$C$5:$M$229,11,0)</f>
        <v>SM0000147</v>
      </c>
    </row>
    <row r="581" spans="1:30" x14ac:dyDescent="0.45">
      <c r="A581" s="8" t="s">
        <v>6444</v>
      </c>
      <c r="B581" s="4">
        <v>64</v>
      </c>
      <c r="C581" s="4" t="s">
        <v>6644</v>
      </c>
      <c r="D581" s="4" t="s">
        <v>6645</v>
      </c>
      <c r="E581" s="4" t="s">
        <v>338</v>
      </c>
      <c r="F581" s="4" t="s">
        <v>115</v>
      </c>
      <c r="G581" s="4" t="s">
        <v>34</v>
      </c>
      <c r="H581" s="4" t="s">
        <v>77</v>
      </c>
      <c r="I581" s="4" t="s">
        <v>144</v>
      </c>
      <c r="J581" s="4" t="s">
        <v>37</v>
      </c>
      <c r="K581" s="4" t="s">
        <v>37</v>
      </c>
      <c r="L581" s="4" t="s">
        <v>39</v>
      </c>
      <c r="M581" s="4" t="s">
        <v>37</v>
      </c>
      <c r="N581" s="4" t="s">
        <v>37</v>
      </c>
      <c r="O581" s="4" t="s">
        <v>39</v>
      </c>
      <c r="P581" s="4" t="s">
        <v>37</v>
      </c>
      <c r="Q581" s="4" t="s">
        <v>37</v>
      </c>
      <c r="R581" s="4" t="s">
        <v>40</v>
      </c>
      <c r="S581" s="4" t="s">
        <v>41</v>
      </c>
      <c r="T581" s="4" t="s">
        <v>6456</v>
      </c>
      <c r="U581" s="4" t="s">
        <v>6449</v>
      </c>
      <c r="V581" s="4" t="s">
        <v>6450</v>
      </c>
      <c r="W581" s="4" t="s">
        <v>6451</v>
      </c>
      <c r="X581" s="4"/>
      <c r="Y581" s="4"/>
      <c r="Z581" s="4" t="s">
        <v>46</v>
      </c>
      <c r="AA581" s="4" t="s">
        <v>6486</v>
      </c>
      <c r="AB581" s="4" t="s">
        <v>4223</v>
      </c>
      <c r="AC581" s="9">
        <v>1</v>
      </c>
      <c r="AD581" t="str">
        <f>VLOOKUP($T581,[1]NhanSu!$C$5:$M$229,11,0)</f>
        <v>SM0000147</v>
      </c>
    </row>
    <row r="582" spans="1:30" x14ac:dyDescent="0.45">
      <c r="A582" s="6" t="s">
        <v>6444</v>
      </c>
      <c r="B582" s="5">
        <v>65</v>
      </c>
      <c r="C582" s="5" t="s">
        <v>6646</v>
      </c>
      <c r="D582" s="5" t="s">
        <v>6647</v>
      </c>
      <c r="E582" s="5" t="s">
        <v>823</v>
      </c>
      <c r="F582" s="5" t="s">
        <v>1676</v>
      </c>
      <c r="G582" s="5" t="s">
        <v>34</v>
      </c>
      <c r="H582" s="5" t="s">
        <v>54</v>
      </c>
      <c r="I582" s="5" t="s">
        <v>6648</v>
      </c>
      <c r="J582" s="5" t="s">
        <v>38</v>
      </c>
      <c r="K582" s="5" t="s">
        <v>38</v>
      </c>
      <c r="L582" s="5" t="s">
        <v>39</v>
      </c>
      <c r="M582" s="5" t="s">
        <v>38</v>
      </c>
      <c r="N582" s="5" t="s">
        <v>38</v>
      </c>
      <c r="O582" s="5" t="s">
        <v>39</v>
      </c>
      <c r="P582" s="5" t="s">
        <v>38</v>
      </c>
      <c r="Q582" s="5" t="s">
        <v>38</v>
      </c>
      <c r="R582" s="5" t="s">
        <v>40</v>
      </c>
      <c r="S582" s="5" t="s">
        <v>41</v>
      </c>
      <c r="T582" s="5" t="s">
        <v>6468</v>
      </c>
      <c r="U582" s="5" t="s">
        <v>6469</v>
      </c>
      <c r="V582" s="5" t="s">
        <v>6450</v>
      </c>
      <c r="W582" s="5" t="s">
        <v>6451</v>
      </c>
      <c r="X582" s="5"/>
      <c r="Y582" s="5"/>
      <c r="Z582" s="5" t="s">
        <v>46</v>
      </c>
      <c r="AA582" s="5" t="s">
        <v>6486</v>
      </c>
      <c r="AB582" s="5" t="s">
        <v>3109</v>
      </c>
      <c r="AC582" s="7">
        <v>1</v>
      </c>
      <c r="AD582" t="str">
        <f>VLOOKUP($T582,[1]NhanSu!$C$5:$M$229,11,0)</f>
        <v>SM0000100</v>
      </c>
    </row>
    <row r="583" spans="1:30" x14ac:dyDescent="0.45">
      <c r="A583" s="8" t="s">
        <v>6444</v>
      </c>
      <c r="B583" s="4">
        <v>67</v>
      </c>
      <c r="C583" s="4" t="s">
        <v>6651</v>
      </c>
      <c r="D583" s="4" t="s">
        <v>6652</v>
      </c>
      <c r="E583" s="4" t="s">
        <v>674</v>
      </c>
      <c r="F583" s="4" t="s">
        <v>70</v>
      </c>
      <c r="G583" s="4" t="s">
        <v>34</v>
      </c>
      <c r="H583" s="4" t="s">
        <v>1542</v>
      </c>
      <c r="I583" s="4" t="s">
        <v>6278</v>
      </c>
      <c r="J583" s="4" t="s">
        <v>37</v>
      </c>
      <c r="K583" s="4" t="s">
        <v>37</v>
      </c>
      <c r="L583" s="4" t="s">
        <v>39</v>
      </c>
      <c r="M583" s="4" t="s">
        <v>37</v>
      </c>
      <c r="N583" s="4" t="s">
        <v>37</v>
      </c>
      <c r="O583" s="4" t="s">
        <v>39</v>
      </c>
      <c r="P583" s="4" t="s">
        <v>38</v>
      </c>
      <c r="Q583" s="4" t="s">
        <v>38</v>
      </c>
      <c r="R583" s="4" t="s">
        <v>39</v>
      </c>
      <c r="S583" s="4" t="s">
        <v>41</v>
      </c>
      <c r="T583" s="4" t="s">
        <v>6456</v>
      </c>
      <c r="U583" s="4" t="s">
        <v>6449</v>
      </c>
      <c r="V583" s="4" t="s">
        <v>6450</v>
      </c>
      <c r="W583" s="4" t="s">
        <v>6451</v>
      </c>
      <c r="X583" s="4"/>
      <c r="Y583" s="4"/>
      <c r="Z583" s="4" t="s">
        <v>46</v>
      </c>
      <c r="AA583" s="4" t="s">
        <v>6486</v>
      </c>
      <c r="AB583" s="4" t="s">
        <v>3109</v>
      </c>
      <c r="AC583" s="9">
        <v>1</v>
      </c>
      <c r="AD583" t="str">
        <f>VLOOKUP($T583,[1]NhanSu!$C$5:$M$229,11,0)</f>
        <v>SM0000147</v>
      </c>
    </row>
    <row r="584" spans="1:30" x14ac:dyDescent="0.45">
      <c r="A584" s="6" t="s">
        <v>6444</v>
      </c>
      <c r="B584" s="5">
        <v>69</v>
      </c>
      <c r="C584" s="5" t="s">
        <v>6657</v>
      </c>
      <c r="D584" s="5" t="s">
        <v>6658</v>
      </c>
      <c r="E584" s="5" t="s">
        <v>2080</v>
      </c>
      <c r="F584" s="5" t="s">
        <v>4688</v>
      </c>
      <c r="G584" s="5" t="s">
        <v>34</v>
      </c>
      <c r="H584" s="5" t="s">
        <v>54</v>
      </c>
      <c r="I584" s="5" t="s">
        <v>6659</v>
      </c>
      <c r="J584" s="5" t="s">
        <v>38</v>
      </c>
      <c r="K584" s="5" t="s">
        <v>38</v>
      </c>
      <c r="L584" s="5" t="s">
        <v>39</v>
      </c>
      <c r="M584" s="5" t="s">
        <v>38</v>
      </c>
      <c r="N584" s="5" t="s">
        <v>38</v>
      </c>
      <c r="O584" s="5" t="s">
        <v>39</v>
      </c>
      <c r="P584" s="5" t="s">
        <v>38</v>
      </c>
      <c r="Q584" s="5" t="s">
        <v>38</v>
      </c>
      <c r="R584" s="5" t="s">
        <v>39</v>
      </c>
      <c r="S584" s="5" t="s">
        <v>41</v>
      </c>
      <c r="T584" s="5" t="s">
        <v>6468</v>
      </c>
      <c r="U584" s="5" t="s">
        <v>6469</v>
      </c>
      <c r="V584" s="5" t="s">
        <v>6450</v>
      </c>
      <c r="W584" s="5" t="s">
        <v>6451</v>
      </c>
      <c r="X584" s="5"/>
      <c r="Y584" s="5"/>
      <c r="Z584" s="5" t="s">
        <v>46</v>
      </c>
      <c r="AA584" s="5" t="s">
        <v>6486</v>
      </c>
      <c r="AB584" s="5" t="s">
        <v>4223</v>
      </c>
      <c r="AC584" s="7">
        <v>1</v>
      </c>
      <c r="AD584" t="str">
        <f>VLOOKUP($T584,[1]NhanSu!$C$5:$M$229,11,0)</f>
        <v>SM0000100</v>
      </c>
    </row>
    <row r="585" spans="1:30" x14ac:dyDescent="0.45">
      <c r="A585" s="8" t="s">
        <v>6444</v>
      </c>
      <c r="B585" s="4">
        <v>70</v>
      </c>
      <c r="C585" s="4" t="s">
        <v>6660</v>
      </c>
      <c r="D585" s="4" t="s">
        <v>6661</v>
      </c>
      <c r="E585" s="4" t="s">
        <v>6663</v>
      </c>
      <c r="F585" s="4" t="s">
        <v>4355</v>
      </c>
      <c r="G585" s="4" t="s">
        <v>177</v>
      </c>
      <c r="H585" s="4" t="s">
        <v>1188</v>
      </c>
      <c r="I585" s="4" t="s">
        <v>6664</v>
      </c>
      <c r="J585" s="4" t="s">
        <v>38</v>
      </c>
      <c r="K585" s="4" t="s">
        <v>38</v>
      </c>
      <c r="L585" s="4" t="s">
        <v>40</v>
      </c>
      <c r="M585" s="4" t="s">
        <v>37</v>
      </c>
      <c r="N585" s="4" t="s">
        <v>37</v>
      </c>
      <c r="O585" s="4" t="s">
        <v>39</v>
      </c>
      <c r="P585" s="4" t="s">
        <v>38</v>
      </c>
      <c r="Q585" s="4" t="s">
        <v>38</v>
      </c>
      <c r="R585" s="4" t="s">
        <v>40</v>
      </c>
      <c r="S585" s="4" t="s">
        <v>6665</v>
      </c>
      <c r="T585" s="4" t="s">
        <v>6504</v>
      </c>
      <c r="U585" s="4" t="s">
        <v>6469</v>
      </c>
      <c r="V585" s="4" t="s">
        <v>6450</v>
      </c>
      <c r="W585" s="4" t="s">
        <v>6451</v>
      </c>
      <c r="X585" s="4"/>
      <c r="Y585" s="4"/>
      <c r="Z585" s="4" t="s">
        <v>46</v>
      </c>
      <c r="AA585" s="4" t="s">
        <v>6486</v>
      </c>
      <c r="AB585" s="4" t="s">
        <v>4223</v>
      </c>
      <c r="AC585" s="9">
        <v>1</v>
      </c>
      <c r="AD585" t="str">
        <f>VLOOKUP($T585,[1]NhanSu!$C$5:$M$229,11,0)</f>
        <v>SM0000139</v>
      </c>
    </row>
    <row r="586" spans="1:30" x14ac:dyDescent="0.45">
      <c r="A586" s="6" t="s">
        <v>6444</v>
      </c>
      <c r="B586" s="5">
        <v>75</v>
      </c>
      <c r="C586" s="5" t="s">
        <v>6680</v>
      </c>
      <c r="D586" s="5" t="s">
        <v>6681</v>
      </c>
      <c r="E586" s="5" t="s">
        <v>307</v>
      </c>
      <c r="F586" s="5" t="s">
        <v>115</v>
      </c>
      <c r="G586" s="5" t="s">
        <v>34</v>
      </c>
      <c r="H586" s="5" t="s">
        <v>54</v>
      </c>
      <c r="I586" s="5" t="s">
        <v>6460</v>
      </c>
      <c r="J586" s="5" t="s">
        <v>37</v>
      </c>
      <c r="K586" s="5" t="s">
        <v>38</v>
      </c>
      <c r="L586" s="5" t="s">
        <v>39</v>
      </c>
      <c r="M586" s="5" t="s">
        <v>37</v>
      </c>
      <c r="N586" s="5" t="s">
        <v>37</v>
      </c>
      <c r="O586" s="5" t="s">
        <v>39</v>
      </c>
      <c r="P586" s="5" t="s">
        <v>38</v>
      </c>
      <c r="Q586" s="5" t="s">
        <v>38</v>
      </c>
      <c r="R586" s="5" t="s">
        <v>39</v>
      </c>
      <c r="S586" s="5" t="s">
        <v>41</v>
      </c>
      <c r="T586" s="5" t="s">
        <v>6448</v>
      </c>
      <c r="U586" s="5" t="s">
        <v>6449</v>
      </c>
      <c r="V586" s="5" t="s">
        <v>6450</v>
      </c>
      <c r="W586" s="5" t="s">
        <v>6451</v>
      </c>
      <c r="X586" s="5"/>
      <c r="Y586" s="5"/>
      <c r="Z586" s="5" t="s">
        <v>46</v>
      </c>
      <c r="AA586" s="5" t="s">
        <v>6486</v>
      </c>
      <c r="AB586" s="5" t="s">
        <v>5658</v>
      </c>
      <c r="AC586" s="7">
        <v>1</v>
      </c>
      <c r="AD586" t="str">
        <f>VLOOKUP($T586,[1]NhanSu!$C$5:$M$229,11,0)</f>
        <v>SM0000137</v>
      </c>
    </row>
    <row r="587" spans="1:30" x14ac:dyDescent="0.45">
      <c r="A587" s="8" t="s">
        <v>6444</v>
      </c>
      <c r="B587" s="4">
        <v>76</v>
      </c>
      <c r="C587" s="4" t="s">
        <v>6682</v>
      </c>
      <c r="D587" s="4" t="s">
        <v>6683</v>
      </c>
      <c r="E587" s="4" t="s">
        <v>157</v>
      </c>
      <c r="F587" s="4" t="s">
        <v>53</v>
      </c>
      <c r="G587" s="4" t="s">
        <v>34</v>
      </c>
      <c r="H587" s="4" t="s">
        <v>54</v>
      </c>
      <c r="I587" s="4" t="s">
        <v>6684</v>
      </c>
      <c r="J587" s="4" t="s">
        <v>38</v>
      </c>
      <c r="K587" s="4" t="s">
        <v>38</v>
      </c>
      <c r="L587" s="4" t="s">
        <v>40</v>
      </c>
      <c r="M587" s="4" t="s">
        <v>56</v>
      </c>
      <c r="N587" s="4" t="s">
        <v>56</v>
      </c>
      <c r="O587" s="4" t="s">
        <v>39</v>
      </c>
      <c r="P587" s="4" t="s">
        <v>38</v>
      </c>
      <c r="Q587" s="4" t="s">
        <v>38</v>
      </c>
      <c r="R587" s="4" t="s">
        <v>40</v>
      </c>
      <c r="S587" s="4" t="s">
        <v>41</v>
      </c>
      <c r="T587" s="4" t="s">
        <v>6685</v>
      </c>
      <c r="U587" s="4" t="s">
        <v>6686</v>
      </c>
      <c r="V587" s="4" t="s">
        <v>6450</v>
      </c>
      <c r="W587" s="4" t="s">
        <v>6687</v>
      </c>
      <c r="X587" s="4"/>
      <c r="Y587" s="4"/>
      <c r="Z587" s="4" t="s">
        <v>46</v>
      </c>
      <c r="AA587" s="4" t="s">
        <v>6688</v>
      </c>
      <c r="AB587" s="4" t="s">
        <v>3109</v>
      </c>
      <c r="AC587" s="9">
        <v>1</v>
      </c>
      <c r="AD587" t="str">
        <f>VLOOKUP($T587,[1]NhanSu!$C$5:$M$229,11,0)</f>
        <v>SM0000224</v>
      </c>
    </row>
    <row r="588" spans="1:30" x14ac:dyDescent="0.45">
      <c r="A588" s="6" t="s">
        <v>6444</v>
      </c>
      <c r="B588" s="5">
        <v>77</v>
      </c>
      <c r="C588" s="5" t="s">
        <v>6689</v>
      </c>
      <c r="D588" s="5" t="s">
        <v>6690</v>
      </c>
      <c r="E588" s="5" t="s">
        <v>665</v>
      </c>
      <c r="F588" s="5" t="s">
        <v>53</v>
      </c>
      <c r="G588" s="5" t="s">
        <v>34</v>
      </c>
      <c r="H588" s="5" t="s">
        <v>54</v>
      </c>
      <c r="I588" s="5" t="s">
        <v>6684</v>
      </c>
      <c r="J588" s="5" t="s">
        <v>38</v>
      </c>
      <c r="K588" s="5" t="s">
        <v>38</v>
      </c>
      <c r="L588" s="5" t="s">
        <v>40</v>
      </c>
      <c r="M588" s="5" t="s">
        <v>56</v>
      </c>
      <c r="N588" s="5" t="s">
        <v>56</v>
      </c>
      <c r="O588" s="5" t="s">
        <v>39</v>
      </c>
      <c r="P588" s="5" t="s">
        <v>38</v>
      </c>
      <c r="Q588" s="5" t="s">
        <v>38</v>
      </c>
      <c r="R588" s="5" t="s">
        <v>40</v>
      </c>
      <c r="S588" s="5" t="s">
        <v>41</v>
      </c>
      <c r="T588" s="5" t="s">
        <v>6685</v>
      </c>
      <c r="U588" s="5" t="s">
        <v>6686</v>
      </c>
      <c r="V588" s="5" t="s">
        <v>6450</v>
      </c>
      <c r="W588" s="5" t="s">
        <v>6687</v>
      </c>
      <c r="X588" s="5"/>
      <c r="Y588" s="5"/>
      <c r="Z588" s="5" t="s">
        <v>46</v>
      </c>
      <c r="AA588" s="5" t="s">
        <v>6688</v>
      </c>
      <c r="AB588" s="5" t="s">
        <v>3109</v>
      </c>
      <c r="AC588" s="7">
        <v>1</v>
      </c>
      <c r="AD588" t="str">
        <f>VLOOKUP($T588,[1]NhanSu!$C$5:$M$229,11,0)</f>
        <v>SM0000224</v>
      </c>
    </row>
    <row r="589" spans="1:30" x14ac:dyDescent="0.45">
      <c r="A589" s="8" t="s">
        <v>6444</v>
      </c>
      <c r="B589" s="4">
        <v>79</v>
      </c>
      <c r="C589" s="4" t="s">
        <v>6695</v>
      </c>
      <c r="D589" s="4" t="s">
        <v>6696</v>
      </c>
      <c r="E589" s="4" t="s">
        <v>2229</v>
      </c>
      <c r="F589" s="4" t="s">
        <v>325</v>
      </c>
      <c r="G589" s="4" t="s">
        <v>34</v>
      </c>
      <c r="H589" s="4" t="s">
        <v>35</v>
      </c>
      <c r="I589" s="4" t="s">
        <v>6697</v>
      </c>
      <c r="J589" s="4" t="s">
        <v>38</v>
      </c>
      <c r="K589" s="4" t="s">
        <v>38</v>
      </c>
      <c r="L589" s="4" t="s">
        <v>40</v>
      </c>
      <c r="M589" s="4" t="s">
        <v>56</v>
      </c>
      <c r="N589" s="4" t="s">
        <v>56</v>
      </c>
      <c r="O589" s="4" t="s">
        <v>39</v>
      </c>
      <c r="P589" s="4" t="s">
        <v>38</v>
      </c>
      <c r="Q589" s="4" t="s">
        <v>38</v>
      </c>
      <c r="R589" s="4" t="s">
        <v>40</v>
      </c>
      <c r="S589" s="4" t="s">
        <v>41</v>
      </c>
      <c r="T589" s="4" t="s">
        <v>6685</v>
      </c>
      <c r="U589" s="4" t="s">
        <v>6686</v>
      </c>
      <c r="V589" s="4" t="s">
        <v>6450</v>
      </c>
      <c r="W589" s="4" t="s">
        <v>6687</v>
      </c>
      <c r="X589" s="4"/>
      <c r="Y589" s="4"/>
      <c r="Z589" s="4" t="s">
        <v>46</v>
      </c>
      <c r="AA589" s="4" t="s">
        <v>6688</v>
      </c>
      <c r="AB589" s="4" t="s">
        <v>4223</v>
      </c>
      <c r="AC589" s="9">
        <v>1</v>
      </c>
      <c r="AD589" t="str">
        <f>VLOOKUP($T589,[1]NhanSu!$C$5:$M$229,11,0)</f>
        <v>SM0000224</v>
      </c>
    </row>
    <row r="590" spans="1:30" x14ac:dyDescent="0.45">
      <c r="A590" s="6" t="s">
        <v>6444</v>
      </c>
      <c r="B590" s="5">
        <v>80</v>
      </c>
      <c r="C590" s="5" t="s">
        <v>6698</v>
      </c>
      <c r="D590" s="5" t="s">
        <v>6699</v>
      </c>
      <c r="E590" s="5" t="s">
        <v>323</v>
      </c>
      <c r="F590" s="5" t="s">
        <v>325</v>
      </c>
      <c r="G590" s="5" t="s">
        <v>34</v>
      </c>
      <c r="H590" s="5" t="s">
        <v>35</v>
      </c>
      <c r="I590" s="5" t="s">
        <v>6697</v>
      </c>
      <c r="J590" s="5" t="s">
        <v>38</v>
      </c>
      <c r="K590" s="5" t="s">
        <v>38</v>
      </c>
      <c r="L590" s="5" t="s">
        <v>40</v>
      </c>
      <c r="M590" s="5" t="s">
        <v>56</v>
      </c>
      <c r="N590" s="5" t="s">
        <v>56</v>
      </c>
      <c r="O590" s="5" t="s">
        <v>39</v>
      </c>
      <c r="P590" s="5" t="s">
        <v>38</v>
      </c>
      <c r="Q590" s="5" t="s">
        <v>38</v>
      </c>
      <c r="R590" s="5" t="s">
        <v>40</v>
      </c>
      <c r="S590" s="5" t="s">
        <v>41</v>
      </c>
      <c r="T590" s="5" t="s">
        <v>6685</v>
      </c>
      <c r="U590" s="5" t="s">
        <v>6686</v>
      </c>
      <c r="V590" s="5" t="s">
        <v>6450</v>
      </c>
      <c r="W590" s="5" t="s">
        <v>6687</v>
      </c>
      <c r="X590" s="5"/>
      <c r="Y590" s="5"/>
      <c r="Z590" s="5" t="s">
        <v>46</v>
      </c>
      <c r="AA590" s="5" t="s">
        <v>6688</v>
      </c>
      <c r="AB590" s="5" t="s">
        <v>4223</v>
      </c>
      <c r="AC590" s="7">
        <v>1</v>
      </c>
      <c r="AD590" t="str">
        <f>VLOOKUP($T590,[1]NhanSu!$C$5:$M$229,11,0)</f>
        <v>SM0000224</v>
      </c>
    </row>
    <row r="591" spans="1:30" x14ac:dyDescent="0.45">
      <c r="A591" s="8" t="s">
        <v>6444</v>
      </c>
      <c r="B591" s="4">
        <v>82</v>
      </c>
      <c r="C591" s="4" t="s">
        <v>6702</v>
      </c>
      <c r="D591" s="4" t="s">
        <v>640</v>
      </c>
      <c r="E591" s="4" t="s">
        <v>6117</v>
      </c>
      <c r="F591" s="4" t="s">
        <v>1665</v>
      </c>
      <c r="G591" s="4" t="s">
        <v>34</v>
      </c>
      <c r="H591" s="4" t="s">
        <v>4115</v>
      </c>
      <c r="I591" s="4" t="s">
        <v>6703</v>
      </c>
      <c r="J591" s="4" t="s">
        <v>38</v>
      </c>
      <c r="K591" s="4" t="s">
        <v>38</v>
      </c>
      <c r="L591" s="4" t="s">
        <v>40</v>
      </c>
      <c r="M591" s="4" t="s">
        <v>38</v>
      </c>
      <c r="N591" s="4" t="s">
        <v>38</v>
      </c>
      <c r="O591" s="4" t="s">
        <v>40</v>
      </c>
      <c r="P591" s="4" t="s">
        <v>38</v>
      </c>
      <c r="Q591" s="4" t="s">
        <v>38</v>
      </c>
      <c r="R591" s="4" t="s">
        <v>40</v>
      </c>
      <c r="S591" s="4" t="s">
        <v>41</v>
      </c>
      <c r="T591" s="4" t="s">
        <v>6704</v>
      </c>
      <c r="U591" s="4" t="s">
        <v>6705</v>
      </c>
      <c r="V591" s="4" t="s">
        <v>6450</v>
      </c>
      <c r="W591" s="4" t="s">
        <v>6687</v>
      </c>
      <c r="X591" s="4"/>
      <c r="Y591" s="4"/>
      <c r="Z591" s="4" t="s">
        <v>46</v>
      </c>
      <c r="AA591" s="4" t="s">
        <v>6688</v>
      </c>
      <c r="AB591" s="4"/>
      <c r="AC591" s="9">
        <v>1</v>
      </c>
      <c r="AD591" t="str">
        <f>VLOOKUP($T591,[1]NhanSu!$C$5:$M$229,11,0)</f>
        <v>SM0000099</v>
      </c>
    </row>
    <row r="592" spans="1:30" x14ac:dyDescent="0.45">
      <c r="A592" s="6" t="s">
        <v>6444</v>
      </c>
      <c r="B592" s="5">
        <v>83</v>
      </c>
      <c r="C592" s="5" t="s">
        <v>6706</v>
      </c>
      <c r="D592" s="5" t="s">
        <v>6707</v>
      </c>
      <c r="E592" s="5" t="s">
        <v>6708</v>
      </c>
      <c r="F592" s="5" t="s">
        <v>417</v>
      </c>
      <c r="G592" s="5" t="s">
        <v>34</v>
      </c>
      <c r="H592" s="5" t="s">
        <v>1483</v>
      </c>
      <c r="I592" s="5" t="s">
        <v>6709</v>
      </c>
      <c r="J592" s="5" t="s">
        <v>38</v>
      </c>
      <c r="K592" s="5" t="s">
        <v>38</v>
      </c>
      <c r="L592" s="5" t="s">
        <v>40</v>
      </c>
      <c r="M592" s="5" t="s">
        <v>38</v>
      </c>
      <c r="N592" s="5" t="s">
        <v>38</v>
      </c>
      <c r="O592" s="5" t="s">
        <v>40</v>
      </c>
      <c r="P592" s="5" t="s">
        <v>38</v>
      </c>
      <c r="Q592" s="5" t="s">
        <v>38</v>
      </c>
      <c r="R592" s="5" t="s">
        <v>40</v>
      </c>
      <c r="S592" s="5" t="s">
        <v>41</v>
      </c>
      <c r="T592" s="5" t="s">
        <v>6704</v>
      </c>
      <c r="U592" s="5" t="s">
        <v>6705</v>
      </c>
      <c r="V592" s="5" t="s">
        <v>6450</v>
      </c>
      <c r="W592" s="5" t="s">
        <v>6687</v>
      </c>
      <c r="X592" s="5"/>
      <c r="Y592" s="5"/>
      <c r="Z592" s="5" t="s">
        <v>46</v>
      </c>
      <c r="AA592" s="5" t="s">
        <v>6457</v>
      </c>
      <c r="AB592" s="5"/>
      <c r="AC592" s="7">
        <v>1</v>
      </c>
      <c r="AD592" t="str">
        <f>VLOOKUP($T592,[1]NhanSu!$C$5:$M$229,11,0)</f>
        <v>SM0000099</v>
      </c>
    </row>
    <row r="593" spans="1:30" x14ac:dyDescent="0.45">
      <c r="A593" s="8" t="s">
        <v>6444</v>
      </c>
      <c r="B593" s="4">
        <v>84</v>
      </c>
      <c r="C593" s="4" t="s">
        <v>6710</v>
      </c>
      <c r="D593" s="4" t="s">
        <v>6711</v>
      </c>
      <c r="E593" s="4" t="s">
        <v>6712</v>
      </c>
      <c r="F593" s="4" t="s">
        <v>325</v>
      </c>
      <c r="G593" s="4" t="s">
        <v>34</v>
      </c>
      <c r="H593" s="4" t="s">
        <v>565</v>
      </c>
      <c r="I593" s="4" t="s">
        <v>4508</v>
      </c>
      <c r="J593" s="4" t="s">
        <v>38</v>
      </c>
      <c r="K593" s="4" t="s">
        <v>38</v>
      </c>
      <c r="L593" s="4" t="s">
        <v>40</v>
      </c>
      <c r="M593" s="4" t="s">
        <v>38</v>
      </c>
      <c r="N593" s="4" t="s">
        <v>38</v>
      </c>
      <c r="O593" s="4" t="s">
        <v>40</v>
      </c>
      <c r="P593" s="4" t="s">
        <v>38</v>
      </c>
      <c r="Q593" s="4" t="s">
        <v>38</v>
      </c>
      <c r="R593" s="4" t="s">
        <v>40</v>
      </c>
      <c r="S593" s="4" t="s">
        <v>41</v>
      </c>
      <c r="T593" s="4" t="s">
        <v>6704</v>
      </c>
      <c r="U593" s="4" t="s">
        <v>6705</v>
      </c>
      <c r="V593" s="4" t="s">
        <v>6450</v>
      </c>
      <c r="W593" s="4" t="s">
        <v>6687</v>
      </c>
      <c r="X593" s="4"/>
      <c r="Y593" s="4"/>
      <c r="Z593" s="4" t="s">
        <v>46</v>
      </c>
      <c r="AA593" s="4" t="s">
        <v>6457</v>
      </c>
      <c r="AB593" s="4" t="s">
        <v>3109</v>
      </c>
      <c r="AC593" s="9">
        <v>1</v>
      </c>
      <c r="AD593" t="str">
        <f>VLOOKUP($T593,[1]NhanSu!$C$5:$M$229,11,0)</f>
        <v>SM0000099</v>
      </c>
    </row>
    <row r="594" spans="1:30" x14ac:dyDescent="0.45">
      <c r="A594" s="6" t="s">
        <v>6444</v>
      </c>
      <c r="B594" s="5">
        <v>85</v>
      </c>
      <c r="C594" s="5" t="s">
        <v>6713</v>
      </c>
      <c r="D594" s="5" t="s">
        <v>6714</v>
      </c>
      <c r="E594" s="5" t="s">
        <v>6715</v>
      </c>
      <c r="F594" s="5" t="s">
        <v>581</v>
      </c>
      <c r="G594" s="5" t="s">
        <v>34</v>
      </c>
      <c r="H594" s="5" t="s">
        <v>842</v>
      </c>
      <c r="I594" s="5" t="s">
        <v>6716</v>
      </c>
      <c r="J594" s="5" t="s">
        <v>38</v>
      </c>
      <c r="K594" s="5" t="s">
        <v>38</v>
      </c>
      <c r="L594" s="5" t="s">
        <v>40</v>
      </c>
      <c r="M594" s="5" t="s">
        <v>38</v>
      </c>
      <c r="N594" s="5" t="s">
        <v>38</v>
      </c>
      <c r="O594" s="5" t="s">
        <v>40</v>
      </c>
      <c r="P594" s="5" t="s">
        <v>38</v>
      </c>
      <c r="Q594" s="5" t="s">
        <v>38</v>
      </c>
      <c r="R594" s="5" t="s">
        <v>40</v>
      </c>
      <c r="S594" s="5" t="s">
        <v>41</v>
      </c>
      <c r="T594" s="5" t="s">
        <v>6704</v>
      </c>
      <c r="U594" s="5" t="s">
        <v>6705</v>
      </c>
      <c r="V594" s="5" t="s">
        <v>6450</v>
      </c>
      <c r="W594" s="5" t="s">
        <v>6687</v>
      </c>
      <c r="X594" s="5"/>
      <c r="Y594" s="5"/>
      <c r="Z594" s="5" t="s">
        <v>46</v>
      </c>
      <c r="AA594" s="5" t="s">
        <v>6688</v>
      </c>
      <c r="AB594" s="5"/>
      <c r="AC594" s="7">
        <v>1</v>
      </c>
      <c r="AD594" t="str">
        <f>VLOOKUP($T594,[1]NhanSu!$C$5:$M$229,11,0)</f>
        <v>SM0000099</v>
      </c>
    </row>
    <row r="595" spans="1:30" x14ac:dyDescent="0.45">
      <c r="A595" s="8" t="s">
        <v>6444</v>
      </c>
      <c r="B595" s="4">
        <v>86</v>
      </c>
      <c r="C595" s="4" t="s">
        <v>6717</v>
      </c>
      <c r="D595" s="4" t="s">
        <v>6718</v>
      </c>
      <c r="E595" s="4" t="s">
        <v>665</v>
      </c>
      <c r="F595" s="4" t="s">
        <v>53</v>
      </c>
      <c r="G595" s="4" t="s">
        <v>34</v>
      </c>
      <c r="H595" s="4" t="s">
        <v>54</v>
      </c>
      <c r="I595" s="4" t="s">
        <v>6684</v>
      </c>
      <c r="J595" s="4" t="s">
        <v>38</v>
      </c>
      <c r="K595" s="4" t="s">
        <v>38</v>
      </c>
      <c r="L595" s="4" t="s">
        <v>40</v>
      </c>
      <c r="M595" s="4" t="s">
        <v>56</v>
      </c>
      <c r="N595" s="4" t="s">
        <v>56</v>
      </c>
      <c r="O595" s="4" t="s">
        <v>39</v>
      </c>
      <c r="P595" s="4" t="s">
        <v>38</v>
      </c>
      <c r="Q595" s="4" t="s">
        <v>38</v>
      </c>
      <c r="R595" s="4" t="s">
        <v>40</v>
      </c>
      <c r="S595" s="4" t="s">
        <v>41</v>
      </c>
      <c r="T595" s="4" t="s">
        <v>6685</v>
      </c>
      <c r="U595" s="4" t="s">
        <v>6686</v>
      </c>
      <c r="V595" s="4" t="s">
        <v>6450</v>
      </c>
      <c r="W595" s="4" t="s">
        <v>6687</v>
      </c>
      <c r="X595" s="4"/>
      <c r="Y595" s="4"/>
      <c r="Z595" s="4" t="s">
        <v>46</v>
      </c>
      <c r="AA595" s="4" t="s">
        <v>6688</v>
      </c>
      <c r="AB595" s="4" t="s">
        <v>3109</v>
      </c>
      <c r="AC595" s="9">
        <v>1</v>
      </c>
      <c r="AD595" t="str">
        <f>VLOOKUP($T595,[1]NhanSu!$C$5:$M$229,11,0)</f>
        <v>SM0000224</v>
      </c>
    </row>
    <row r="596" spans="1:30" x14ac:dyDescent="0.45">
      <c r="A596" s="6" t="s">
        <v>6444</v>
      </c>
      <c r="B596" s="5">
        <v>93</v>
      </c>
      <c r="C596" s="5" t="s">
        <v>6732</v>
      </c>
      <c r="D596" s="5" t="s">
        <v>6733</v>
      </c>
      <c r="E596" s="5" t="s">
        <v>32</v>
      </c>
      <c r="F596" s="5" t="s">
        <v>53</v>
      </c>
      <c r="G596" s="5" t="s">
        <v>34</v>
      </c>
      <c r="H596" s="5" t="s">
        <v>5212</v>
      </c>
      <c r="I596" s="5" t="s">
        <v>6734</v>
      </c>
      <c r="J596" s="5" t="s">
        <v>38</v>
      </c>
      <c r="K596" s="5" t="s">
        <v>38</v>
      </c>
      <c r="L596" s="5" t="s">
        <v>40</v>
      </c>
      <c r="M596" s="5" t="s">
        <v>38</v>
      </c>
      <c r="N596" s="5" t="s">
        <v>38</v>
      </c>
      <c r="O596" s="5" t="s">
        <v>40</v>
      </c>
      <c r="P596" s="5" t="s">
        <v>38</v>
      </c>
      <c r="Q596" s="5" t="s">
        <v>38</v>
      </c>
      <c r="R596" s="5" t="s">
        <v>40</v>
      </c>
      <c r="S596" s="5" t="s">
        <v>41</v>
      </c>
      <c r="T596" s="5" t="s">
        <v>6694</v>
      </c>
      <c r="U596" s="5" t="s">
        <v>6686</v>
      </c>
      <c r="V596" s="5" t="s">
        <v>6450</v>
      </c>
      <c r="W596" s="5" t="s">
        <v>6687</v>
      </c>
      <c r="X596" s="5"/>
      <c r="Y596" s="5"/>
      <c r="Z596" s="5" t="s">
        <v>46</v>
      </c>
      <c r="AA596" s="5" t="s">
        <v>6457</v>
      </c>
      <c r="AB596" s="5" t="s">
        <v>4223</v>
      </c>
      <c r="AC596" s="7">
        <v>1</v>
      </c>
      <c r="AD596" t="str">
        <f>VLOOKUP($T596,[1]NhanSu!$C$5:$M$229,11,0)</f>
        <v>SM0000145</v>
      </c>
    </row>
    <row r="597" spans="1:30" x14ac:dyDescent="0.45">
      <c r="A597" s="8" t="s">
        <v>6444</v>
      </c>
      <c r="B597" s="4">
        <v>94</v>
      </c>
      <c r="C597" s="4" t="s">
        <v>6735</v>
      </c>
      <c r="D597" s="4" t="s">
        <v>5532</v>
      </c>
      <c r="E597" s="4" t="s">
        <v>4259</v>
      </c>
      <c r="F597" s="4" t="s">
        <v>53</v>
      </c>
      <c r="G597" s="4" t="s">
        <v>34</v>
      </c>
      <c r="H597" s="4" t="s">
        <v>1746</v>
      </c>
      <c r="I597" s="4" t="s">
        <v>2274</v>
      </c>
      <c r="J597" s="4" t="s">
        <v>38</v>
      </c>
      <c r="K597" s="4" t="s">
        <v>38</v>
      </c>
      <c r="L597" s="4" t="s">
        <v>40</v>
      </c>
      <c r="M597" s="4" t="s">
        <v>38</v>
      </c>
      <c r="N597" s="4" t="s">
        <v>38</v>
      </c>
      <c r="O597" s="4" t="s">
        <v>40</v>
      </c>
      <c r="P597" s="4" t="s">
        <v>38</v>
      </c>
      <c r="Q597" s="4" t="s">
        <v>38</v>
      </c>
      <c r="R597" s="4" t="s">
        <v>40</v>
      </c>
      <c r="S597" s="4" t="s">
        <v>41</v>
      </c>
      <c r="T597" s="4" t="s">
        <v>6704</v>
      </c>
      <c r="U597" s="4" t="s">
        <v>6705</v>
      </c>
      <c r="V597" s="4" t="s">
        <v>6450</v>
      </c>
      <c r="W597" s="4" t="s">
        <v>6687</v>
      </c>
      <c r="X597" s="4"/>
      <c r="Y597" s="4"/>
      <c r="Z597" s="4" t="s">
        <v>46</v>
      </c>
      <c r="AA597" s="4" t="s">
        <v>6688</v>
      </c>
      <c r="AB597" s="4" t="s">
        <v>3109</v>
      </c>
      <c r="AC597" s="9">
        <v>1</v>
      </c>
      <c r="AD597" t="str">
        <f>VLOOKUP($T597,[1]NhanSu!$C$5:$M$229,11,0)</f>
        <v>SM0000099</v>
      </c>
    </row>
    <row r="598" spans="1:30" x14ac:dyDescent="0.45">
      <c r="A598" s="6" t="s">
        <v>6444</v>
      </c>
      <c r="B598" s="5">
        <v>95</v>
      </c>
      <c r="C598" s="5" t="s">
        <v>6736</v>
      </c>
      <c r="D598" s="5" t="s">
        <v>6737</v>
      </c>
      <c r="E598" s="5" t="s">
        <v>861</v>
      </c>
      <c r="F598" s="5" t="s">
        <v>53</v>
      </c>
      <c r="G598" s="5" t="s">
        <v>34</v>
      </c>
      <c r="H598" s="5" t="s">
        <v>171</v>
      </c>
      <c r="I598" s="5" t="s">
        <v>6738</v>
      </c>
      <c r="J598" s="5" t="s">
        <v>38</v>
      </c>
      <c r="K598" s="5" t="s">
        <v>38</v>
      </c>
      <c r="L598" s="5" t="s">
        <v>40</v>
      </c>
      <c r="M598" s="5" t="s">
        <v>38</v>
      </c>
      <c r="N598" s="5" t="s">
        <v>38</v>
      </c>
      <c r="O598" s="5" t="s">
        <v>40</v>
      </c>
      <c r="P598" s="5" t="s">
        <v>38</v>
      </c>
      <c r="Q598" s="5" t="s">
        <v>38</v>
      </c>
      <c r="R598" s="5" t="s">
        <v>40</v>
      </c>
      <c r="S598" s="5" t="s">
        <v>41</v>
      </c>
      <c r="T598" s="5" t="s">
        <v>6704</v>
      </c>
      <c r="U598" s="5" t="s">
        <v>6705</v>
      </c>
      <c r="V598" s="5" t="s">
        <v>6450</v>
      </c>
      <c r="W598" s="5" t="s">
        <v>6687</v>
      </c>
      <c r="X598" s="5"/>
      <c r="Y598" s="5"/>
      <c r="Z598" s="5" t="s">
        <v>46</v>
      </c>
      <c r="AA598" s="5" t="s">
        <v>6688</v>
      </c>
      <c r="AB598" s="5"/>
      <c r="AC598" s="7">
        <v>1</v>
      </c>
      <c r="AD598" t="str">
        <f>VLOOKUP($T598,[1]NhanSu!$C$5:$M$229,11,0)</f>
        <v>SM0000099</v>
      </c>
    </row>
    <row r="599" spans="1:30" x14ac:dyDescent="0.45">
      <c r="A599" s="8" t="s">
        <v>6444</v>
      </c>
      <c r="B599" s="4">
        <v>96</v>
      </c>
      <c r="C599" s="4" t="s">
        <v>6739</v>
      </c>
      <c r="D599" s="4" t="s">
        <v>6740</v>
      </c>
      <c r="E599" s="4" t="s">
        <v>206</v>
      </c>
      <c r="F599" s="4" t="s">
        <v>53</v>
      </c>
      <c r="G599" s="4" t="s">
        <v>34</v>
      </c>
      <c r="H599" s="4" t="s">
        <v>1010</v>
      </c>
      <c r="I599" s="4" t="s">
        <v>6741</v>
      </c>
      <c r="J599" s="4" t="s">
        <v>38</v>
      </c>
      <c r="K599" s="4" t="s">
        <v>38</v>
      </c>
      <c r="L599" s="4" t="s">
        <v>40</v>
      </c>
      <c r="M599" s="4" t="s">
        <v>38</v>
      </c>
      <c r="N599" s="4" t="s">
        <v>38</v>
      </c>
      <c r="O599" s="4" t="s">
        <v>40</v>
      </c>
      <c r="P599" s="4" t="s">
        <v>38</v>
      </c>
      <c r="Q599" s="4" t="s">
        <v>38</v>
      </c>
      <c r="R599" s="4" t="s">
        <v>40</v>
      </c>
      <c r="S599" s="4" t="s">
        <v>6742</v>
      </c>
      <c r="T599" s="4" t="s">
        <v>6694</v>
      </c>
      <c r="U599" s="4" t="s">
        <v>6686</v>
      </c>
      <c r="V599" s="4" t="s">
        <v>6450</v>
      </c>
      <c r="W599" s="4" t="s">
        <v>6687</v>
      </c>
      <c r="X599" s="4"/>
      <c r="Y599" s="4"/>
      <c r="Z599" s="4" t="s">
        <v>46</v>
      </c>
      <c r="AA599" s="4" t="s">
        <v>6457</v>
      </c>
      <c r="AB599" s="4" t="s">
        <v>3109</v>
      </c>
      <c r="AC599" s="9">
        <v>1</v>
      </c>
      <c r="AD599" t="str">
        <f>VLOOKUP($T599,[1]NhanSu!$C$5:$M$229,11,0)</f>
        <v>SM0000145</v>
      </c>
    </row>
    <row r="600" spans="1:30" x14ac:dyDescent="0.45">
      <c r="A600" s="6" t="s">
        <v>6444</v>
      </c>
      <c r="B600" s="5">
        <v>97</v>
      </c>
      <c r="C600" s="5" t="s">
        <v>6743</v>
      </c>
      <c r="D600" s="5" t="s">
        <v>6744</v>
      </c>
      <c r="E600" s="5" t="s">
        <v>261</v>
      </c>
      <c r="F600" s="5" t="s">
        <v>53</v>
      </c>
      <c r="G600" s="5" t="s">
        <v>34</v>
      </c>
      <c r="H600" s="5" t="s">
        <v>565</v>
      </c>
      <c r="I600" s="5" t="s">
        <v>1838</v>
      </c>
      <c r="J600" s="5" t="s">
        <v>38</v>
      </c>
      <c r="K600" s="5" t="s">
        <v>38</v>
      </c>
      <c r="L600" s="5" t="s">
        <v>40</v>
      </c>
      <c r="M600" s="5" t="s">
        <v>38</v>
      </c>
      <c r="N600" s="5" t="s">
        <v>38</v>
      </c>
      <c r="O600" s="5" t="s">
        <v>40</v>
      </c>
      <c r="P600" s="5" t="s">
        <v>38</v>
      </c>
      <c r="Q600" s="5" t="s">
        <v>38</v>
      </c>
      <c r="R600" s="5" t="s">
        <v>40</v>
      </c>
      <c r="S600" s="5" t="s">
        <v>41</v>
      </c>
      <c r="T600" s="5" t="s">
        <v>6704</v>
      </c>
      <c r="U600" s="5" t="s">
        <v>6705</v>
      </c>
      <c r="V600" s="5" t="s">
        <v>6450</v>
      </c>
      <c r="W600" s="5" t="s">
        <v>6687</v>
      </c>
      <c r="X600" s="5"/>
      <c r="Y600" s="5"/>
      <c r="Z600" s="5" t="s">
        <v>46</v>
      </c>
      <c r="AA600" s="5" t="s">
        <v>6688</v>
      </c>
      <c r="AB600" s="5"/>
      <c r="AC600" s="7">
        <v>1</v>
      </c>
      <c r="AD600" t="str">
        <f>VLOOKUP($T600,[1]NhanSu!$C$5:$M$229,11,0)</f>
        <v>SM0000099</v>
      </c>
    </row>
    <row r="601" spans="1:30" x14ac:dyDescent="0.45">
      <c r="A601" s="8" t="s">
        <v>6444</v>
      </c>
      <c r="B601" s="4">
        <v>98</v>
      </c>
      <c r="C601" s="4" t="s">
        <v>6745</v>
      </c>
      <c r="D601" s="4" t="s">
        <v>6746</v>
      </c>
      <c r="E601" s="4" t="s">
        <v>580</v>
      </c>
      <c r="F601" s="4" t="s">
        <v>53</v>
      </c>
      <c r="G601" s="4" t="s">
        <v>34</v>
      </c>
      <c r="H601" s="4" t="s">
        <v>2459</v>
      </c>
      <c r="I601" s="4" t="s">
        <v>6747</v>
      </c>
      <c r="J601" s="4" t="s">
        <v>38</v>
      </c>
      <c r="K601" s="4" t="s">
        <v>38</v>
      </c>
      <c r="L601" s="4" t="s">
        <v>40</v>
      </c>
      <c r="M601" s="4" t="s">
        <v>38</v>
      </c>
      <c r="N601" s="4" t="s">
        <v>38</v>
      </c>
      <c r="O601" s="4" t="s">
        <v>40</v>
      </c>
      <c r="P601" s="4" t="s">
        <v>38</v>
      </c>
      <c r="Q601" s="4" t="s">
        <v>38</v>
      </c>
      <c r="R601" s="4" t="s">
        <v>40</v>
      </c>
      <c r="S601" s="4" t="s">
        <v>41</v>
      </c>
      <c r="T601" s="4" t="s">
        <v>6704</v>
      </c>
      <c r="U601" s="4" t="s">
        <v>6705</v>
      </c>
      <c r="V601" s="4" t="s">
        <v>6450</v>
      </c>
      <c r="W601" s="4" t="s">
        <v>6687</v>
      </c>
      <c r="X601" s="4"/>
      <c r="Y601" s="4"/>
      <c r="Z601" s="4" t="s">
        <v>46</v>
      </c>
      <c r="AA601" s="4" t="s">
        <v>6688</v>
      </c>
      <c r="AB601" s="4"/>
      <c r="AC601" s="9">
        <v>1</v>
      </c>
      <c r="AD601" t="str">
        <f>VLOOKUP($T601,[1]NhanSu!$C$5:$M$229,11,0)</f>
        <v>SM0000099</v>
      </c>
    </row>
    <row r="602" spans="1:30" x14ac:dyDescent="0.45">
      <c r="A602" s="6" t="s">
        <v>6444</v>
      </c>
      <c r="B602" s="5">
        <v>100</v>
      </c>
      <c r="C602" s="5" t="s">
        <v>6751</v>
      </c>
      <c r="D602" s="5" t="s">
        <v>6752</v>
      </c>
      <c r="E602" s="5" t="s">
        <v>32</v>
      </c>
      <c r="F602" s="5" t="s">
        <v>53</v>
      </c>
      <c r="G602" s="5" t="s">
        <v>34</v>
      </c>
      <c r="H602" s="5" t="s">
        <v>54</v>
      </c>
      <c r="I602" s="5" t="s">
        <v>6684</v>
      </c>
      <c r="J602" s="5" t="s">
        <v>38</v>
      </c>
      <c r="K602" s="5" t="s">
        <v>38</v>
      </c>
      <c r="L602" s="5" t="s">
        <v>40</v>
      </c>
      <c r="M602" s="5" t="s">
        <v>38</v>
      </c>
      <c r="N602" s="5" t="s">
        <v>38</v>
      </c>
      <c r="O602" s="5" t="s">
        <v>40</v>
      </c>
      <c r="P602" s="5" t="s">
        <v>38</v>
      </c>
      <c r="Q602" s="5" t="s">
        <v>38</v>
      </c>
      <c r="R602" s="5" t="s">
        <v>40</v>
      </c>
      <c r="S602" s="5" t="s">
        <v>6753</v>
      </c>
      <c r="T602" s="5" t="s">
        <v>6685</v>
      </c>
      <c r="U602" s="5" t="s">
        <v>6686</v>
      </c>
      <c r="V602" s="5" t="s">
        <v>6450</v>
      </c>
      <c r="W602" s="5" t="s">
        <v>6687</v>
      </c>
      <c r="X602" s="5"/>
      <c r="Y602" s="5"/>
      <c r="Z602" s="5" t="s">
        <v>46</v>
      </c>
      <c r="AA602" s="5" t="s">
        <v>6688</v>
      </c>
      <c r="AB602" s="5" t="s">
        <v>3109</v>
      </c>
      <c r="AC602" s="7">
        <v>1</v>
      </c>
      <c r="AD602" t="str">
        <f>VLOOKUP($T602,[1]NhanSu!$C$5:$M$229,11,0)</f>
        <v>SM0000224</v>
      </c>
    </row>
    <row r="603" spans="1:30" x14ac:dyDescent="0.45">
      <c r="A603" s="8" t="s">
        <v>6444</v>
      </c>
      <c r="B603" s="4">
        <v>101</v>
      </c>
      <c r="C603" s="4" t="s">
        <v>6754</v>
      </c>
      <c r="D603" s="4" t="s">
        <v>6755</v>
      </c>
      <c r="E603" s="4" t="s">
        <v>1154</v>
      </c>
      <c r="F603" s="4" t="s">
        <v>53</v>
      </c>
      <c r="G603" s="4" t="s">
        <v>34</v>
      </c>
      <c r="H603" s="4" t="s">
        <v>2459</v>
      </c>
      <c r="I603" s="4" t="s">
        <v>6756</v>
      </c>
      <c r="J603" s="4" t="s">
        <v>38</v>
      </c>
      <c r="K603" s="4" t="s">
        <v>38</v>
      </c>
      <c r="L603" s="4" t="s">
        <v>40</v>
      </c>
      <c r="M603" s="4" t="s">
        <v>38</v>
      </c>
      <c r="N603" s="4" t="s">
        <v>38</v>
      </c>
      <c r="O603" s="4" t="s">
        <v>40</v>
      </c>
      <c r="P603" s="4" t="s">
        <v>38</v>
      </c>
      <c r="Q603" s="4" t="s">
        <v>38</v>
      </c>
      <c r="R603" s="4" t="s">
        <v>40</v>
      </c>
      <c r="S603" s="4" t="s">
        <v>41</v>
      </c>
      <c r="T603" s="4" t="s">
        <v>6704</v>
      </c>
      <c r="U603" s="4" t="s">
        <v>6705</v>
      </c>
      <c r="V603" s="4" t="s">
        <v>6450</v>
      </c>
      <c r="W603" s="4" t="s">
        <v>6687</v>
      </c>
      <c r="X603" s="4"/>
      <c r="Y603" s="4"/>
      <c r="Z603" s="4" t="s">
        <v>46</v>
      </c>
      <c r="AA603" s="4" t="s">
        <v>6688</v>
      </c>
      <c r="AB603" s="4" t="s">
        <v>4223</v>
      </c>
      <c r="AC603" s="9">
        <v>1</v>
      </c>
      <c r="AD603" t="str">
        <f>VLOOKUP($T603,[1]NhanSu!$C$5:$M$229,11,0)</f>
        <v>SM0000099</v>
      </c>
    </row>
    <row r="604" spans="1:30" x14ac:dyDescent="0.45">
      <c r="A604" s="6" t="s">
        <v>6444</v>
      </c>
      <c r="B604" s="5">
        <v>103</v>
      </c>
      <c r="C604" s="5" t="s">
        <v>6760</v>
      </c>
      <c r="D604" s="5" t="s">
        <v>6761</v>
      </c>
      <c r="E604" s="5" t="s">
        <v>206</v>
      </c>
      <c r="F604" s="5" t="s">
        <v>53</v>
      </c>
      <c r="G604" s="5" t="s">
        <v>34</v>
      </c>
      <c r="H604" s="5" t="s">
        <v>1320</v>
      </c>
      <c r="I604" s="5" t="s">
        <v>6734</v>
      </c>
      <c r="J604" s="5" t="s">
        <v>38</v>
      </c>
      <c r="K604" s="5" t="s">
        <v>38</v>
      </c>
      <c r="L604" s="5" t="s">
        <v>40</v>
      </c>
      <c r="M604" s="5" t="s">
        <v>38</v>
      </c>
      <c r="N604" s="5" t="s">
        <v>38</v>
      </c>
      <c r="O604" s="5" t="s">
        <v>40</v>
      </c>
      <c r="P604" s="5" t="s">
        <v>38</v>
      </c>
      <c r="Q604" s="5" t="s">
        <v>38</v>
      </c>
      <c r="R604" s="5" t="s">
        <v>40</v>
      </c>
      <c r="S604" s="5" t="s">
        <v>41</v>
      </c>
      <c r="T604" s="5" t="s">
        <v>6694</v>
      </c>
      <c r="U604" s="5" t="s">
        <v>6686</v>
      </c>
      <c r="V604" s="5" t="s">
        <v>6450</v>
      </c>
      <c r="W604" s="5" t="s">
        <v>6687</v>
      </c>
      <c r="X604" s="5"/>
      <c r="Y604" s="5"/>
      <c r="Z604" s="5" t="s">
        <v>46</v>
      </c>
      <c r="AA604" s="5" t="s">
        <v>6457</v>
      </c>
      <c r="AB604" s="5" t="s">
        <v>5667</v>
      </c>
      <c r="AC604" s="7">
        <v>1</v>
      </c>
      <c r="AD604" t="str">
        <f>VLOOKUP($T604,[1]NhanSu!$C$5:$M$229,11,0)</f>
        <v>SM0000145</v>
      </c>
    </row>
    <row r="605" spans="1:30" x14ac:dyDescent="0.45">
      <c r="A605" s="8" t="s">
        <v>6444</v>
      </c>
      <c r="B605" s="4">
        <v>108</v>
      </c>
      <c r="C605" s="4" t="s">
        <v>6774</v>
      </c>
      <c r="D605" s="4" t="s">
        <v>6775</v>
      </c>
      <c r="E605" s="4" t="s">
        <v>307</v>
      </c>
      <c r="F605" s="4" t="s">
        <v>166</v>
      </c>
      <c r="G605" s="4" t="s">
        <v>34</v>
      </c>
      <c r="H605" s="4" t="s">
        <v>54</v>
      </c>
      <c r="I605" s="4" t="s">
        <v>6776</v>
      </c>
      <c r="J605" s="4" t="s">
        <v>38</v>
      </c>
      <c r="K605" s="4" t="s">
        <v>38</v>
      </c>
      <c r="L605" s="4" t="s">
        <v>40</v>
      </c>
      <c r="M605" s="4" t="s">
        <v>38</v>
      </c>
      <c r="N605" s="4" t="s">
        <v>38</v>
      </c>
      <c r="O605" s="4" t="s">
        <v>40</v>
      </c>
      <c r="P605" s="4" t="s">
        <v>38</v>
      </c>
      <c r="Q605" s="4" t="s">
        <v>38</v>
      </c>
      <c r="R605" s="4" t="s">
        <v>40</v>
      </c>
      <c r="S605" s="4" t="s">
        <v>6753</v>
      </c>
      <c r="T605" s="4" t="s">
        <v>6685</v>
      </c>
      <c r="U605" s="4" t="s">
        <v>6686</v>
      </c>
      <c r="V605" s="4" t="s">
        <v>6450</v>
      </c>
      <c r="W605" s="4" t="s">
        <v>6687</v>
      </c>
      <c r="X605" s="4"/>
      <c r="Y605" s="4"/>
      <c r="Z605" s="4" t="s">
        <v>46</v>
      </c>
      <c r="AA605" s="4" t="s">
        <v>6688</v>
      </c>
      <c r="AB605" s="4" t="s">
        <v>4223</v>
      </c>
      <c r="AC605" s="9">
        <v>1</v>
      </c>
      <c r="AD605" t="str">
        <f>VLOOKUP($T605,[1]NhanSu!$C$5:$M$229,11,0)</f>
        <v>SM0000224</v>
      </c>
    </row>
    <row r="606" spans="1:30" x14ac:dyDescent="0.45">
      <c r="A606" s="6" t="s">
        <v>6444</v>
      </c>
      <c r="B606" s="5">
        <v>111</v>
      </c>
      <c r="C606" s="5" t="s">
        <v>6783</v>
      </c>
      <c r="D606" s="5" t="s">
        <v>6784</v>
      </c>
      <c r="E606" s="5" t="s">
        <v>6785</v>
      </c>
      <c r="F606" s="5" t="s">
        <v>53</v>
      </c>
      <c r="G606" s="5" t="s">
        <v>34</v>
      </c>
      <c r="H606" s="5" t="s">
        <v>332</v>
      </c>
      <c r="I606" s="5" t="s">
        <v>6786</v>
      </c>
      <c r="J606" s="5" t="s">
        <v>38</v>
      </c>
      <c r="K606" s="5" t="s">
        <v>38</v>
      </c>
      <c r="L606" s="5" t="s">
        <v>40</v>
      </c>
      <c r="M606" s="5" t="s">
        <v>38</v>
      </c>
      <c r="N606" s="5" t="s">
        <v>38</v>
      </c>
      <c r="O606" s="5" t="s">
        <v>40</v>
      </c>
      <c r="P606" s="5" t="s">
        <v>38</v>
      </c>
      <c r="Q606" s="5" t="s">
        <v>38</v>
      </c>
      <c r="R606" s="5" t="s">
        <v>40</v>
      </c>
      <c r="S606" s="5" t="s">
        <v>41</v>
      </c>
      <c r="T606" s="5" t="s">
        <v>6704</v>
      </c>
      <c r="U606" s="5" t="s">
        <v>6705</v>
      </c>
      <c r="V606" s="5" t="s">
        <v>6450</v>
      </c>
      <c r="W606" s="5" t="s">
        <v>6687</v>
      </c>
      <c r="X606" s="5"/>
      <c r="Y606" s="5"/>
      <c r="Z606" s="5" t="s">
        <v>46</v>
      </c>
      <c r="AA606" s="5" t="s">
        <v>6457</v>
      </c>
      <c r="AB606" s="5" t="s">
        <v>5658</v>
      </c>
      <c r="AC606" s="7">
        <v>1</v>
      </c>
      <c r="AD606" t="str">
        <f>VLOOKUP($T606,[1]NhanSu!$C$5:$M$229,11,0)</f>
        <v>SM0000099</v>
      </c>
    </row>
    <row r="607" spans="1:30" x14ac:dyDescent="0.45">
      <c r="A607" s="8" t="s">
        <v>6444</v>
      </c>
      <c r="B607" s="4">
        <v>112</v>
      </c>
      <c r="C607" s="4" t="s">
        <v>6787</v>
      </c>
      <c r="D607" s="4" t="s">
        <v>6788</v>
      </c>
      <c r="E607" s="4" t="s">
        <v>261</v>
      </c>
      <c r="F607" s="4" t="s">
        <v>2360</v>
      </c>
      <c r="G607" s="4" t="s">
        <v>34</v>
      </c>
      <c r="H607" s="4" t="s">
        <v>54</v>
      </c>
      <c r="I607" s="4" t="s">
        <v>6789</v>
      </c>
      <c r="J607" s="4" t="s">
        <v>38</v>
      </c>
      <c r="K607" s="4" t="s">
        <v>38</v>
      </c>
      <c r="L607" s="4" t="s">
        <v>40</v>
      </c>
      <c r="M607" s="4" t="s">
        <v>38</v>
      </c>
      <c r="N607" s="4" t="s">
        <v>38</v>
      </c>
      <c r="O607" s="4" t="s">
        <v>39</v>
      </c>
      <c r="P607" s="4" t="s">
        <v>38</v>
      </c>
      <c r="Q607" s="4" t="s">
        <v>38</v>
      </c>
      <c r="R607" s="4" t="s">
        <v>40</v>
      </c>
      <c r="S607" s="4" t="s">
        <v>41</v>
      </c>
      <c r="T607" s="4" t="s">
        <v>6694</v>
      </c>
      <c r="U607" s="4" t="s">
        <v>6686</v>
      </c>
      <c r="V607" s="4" t="s">
        <v>6450</v>
      </c>
      <c r="W607" s="4" t="s">
        <v>6687</v>
      </c>
      <c r="X607" s="4"/>
      <c r="Y607" s="4"/>
      <c r="Z607" s="4" t="s">
        <v>46</v>
      </c>
      <c r="AA607" s="4" t="s">
        <v>6457</v>
      </c>
      <c r="AB607" s="4" t="s">
        <v>4223</v>
      </c>
      <c r="AC607" s="9">
        <v>1</v>
      </c>
      <c r="AD607" t="str">
        <f>VLOOKUP($T607,[1]NhanSu!$C$5:$M$229,11,0)</f>
        <v>SM0000145</v>
      </c>
    </row>
    <row r="608" spans="1:30" x14ac:dyDescent="0.45">
      <c r="A608" s="6" t="s">
        <v>6444</v>
      </c>
      <c r="B608" s="5">
        <v>114</v>
      </c>
      <c r="C608" s="5" t="s">
        <v>6792</v>
      </c>
      <c r="D608" s="5" t="s">
        <v>6793</v>
      </c>
      <c r="E608" s="5" t="s">
        <v>2119</v>
      </c>
      <c r="F608" s="5" t="s">
        <v>53</v>
      </c>
      <c r="G608" s="5" t="s">
        <v>34</v>
      </c>
      <c r="H608" s="5" t="s">
        <v>1746</v>
      </c>
      <c r="I608" s="5" t="s">
        <v>6794</v>
      </c>
      <c r="J608" s="5" t="s">
        <v>38</v>
      </c>
      <c r="K608" s="5" t="s">
        <v>38</v>
      </c>
      <c r="L608" s="5" t="s">
        <v>40</v>
      </c>
      <c r="M608" s="5" t="s">
        <v>38</v>
      </c>
      <c r="N608" s="5" t="s">
        <v>38</v>
      </c>
      <c r="O608" s="5" t="s">
        <v>40</v>
      </c>
      <c r="P608" s="5" t="s">
        <v>38</v>
      </c>
      <c r="Q608" s="5" t="s">
        <v>38</v>
      </c>
      <c r="R608" s="5" t="s">
        <v>40</v>
      </c>
      <c r="S608" s="5" t="s">
        <v>41</v>
      </c>
      <c r="T608" s="5" t="s">
        <v>6704</v>
      </c>
      <c r="U608" s="5" t="s">
        <v>6705</v>
      </c>
      <c r="V608" s="5" t="s">
        <v>6450</v>
      </c>
      <c r="W608" s="5" t="s">
        <v>6687</v>
      </c>
      <c r="X608" s="5"/>
      <c r="Y608" s="5"/>
      <c r="Z608" s="5" t="s">
        <v>46</v>
      </c>
      <c r="AA608" s="5" t="s">
        <v>6457</v>
      </c>
      <c r="AB608" s="5" t="s">
        <v>3109</v>
      </c>
      <c r="AC608" s="7">
        <v>1</v>
      </c>
      <c r="AD608" t="str">
        <f>VLOOKUP($T608,[1]NhanSu!$C$5:$M$229,11,0)</f>
        <v>SM0000099</v>
      </c>
    </row>
    <row r="609" spans="1:30" x14ac:dyDescent="0.45">
      <c r="A609" s="8" t="s">
        <v>6444</v>
      </c>
      <c r="B609" s="4">
        <v>115</v>
      </c>
      <c r="C609" s="4" t="s">
        <v>6795</v>
      </c>
      <c r="D609" s="4" t="s">
        <v>6796</v>
      </c>
      <c r="E609" s="4" t="s">
        <v>2020</v>
      </c>
      <c r="F609" s="4" t="s">
        <v>53</v>
      </c>
      <c r="G609" s="4" t="s">
        <v>34</v>
      </c>
      <c r="H609" s="4" t="s">
        <v>171</v>
      </c>
      <c r="I609" s="4" t="s">
        <v>6738</v>
      </c>
      <c r="J609" s="4" t="s">
        <v>38</v>
      </c>
      <c r="K609" s="4" t="s">
        <v>38</v>
      </c>
      <c r="L609" s="4" t="s">
        <v>40</v>
      </c>
      <c r="M609" s="4" t="s">
        <v>38</v>
      </c>
      <c r="N609" s="4" t="s">
        <v>38</v>
      </c>
      <c r="O609" s="4" t="s">
        <v>40</v>
      </c>
      <c r="P609" s="4" t="s">
        <v>38</v>
      </c>
      <c r="Q609" s="4" t="s">
        <v>38</v>
      </c>
      <c r="R609" s="4" t="s">
        <v>40</v>
      </c>
      <c r="S609" s="4" t="s">
        <v>41</v>
      </c>
      <c r="T609" s="4" t="s">
        <v>6704</v>
      </c>
      <c r="U609" s="4" t="s">
        <v>6705</v>
      </c>
      <c r="V609" s="4" t="s">
        <v>6450</v>
      </c>
      <c r="W609" s="4" t="s">
        <v>6687</v>
      </c>
      <c r="X609" s="4"/>
      <c r="Y609" s="4"/>
      <c r="Z609" s="4" t="s">
        <v>46</v>
      </c>
      <c r="AA609" s="4" t="s">
        <v>6457</v>
      </c>
      <c r="AB609" s="4" t="s">
        <v>3109</v>
      </c>
      <c r="AC609" s="9">
        <v>1</v>
      </c>
      <c r="AD609" t="str">
        <f>VLOOKUP($T609,[1]NhanSu!$C$5:$M$229,11,0)</f>
        <v>SM0000099</v>
      </c>
    </row>
    <row r="610" spans="1:30" x14ac:dyDescent="0.45">
      <c r="A610" s="6" t="s">
        <v>6444</v>
      </c>
      <c r="B610" s="5">
        <v>118</v>
      </c>
      <c r="C610" s="5" t="s">
        <v>6803</v>
      </c>
      <c r="D610" s="5" t="s">
        <v>6758</v>
      </c>
      <c r="E610" s="5" t="s">
        <v>285</v>
      </c>
      <c r="F610" s="5" t="s">
        <v>53</v>
      </c>
      <c r="G610" s="5" t="s">
        <v>34</v>
      </c>
      <c r="H610" s="5" t="s">
        <v>842</v>
      </c>
      <c r="I610" s="5" t="s">
        <v>2809</v>
      </c>
      <c r="J610" s="5" t="s">
        <v>38</v>
      </c>
      <c r="K610" s="5" t="s">
        <v>38</v>
      </c>
      <c r="L610" s="5" t="s">
        <v>40</v>
      </c>
      <c r="M610" s="5" t="s">
        <v>38</v>
      </c>
      <c r="N610" s="5" t="s">
        <v>38</v>
      </c>
      <c r="O610" s="5" t="s">
        <v>40</v>
      </c>
      <c r="P610" s="5" t="s">
        <v>38</v>
      </c>
      <c r="Q610" s="5" t="s">
        <v>38</v>
      </c>
      <c r="R610" s="5" t="s">
        <v>40</v>
      </c>
      <c r="S610" s="5" t="s">
        <v>41</v>
      </c>
      <c r="T610" s="5" t="s">
        <v>6704</v>
      </c>
      <c r="U610" s="5" t="s">
        <v>6705</v>
      </c>
      <c r="V610" s="5" t="s">
        <v>6450</v>
      </c>
      <c r="W610" s="5" t="s">
        <v>6687</v>
      </c>
      <c r="X610" s="5"/>
      <c r="Y610" s="5"/>
      <c r="Z610" s="5" t="s">
        <v>46</v>
      </c>
      <c r="AA610" s="5" t="s">
        <v>6688</v>
      </c>
      <c r="AB610" s="5" t="s">
        <v>5658</v>
      </c>
      <c r="AC610" s="7">
        <v>1</v>
      </c>
      <c r="AD610" t="str">
        <f>VLOOKUP($T610,[1]NhanSu!$C$5:$M$229,11,0)</f>
        <v>SM0000099</v>
      </c>
    </row>
    <row r="611" spans="1:30" x14ac:dyDescent="0.45">
      <c r="A611" s="8" t="s">
        <v>6444</v>
      </c>
      <c r="B611" s="4">
        <v>119</v>
      </c>
      <c r="C611" s="4" t="s">
        <v>6804</v>
      </c>
      <c r="D611" s="4" t="s">
        <v>6805</v>
      </c>
      <c r="E611" s="4" t="s">
        <v>455</v>
      </c>
      <c r="F611" s="4" t="s">
        <v>1385</v>
      </c>
      <c r="G611" s="4" t="s">
        <v>34</v>
      </c>
      <c r="H611" s="4" t="s">
        <v>54</v>
      </c>
      <c r="I611" s="4" t="s">
        <v>6806</v>
      </c>
      <c r="J611" s="4" t="s">
        <v>38</v>
      </c>
      <c r="K611" s="4" t="s">
        <v>38</v>
      </c>
      <c r="L611" s="4" t="s">
        <v>39</v>
      </c>
      <c r="M611" s="4" t="s">
        <v>38</v>
      </c>
      <c r="N611" s="4" t="s">
        <v>38</v>
      </c>
      <c r="O611" s="4" t="s">
        <v>39</v>
      </c>
      <c r="P611" s="4" t="s">
        <v>38</v>
      </c>
      <c r="Q611" s="4" t="s">
        <v>38</v>
      </c>
      <c r="R611" s="4" t="s">
        <v>40</v>
      </c>
      <c r="S611" s="4" t="s">
        <v>41</v>
      </c>
      <c r="T611" s="4" t="s">
        <v>6694</v>
      </c>
      <c r="U611" s="4" t="s">
        <v>6686</v>
      </c>
      <c r="V611" s="4" t="s">
        <v>6450</v>
      </c>
      <c r="W611" s="4" t="s">
        <v>6687</v>
      </c>
      <c r="X611" s="4"/>
      <c r="Y611" s="4"/>
      <c r="Z611" s="4" t="s">
        <v>46</v>
      </c>
      <c r="AA611" s="4" t="s">
        <v>6688</v>
      </c>
      <c r="AB611" s="4" t="s">
        <v>3109</v>
      </c>
      <c r="AC611" s="9">
        <v>1</v>
      </c>
      <c r="AD611" t="str">
        <f>VLOOKUP($T611,[1]NhanSu!$C$5:$M$229,11,0)</f>
        <v>SM0000145</v>
      </c>
    </row>
    <row r="612" spans="1:30" x14ac:dyDescent="0.45">
      <c r="A612" s="6" t="s">
        <v>6444</v>
      </c>
      <c r="B612" s="5">
        <v>121</v>
      </c>
      <c r="C612" s="5" t="s">
        <v>6809</v>
      </c>
      <c r="D612" s="5" t="s">
        <v>6810</v>
      </c>
      <c r="E612" s="5" t="s">
        <v>2495</v>
      </c>
      <c r="F612" s="5" t="s">
        <v>325</v>
      </c>
      <c r="G612" s="5" t="s">
        <v>34</v>
      </c>
      <c r="H612" s="5" t="s">
        <v>350</v>
      </c>
      <c r="I612" s="5" t="s">
        <v>2516</v>
      </c>
      <c r="J612" s="5" t="s">
        <v>38</v>
      </c>
      <c r="K612" s="5" t="s">
        <v>38</v>
      </c>
      <c r="L612" s="5" t="s">
        <v>40</v>
      </c>
      <c r="M612" s="5" t="s">
        <v>38</v>
      </c>
      <c r="N612" s="5" t="s">
        <v>38</v>
      </c>
      <c r="O612" s="5" t="s">
        <v>40</v>
      </c>
      <c r="P612" s="5" t="s">
        <v>38</v>
      </c>
      <c r="Q612" s="5" t="s">
        <v>38</v>
      </c>
      <c r="R612" s="5" t="s">
        <v>40</v>
      </c>
      <c r="S612" s="5" t="s">
        <v>41</v>
      </c>
      <c r="T612" s="5" t="s">
        <v>6704</v>
      </c>
      <c r="U612" s="5" t="s">
        <v>6705</v>
      </c>
      <c r="V612" s="5" t="s">
        <v>6450</v>
      </c>
      <c r="W612" s="5" t="s">
        <v>6687</v>
      </c>
      <c r="X612" s="5"/>
      <c r="Y612" s="5"/>
      <c r="Z612" s="5" t="s">
        <v>46</v>
      </c>
      <c r="AA612" s="5" t="s">
        <v>6457</v>
      </c>
      <c r="AB612" s="5" t="s">
        <v>4223</v>
      </c>
      <c r="AC612" s="7">
        <v>1</v>
      </c>
      <c r="AD612" t="str">
        <f>VLOOKUP($T612,[1]NhanSu!$C$5:$M$229,11,0)</f>
        <v>SM0000099</v>
      </c>
    </row>
    <row r="613" spans="1:30" x14ac:dyDescent="0.45">
      <c r="A613" s="8" t="s">
        <v>6444</v>
      </c>
      <c r="B613" s="4">
        <v>122</v>
      </c>
      <c r="C613" s="4" t="s">
        <v>6811</v>
      </c>
      <c r="D613" s="4" t="s">
        <v>6812</v>
      </c>
      <c r="E613" s="4" t="s">
        <v>223</v>
      </c>
      <c r="F613" s="4" t="s">
        <v>3527</v>
      </c>
      <c r="G613" s="4" t="s">
        <v>34</v>
      </c>
      <c r="H613" s="4" t="s">
        <v>546</v>
      </c>
      <c r="I613" s="4" t="s">
        <v>6813</v>
      </c>
      <c r="J613" s="4" t="s">
        <v>38</v>
      </c>
      <c r="K613" s="4" t="s">
        <v>38</v>
      </c>
      <c r="L613" s="4" t="s">
        <v>40</v>
      </c>
      <c r="M613" s="4" t="s">
        <v>38</v>
      </c>
      <c r="N613" s="4" t="s">
        <v>38</v>
      </c>
      <c r="O613" s="4" t="s">
        <v>39</v>
      </c>
      <c r="P613" s="4" t="s">
        <v>38</v>
      </c>
      <c r="Q613" s="4" t="s">
        <v>38</v>
      </c>
      <c r="R613" s="4" t="s">
        <v>40</v>
      </c>
      <c r="S613" s="4" t="s">
        <v>41</v>
      </c>
      <c r="T613" s="4" t="s">
        <v>6694</v>
      </c>
      <c r="U613" s="4" t="s">
        <v>6686</v>
      </c>
      <c r="V613" s="4" t="s">
        <v>6450</v>
      </c>
      <c r="W613" s="4" t="s">
        <v>6687</v>
      </c>
      <c r="X613" s="4"/>
      <c r="Y613" s="4"/>
      <c r="Z613" s="4" t="s">
        <v>46</v>
      </c>
      <c r="AA613" s="4" t="s">
        <v>6688</v>
      </c>
      <c r="AB613" s="4" t="s">
        <v>4223</v>
      </c>
      <c r="AC613" s="9">
        <v>1</v>
      </c>
      <c r="AD613" t="str">
        <f>VLOOKUP($T613,[1]NhanSu!$C$5:$M$229,11,0)</f>
        <v>SM0000145</v>
      </c>
    </row>
    <row r="614" spans="1:30" x14ac:dyDescent="0.45">
      <c r="A614" s="6" t="s">
        <v>6444</v>
      </c>
      <c r="B614" s="5">
        <v>128</v>
      </c>
      <c r="C614" s="5" t="s">
        <v>6831</v>
      </c>
      <c r="D614" s="5" t="s">
        <v>6832</v>
      </c>
      <c r="E614" s="5" t="s">
        <v>206</v>
      </c>
      <c r="F614" s="5" t="s">
        <v>53</v>
      </c>
      <c r="G614" s="5" t="s">
        <v>177</v>
      </c>
      <c r="H614" s="5" t="s">
        <v>54</v>
      </c>
      <c r="I614" s="5" t="s">
        <v>5854</v>
      </c>
      <c r="J614" s="5" t="s">
        <v>37</v>
      </c>
      <c r="K614" s="5" t="s">
        <v>37</v>
      </c>
      <c r="L614" s="5" t="s">
        <v>39</v>
      </c>
      <c r="M614" s="5" t="s">
        <v>37</v>
      </c>
      <c r="N614" s="5" t="s">
        <v>37</v>
      </c>
      <c r="O614" s="5" t="s">
        <v>39</v>
      </c>
      <c r="P614" s="5" t="s">
        <v>37</v>
      </c>
      <c r="Q614" s="5" t="s">
        <v>37</v>
      </c>
      <c r="R614" s="5" t="s">
        <v>39</v>
      </c>
      <c r="S614" s="5" t="s">
        <v>41</v>
      </c>
      <c r="T614" s="5" t="s">
        <v>6833</v>
      </c>
      <c r="U614" s="5" t="s">
        <v>6834</v>
      </c>
      <c r="V614" s="5" t="s">
        <v>6450</v>
      </c>
      <c r="W614" s="5" t="s">
        <v>6835</v>
      </c>
      <c r="X614" s="5"/>
      <c r="Y614" s="5"/>
      <c r="Z614" s="5" t="s">
        <v>46</v>
      </c>
      <c r="AA614" s="5" t="s">
        <v>6836</v>
      </c>
      <c r="AB614" s="5" t="s">
        <v>3109</v>
      </c>
      <c r="AC614" s="7">
        <v>1</v>
      </c>
      <c r="AD614" t="str">
        <f>VLOOKUP($T614,[1]NhanSu!$C$5:$M$229,11,0)</f>
        <v>SM0000107</v>
      </c>
    </row>
    <row r="615" spans="1:30" x14ac:dyDescent="0.45">
      <c r="A615" s="8" t="s">
        <v>6444</v>
      </c>
      <c r="B615" s="4">
        <v>129</v>
      </c>
      <c r="C615" s="4" t="s">
        <v>6837</v>
      </c>
      <c r="D615" s="4" t="s">
        <v>6838</v>
      </c>
      <c r="E615" s="4" t="s">
        <v>455</v>
      </c>
      <c r="F615" s="4" t="s">
        <v>417</v>
      </c>
      <c r="G615" s="4" t="s">
        <v>177</v>
      </c>
      <c r="H615" s="4" t="s">
        <v>54</v>
      </c>
      <c r="I615" s="4" t="s">
        <v>6839</v>
      </c>
      <c r="J615" s="4" t="s">
        <v>37</v>
      </c>
      <c r="K615" s="4" t="s">
        <v>37</v>
      </c>
      <c r="L615" s="4" t="s">
        <v>39</v>
      </c>
      <c r="M615" s="4" t="s">
        <v>37</v>
      </c>
      <c r="N615" s="4" t="s">
        <v>37</v>
      </c>
      <c r="O615" s="4" t="s">
        <v>39</v>
      </c>
      <c r="P615" s="4" t="s">
        <v>37</v>
      </c>
      <c r="Q615" s="4" t="s">
        <v>37</v>
      </c>
      <c r="R615" s="4" t="s">
        <v>39</v>
      </c>
      <c r="S615" s="4" t="s">
        <v>41</v>
      </c>
      <c r="T615" s="4" t="s">
        <v>6833</v>
      </c>
      <c r="U615" s="4" t="s">
        <v>6834</v>
      </c>
      <c r="V615" s="4" t="s">
        <v>6450</v>
      </c>
      <c r="W615" s="4" t="s">
        <v>6835</v>
      </c>
      <c r="X615" s="4"/>
      <c r="Y615" s="4"/>
      <c r="Z615" s="4" t="s">
        <v>46</v>
      </c>
      <c r="AA615" s="4" t="s">
        <v>6836</v>
      </c>
      <c r="AB615" s="4" t="s">
        <v>3109</v>
      </c>
      <c r="AC615" s="9">
        <v>1</v>
      </c>
      <c r="AD615" t="str">
        <f>VLOOKUP($T615,[1]NhanSu!$C$5:$M$229,11,0)</f>
        <v>SM0000107</v>
      </c>
    </row>
    <row r="616" spans="1:30" x14ac:dyDescent="0.45">
      <c r="A616" s="6" t="s">
        <v>6444</v>
      </c>
      <c r="B616" s="5">
        <v>130</v>
      </c>
      <c r="C616" s="5" t="s">
        <v>6840</v>
      </c>
      <c r="D616" s="5" t="s">
        <v>6841</v>
      </c>
      <c r="E616" s="5" t="s">
        <v>176</v>
      </c>
      <c r="F616" s="5" t="s">
        <v>53</v>
      </c>
      <c r="G616" s="5" t="s">
        <v>177</v>
      </c>
      <c r="H616" s="5" t="s">
        <v>54</v>
      </c>
      <c r="I616" s="5" t="s">
        <v>6842</v>
      </c>
      <c r="J616" s="5" t="s">
        <v>37</v>
      </c>
      <c r="K616" s="5" t="s">
        <v>37</v>
      </c>
      <c r="L616" s="5" t="s">
        <v>39</v>
      </c>
      <c r="M616" s="5" t="s">
        <v>37</v>
      </c>
      <c r="N616" s="5" t="s">
        <v>37</v>
      </c>
      <c r="O616" s="5" t="s">
        <v>39</v>
      </c>
      <c r="P616" s="5" t="s">
        <v>37</v>
      </c>
      <c r="Q616" s="5" t="s">
        <v>37</v>
      </c>
      <c r="R616" s="5" t="s">
        <v>39</v>
      </c>
      <c r="S616" s="5" t="s">
        <v>41</v>
      </c>
      <c r="T616" s="5" t="s">
        <v>6833</v>
      </c>
      <c r="U616" s="5" t="s">
        <v>6834</v>
      </c>
      <c r="V616" s="5" t="s">
        <v>6450</v>
      </c>
      <c r="W616" s="5" t="s">
        <v>6835</v>
      </c>
      <c r="X616" s="5"/>
      <c r="Y616" s="5"/>
      <c r="Z616" s="5" t="s">
        <v>46</v>
      </c>
      <c r="AA616" s="5" t="s">
        <v>6457</v>
      </c>
      <c r="AB616" s="5"/>
      <c r="AC616" s="7">
        <v>1</v>
      </c>
      <c r="AD616" t="str">
        <f>VLOOKUP($T616,[1]NhanSu!$C$5:$M$229,11,0)</f>
        <v>SM0000107</v>
      </c>
    </row>
    <row r="617" spans="1:30" x14ac:dyDescent="0.45">
      <c r="A617" s="8" t="s">
        <v>6444</v>
      </c>
      <c r="B617" s="4">
        <v>132</v>
      </c>
      <c r="C617" s="4" t="s">
        <v>6847</v>
      </c>
      <c r="D617" s="4" t="s">
        <v>6848</v>
      </c>
      <c r="E617" s="4" t="s">
        <v>6849</v>
      </c>
      <c r="F617" s="4" t="s">
        <v>6850</v>
      </c>
      <c r="G617" s="4" t="s">
        <v>34</v>
      </c>
      <c r="H617" s="4" t="s">
        <v>356</v>
      </c>
      <c r="I617" s="4" t="s">
        <v>6851</v>
      </c>
      <c r="J617" s="4" t="s">
        <v>37</v>
      </c>
      <c r="K617" s="4" t="s">
        <v>37</v>
      </c>
      <c r="L617" s="4" t="s">
        <v>40</v>
      </c>
      <c r="M617" s="4" t="s">
        <v>37</v>
      </c>
      <c r="N617" s="4" t="s">
        <v>37</v>
      </c>
      <c r="O617" s="4" t="s">
        <v>40</v>
      </c>
      <c r="P617" s="4" t="s">
        <v>38</v>
      </c>
      <c r="Q617" s="4" t="s">
        <v>38</v>
      </c>
      <c r="R617" s="4" t="s">
        <v>40</v>
      </c>
      <c r="S617" s="4" t="s">
        <v>41</v>
      </c>
      <c r="T617" s="4" t="s">
        <v>6852</v>
      </c>
      <c r="U617" s="4" t="s">
        <v>6853</v>
      </c>
      <c r="V617" s="4" t="s">
        <v>6450</v>
      </c>
      <c r="W617" s="4" t="s">
        <v>6835</v>
      </c>
      <c r="X617" s="4"/>
      <c r="Y617" s="4"/>
      <c r="Z617" s="4" t="s">
        <v>46</v>
      </c>
      <c r="AA617" s="4" t="s">
        <v>6836</v>
      </c>
      <c r="AB617" s="4" t="s">
        <v>3109</v>
      </c>
      <c r="AC617" s="9">
        <v>1</v>
      </c>
      <c r="AD617" t="str">
        <f>VLOOKUP($T617,[1]NhanSu!$C$5:$M$229,11,0)</f>
        <v>SM0000109</v>
      </c>
    </row>
    <row r="618" spans="1:30" x14ac:dyDescent="0.45">
      <c r="A618" s="6" t="s">
        <v>6444</v>
      </c>
      <c r="B618" s="5">
        <v>138</v>
      </c>
      <c r="C618" s="5" t="s">
        <v>6871</v>
      </c>
      <c r="D618" s="5" t="s">
        <v>6872</v>
      </c>
      <c r="E618" s="5" t="s">
        <v>297</v>
      </c>
      <c r="F618" s="5" t="s">
        <v>417</v>
      </c>
      <c r="G618" s="5" t="s">
        <v>177</v>
      </c>
      <c r="H618" s="5" t="s">
        <v>1542</v>
      </c>
      <c r="I618" s="5" t="s">
        <v>6845</v>
      </c>
      <c r="J618" s="5" t="s">
        <v>37</v>
      </c>
      <c r="K618" s="5" t="s">
        <v>37</v>
      </c>
      <c r="L618" s="5" t="s">
        <v>39</v>
      </c>
      <c r="M618" s="5" t="s">
        <v>37</v>
      </c>
      <c r="N618" s="5" t="s">
        <v>37</v>
      </c>
      <c r="O618" s="5" t="s">
        <v>39</v>
      </c>
      <c r="P618" s="5" t="s">
        <v>37</v>
      </c>
      <c r="Q618" s="5" t="s">
        <v>37</v>
      </c>
      <c r="R618" s="5" t="s">
        <v>39</v>
      </c>
      <c r="S618" s="5" t="s">
        <v>41</v>
      </c>
      <c r="T618" s="5" t="s">
        <v>6833</v>
      </c>
      <c r="U618" s="5" t="s">
        <v>6834</v>
      </c>
      <c r="V618" s="5" t="s">
        <v>6450</v>
      </c>
      <c r="W618" s="5" t="s">
        <v>6835</v>
      </c>
      <c r="X618" s="5"/>
      <c r="Y618" s="5"/>
      <c r="Z618" s="5" t="s">
        <v>46</v>
      </c>
      <c r="AA618" s="5" t="s">
        <v>6457</v>
      </c>
      <c r="AB618" s="5"/>
      <c r="AC618" s="7">
        <v>1</v>
      </c>
      <c r="AD618" t="str">
        <f>VLOOKUP($T618,[1]NhanSu!$C$5:$M$229,11,0)</f>
        <v>SM0000107</v>
      </c>
    </row>
    <row r="619" spans="1:30" x14ac:dyDescent="0.45">
      <c r="A619" s="8" t="s">
        <v>6444</v>
      </c>
      <c r="B619" s="4">
        <v>139</v>
      </c>
      <c r="C619" s="4" t="s">
        <v>6873</v>
      </c>
      <c r="D619" s="4" t="s">
        <v>6874</v>
      </c>
      <c r="E619" s="4" t="s">
        <v>529</v>
      </c>
      <c r="F619" s="4" t="s">
        <v>417</v>
      </c>
      <c r="G619" s="4" t="s">
        <v>177</v>
      </c>
      <c r="H619" s="4" t="s">
        <v>4115</v>
      </c>
      <c r="I619" s="4" t="s">
        <v>6845</v>
      </c>
      <c r="J619" s="4" t="s">
        <v>37</v>
      </c>
      <c r="K619" s="4" t="s">
        <v>37</v>
      </c>
      <c r="L619" s="4" t="s">
        <v>39</v>
      </c>
      <c r="M619" s="4" t="s">
        <v>37</v>
      </c>
      <c r="N619" s="4" t="s">
        <v>37</v>
      </c>
      <c r="O619" s="4" t="s">
        <v>39</v>
      </c>
      <c r="P619" s="4" t="s">
        <v>37</v>
      </c>
      <c r="Q619" s="4" t="s">
        <v>37</v>
      </c>
      <c r="R619" s="4" t="s">
        <v>39</v>
      </c>
      <c r="S619" s="4" t="s">
        <v>41</v>
      </c>
      <c r="T619" s="4" t="s">
        <v>6833</v>
      </c>
      <c r="U619" s="4" t="s">
        <v>6834</v>
      </c>
      <c r="V619" s="4" t="s">
        <v>6450</v>
      </c>
      <c r="W619" s="4" t="s">
        <v>6835</v>
      </c>
      <c r="X619" s="4"/>
      <c r="Y619" s="4"/>
      <c r="Z619" s="4" t="s">
        <v>46</v>
      </c>
      <c r="AA619" s="4" t="s">
        <v>6836</v>
      </c>
      <c r="AB619" s="4"/>
      <c r="AC619" s="9">
        <v>1</v>
      </c>
      <c r="AD619" t="str">
        <f>VLOOKUP($T619,[1]NhanSu!$C$5:$M$229,11,0)</f>
        <v>SM0000107</v>
      </c>
    </row>
    <row r="620" spans="1:30" x14ac:dyDescent="0.45">
      <c r="A620" s="6" t="s">
        <v>6444</v>
      </c>
      <c r="B620" s="5">
        <v>143</v>
      </c>
      <c r="C620" s="5" t="s">
        <v>6885</v>
      </c>
      <c r="D620" s="5" t="s">
        <v>6886</v>
      </c>
      <c r="E620" s="5" t="s">
        <v>1870</v>
      </c>
      <c r="F620" s="5" t="s">
        <v>417</v>
      </c>
      <c r="G620" s="5" t="s">
        <v>177</v>
      </c>
      <c r="H620" s="5" t="s">
        <v>214</v>
      </c>
      <c r="I620" s="5" t="s">
        <v>6845</v>
      </c>
      <c r="J620" s="5" t="s">
        <v>37</v>
      </c>
      <c r="K620" s="5" t="s">
        <v>37</v>
      </c>
      <c r="L620" s="5" t="s">
        <v>39</v>
      </c>
      <c r="M620" s="5" t="s">
        <v>37</v>
      </c>
      <c r="N620" s="5" t="s">
        <v>37</v>
      </c>
      <c r="O620" s="5" t="s">
        <v>39</v>
      </c>
      <c r="P620" s="5" t="s">
        <v>37</v>
      </c>
      <c r="Q620" s="5" t="s">
        <v>37</v>
      </c>
      <c r="R620" s="5" t="s">
        <v>39</v>
      </c>
      <c r="S620" s="5" t="s">
        <v>41</v>
      </c>
      <c r="T620" s="5" t="s">
        <v>6833</v>
      </c>
      <c r="U620" s="5" t="s">
        <v>6834</v>
      </c>
      <c r="V620" s="5" t="s">
        <v>6450</v>
      </c>
      <c r="W620" s="5" t="s">
        <v>6835</v>
      </c>
      <c r="X620" s="5"/>
      <c r="Y620" s="5"/>
      <c r="Z620" s="5" t="s">
        <v>46</v>
      </c>
      <c r="AA620" s="5" t="s">
        <v>6457</v>
      </c>
      <c r="AB620" s="5" t="s">
        <v>4223</v>
      </c>
      <c r="AC620" s="7">
        <v>1</v>
      </c>
      <c r="AD620" t="str">
        <f>VLOOKUP($T620,[1]NhanSu!$C$5:$M$229,11,0)</f>
        <v>SM0000107</v>
      </c>
    </row>
    <row r="621" spans="1:30" x14ac:dyDescent="0.45">
      <c r="A621" s="8" t="s">
        <v>6444</v>
      </c>
      <c r="B621" s="4">
        <v>144</v>
      </c>
      <c r="C621" s="4" t="s">
        <v>6887</v>
      </c>
      <c r="D621" s="4" t="s">
        <v>6888</v>
      </c>
      <c r="E621" s="4" t="s">
        <v>297</v>
      </c>
      <c r="F621" s="4" t="s">
        <v>401</v>
      </c>
      <c r="G621" s="4" t="s">
        <v>34</v>
      </c>
      <c r="H621" s="4" t="s">
        <v>565</v>
      </c>
      <c r="I621" s="4" t="s">
        <v>6845</v>
      </c>
      <c r="J621" s="4" t="s">
        <v>37</v>
      </c>
      <c r="K621" s="4" t="s">
        <v>37</v>
      </c>
      <c r="L621" s="4" t="s">
        <v>39</v>
      </c>
      <c r="M621" s="4" t="s">
        <v>37</v>
      </c>
      <c r="N621" s="4" t="s">
        <v>37</v>
      </c>
      <c r="O621" s="4" t="s">
        <v>39</v>
      </c>
      <c r="P621" s="4" t="s">
        <v>37</v>
      </c>
      <c r="Q621" s="4" t="s">
        <v>37</v>
      </c>
      <c r="R621" s="4" t="s">
        <v>39</v>
      </c>
      <c r="S621" s="4" t="s">
        <v>41</v>
      </c>
      <c r="T621" s="4" t="s">
        <v>6833</v>
      </c>
      <c r="U621" s="4" t="s">
        <v>6834</v>
      </c>
      <c r="V621" s="4" t="s">
        <v>6450</v>
      </c>
      <c r="W621" s="4" t="s">
        <v>6835</v>
      </c>
      <c r="X621" s="4"/>
      <c r="Y621" s="4"/>
      <c r="Z621" s="4" t="s">
        <v>46</v>
      </c>
      <c r="AA621" s="4" t="s">
        <v>6457</v>
      </c>
      <c r="AB621" s="4"/>
      <c r="AC621" s="9">
        <v>1</v>
      </c>
      <c r="AD621" t="str">
        <f>VLOOKUP($T621,[1]NhanSu!$C$5:$M$229,11,0)</f>
        <v>SM0000107</v>
      </c>
    </row>
    <row r="622" spans="1:30" x14ac:dyDescent="0.45">
      <c r="A622" s="6" t="s">
        <v>6444</v>
      </c>
      <c r="B622" s="5">
        <v>145</v>
      </c>
      <c r="C622" s="5" t="s">
        <v>6889</v>
      </c>
      <c r="D622" s="5" t="s">
        <v>6890</v>
      </c>
      <c r="E622" s="5" t="s">
        <v>2827</v>
      </c>
      <c r="F622" s="5" t="s">
        <v>331</v>
      </c>
      <c r="G622" s="5" t="s">
        <v>34</v>
      </c>
      <c r="H622" s="5" t="s">
        <v>1982</v>
      </c>
      <c r="I622" s="5" t="s">
        <v>6891</v>
      </c>
      <c r="J622" s="5" t="s">
        <v>37</v>
      </c>
      <c r="K622" s="5" t="s">
        <v>37</v>
      </c>
      <c r="L622" s="5" t="s">
        <v>40</v>
      </c>
      <c r="M622" s="5" t="s">
        <v>37</v>
      </c>
      <c r="N622" s="5" t="s">
        <v>37</v>
      </c>
      <c r="O622" s="5" t="s">
        <v>40</v>
      </c>
      <c r="P622" s="5" t="s">
        <v>38</v>
      </c>
      <c r="Q622" s="5" t="s">
        <v>38</v>
      </c>
      <c r="R622" s="5" t="s">
        <v>40</v>
      </c>
      <c r="S622" s="5" t="s">
        <v>6892</v>
      </c>
      <c r="T622" s="5" t="s">
        <v>6852</v>
      </c>
      <c r="U622" s="5" t="s">
        <v>6853</v>
      </c>
      <c r="V622" s="5" t="s">
        <v>6450</v>
      </c>
      <c r="W622" s="5" t="s">
        <v>6835</v>
      </c>
      <c r="X622" s="5"/>
      <c r="Y622" s="5"/>
      <c r="Z622" s="5" t="s">
        <v>46</v>
      </c>
      <c r="AA622" s="5" t="s">
        <v>6836</v>
      </c>
      <c r="AB622" s="5" t="s">
        <v>3109</v>
      </c>
      <c r="AC622" s="7">
        <v>1</v>
      </c>
      <c r="AD622" t="str">
        <f>VLOOKUP($T622,[1]NhanSu!$C$5:$M$229,11,0)</f>
        <v>SM0000109</v>
      </c>
    </row>
    <row r="623" spans="1:30" x14ac:dyDescent="0.45">
      <c r="A623" s="8" t="s">
        <v>6444</v>
      </c>
      <c r="B623" s="4">
        <v>147</v>
      </c>
      <c r="C623" s="4" t="s">
        <v>6895</v>
      </c>
      <c r="D623" s="4" t="s">
        <v>6896</v>
      </c>
      <c r="E623" s="4" t="s">
        <v>109</v>
      </c>
      <c r="F623" s="4" t="s">
        <v>53</v>
      </c>
      <c r="G623" s="4" t="s">
        <v>34</v>
      </c>
      <c r="H623" s="4" t="s">
        <v>54</v>
      </c>
      <c r="I623" s="4" t="s">
        <v>6897</v>
      </c>
      <c r="J623" s="4" t="s">
        <v>37</v>
      </c>
      <c r="K623" s="4" t="s">
        <v>37</v>
      </c>
      <c r="L623" s="4" t="s">
        <v>39</v>
      </c>
      <c r="M623" s="4" t="s">
        <v>37</v>
      </c>
      <c r="N623" s="4" t="s">
        <v>37</v>
      </c>
      <c r="O623" s="4" t="s">
        <v>39</v>
      </c>
      <c r="P623" s="4" t="s">
        <v>37</v>
      </c>
      <c r="Q623" s="4" t="s">
        <v>37</v>
      </c>
      <c r="R623" s="4" t="s">
        <v>39</v>
      </c>
      <c r="S623" s="4" t="s">
        <v>41</v>
      </c>
      <c r="T623" s="4" t="s">
        <v>6833</v>
      </c>
      <c r="U623" s="4" t="s">
        <v>6834</v>
      </c>
      <c r="V623" s="4" t="s">
        <v>6450</v>
      </c>
      <c r="W623" s="4" t="s">
        <v>6835</v>
      </c>
      <c r="X623" s="4"/>
      <c r="Y623" s="4"/>
      <c r="Z623" s="4" t="s">
        <v>46</v>
      </c>
      <c r="AA623" s="4" t="s">
        <v>6836</v>
      </c>
      <c r="AB623" s="4"/>
      <c r="AC623" s="9">
        <v>1</v>
      </c>
      <c r="AD623" t="str">
        <f>VLOOKUP($T623,[1]NhanSu!$C$5:$M$229,11,0)</f>
        <v>SM0000107</v>
      </c>
    </row>
    <row r="624" spans="1:30" x14ac:dyDescent="0.45">
      <c r="A624" s="6" t="s">
        <v>6444</v>
      </c>
      <c r="B624" s="5">
        <v>150</v>
      </c>
      <c r="C624" s="5" t="s">
        <v>6905</v>
      </c>
      <c r="D624" s="5" t="s">
        <v>6906</v>
      </c>
      <c r="E624" s="5" t="s">
        <v>6907</v>
      </c>
      <c r="F624" s="5" t="s">
        <v>115</v>
      </c>
      <c r="G624" s="5" t="s">
        <v>34</v>
      </c>
      <c r="H624" s="5" t="s">
        <v>863</v>
      </c>
      <c r="I624" s="5" t="s">
        <v>6860</v>
      </c>
      <c r="J624" s="5" t="s">
        <v>37</v>
      </c>
      <c r="K624" s="5" t="s">
        <v>37</v>
      </c>
      <c r="L624" s="5" t="s">
        <v>40</v>
      </c>
      <c r="M624" s="5" t="s">
        <v>37</v>
      </c>
      <c r="N624" s="5" t="s">
        <v>37</v>
      </c>
      <c r="O624" s="5" t="s">
        <v>40</v>
      </c>
      <c r="P624" s="5" t="s">
        <v>38</v>
      </c>
      <c r="Q624" s="5" t="s">
        <v>38</v>
      </c>
      <c r="R624" s="5" t="s">
        <v>40</v>
      </c>
      <c r="S624" s="5" t="s">
        <v>6908</v>
      </c>
      <c r="T624" s="5" t="s">
        <v>6852</v>
      </c>
      <c r="U624" s="5" t="s">
        <v>6853</v>
      </c>
      <c r="V624" s="5" t="s">
        <v>6450</v>
      </c>
      <c r="W624" s="5" t="s">
        <v>6835</v>
      </c>
      <c r="X624" s="5"/>
      <c r="Y624" s="5"/>
      <c r="Z624" s="5" t="s">
        <v>46</v>
      </c>
      <c r="AA624" s="5" t="s">
        <v>6457</v>
      </c>
      <c r="AB624" s="5" t="s">
        <v>4223</v>
      </c>
      <c r="AC624" s="7">
        <v>1</v>
      </c>
      <c r="AD624" t="str">
        <f>VLOOKUP($T624,[1]NhanSu!$C$5:$M$229,11,0)</f>
        <v>SM0000109</v>
      </c>
    </row>
    <row r="625" spans="1:30" x14ac:dyDescent="0.45">
      <c r="A625" s="8" t="s">
        <v>6444</v>
      </c>
      <c r="B625" s="4">
        <v>151</v>
      </c>
      <c r="C625" s="4" t="s">
        <v>6909</v>
      </c>
      <c r="D625" s="4" t="s">
        <v>6910</v>
      </c>
      <c r="E625" s="4" t="s">
        <v>529</v>
      </c>
      <c r="F625" s="4" t="s">
        <v>401</v>
      </c>
      <c r="G625" s="4" t="s">
        <v>177</v>
      </c>
      <c r="H625" s="4" t="s">
        <v>54</v>
      </c>
      <c r="I625" s="4" t="s">
        <v>6911</v>
      </c>
      <c r="J625" s="4" t="s">
        <v>37</v>
      </c>
      <c r="K625" s="4" t="s">
        <v>37</v>
      </c>
      <c r="L625" s="4" t="s">
        <v>40</v>
      </c>
      <c r="M625" s="4" t="s">
        <v>37</v>
      </c>
      <c r="N625" s="4" t="s">
        <v>37</v>
      </c>
      <c r="O625" s="4" t="s">
        <v>40</v>
      </c>
      <c r="P625" s="4" t="s">
        <v>37</v>
      </c>
      <c r="Q625" s="4" t="s">
        <v>37</v>
      </c>
      <c r="R625" s="4" t="s">
        <v>40</v>
      </c>
      <c r="S625" s="4" t="s">
        <v>6912</v>
      </c>
      <c r="T625" s="4" t="s">
        <v>6833</v>
      </c>
      <c r="U625" s="4" t="s">
        <v>6834</v>
      </c>
      <c r="V625" s="4" t="s">
        <v>6450</v>
      </c>
      <c r="W625" s="4" t="s">
        <v>6835</v>
      </c>
      <c r="X625" s="4"/>
      <c r="Y625" s="4"/>
      <c r="Z625" s="4" t="s">
        <v>46</v>
      </c>
      <c r="AA625" s="4" t="s">
        <v>6836</v>
      </c>
      <c r="AB625" s="4"/>
      <c r="AC625" s="9">
        <v>1</v>
      </c>
      <c r="AD625" t="str">
        <f>VLOOKUP($T625,[1]NhanSu!$C$5:$M$229,11,0)</f>
        <v>SM0000107</v>
      </c>
    </row>
    <row r="626" spans="1:30" x14ac:dyDescent="0.45">
      <c r="A626" s="6" t="s">
        <v>6444</v>
      </c>
      <c r="B626" s="5">
        <v>152</v>
      </c>
      <c r="C626" s="5" t="s">
        <v>6913</v>
      </c>
      <c r="D626" s="5" t="s">
        <v>6914</v>
      </c>
      <c r="E626" s="5" t="s">
        <v>223</v>
      </c>
      <c r="F626" s="5" t="s">
        <v>286</v>
      </c>
      <c r="G626" s="5" t="s">
        <v>177</v>
      </c>
      <c r="H626" s="5" t="s">
        <v>54</v>
      </c>
      <c r="I626" s="5" t="s">
        <v>6915</v>
      </c>
      <c r="J626" s="5" t="s">
        <v>37</v>
      </c>
      <c r="K626" s="5" t="s">
        <v>37</v>
      </c>
      <c r="L626" s="5" t="s">
        <v>40</v>
      </c>
      <c r="M626" s="5" t="s">
        <v>37</v>
      </c>
      <c r="N626" s="5" t="s">
        <v>37</v>
      </c>
      <c r="O626" s="5" t="s">
        <v>40</v>
      </c>
      <c r="P626" s="5" t="s">
        <v>37</v>
      </c>
      <c r="Q626" s="5" t="s">
        <v>37</v>
      </c>
      <c r="R626" s="5" t="s">
        <v>40</v>
      </c>
      <c r="S626" s="5" t="s">
        <v>6916</v>
      </c>
      <c r="T626" s="5" t="s">
        <v>6833</v>
      </c>
      <c r="U626" s="5" t="s">
        <v>6834</v>
      </c>
      <c r="V626" s="5" t="s">
        <v>6450</v>
      </c>
      <c r="W626" s="5" t="s">
        <v>6835</v>
      </c>
      <c r="X626" s="5"/>
      <c r="Y626" s="5"/>
      <c r="Z626" s="5" t="s">
        <v>46</v>
      </c>
      <c r="AA626" s="5" t="s">
        <v>6457</v>
      </c>
      <c r="AB626" s="5" t="s">
        <v>3109</v>
      </c>
      <c r="AC626" s="7">
        <v>1</v>
      </c>
      <c r="AD626" t="str">
        <f>VLOOKUP($T626,[1]NhanSu!$C$5:$M$229,11,0)</f>
        <v>SM0000107</v>
      </c>
    </row>
    <row r="627" spans="1:30" x14ac:dyDescent="0.45">
      <c r="A627" s="8" t="s">
        <v>6444</v>
      </c>
      <c r="B627" s="4">
        <v>154</v>
      </c>
      <c r="C627" s="4" t="s">
        <v>6922</v>
      </c>
      <c r="D627" s="4" t="s">
        <v>6923</v>
      </c>
      <c r="E627" s="4" t="s">
        <v>6924</v>
      </c>
      <c r="F627" s="4" t="s">
        <v>224</v>
      </c>
      <c r="G627" s="4" t="s">
        <v>34</v>
      </c>
      <c r="H627" s="4" t="s">
        <v>1788</v>
      </c>
      <c r="I627" s="4" t="s">
        <v>6925</v>
      </c>
      <c r="J627" s="4" t="s">
        <v>38</v>
      </c>
      <c r="K627" s="4" t="s">
        <v>38</v>
      </c>
      <c r="L627" s="4" t="s">
        <v>40</v>
      </c>
      <c r="M627" s="4" t="s">
        <v>38</v>
      </c>
      <c r="N627" s="4" t="s">
        <v>38</v>
      </c>
      <c r="O627" s="4" t="s">
        <v>40</v>
      </c>
      <c r="P627" s="4" t="s">
        <v>38</v>
      </c>
      <c r="Q627" s="4" t="s">
        <v>38</v>
      </c>
      <c r="R627" s="4" t="s">
        <v>40</v>
      </c>
      <c r="S627" s="4" t="s">
        <v>6926</v>
      </c>
      <c r="T627" s="4" t="s">
        <v>6852</v>
      </c>
      <c r="U627" s="4" t="s">
        <v>6853</v>
      </c>
      <c r="V627" s="4" t="s">
        <v>6450</v>
      </c>
      <c r="W627" s="4" t="s">
        <v>6835</v>
      </c>
      <c r="X627" s="4"/>
      <c r="Y627" s="4"/>
      <c r="Z627" s="4" t="s">
        <v>46</v>
      </c>
      <c r="AA627" s="4" t="s">
        <v>6836</v>
      </c>
      <c r="AB627" s="4"/>
      <c r="AC627" s="9">
        <v>1</v>
      </c>
      <c r="AD627" t="str">
        <f>VLOOKUP($T627,[1]NhanSu!$C$5:$M$229,11,0)</f>
        <v>SM0000109</v>
      </c>
    </row>
    <row r="628" spans="1:30" x14ac:dyDescent="0.45">
      <c r="A628" s="6" t="s">
        <v>6444</v>
      </c>
      <c r="B628" s="5">
        <v>158</v>
      </c>
      <c r="C628" s="5" t="s">
        <v>6938</v>
      </c>
      <c r="D628" s="5" t="s">
        <v>6939</v>
      </c>
      <c r="E628" s="5" t="s">
        <v>185</v>
      </c>
      <c r="F628" s="5" t="s">
        <v>401</v>
      </c>
      <c r="G628" s="5" t="s">
        <v>177</v>
      </c>
      <c r="H628" s="5" t="s">
        <v>4115</v>
      </c>
      <c r="I628" s="5" t="s">
        <v>6935</v>
      </c>
      <c r="J628" s="5" t="s">
        <v>56</v>
      </c>
      <c r="K628" s="5" t="s">
        <v>56</v>
      </c>
      <c r="L628" s="5" t="s">
        <v>39</v>
      </c>
      <c r="M628" s="5" t="s">
        <v>38</v>
      </c>
      <c r="N628" s="5" t="s">
        <v>38</v>
      </c>
      <c r="O628" s="5" t="s">
        <v>39</v>
      </c>
      <c r="P628" s="5" t="s">
        <v>38</v>
      </c>
      <c r="Q628" s="5" t="s">
        <v>38</v>
      </c>
      <c r="R628" s="5" t="s">
        <v>39</v>
      </c>
      <c r="S628" s="5" t="s">
        <v>6940</v>
      </c>
      <c r="T628" s="5" t="s">
        <v>6930</v>
      </c>
      <c r="U628" s="5" t="s">
        <v>6931</v>
      </c>
      <c r="V628" s="5" t="s">
        <v>6450</v>
      </c>
      <c r="W628" s="5" t="s">
        <v>6932</v>
      </c>
      <c r="X628" s="5"/>
      <c r="Y628" s="5"/>
      <c r="Z628" s="5" t="s">
        <v>46</v>
      </c>
      <c r="AA628" s="5" t="s">
        <v>6457</v>
      </c>
      <c r="AB628" s="5"/>
      <c r="AC628" s="7">
        <v>1</v>
      </c>
      <c r="AD628" t="str">
        <f>VLOOKUP($T628,[1]NhanSu!$C$5:$M$229,11,0)</f>
        <v>SM0000108</v>
      </c>
    </row>
    <row r="629" spans="1:30" x14ac:dyDescent="0.45">
      <c r="A629" s="8" t="s">
        <v>6444</v>
      </c>
      <c r="B629" s="4">
        <v>159</v>
      </c>
      <c r="C629" s="4" t="s">
        <v>6941</v>
      </c>
      <c r="D629" s="4" t="s">
        <v>6942</v>
      </c>
      <c r="E629" s="4" t="s">
        <v>421</v>
      </c>
      <c r="F629" s="4" t="s">
        <v>600</v>
      </c>
      <c r="G629" s="4" t="s">
        <v>34</v>
      </c>
      <c r="H629" s="4" t="s">
        <v>171</v>
      </c>
      <c r="I629" s="4" t="s">
        <v>6943</v>
      </c>
      <c r="J629" s="4" t="s">
        <v>56</v>
      </c>
      <c r="K629" s="4" t="s">
        <v>56</v>
      </c>
      <c r="L629" s="4" t="s">
        <v>39</v>
      </c>
      <c r="M629" s="4" t="s">
        <v>38</v>
      </c>
      <c r="N629" s="4" t="s">
        <v>38</v>
      </c>
      <c r="O629" s="4" t="s">
        <v>39</v>
      </c>
      <c r="P629" s="4" t="s">
        <v>38</v>
      </c>
      <c r="Q629" s="4" t="s">
        <v>38</v>
      </c>
      <c r="R629" s="4" t="s">
        <v>39</v>
      </c>
      <c r="S629" s="4" t="s">
        <v>41</v>
      </c>
      <c r="T629" s="4" t="s">
        <v>6930</v>
      </c>
      <c r="U629" s="4" t="s">
        <v>6931</v>
      </c>
      <c r="V629" s="4" t="s">
        <v>6450</v>
      </c>
      <c r="W629" s="4" t="s">
        <v>6932</v>
      </c>
      <c r="X629" s="4"/>
      <c r="Y629" s="4"/>
      <c r="Z629" s="4" t="s">
        <v>46</v>
      </c>
      <c r="AA629" s="4" t="s">
        <v>6457</v>
      </c>
      <c r="AB629" s="4"/>
      <c r="AC629" s="9">
        <v>1</v>
      </c>
      <c r="AD629" t="str">
        <f>VLOOKUP($T629,[1]NhanSu!$C$5:$M$229,11,0)</f>
        <v>SM0000108</v>
      </c>
    </row>
    <row r="630" spans="1:30" x14ac:dyDescent="0.45">
      <c r="A630" s="6" t="s">
        <v>6444</v>
      </c>
      <c r="B630" s="5">
        <v>160</v>
      </c>
      <c r="C630" s="5" t="s">
        <v>6944</v>
      </c>
      <c r="D630" s="5" t="s">
        <v>6945</v>
      </c>
      <c r="E630" s="5" t="s">
        <v>416</v>
      </c>
      <c r="F630" s="5" t="s">
        <v>401</v>
      </c>
      <c r="G630" s="5" t="s">
        <v>34</v>
      </c>
      <c r="H630" s="5" t="s">
        <v>2294</v>
      </c>
      <c r="I630" s="5" t="s">
        <v>6946</v>
      </c>
      <c r="J630" s="5" t="s">
        <v>56</v>
      </c>
      <c r="K630" s="5" t="s">
        <v>56</v>
      </c>
      <c r="L630" s="5" t="s">
        <v>39</v>
      </c>
      <c r="M630" s="5" t="s">
        <v>38</v>
      </c>
      <c r="N630" s="5" t="s">
        <v>38</v>
      </c>
      <c r="O630" s="5" t="s">
        <v>39</v>
      </c>
      <c r="P630" s="5" t="s">
        <v>38</v>
      </c>
      <c r="Q630" s="5" t="s">
        <v>38</v>
      </c>
      <c r="R630" s="5" t="s">
        <v>39</v>
      </c>
      <c r="S630" s="5" t="s">
        <v>6947</v>
      </c>
      <c r="T630" s="5" t="s">
        <v>6930</v>
      </c>
      <c r="U630" s="5" t="s">
        <v>6931</v>
      </c>
      <c r="V630" s="5" t="s">
        <v>6450</v>
      </c>
      <c r="W630" s="5" t="s">
        <v>6932</v>
      </c>
      <c r="X630" s="5"/>
      <c r="Y630" s="5"/>
      <c r="Z630" s="5" t="s">
        <v>46</v>
      </c>
      <c r="AA630" s="5" t="s">
        <v>6457</v>
      </c>
      <c r="AB630" s="5" t="s">
        <v>3109</v>
      </c>
      <c r="AC630" s="7">
        <v>1</v>
      </c>
      <c r="AD630" t="str">
        <f>VLOOKUP($T630,[1]NhanSu!$C$5:$M$229,11,0)</f>
        <v>SM0000108</v>
      </c>
    </row>
    <row r="631" spans="1:30" x14ac:dyDescent="0.45">
      <c r="A631" s="8" t="s">
        <v>6444</v>
      </c>
      <c r="B631" s="4">
        <v>161</v>
      </c>
      <c r="C631" s="4" t="s">
        <v>6948</v>
      </c>
      <c r="D631" s="4" t="s">
        <v>6949</v>
      </c>
      <c r="E631" s="4" t="s">
        <v>304</v>
      </c>
      <c r="F631" s="4" t="s">
        <v>401</v>
      </c>
      <c r="G631" s="4" t="s">
        <v>177</v>
      </c>
      <c r="H631" s="4" t="s">
        <v>2294</v>
      </c>
      <c r="I631" s="4" t="s">
        <v>6935</v>
      </c>
      <c r="J631" s="4" t="s">
        <v>56</v>
      </c>
      <c r="K631" s="4" t="s">
        <v>56</v>
      </c>
      <c r="L631" s="4" t="s">
        <v>39</v>
      </c>
      <c r="M631" s="4" t="s">
        <v>38</v>
      </c>
      <c r="N631" s="4" t="s">
        <v>38</v>
      </c>
      <c r="O631" s="4" t="s">
        <v>39</v>
      </c>
      <c r="P631" s="4" t="s">
        <v>38</v>
      </c>
      <c r="Q631" s="4" t="s">
        <v>38</v>
      </c>
      <c r="R631" s="4" t="s">
        <v>39</v>
      </c>
      <c r="S631" s="4" t="s">
        <v>6950</v>
      </c>
      <c r="T631" s="4" t="s">
        <v>6930</v>
      </c>
      <c r="U631" s="4" t="s">
        <v>6931</v>
      </c>
      <c r="V631" s="4" t="s">
        <v>6450</v>
      </c>
      <c r="W631" s="4" t="s">
        <v>6932</v>
      </c>
      <c r="X631" s="4"/>
      <c r="Y631" s="4"/>
      <c r="Z631" s="4" t="s">
        <v>46</v>
      </c>
      <c r="AA631" s="4" t="s">
        <v>6951</v>
      </c>
      <c r="AB631" s="4" t="s">
        <v>3109</v>
      </c>
      <c r="AC631" s="9">
        <v>1</v>
      </c>
      <c r="AD631" t="str">
        <f>VLOOKUP($T631,[1]NhanSu!$C$5:$M$229,11,0)</f>
        <v>SM0000108</v>
      </c>
    </row>
    <row r="632" spans="1:30" x14ac:dyDescent="0.45">
      <c r="A632" s="6" t="s">
        <v>6444</v>
      </c>
      <c r="B632" s="5">
        <v>163</v>
      </c>
      <c r="C632" s="5" t="s">
        <v>6955</v>
      </c>
      <c r="D632" s="5" t="s">
        <v>6956</v>
      </c>
      <c r="E632" s="5" t="s">
        <v>421</v>
      </c>
      <c r="F632" s="5" t="s">
        <v>426</v>
      </c>
      <c r="G632" s="5" t="s">
        <v>177</v>
      </c>
      <c r="H632" s="5" t="s">
        <v>1483</v>
      </c>
      <c r="I632" s="5" t="s">
        <v>6929</v>
      </c>
      <c r="J632" s="5" t="s">
        <v>56</v>
      </c>
      <c r="K632" s="5" t="s">
        <v>56</v>
      </c>
      <c r="L632" s="5" t="s">
        <v>39</v>
      </c>
      <c r="M632" s="5" t="s">
        <v>38</v>
      </c>
      <c r="N632" s="5" t="s">
        <v>38</v>
      </c>
      <c r="O632" s="5" t="s">
        <v>39</v>
      </c>
      <c r="P632" s="5" t="s">
        <v>38</v>
      </c>
      <c r="Q632" s="5" t="s">
        <v>38</v>
      </c>
      <c r="R632" s="5" t="s">
        <v>39</v>
      </c>
      <c r="S632" s="5" t="s">
        <v>6957</v>
      </c>
      <c r="T632" s="5" t="s">
        <v>6930</v>
      </c>
      <c r="U632" s="5" t="s">
        <v>6931</v>
      </c>
      <c r="V632" s="5" t="s">
        <v>6450</v>
      </c>
      <c r="W632" s="5" t="s">
        <v>6932</v>
      </c>
      <c r="X632" s="5"/>
      <c r="Y632" s="5"/>
      <c r="Z632" s="5" t="s">
        <v>46</v>
      </c>
      <c r="AA632" s="5" t="s">
        <v>6951</v>
      </c>
      <c r="AB632" s="5" t="s">
        <v>3109</v>
      </c>
      <c r="AC632" s="7">
        <v>1</v>
      </c>
      <c r="AD632" t="str">
        <f>VLOOKUP($T632,[1]NhanSu!$C$5:$M$229,11,0)</f>
        <v>SM0000108</v>
      </c>
    </row>
    <row r="633" spans="1:30" x14ac:dyDescent="0.45">
      <c r="A633" s="8" t="s">
        <v>6444</v>
      </c>
      <c r="B633" s="4">
        <v>166</v>
      </c>
      <c r="C633" s="4" t="s">
        <v>6962</v>
      </c>
      <c r="D633" s="4" t="s">
        <v>6963</v>
      </c>
      <c r="E633" s="4" t="s">
        <v>64</v>
      </c>
      <c r="F633" s="4" t="s">
        <v>401</v>
      </c>
      <c r="G633" s="4" t="s">
        <v>34</v>
      </c>
      <c r="H633" s="4" t="s">
        <v>1542</v>
      </c>
      <c r="I633" s="4" t="s">
        <v>6929</v>
      </c>
      <c r="J633" s="4" t="s">
        <v>56</v>
      </c>
      <c r="K633" s="4" t="s">
        <v>56</v>
      </c>
      <c r="L633" s="4" t="s">
        <v>39</v>
      </c>
      <c r="M633" s="4" t="s">
        <v>38</v>
      </c>
      <c r="N633" s="4" t="s">
        <v>38</v>
      </c>
      <c r="O633" s="4" t="s">
        <v>39</v>
      </c>
      <c r="P633" s="4" t="s">
        <v>38</v>
      </c>
      <c r="Q633" s="4" t="s">
        <v>38</v>
      </c>
      <c r="R633" s="4" t="s">
        <v>39</v>
      </c>
      <c r="S633" s="4" t="s">
        <v>6964</v>
      </c>
      <c r="T633" s="4" t="s">
        <v>6930</v>
      </c>
      <c r="U633" s="4" t="s">
        <v>6931</v>
      </c>
      <c r="V633" s="4" t="s">
        <v>6450</v>
      </c>
      <c r="W633" s="4" t="s">
        <v>6932</v>
      </c>
      <c r="X633" s="4"/>
      <c r="Y633" s="4"/>
      <c r="Z633" s="4" t="s">
        <v>46</v>
      </c>
      <c r="AA633" s="4" t="s">
        <v>6951</v>
      </c>
      <c r="AB633" s="4" t="s">
        <v>3109</v>
      </c>
      <c r="AC633" s="9">
        <v>1</v>
      </c>
      <c r="AD633" t="str">
        <f>VLOOKUP($T633,[1]NhanSu!$C$5:$M$229,11,0)</f>
        <v>SM0000108</v>
      </c>
    </row>
    <row r="634" spans="1:30" x14ac:dyDescent="0.45">
      <c r="A634" s="6" t="s">
        <v>6444</v>
      </c>
      <c r="B634" s="5">
        <v>167</v>
      </c>
      <c r="C634" s="5" t="s">
        <v>6965</v>
      </c>
      <c r="D634" s="5" t="s">
        <v>6966</v>
      </c>
      <c r="E634" s="5" t="s">
        <v>529</v>
      </c>
      <c r="F634" s="5" t="s">
        <v>426</v>
      </c>
      <c r="G634" s="5" t="s">
        <v>34</v>
      </c>
      <c r="H634" s="5" t="s">
        <v>1184</v>
      </c>
      <c r="I634" s="5" t="s">
        <v>6946</v>
      </c>
      <c r="J634" s="5" t="s">
        <v>56</v>
      </c>
      <c r="K634" s="5" t="s">
        <v>56</v>
      </c>
      <c r="L634" s="5" t="s">
        <v>39</v>
      </c>
      <c r="M634" s="5" t="s">
        <v>38</v>
      </c>
      <c r="N634" s="5" t="s">
        <v>38</v>
      </c>
      <c r="O634" s="5" t="s">
        <v>39</v>
      </c>
      <c r="P634" s="5" t="s">
        <v>38</v>
      </c>
      <c r="Q634" s="5" t="s">
        <v>38</v>
      </c>
      <c r="R634" s="5" t="s">
        <v>39</v>
      </c>
      <c r="S634" s="5" t="s">
        <v>6967</v>
      </c>
      <c r="T634" s="5" t="s">
        <v>6930</v>
      </c>
      <c r="U634" s="5" t="s">
        <v>6931</v>
      </c>
      <c r="V634" s="5" t="s">
        <v>6450</v>
      </c>
      <c r="W634" s="5" t="s">
        <v>6932</v>
      </c>
      <c r="X634" s="5"/>
      <c r="Y634" s="5"/>
      <c r="Z634" s="5" t="s">
        <v>46</v>
      </c>
      <c r="AA634" s="5" t="s">
        <v>6951</v>
      </c>
      <c r="AB634" s="5" t="s">
        <v>4223</v>
      </c>
      <c r="AC634" s="7">
        <v>1</v>
      </c>
      <c r="AD634" t="str">
        <f>VLOOKUP($T634,[1]NhanSu!$C$5:$M$229,11,0)</f>
        <v>SM0000108</v>
      </c>
    </row>
    <row r="635" spans="1:30" x14ac:dyDescent="0.45">
      <c r="A635" s="8" t="s">
        <v>6444</v>
      </c>
      <c r="B635" s="4">
        <v>168</v>
      </c>
      <c r="C635" s="4" t="s">
        <v>6968</v>
      </c>
      <c r="D635" s="4" t="s">
        <v>6969</v>
      </c>
      <c r="E635" s="4" t="s">
        <v>304</v>
      </c>
      <c r="F635" s="4" t="s">
        <v>2368</v>
      </c>
      <c r="G635" s="4" t="s">
        <v>177</v>
      </c>
      <c r="H635" s="4" t="s">
        <v>565</v>
      </c>
      <c r="I635" s="4" t="s">
        <v>6970</v>
      </c>
      <c r="J635" s="4" t="s">
        <v>56</v>
      </c>
      <c r="K635" s="4" t="s">
        <v>56</v>
      </c>
      <c r="L635" s="4" t="s">
        <v>39</v>
      </c>
      <c r="M635" s="4" t="s">
        <v>38</v>
      </c>
      <c r="N635" s="4" t="s">
        <v>38</v>
      </c>
      <c r="O635" s="4" t="s">
        <v>39</v>
      </c>
      <c r="P635" s="4" t="s">
        <v>38</v>
      </c>
      <c r="Q635" s="4" t="s">
        <v>38</v>
      </c>
      <c r="R635" s="4" t="s">
        <v>39</v>
      </c>
      <c r="S635" s="4" t="s">
        <v>6971</v>
      </c>
      <c r="T635" s="4" t="s">
        <v>6930</v>
      </c>
      <c r="U635" s="4" t="s">
        <v>6931</v>
      </c>
      <c r="V635" s="4" t="s">
        <v>6450</v>
      </c>
      <c r="W635" s="4" t="s">
        <v>6932</v>
      </c>
      <c r="X635" s="4"/>
      <c r="Y635" s="4"/>
      <c r="Z635" s="4" t="s">
        <v>46</v>
      </c>
      <c r="AA635" s="4" t="s">
        <v>6457</v>
      </c>
      <c r="AB635" s="4"/>
      <c r="AC635" s="9">
        <v>1</v>
      </c>
      <c r="AD635" t="str">
        <f>VLOOKUP($T635,[1]NhanSu!$C$5:$M$229,11,0)</f>
        <v>SM0000108</v>
      </c>
    </row>
    <row r="636" spans="1:30" x14ac:dyDescent="0.45">
      <c r="A636" s="6" t="s">
        <v>6444</v>
      </c>
      <c r="B636" s="5">
        <v>175</v>
      </c>
      <c r="C636" s="5" t="s">
        <v>6984</v>
      </c>
      <c r="D636" s="5" t="s">
        <v>6985</v>
      </c>
      <c r="E636" s="5" t="s">
        <v>109</v>
      </c>
      <c r="F636" s="5" t="s">
        <v>115</v>
      </c>
      <c r="G636" s="5" t="s">
        <v>177</v>
      </c>
      <c r="H636" s="5" t="s">
        <v>54</v>
      </c>
      <c r="I636" s="5" t="s">
        <v>6946</v>
      </c>
      <c r="J636" s="5" t="s">
        <v>56</v>
      </c>
      <c r="K636" s="5" t="s">
        <v>56</v>
      </c>
      <c r="L636" s="5" t="s">
        <v>39</v>
      </c>
      <c r="M636" s="5" t="s">
        <v>37</v>
      </c>
      <c r="N636" s="5" t="s">
        <v>37</v>
      </c>
      <c r="O636" s="5" t="s">
        <v>39</v>
      </c>
      <c r="P636" s="5" t="s">
        <v>38</v>
      </c>
      <c r="Q636" s="5" t="s">
        <v>38</v>
      </c>
      <c r="R636" s="5" t="s">
        <v>39</v>
      </c>
      <c r="S636" s="5" t="s">
        <v>41</v>
      </c>
      <c r="T636" s="5" t="s">
        <v>6930</v>
      </c>
      <c r="U636" s="5" t="s">
        <v>6931</v>
      </c>
      <c r="V636" s="5" t="s">
        <v>6450</v>
      </c>
      <c r="W636" s="5" t="s">
        <v>6932</v>
      </c>
      <c r="X636" s="5"/>
      <c r="Y636" s="5"/>
      <c r="Z636" s="5" t="s">
        <v>46</v>
      </c>
      <c r="AA636" s="5" t="s">
        <v>6951</v>
      </c>
      <c r="AB636" s="5" t="s">
        <v>3109</v>
      </c>
      <c r="AC636" s="7">
        <v>1</v>
      </c>
      <c r="AD636" t="str">
        <f>VLOOKUP($T636,[1]NhanSu!$C$5:$M$229,11,0)</f>
        <v>SM0000108</v>
      </c>
    </row>
    <row r="637" spans="1:30" x14ac:dyDescent="0.45">
      <c r="A637" s="8" t="s">
        <v>6444</v>
      </c>
      <c r="B637" s="4">
        <v>181</v>
      </c>
      <c r="C637" s="4" t="s">
        <v>6998</v>
      </c>
      <c r="D637" s="4" t="s">
        <v>1822</v>
      </c>
      <c r="E637" s="4" t="s">
        <v>176</v>
      </c>
      <c r="F637" s="4" t="s">
        <v>115</v>
      </c>
      <c r="G637" s="4" t="s">
        <v>177</v>
      </c>
      <c r="H637" s="4" t="s">
        <v>54</v>
      </c>
      <c r="I637" s="4" t="s">
        <v>6946</v>
      </c>
      <c r="J637" s="4" t="s">
        <v>56</v>
      </c>
      <c r="K637" s="4" t="s">
        <v>56</v>
      </c>
      <c r="L637" s="4" t="s">
        <v>39</v>
      </c>
      <c r="M637" s="4" t="s">
        <v>37</v>
      </c>
      <c r="N637" s="4" t="s">
        <v>37</v>
      </c>
      <c r="O637" s="4" t="s">
        <v>39</v>
      </c>
      <c r="P637" s="4" t="s">
        <v>38</v>
      </c>
      <c r="Q637" s="4" t="s">
        <v>38</v>
      </c>
      <c r="R637" s="4" t="s">
        <v>39</v>
      </c>
      <c r="S637" s="4" t="s">
        <v>41</v>
      </c>
      <c r="T637" s="4" t="s">
        <v>6930</v>
      </c>
      <c r="U637" s="4" t="s">
        <v>6931</v>
      </c>
      <c r="V637" s="4" t="s">
        <v>6450</v>
      </c>
      <c r="W637" s="4" t="s">
        <v>6932</v>
      </c>
      <c r="X637" s="4"/>
      <c r="Y637" s="4"/>
      <c r="Z637" s="4" t="s">
        <v>46</v>
      </c>
      <c r="AA637" s="4" t="s">
        <v>6951</v>
      </c>
      <c r="AB637" s="4" t="s">
        <v>3109</v>
      </c>
      <c r="AC637" s="9">
        <v>1</v>
      </c>
      <c r="AD637" t="str">
        <f>VLOOKUP($T637,[1]NhanSu!$C$5:$M$229,11,0)</f>
        <v>SM0000108</v>
      </c>
    </row>
    <row r="638" spans="1:30" x14ac:dyDescent="0.45">
      <c r="A638" s="6" t="s">
        <v>6444</v>
      </c>
      <c r="B638" s="5">
        <v>183</v>
      </c>
      <c r="C638" s="5" t="s">
        <v>7002</v>
      </c>
      <c r="D638" s="5" t="s">
        <v>7003</v>
      </c>
      <c r="E638" s="5" t="s">
        <v>7004</v>
      </c>
      <c r="F638" s="5" t="s">
        <v>1914</v>
      </c>
      <c r="G638" s="5" t="s">
        <v>34</v>
      </c>
      <c r="H638" s="5" t="s">
        <v>356</v>
      </c>
      <c r="I638" s="5"/>
      <c r="J638" s="5" t="s">
        <v>56</v>
      </c>
      <c r="K638" s="5" t="s">
        <v>37</v>
      </c>
      <c r="L638" s="5" t="s">
        <v>39</v>
      </c>
      <c r="M638" s="5" t="s">
        <v>56</v>
      </c>
      <c r="N638" s="5" t="s">
        <v>56</v>
      </c>
      <c r="O638" s="5" t="s">
        <v>39</v>
      </c>
      <c r="P638" s="5" t="s">
        <v>37</v>
      </c>
      <c r="Q638" s="5" t="s">
        <v>56</v>
      </c>
      <c r="R638" s="5" t="s">
        <v>39</v>
      </c>
      <c r="S638" s="5" t="s">
        <v>41</v>
      </c>
      <c r="T638" s="5" t="s">
        <v>6991</v>
      </c>
      <c r="U638" s="5" t="s">
        <v>6992</v>
      </c>
      <c r="V638" s="5" t="s">
        <v>6450</v>
      </c>
      <c r="W638" s="5" t="s">
        <v>6932</v>
      </c>
      <c r="X638" s="5"/>
      <c r="Y638" s="5"/>
      <c r="Z638" s="5" t="s">
        <v>46</v>
      </c>
      <c r="AA638" s="5" t="s">
        <v>6457</v>
      </c>
      <c r="AB638" s="5" t="s">
        <v>4223</v>
      </c>
      <c r="AC638" s="7">
        <v>1</v>
      </c>
      <c r="AD638" t="str">
        <f>VLOOKUP($T638,[1]NhanSu!$C$5:$M$229,11,0)</f>
        <v>SM0000110</v>
      </c>
    </row>
    <row r="639" spans="1:30" x14ac:dyDescent="0.45">
      <c r="A639" s="8" t="s">
        <v>6444</v>
      </c>
      <c r="B639" s="4">
        <v>186</v>
      </c>
      <c r="C639" s="4" t="s">
        <v>7010</v>
      </c>
      <c r="D639" s="4" t="s">
        <v>196</v>
      </c>
      <c r="E639" s="4" t="s">
        <v>92</v>
      </c>
      <c r="F639" s="4" t="s">
        <v>115</v>
      </c>
      <c r="G639" s="4" t="s">
        <v>177</v>
      </c>
      <c r="H639" s="4" t="s">
        <v>2294</v>
      </c>
      <c r="I639" s="4" t="s">
        <v>6946</v>
      </c>
      <c r="J639" s="4" t="s">
        <v>56</v>
      </c>
      <c r="K639" s="4" t="s">
        <v>56</v>
      </c>
      <c r="L639" s="4" t="s">
        <v>39</v>
      </c>
      <c r="M639" s="4" t="s">
        <v>38</v>
      </c>
      <c r="N639" s="4" t="s">
        <v>38</v>
      </c>
      <c r="O639" s="4" t="s">
        <v>39</v>
      </c>
      <c r="P639" s="4" t="s">
        <v>38</v>
      </c>
      <c r="Q639" s="4" t="s">
        <v>38</v>
      </c>
      <c r="R639" s="4" t="s">
        <v>39</v>
      </c>
      <c r="S639" s="4" t="s">
        <v>41</v>
      </c>
      <c r="T639" s="4" t="s">
        <v>6930</v>
      </c>
      <c r="U639" s="4" t="s">
        <v>6931</v>
      </c>
      <c r="V639" s="4" t="s">
        <v>6450</v>
      </c>
      <c r="W639" s="4" t="s">
        <v>6932</v>
      </c>
      <c r="X639" s="4"/>
      <c r="Y639" s="4"/>
      <c r="Z639" s="4" t="s">
        <v>46</v>
      </c>
      <c r="AA639" s="4" t="s">
        <v>6951</v>
      </c>
      <c r="AB639" s="4"/>
      <c r="AC639" s="9">
        <v>1</v>
      </c>
      <c r="AD639" t="str">
        <f>VLOOKUP($T639,[1]NhanSu!$C$5:$M$229,11,0)</f>
        <v>SM0000108</v>
      </c>
    </row>
    <row r="640" spans="1:30" x14ac:dyDescent="0.45">
      <c r="A640" s="6" t="s">
        <v>6444</v>
      </c>
      <c r="B640" s="5">
        <v>187</v>
      </c>
      <c r="C640" s="5" t="s">
        <v>7011</v>
      </c>
      <c r="D640" s="5" t="s">
        <v>7012</v>
      </c>
      <c r="E640" s="5" t="s">
        <v>113</v>
      </c>
      <c r="F640" s="5" t="s">
        <v>401</v>
      </c>
      <c r="G640" s="5" t="s">
        <v>177</v>
      </c>
      <c r="H640" s="5" t="s">
        <v>4115</v>
      </c>
      <c r="I640" s="5" t="s">
        <v>6935</v>
      </c>
      <c r="J640" s="5" t="s">
        <v>56</v>
      </c>
      <c r="K640" s="5" t="s">
        <v>56</v>
      </c>
      <c r="L640" s="5" t="s">
        <v>39</v>
      </c>
      <c r="M640" s="5" t="s">
        <v>38</v>
      </c>
      <c r="N640" s="5" t="s">
        <v>37</v>
      </c>
      <c r="O640" s="5" t="s">
        <v>39</v>
      </c>
      <c r="P640" s="5" t="s">
        <v>38</v>
      </c>
      <c r="Q640" s="5" t="s">
        <v>38</v>
      </c>
      <c r="R640" s="5" t="s">
        <v>39</v>
      </c>
      <c r="S640" s="5" t="s">
        <v>41</v>
      </c>
      <c r="T640" s="5" t="s">
        <v>6930</v>
      </c>
      <c r="U640" s="5" t="s">
        <v>6931</v>
      </c>
      <c r="V640" s="5" t="s">
        <v>6450</v>
      </c>
      <c r="W640" s="5" t="s">
        <v>6932</v>
      </c>
      <c r="X640" s="5"/>
      <c r="Y640" s="5"/>
      <c r="Z640" s="5" t="s">
        <v>46</v>
      </c>
      <c r="AA640" s="5" t="s">
        <v>6457</v>
      </c>
      <c r="AB640" s="5" t="s">
        <v>4223</v>
      </c>
      <c r="AC640" s="7">
        <v>1</v>
      </c>
      <c r="AD640" t="str">
        <f>VLOOKUP($T640,[1]NhanSu!$C$5:$M$229,11,0)</f>
        <v>SM0000108</v>
      </c>
    </row>
    <row r="641" spans="1:30" x14ac:dyDescent="0.45">
      <c r="A641" s="8" t="s">
        <v>6444</v>
      </c>
      <c r="B641" s="4">
        <v>191</v>
      </c>
      <c r="C641" s="4" t="s">
        <v>7019</v>
      </c>
      <c r="D641" s="4" t="s">
        <v>7020</v>
      </c>
      <c r="E641" s="4" t="s">
        <v>98</v>
      </c>
      <c r="F641" s="4" t="s">
        <v>401</v>
      </c>
      <c r="G641" s="4" t="s">
        <v>177</v>
      </c>
      <c r="H641" s="4" t="s">
        <v>350</v>
      </c>
      <c r="I641" s="4" t="s">
        <v>6935</v>
      </c>
      <c r="J641" s="4" t="s">
        <v>56</v>
      </c>
      <c r="K641" s="4" t="s">
        <v>56</v>
      </c>
      <c r="L641" s="4" t="s">
        <v>39</v>
      </c>
      <c r="M641" s="4" t="s">
        <v>37</v>
      </c>
      <c r="N641" s="4" t="s">
        <v>37</v>
      </c>
      <c r="O641" s="4" t="s">
        <v>39</v>
      </c>
      <c r="P641" s="4" t="s">
        <v>38</v>
      </c>
      <c r="Q641" s="4" t="s">
        <v>38</v>
      </c>
      <c r="R641" s="4" t="s">
        <v>39</v>
      </c>
      <c r="S641" s="4" t="s">
        <v>41</v>
      </c>
      <c r="T641" s="4" t="s">
        <v>6930</v>
      </c>
      <c r="U641" s="4" t="s">
        <v>6931</v>
      </c>
      <c r="V641" s="4" t="s">
        <v>6450</v>
      </c>
      <c r="W641" s="4" t="s">
        <v>6932</v>
      </c>
      <c r="X641" s="4"/>
      <c r="Y641" s="4"/>
      <c r="Z641" s="4" t="s">
        <v>46</v>
      </c>
      <c r="AA641" s="4" t="s">
        <v>6457</v>
      </c>
      <c r="AB641" s="4" t="s">
        <v>4223</v>
      </c>
      <c r="AC641" s="9">
        <v>1</v>
      </c>
      <c r="AD641" t="str">
        <f>VLOOKUP($T641,[1]NhanSu!$C$5:$M$229,11,0)</f>
        <v>SM0000108</v>
      </c>
    </row>
    <row r="642" spans="1:30" x14ac:dyDescent="0.45">
      <c r="A642" s="6" t="s">
        <v>6444</v>
      </c>
      <c r="B642" s="5">
        <v>192</v>
      </c>
      <c r="C642" s="5" t="s">
        <v>7021</v>
      </c>
      <c r="D642" s="5" t="s">
        <v>7022</v>
      </c>
      <c r="E642" s="5" t="s">
        <v>69</v>
      </c>
      <c r="F642" s="5" t="s">
        <v>401</v>
      </c>
      <c r="G642" s="5" t="s">
        <v>177</v>
      </c>
      <c r="H642" s="5" t="s">
        <v>54</v>
      </c>
      <c r="I642" s="5" t="s">
        <v>6935</v>
      </c>
      <c r="J642" s="5" t="s">
        <v>56</v>
      </c>
      <c r="K642" s="5" t="s">
        <v>56</v>
      </c>
      <c r="L642" s="5" t="s">
        <v>39</v>
      </c>
      <c r="M642" s="5" t="s">
        <v>37</v>
      </c>
      <c r="N642" s="5" t="s">
        <v>37</v>
      </c>
      <c r="O642" s="5" t="s">
        <v>39</v>
      </c>
      <c r="P642" s="5" t="s">
        <v>37</v>
      </c>
      <c r="Q642" s="5" t="s">
        <v>37</v>
      </c>
      <c r="R642" s="5" t="s">
        <v>39</v>
      </c>
      <c r="S642" s="5" t="s">
        <v>41</v>
      </c>
      <c r="T642" s="5" t="s">
        <v>6930</v>
      </c>
      <c r="U642" s="5" t="s">
        <v>6931</v>
      </c>
      <c r="V642" s="5" t="s">
        <v>6450</v>
      </c>
      <c r="W642" s="5" t="s">
        <v>6932</v>
      </c>
      <c r="X642" s="5"/>
      <c r="Y642" s="5"/>
      <c r="Z642" s="5" t="s">
        <v>46</v>
      </c>
      <c r="AA642" s="5" t="s">
        <v>6457</v>
      </c>
      <c r="AB642" s="5"/>
      <c r="AC642" s="7">
        <v>1</v>
      </c>
      <c r="AD642" t="str">
        <f>VLOOKUP($T642,[1]NhanSu!$C$5:$M$229,11,0)</f>
        <v>SM0000108</v>
      </c>
    </row>
    <row r="643" spans="1:30" x14ac:dyDescent="0.45">
      <c r="A643" s="8" t="s">
        <v>6444</v>
      </c>
      <c r="B643" s="4">
        <v>193</v>
      </c>
      <c r="C643" s="4" t="s">
        <v>7023</v>
      </c>
      <c r="D643" s="4" t="s">
        <v>7024</v>
      </c>
      <c r="E643" s="4" t="s">
        <v>7000</v>
      </c>
      <c r="F643" s="4" t="s">
        <v>426</v>
      </c>
      <c r="G643" s="4" t="s">
        <v>177</v>
      </c>
      <c r="H643" s="4" t="s">
        <v>54</v>
      </c>
      <c r="I643" s="4" t="s">
        <v>6946</v>
      </c>
      <c r="J643" s="4" t="s">
        <v>775</v>
      </c>
      <c r="K643" s="4" t="s">
        <v>775</v>
      </c>
      <c r="L643" s="4" t="s">
        <v>39</v>
      </c>
      <c r="M643" s="4" t="s">
        <v>37</v>
      </c>
      <c r="N643" s="4" t="s">
        <v>37</v>
      </c>
      <c r="O643" s="4" t="s">
        <v>39</v>
      </c>
      <c r="P643" s="4" t="s">
        <v>37</v>
      </c>
      <c r="Q643" s="4" t="s">
        <v>37</v>
      </c>
      <c r="R643" s="4" t="s">
        <v>39</v>
      </c>
      <c r="S643" s="4" t="s">
        <v>41</v>
      </c>
      <c r="T643" s="4" t="s">
        <v>6930</v>
      </c>
      <c r="U643" s="4" t="s">
        <v>6931</v>
      </c>
      <c r="V643" s="4" t="s">
        <v>6450</v>
      </c>
      <c r="W643" s="4" t="s">
        <v>6932</v>
      </c>
      <c r="X643" s="4"/>
      <c r="Y643" s="4"/>
      <c r="Z643" s="4" t="s">
        <v>46</v>
      </c>
      <c r="AA643" s="4" t="s">
        <v>6951</v>
      </c>
      <c r="AB643" s="4"/>
      <c r="AC643" s="9">
        <v>1</v>
      </c>
      <c r="AD643" t="str">
        <f>VLOOKUP($T643,[1]NhanSu!$C$5:$M$229,11,0)</f>
        <v>SM0000108</v>
      </c>
    </row>
    <row r="644" spans="1:30" x14ac:dyDescent="0.45">
      <c r="A644" s="6" t="s">
        <v>6444</v>
      </c>
      <c r="B644" s="5">
        <v>196</v>
      </c>
      <c r="C644" s="5" t="s">
        <v>7028</v>
      </c>
      <c r="D644" s="5" t="s">
        <v>7029</v>
      </c>
      <c r="E644" s="5" t="s">
        <v>109</v>
      </c>
      <c r="F644" s="5" t="s">
        <v>478</v>
      </c>
      <c r="G644" s="5" t="s">
        <v>177</v>
      </c>
      <c r="H644" s="5" t="s">
        <v>54</v>
      </c>
      <c r="I644" s="5" t="s">
        <v>7030</v>
      </c>
      <c r="J644" s="5" t="s">
        <v>56</v>
      </c>
      <c r="K644" s="5" t="s">
        <v>56</v>
      </c>
      <c r="L644" s="5" t="s">
        <v>39</v>
      </c>
      <c r="M644" s="5" t="s">
        <v>37</v>
      </c>
      <c r="N644" s="5" t="s">
        <v>37</v>
      </c>
      <c r="O644" s="5" t="s">
        <v>39</v>
      </c>
      <c r="P644" s="5" t="s">
        <v>37</v>
      </c>
      <c r="Q644" s="5" t="s">
        <v>37</v>
      </c>
      <c r="R644" s="5" t="s">
        <v>39</v>
      </c>
      <c r="S644" s="5" t="s">
        <v>41</v>
      </c>
      <c r="T644" s="5" t="s">
        <v>6930</v>
      </c>
      <c r="U644" s="5" t="s">
        <v>6931</v>
      </c>
      <c r="V644" s="5" t="s">
        <v>6450</v>
      </c>
      <c r="W644" s="5" t="s">
        <v>6932</v>
      </c>
      <c r="X644" s="5"/>
      <c r="Y644" s="5"/>
      <c r="Z644" s="5" t="s">
        <v>46</v>
      </c>
      <c r="AA644" s="5" t="s">
        <v>6951</v>
      </c>
      <c r="AB644" s="5" t="s">
        <v>3109</v>
      </c>
      <c r="AC644" s="7">
        <v>1</v>
      </c>
      <c r="AD644" t="str">
        <f>VLOOKUP($T644,[1]NhanSu!$C$5:$M$229,11,0)</f>
        <v>SM0000108</v>
      </c>
    </row>
    <row r="645" spans="1:30" x14ac:dyDescent="0.45">
      <c r="A645" s="8" t="s">
        <v>6444</v>
      </c>
      <c r="B645" s="4">
        <v>197</v>
      </c>
      <c r="C645" s="4" t="s">
        <v>7031</v>
      </c>
      <c r="D645" s="4" t="s">
        <v>7032</v>
      </c>
      <c r="E645" s="4" t="s">
        <v>69</v>
      </c>
      <c r="F645" s="4" t="s">
        <v>401</v>
      </c>
      <c r="G645" s="4" t="s">
        <v>177</v>
      </c>
      <c r="H645" s="4" t="s">
        <v>54</v>
      </c>
      <c r="I645" s="4" t="s">
        <v>6929</v>
      </c>
      <c r="J645" s="4" t="s">
        <v>775</v>
      </c>
      <c r="K645" s="4" t="s">
        <v>775</v>
      </c>
      <c r="L645" s="4" t="s">
        <v>39</v>
      </c>
      <c r="M645" s="4" t="s">
        <v>37</v>
      </c>
      <c r="N645" s="4" t="s">
        <v>37</v>
      </c>
      <c r="O645" s="4" t="s">
        <v>39</v>
      </c>
      <c r="P645" s="4" t="s">
        <v>38</v>
      </c>
      <c r="Q645" s="4" t="s">
        <v>38</v>
      </c>
      <c r="R645" s="4" t="s">
        <v>39</v>
      </c>
      <c r="S645" s="4" t="s">
        <v>41</v>
      </c>
      <c r="T645" s="4" t="s">
        <v>6930</v>
      </c>
      <c r="U645" s="4" t="s">
        <v>6931</v>
      </c>
      <c r="V645" s="4" t="s">
        <v>6450</v>
      </c>
      <c r="W645" s="4" t="s">
        <v>6932</v>
      </c>
      <c r="X645" s="4"/>
      <c r="Y645" s="4"/>
      <c r="Z645" s="4" t="s">
        <v>46</v>
      </c>
      <c r="AA645" s="4" t="s">
        <v>6951</v>
      </c>
      <c r="AB645" s="4" t="s">
        <v>3109</v>
      </c>
      <c r="AC645" s="9">
        <v>1</v>
      </c>
      <c r="AD645" t="str">
        <f>VLOOKUP($T645,[1]NhanSu!$C$5:$M$229,11,0)</f>
        <v>SM0000108</v>
      </c>
    </row>
    <row r="646" spans="1:30" x14ac:dyDescent="0.45">
      <c r="A646" s="6" t="s">
        <v>6444</v>
      </c>
      <c r="B646" s="5">
        <v>198</v>
      </c>
      <c r="C646" s="5" t="s">
        <v>7033</v>
      </c>
      <c r="D646" s="5" t="s">
        <v>7034</v>
      </c>
      <c r="E646" s="5" t="s">
        <v>75</v>
      </c>
      <c r="F646" s="5" t="s">
        <v>166</v>
      </c>
      <c r="G646" s="5" t="s">
        <v>34</v>
      </c>
      <c r="H646" s="5" t="s">
        <v>1648</v>
      </c>
      <c r="I646" s="5" t="s">
        <v>6935</v>
      </c>
      <c r="J646" s="5" t="s">
        <v>56</v>
      </c>
      <c r="K646" s="5" t="s">
        <v>775</v>
      </c>
      <c r="L646" s="5" t="s">
        <v>39</v>
      </c>
      <c r="M646" s="5" t="s">
        <v>56</v>
      </c>
      <c r="N646" s="5" t="s">
        <v>37</v>
      </c>
      <c r="O646" s="5" t="s">
        <v>39</v>
      </c>
      <c r="P646" s="5" t="s">
        <v>38</v>
      </c>
      <c r="Q646" s="5" t="s">
        <v>38</v>
      </c>
      <c r="R646" s="5" t="s">
        <v>39</v>
      </c>
      <c r="S646" s="5" t="s">
        <v>41</v>
      </c>
      <c r="T646" s="5" t="s">
        <v>6930</v>
      </c>
      <c r="U646" s="5" t="s">
        <v>6931</v>
      </c>
      <c r="V646" s="5" t="s">
        <v>6450</v>
      </c>
      <c r="W646" s="5" t="s">
        <v>6932</v>
      </c>
      <c r="X646" s="5"/>
      <c r="Y646" s="5"/>
      <c r="Z646" s="5" t="s">
        <v>46</v>
      </c>
      <c r="AA646" s="5" t="s">
        <v>6457</v>
      </c>
      <c r="AB646" s="5" t="s">
        <v>5658</v>
      </c>
      <c r="AC646" s="7">
        <v>1</v>
      </c>
      <c r="AD646" t="str">
        <f>VLOOKUP($T646,[1]NhanSu!$C$5:$M$229,11,0)</f>
        <v>SM0000108</v>
      </c>
    </row>
    <row r="647" spans="1:30" x14ac:dyDescent="0.45">
      <c r="A647" s="8" t="s">
        <v>6444</v>
      </c>
      <c r="B647" s="4">
        <v>199</v>
      </c>
      <c r="C647" s="4" t="s">
        <v>7035</v>
      </c>
      <c r="D647" s="4" t="s">
        <v>7036</v>
      </c>
      <c r="E647" s="4" t="s">
        <v>223</v>
      </c>
      <c r="F647" s="4" t="s">
        <v>53</v>
      </c>
      <c r="G647" s="4" t="s">
        <v>34</v>
      </c>
      <c r="H647" s="4" t="s">
        <v>1731</v>
      </c>
      <c r="I647" s="4"/>
      <c r="J647" s="4" t="s">
        <v>37</v>
      </c>
      <c r="K647" s="4" t="s">
        <v>56</v>
      </c>
      <c r="L647" s="4" t="s">
        <v>39</v>
      </c>
      <c r="M647" s="4" t="s">
        <v>56</v>
      </c>
      <c r="N647" s="4" t="s">
        <v>56</v>
      </c>
      <c r="O647" s="4" t="s">
        <v>39</v>
      </c>
      <c r="P647" s="4" t="s">
        <v>37</v>
      </c>
      <c r="Q647" s="4" t="s">
        <v>56</v>
      </c>
      <c r="R647" s="4" t="s">
        <v>39</v>
      </c>
      <c r="S647" s="4" t="s">
        <v>41</v>
      </c>
      <c r="T647" s="4" t="s">
        <v>6991</v>
      </c>
      <c r="U647" s="4" t="s">
        <v>6992</v>
      </c>
      <c r="V647" s="4" t="s">
        <v>6450</v>
      </c>
      <c r="W647" s="4" t="s">
        <v>6932</v>
      </c>
      <c r="X647" s="4"/>
      <c r="Y647" s="4"/>
      <c r="Z647" s="4" t="s">
        <v>46</v>
      </c>
      <c r="AA647" s="4" t="s">
        <v>6457</v>
      </c>
      <c r="AB647" s="4" t="s">
        <v>3109</v>
      </c>
      <c r="AC647" s="9">
        <v>1</v>
      </c>
      <c r="AD647" t="str">
        <f>VLOOKUP($T647,[1]NhanSu!$C$5:$M$229,11,0)</f>
        <v>SM0000110</v>
      </c>
    </row>
    <row r="648" spans="1:30" x14ac:dyDescent="0.45">
      <c r="A648" s="6" t="s">
        <v>6444</v>
      </c>
      <c r="B648" s="5">
        <v>201</v>
      </c>
      <c r="C648" s="5" t="s">
        <v>7040</v>
      </c>
      <c r="D648" s="5" t="s">
        <v>7041</v>
      </c>
      <c r="E648" s="5" t="s">
        <v>142</v>
      </c>
      <c r="F648" s="5" t="s">
        <v>7042</v>
      </c>
      <c r="G648" s="5" t="s">
        <v>34</v>
      </c>
      <c r="H648" s="5" t="s">
        <v>319</v>
      </c>
      <c r="I648" s="5" t="s">
        <v>7043</v>
      </c>
      <c r="J648" s="5" t="s">
        <v>38</v>
      </c>
      <c r="K648" s="5" t="s">
        <v>37</v>
      </c>
      <c r="L648" s="5" t="s">
        <v>40</v>
      </c>
      <c r="M648" s="5" t="s">
        <v>37</v>
      </c>
      <c r="N648" s="5" t="s">
        <v>37</v>
      </c>
      <c r="O648" s="5" t="s">
        <v>39</v>
      </c>
      <c r="P648" s="5" t="s">
        <v>38</v>
      </c>
      <c r="Q648" s="5" t="s">
        <v>38</v>
      </c>
      <c r="R648" s="5" t="s">
        <v>40</v>
      </c>
      <c r="S648" s="5" t="s">
        <v>7044</v>
      </c>
      <c r="T648" s="5" t="s">
        <v>6930</v>
      </c>
      <c r="U648" s="5" t="s">
        <v>6931</v>
      </c>
      <c r="V648" s="5" t="s">
        <v>6450</v>
      </c>
      <c r="W648" s="5" t="s">
        <v>6932</v>
      </c>
      <c r="X648" s="5"/>
      <c r="Y648" s="5"/>
      <c r="Z648" s="5" t="s">
        <v>46</v>
      </c>
      <c r="AA648" s="5" t="s">
        <v>6951</v>
      </c>
      <c r="AB648" s="5" t="s">
        <v>4223</v>
      </c>
      <c r="AC648" s="7">
        <v>1</v>
      </c>
      <c r="AD648" t="str">
        <f>VLOOKUP($T648,[1]NhanSu!$C$5:$M$229,11,0)</f>
        <v>SM0000108</v>
      </c>
    </row>
    <row r="649" spans="1:30" x14ac:dyDescent="0.45">
      <c r="A649" s="8" t="s">
        <v>6444</v>
      </c>
      <c r="B649" s="4">
        <v>203</v>
      </c>
      <c r="C649" s="4" t="s">
        <v>7049</v>
      </c>
      <c r="D649" s="4" t="s">
        <v>7050</v>
      </c>
      <c r="E649" s="4" t="s">
        <v>113</v>
      </c>
      <c r="F649" s="4" t="s">
        <v>417</v>
      </c>
      <c r="G649" s="4" t="s">
        <v>34</v>
      </c>
      <c r="H649" s="4" t="s">
        <v>1280</v>
      </c>
      <c r="I649" s="4" t="s">
        <v>6460</v>
      </c>
      <c r="J649" s="4" t="s">
        <v>37</v>
      </c>
      <c r="K649" s="4" t="s">
        <v>37</v>
      </c>
      <c r="L649" s="4" t="s">
        <v>39</v>
      </c>
      <c r="M649" s="4" t="s">
        <v>56</v>
      </c>
      <c r="N649" s="4" t="s">
        <v>56</v>
      </c>
      <c r="O649" s="4" t="s">
        <v>39</v>
      </c>
      <c r="P649" s="4" t="s">
        <v>37</v>
      </c>
      <c r="Q649" s="4" t="s">
        <v>37</v>
      </c>
      <c r="R649" s="4" t="s">
        <v>39</v>
      </c>
      <c r="S649" s="4" t="s">
        <v>7051</v>
      </c>
      <c r="T649" s="4" t="s">
        <v>6930</v>
      </c>
      <c r="U649" s="4" t="s">
        <v>6931</v>
      </c>
      <c r="V649" s="4" t="s">
        <v>6450</v>
      </c>
      <c r="W649" s="4" t="s">
        <v>6932</v>
      </c>
      <c r="X649" s="4"/>
      <c r="Y649" s="4"/>
      <c r="Z649" s="4" t="s">
        <v>46</v>
      </c>
      <c r="AA649" s="4" t="s">
        <v>6951</v>
      </c>
      <c r="AB649" s="4" t="s">
        <v>4223</v>
      </c>
      <c r="AC649" s="9">
        <v>1</v>
      </c>
      <c r="AD649" t="str">
        <f>VLOOKUP($T649,[1]NhanSu!$C$5:$M$229,11,0)</f>
        <v>SM0000108</v>
      </c>
    </row>
    <row r="650" spans="1:30" x14ac:dyDescent="0.45">
      <c r="A650" s="6" t="s">
        <v>6444</v>
      </c>
      <c r="B650" s="5">
        <v>204</v>
      </c>
      <c r="C650" s="5" t="s">
        <v>7052</v>
      </c>
      <c r="D650" s="5" t="s">
        <v>7053</v>
      </c>
      <c r="E650" s="5" t="s">
        <v>91</v>
      </c>
      <c r="F650" s="5" t="s">
        <v>1279</v>
      </c>
      <c r="G650" s="5" t="s">
        <v>34</v>
      </c>
      <c r="H650" s="5" t="s">
        <v>2952</v>
      </c>
      <c r="I650" s="5" t="s">
        <v>7054</v>
      </c>
      <c r="J650" s="5" t="s">
        <v>37</v>
      </c>
      <c r="K650" s="5" t="s">
        <v>37</v>
      </c>
      <c r="L650" s="5" t="s">
        <v>40</v>
      </c>
      <c r="M650" s="5" t="s">
        <v>37</v>
      </c>
      <c r="N650" s="5" t="s">
        <v>56</v>
      </c>
      <c r="O650" s="5" t="s">
        <v>39</v>
      </c>
      <c r="P650" s="5" t="s">
        <v>37</v>
      </c>
      <c r="Q650" s="5" t="s">
        <v>37</v>
      </c>
      <c r="R650" s="5" t="s">
        <v>40</v>
      </c>
      <c r="S650" s="5" t="s">
        <v>7055</v>
      </c>
      <c r="T650" s="5" t="s">
        <v>6930</v>
      </c>
      <c r="U650" s="5" t="s">
        <v>6931</v>
      </c>
      <c r="V650" s="5" t="s">
        <v>6450</v>
      </c>
      <c r="W650" s="5" t="s">
        <v>6932</v>
      </c>
      <c r="X650" s="5"/>
      <c r="Y650" s="5"/>
      <c r="Z650" s="5" t="s">
        <v>46</v>
      </c>
      <c r="AA650" s="5" t="s">
        <v>6951</v>
      </c>
      <c r="AB650" s="5" t="s">
        <v>3109</v>
      </c>
      <c r="AC650" s="7">
        <v>1</v>
      </c>
      <c r="AD650" t="str">
        <f>VLOOKUP($T650,[1]NhanSu!$C$5:$M$229,11,0)</f>
        <v>SM0000108</v>
      </c>
    </row>
    <row r="651" spans="1:30" x14ac:dyDescent="0.45">
      <c r="A651" s="8" t="s">
        <v>6444</v>
      </c>
      <c r="B651" s="4">
        <v>205</v>
      </c>
      <c r="C651" s="4" t="s">
        <v>7056</v>
      </c>
      <c r="D651" s="4" t="s">
        <v>7057</v>
      </c>
      <c r="E651" s="4" t="s">
        <v>64</v>
      </c>
      <c r="F651" s="4" t="s">
        <v>166</v>
      </c>
      <c r="G651" s="4" t="s">
        <v>177</v>
      </c>
      <c r="H651" s="4" t="s">
        <v>54</v>
      </c>
      <c r="I651" s="4" t="s">
        <v>6935</v>
      </c>
      <c r="J651" s="4" t="s">
        <v>775</v>
      </c>
      <c r="K651" s="4" t="s">
        <v>56</v>
      </c>
      <c r="L651" s="4" t="s">
        <v>39</v>
      </c>
      <c r="M651" s="4" t="s">
        <v>38</v>
      </c>
      <c r="N651" s="4" t="s">
        <v>38</v>
      </c>
      <c r="O651" s="4" t="s">
        <v>39</v>
      </c>
      <c r="P651" s="4" t="s">
        <v>38</v>
      </c>
      <c r="Q651" s="4" t="s">
        <v>38</v>
      </c>
      <c r="R651" s="4" t="s">
        <v>39</v>
      </c>
      <c r="S651" s="4" t="s">
        <v>41</v>
      </c>
      <c r="T651" s="4" t="s">
        <v>6930</v>
      </c>
      <c r="U651" s="4" t="s">
        <v>6931</v>
      </c>
      <c r="V651" s="4" t="s">
        <v>6450</v>
      </c>
      <c r="W651" s="4" t="s">
        <v>6932</v>
      </c>
      <c r="X651" s="4"/>
      <c r="Y651" s="4"/>
      <c r="Z651" s="4" t="s">
        <v>46</v>
      </c>
      <c r="AA651" s="4" t="s">
        <v>6951</v>
      </c>
      <c r="AB651" s="4" t="s">
        <v>3109</v>
      </c>
      <c r="AC651" s="9">
        <v>1</v>
      </c>
      <c r="AD651" t="str">
        <f>VLOOKUP($T651,[1]NhanSu!$C$5:$M$229,11,0)</f>
        <v>SM0000108</v>
      </c>
    </row>
    <row r="652" spans="1:30" x14ac:dyDescent="0.45">
      <c r="A652" s="6" t="s">
        <v>6444</v>
      </c>
      <c r="B652" s="5">
        <v>207</v>
      </c>
      <c r="C652" s="5" t="s">
        <v>7060</v>
      </c>
      <c r="D652" s="5" t="s">
        <v>7061</v>
      </c>
      <c r="E652" s="5" t="s">
        <v>98</v>
      </c>
      <c r="F652" s="5" t="s">
        <v>401</v>
      </c>
      <c r="G652" s="5" t="s">
        <v>177</v>
      </c>
      <c r="H652" s="5" t="s">
        <v>54</v>
      </c>
      <c r="I652" s="5" t="s">
        <v>6946</v>
      </c>
      <c r="J652" s="5" t="s">
        <v>775</v>
      </c>
      <c r="K652" s="5" t="s">
        <v>56</v>
      </c>
      <c r="L652" s="5" t="s">
        <v>39</v>
      </c>
      <c r="M652" s="5" t="s">
        <v>38</v>
      </c>
      <c r="N652" s="5" t="s">
        <v>38</v>
      </c>
      <c r="O652" s="5" t="s">
        <v>39</v>
      </c>
      <c r="P652" s="5" t="s">
        <v>38</v>
      </c>
      <c r="Q652" s="5" t="s">
        <v>38</v>
      </c>
      <c r="R652" s="5" t="s">
        <v>39</v>
      </c>
      <c r="S652" s="5" t="s">
        <v>41</v>
      </c>
      <c r="T652" s="5" t="s">
        <v>6930</v>
      </c>
      <c r="U652" s="5" t="s">
        <v>6931</v>
      </c>
      <c r="V652" s="5" t="s">
        <v>6450</v>
      </c>
      <c r="W652" s="5" t="s">
        <v>6932</v>
      </c>
      <c r="X652" s="5"/>
      <c r="Y652" s="5"/>
      <c r="Z652" s="5" t="s">
        <v>46</v>
      </c>
      <c r="AA652" s="5" t="s">
        <v>6951</v>
      </c>
      <c r="AB652" s="5" t="s">
        <v>4223</v>
      </c>
      <c r="AC652" s="7">
        <v>1</v>
      </c>
      <c r="AD652" t="str">
        <f>VLOOKUP($T652,[1]NhanSu!$C$5:$M$229,11,0)</f>
        <v>SM0000108</v>
      </c>
    </row>
    <row r="653" spans="1:30" x14ac:dyDescent="0.45">
      <c r="A653" s="8" t="s">
        <v>6444</v>
      </c>
      <c r="B653" s="4">
        <v>209</v>
      </c>
      <c r="C653" s="4" t="s">
        <v>7064</v>
      </c>
      <c r="D653" s="4" t="s">
        <v>7065</v>
      </c>
      <c r="E653" s="4" t="s">
        <v>455</v>
      </c>
      <c r="F653" s="4" t="s">
        <v>1754</v>
      </c>
      <c r="G653" s="4" t="s">
        <v>34</v>
      </c>
      <c r="H653" s="4" t="s">
        <v>54</v>
      </c>
      <c r="I653" s="4" t="s">
        <v>6954</v>
      </c>
      <c r="J653" s="4" t="s">
        <v>56</v>
      </c>
      <c r="K653" s="4" t="s">
        <v>775</v>
      </c>
      <c r="L653" s="4" t="s">
        <v>39</v>
      </c>
      <c r="M653" s="4" t="s">
        <v>38</v>
      </c>
      <c r="N653" s="4" t="s">
        <v>38</v>
      </c>
      <c r="O653" s="4" t="s">
        <v>39</v>
      </c>
      <c r="P653" s="4" t="s">
        <v>38</v>
      </c>
      <c r="Q653" s="4" t="s">
        <v>38</v>
      </c>
      <c r="R653" s="4" t="s">
        <v>39</v>
      </c>
      <c r="S653" s="4" t="s">
        <v>41</v>
      </c>
      <c r="T653" s="4" t="s">
        <v>6930</v>
      </c>
      <c r="U653" s="4" t="s">
        <v>6931</v>
      </c>
      <c r="V653" s="4" t="s">
        <v>6450</v>
      </c>
      <c r="W653" s="4" t="s">
        <v>6932</v>
      </c>
      <c r="X653" s="4"/>
      <c r="Y653" s="4"/>
      <c r="Z653" s="4" t="s">
        <v>46</v>
      </c>
      <c r="AA653" s="4" t="s">
        <v>6951</v>
      </c>
      <c r="AB653" s="4" t="s">
        <v>4223</v>
      </c>
      <c r="AC653" s="9">
        <v>1</v>
      </c>
      <c r="AD653" t="str">
        <f>VLOOKUP($T653,[1]NhanSu!$C$5:$M$229,11,0)</f>
        <v>SM0000108</v>
      </c>
    </row>
    <row r="654" spans="1:30" x14ac:dyDescent="0.45">
      <c r="A654" s="6" t="s">
        <v>6444</v>
      </c>
      <c r="B654" s="5">
        <v>211</v>
      </c>
      <c r="C654" s="5" t="s">
        <v>7068</v>
      </c>
      <c r="D654" s="5" t="s">
        <v>7069</v>
      </c>
      <c r="E654" s="5" t="s">
        <v>323</v>
      </c>
      <c r="F654" s="5" t="s">
        <v>1914</v>
      </c>
      <c r="G654" s="5" t="s">
        <v>34</v>
      </c>
      <c r="H654" s="5" t="s">
        <v>4335</v>
      </c>
      <c r="I654" s="5"/>
      <c r="J654" s="5" t="s">
        <v>56</v>
      </c>
      <c r="K654" s="5" t="s">
        <v>37</v>
      </c>
      <c r="L654" s="5" t="s">
        <v>39</v>
      </c>
      <c r="M654" s="5" t="s">
        <v>37</v>
      </c>
      <c r="N654" s="5" t="s">
        <v>56</v>
      </c>
      <c r="O654" s="5" t="s">
        <v>39</v>
      </c>
      <c r="P654" s="5" t="s">
        <v>37</v>
      </c>
      <c r="Q654" s="5" t="s">
        <v>56</v>
      </c>
      <c r="R654" s="5" t="s">
        <v>39</v>
      </c>
      <c r="S654" s="5" t="s">
        <v>41</v>
      </c>
      <c r="T654" s="5" t="s">
        <v>6991</v>
      </c>
      <c r="U654" s="5" t="s">
        <v>6992</v>
      </c>
      <c r="V654" s="5" t="s">
        <v>6450</v>
      </c>
      <c r="W654" s="5" t="s">
        <v>6932</v>
      </c>
      <c r="X654" s="5"/>
      <c r="Y654" s="5"/>
      <c r="Z654" s="5" t="s">
        <v>46</v>
      </c>
      <c r="AA654" s="5" t="s">
        <v>6951</v>
      </c>
      <c r="AB654" s="5"/>
      <c r="AC654" s="7">
        <v>1</v>
      </c>
      <c r="AD654" t="str">
        <f>VLOOKUP($T654,[1]NhanSu!$C$5:$M$229,11,0)</f>
        <v>SM0000110</v>
      </c>
    </row>
    <row r="655" spans="1:30" x14ac:dyDescent="0.45">
      <c r="A655" s="8" t="s">
        <v>6444</v>
      </c>
      <c r="B655" s="4">
        <v>212</v>
      </c>
      <c r="C655" s="4" t="s">
        <v>7070</v>
      </c>
      <c r="D655" s="4" t="s">
        <v>7071</v>
      </c>
      <c r="E655" s="4" t="s">
        <v>7072</v>
      </c>
      <c r="F655" s="4" t="s">
        <v>7073</v>
      </c>
      <c r="G655" s="4" t="s">
        <v>177</v>
      </c>
      <c r="H655" s="4" t="s">
        <v>54</v>
      </c>
      <c r="I655" s="4" t="s">
        <v>6954</v>
      </c>
      <c r="J655" s="4" t="s">
        <v>56</v>
      </c>
      <c r="K655" s="4" t="s">
        <v>775</v>
      </c>
      <c r="L655" s="4" t="s">
        <v>39</v>
      </c>
      <c r="M655" s="4" t="s">
        <v>38</v>
      </c>
      <c r="N655" s="4" t="s">
        <v>38</v>
      </c>
      <c r="O655" s="4" t="s">
        <v>39</v>
      </c>
      <c r="P655" s="4" t="s">
        <v>38</v>
      </c>
      <c r="Q655" s="4" t="s">
        <v>38</v>
      </c>
      <c r="R655" s="4" t="s">
        <v>39</v>
      </c>
      <c r="S655" s="4" t="s">
        <v>41</v>
      </c>
      <c r="T655" s="4" t="s">
        <v>6930</v>
      </c>
      <c r="U655" s="4" t="s">
        <v>6931</v>
      </c>
      <c r="V655" s="4" t="s">
        <v>6450</v>
      </c>
      <c r="W655" s="4" t="s">
        <v>6932</v>
      </c>
      <c r="X655" s="4"/>
      <c r="Y655" s="4"/>
      <c r="Z655" s="4" t="s">
        <v>46</v>
      </c>
      <c r="AA655" s="4" t="s">
        <v>6951</v>
      </c>
      <c r="AB655" s="4" t="s">
        <v>4223</v>
      </c>
      <c r="AC655" s="9">
        <v>1</v>
      </c>
      <c r="AD655" t="str">
        <f>VLOOKUP($T655,[1]NhanSu!$C$5:$M$229,11,0)</f>
        <v>SM0000108</v>
      </c>
    </row>
    <row r="656" spans="1:30" x14ac:dyDescent="0.45">
      <c r="A656" s="6" t="s">
        <v>6444</v>
      </c>
      <c r="B656" s="5">
        <v>213</v>
      </c>
      <c r="C656" s="5" t="s">
        <v>7074</v>
      </c>
      <c r="D656" s="5" t="s">
        <v>7075</v>
      </c>
      <c r="E656" s="5" t="s">
        <v>181</v>
      </c>
      <c r="F656" s="5" t="s">
        <v>166</v>
      </c>
      <c r="G656" s="5" t="s">
        <v>34</v>
      </c>
      <c r="H656" s="5" t="s">
        <v>340</v>
      </c>
      <c r="I656" s="5"/>
      <c r="J656" s="5" t="s">
        <v>56</v>
      </c>
      <c r="K656" s="5" t="s">
        <v>56</v>
      </c>
      <c r="L656" s="5" t="s">
        <v>39</v>
      </c>
      <c r="M656" s="5" t="s">
        <v>56</v>
      </c>
      <c r="N656" s="5" t="s">
        <v>56</v>
      </c>
      <c r="O656" s="5" t="s">
        <v>39</v>
      </c>
      <c r="P656" s="5" t="s">
        <v>56</v>
      </c>
      <c r="Q656" s="5" t="s">
        <v>56</v>
      </c>
      <c r="R656" s="5" t="s">
        <v>39</v>
      </c>
      <c r="S656" s="5" t="s">
        <v>41</v>
      </c>
      <c r="T656" s="5" t="s">
        <v>6991</v>
      </c>
      <c r="U656" s="5" t="s">
        <v>6992</v>
      </c>
      <c r="V656" s="5" t="s">
        <v>6450</v>
      </c>
      <c r="W656" s="5" t="s">
        <v>6932</v>
      </c>
      <c r="X656" s="5"/>
      <c r="Y656" s="5"/>
      <c r="Z656" s="5" t="s">
        <v>46</v>
      </c>
      <c r="AA656" s="5" t="s">
        <v>6951</v>
      </c>
      <c r="AB656" s="5" t="s">
        <v>3109</v>
      </c>
      <c r="AC656" s="7">
        <v>1</v>
      </c>
      <c r="AD656" t="str">
        <f>VLOOKUP($T656,[1]NhanSu!$C$5:$M$229,11,0)</f>
        <v>SM0000110</v>
      </c>
    </row>
    <row r="657" spans="1:30" x14ac:dyDescent="0.45">
      <c r="A657" s="8" t="s">
        <v>6444</v>
      </c>
      <c r="B657" s="4">
        <v>214</v>
      </c>
      <c r="C657" s="4" t="s">
        <v>7076</v>
      </c>
      <c r="D657" s="4" t="s">
        <v>196</v>
      </c>
      <c r="E657" s="4" t="s">
        <v>1964</v>
      </c>
      <c r="F657" s="4" t="s">
        <v>7077</v>
      </c>
      <c r="G657" s="4" t="s">
        <v>177</v>
      </c>
      <c r="H657" s="4" t="s">
        <v>54</v>
      </c>
      <c r="I657" s="4" t="s">
        <v>7078</v>
      </c>
      <c r="J657" s="4" t="s">
        <v>775</v>
      </c>
      <c r="K657" s="4" t="s">
        <v>56</v>
      </c>
      <c r="L657" s="4" t="s">
        <v>39</v>
      </c>
      <c r="M657" s="4" t="s">
        <v>38</v>
      </c>
      <c r="N657" s="4" t="s">
        <v>38</v>
      </c>
      <c r="O657" s="4" t="s">
        <v>39</v>
      </c>
      <c r="P657" s="4" t="s">
        <v>38</v>
      </c>
      <c r="Q657" s="4" t="s">
        <v>38</v>
      </c>
      <c r="R657" s="4" t="s">
        <v>39</v>
      </c>
      <c r="S657" s="4" t="s">
        <v>41</v>
      </c>
      <c r="T657" s="4" t="s">
        <v>6930</v>
      </c>
      <c r="U657" s="4" t="s">
        <v>6931</v>
      </c>
      <c r="V657" s="4" t="s">
        <v>6450</v>
      </c>
      <c r="W657" s="4" t="s">
        <v>6932</v>
      </c>
      <c r="X657" s="4"/>
      <c r="Y657" s="4"/>
      <c r="Z657" s="4" t="s">
        <v>46</v>
      </c>
      <c r="AA657" s="4" t="s">
        <v>6951</v>
      </c>
      <c r="AB657" s="4" t="s">
        <v>3101</v>
      </c>
      <c r="AC657" s="9">
        <v>1</v>
      </c>
      <c r="AD657" t="str">
        <f>VLOOKUP($T657,[1]NhanSu!$C$5:$M$229,11,0)</f>
        <v>SM0000108</v>
      </c>
    </row>
    <row r="658" spans="1:30" x14ac:dyDescent="0.45">
      <c r="A658" s="6" t="s">
        <v>6444</v>
      </c>
      <c r="B658" s="5">
        <v>215</v>
      </c>
      <c r="C658" s="5" t="s">
        <v>7079</v>
      </c>
      <c r="D658" s="5" t="s">
        <v>7080</v>
      </c>
      <c r="E658" s="5" t="s">
        <v>113</v>
      </c>
      <c r="F658" s="5" t="s">
        <v>7081</v>
      </c>
      <c r="G658" s="5" t="s">
        <v>34</v>
      </c>
      <c r="H658" s="5" t="s">
        <v>54</v>
      </c>
      <c r="I658" s="5" t="s">
        <v>7082</v>
      </c>
      <c r="J658" s="5" t="s">
        <v>38</v>
      </c>
      <c r="K658" s="5" t="s">
        <v>37</v>
      </c>
      <c r="L658" s="5" t="s">
        <v>39</v>
      </c>
      <c r="M658" s="5" t="s">
        <v>56</v>
      </c>
      <c r="N658" s="5" t="s">
        <v>56</v>
      </c>
      <c r="O658" s="5" t="s">
        <v>39</v>
      </c>
      <c r="P658" s="5" t="s">
        <v>38</v>
      </c>
      <c r="Q658" s="5" t="s">
        <v>38</v>
      </c>
      <c r="R658" s="5" t="s">
        <v>39</v>
      </c>
      <c r="S658" s="5" t="s">
        <v>41</v>
      </c>
      <c r="T658" s="5" t="s">
        <v>6930</v>
      </c>
      <c r="U658" s="5" t="s">
        <v>6931</v>
      </c>
      <c r="V658" s="5" t="s">
        <v>6450</v>
      </c>
      <c r="W658" s="5" t="s">
        <v>6932</v>
      </c>
      <c r="X658" s="5"/>
      <c r="Y658" s="5"/>
      <c r="Z658" s="5" t="s">
        <v>46</v>
      </c>
      <c r="AA658" s="5" t="s">
        <v>6951</v>
      </c>
      <c r="AB658" s="5" t="s">
        <v>3109</v>
      </c>
      <c r="AC658" s="7">
        <v>1</v>
      </c>
      <c r="AD658" t="str">
        <f>VLOOKUP($T658,[1]NhanSu!$C$5:$M$229,11,0)</f>
        <v>SM0000108</v>
      </c>
    </row>
    <row r="659" spans="1:30" x14ac:dyDescent="0.45">
      <c r="A659" s="8" t="s">
        <v>6444</v>
      </c>
      <c r="B659" s="4">
        <v>216</v>
      </c>
      <c r="C659" s="4" t="s">
        <v>7083</v>
      </c>
      <c r="D659" s="4" t="s">
        <v>7022</v>
      </c>
      <c r="E659" s="4" t="s">
        <v>771</v>
      </c>
      <c r="F659" s="4" t="s">
        <v>1981</v>
      </c>
      <c r="G659" s="4" t="s">
        <v>34</v>
      </c>
      <c r="H659" s="4" t="s">
        <v>685</v>
      </c>
      <c r="I659" s="4"/>
      <c r="J659" s="4" t="s">
        <v>56</v>
      </c>
      <c r="K659" s="4" t="s">
        <v>56</v>
      </c>
      <c r="L659" s="4" t="s">
        <v>39</v>
      </c>
      <c r="M659" s="4" t="s">
        <v>56</v>
      </c>
      <c r="N659" s="4" t="s">
        <v>56</v>
      </c>
      <c r="O659" s="4" t="s">
        <v>39</v>
      </c>
      <c r="P659" s="4" t="s">
        <v>56</v>
      </c>
      <c r="Q659" s="4" t="s">
        <v>56</v>
      </c>
      <c r="R659" s="4" t="s">
        <v>39</v>
      </c>
      <c r="S659" s="4" t="s">
        <v>41</v>
      </c>
      <c r="T659" s="4" t="s">
        <v>6991</v>
      </c>
      <c r="U659" s="4" t="s">
        <v>6992</v>
      </c>
      <c r="V659" s="4" t="s">
        <v>6450</v>
      </c>
      <c r="W659" s="4" t="s">
        <v>6932</v>
      </c>
      <c r="X659" s="4"/>
      <c r="Y659" s="4"/>
      <c r="Z659" s="4" t="s">
        <v>46</v>
      </c>
      <c r="AA659" s="4" t="s">
        <v>6951</v>
      </c>
      <c r="AB659" s="4" t="s">
        <v>4223</v>
      </c>
      <c r="AC659" s="9">
        <v>1</v>
      </c>
      <c r="AD659" t="str">
        <f>VLOOKUP($T659,[1]NhanSu!$C$5:$M$229,11,0)</f>
        <v>SM0000110</v>
      </c>
    </row>
    <row r="660" spans="1:30" x14ac:dyDescent="0.45">
      <c r="A660" s="6" t="s">
        <v>6444</v>
      </c>
      <c r="B660" s="5">
        <v>217</v>
      </c>
      <c r="C660" s="5" t="s">
        <v>7084</v>
      </c>
      <c r="D660" s="5" t="s">
        <v>7071</v>
      </c>
      <c r="E660" s="5" t="s">
        <v>1360</v>
      </c>
      <c r="F660" s="5" t="s">
        <v>33</v>
      </c>
      <c r="G660" s="5" t="s">
        <v>34</v>
      </c>
      <c r="H660" s="5" t="s">
        <v>4689</v>
      </c>
      <c r="I660" s="5"/>
      <c r="J660" s="5" t="s">
        <v>56</v>
      </c>
      <c r="K660" s="5" t="s">
        <v>56</v>
      </c>
      <c r="L660" s="5" t="s">
        <v>39</v>
      </c>
      <c r="M660" s="5" t="s">
        <v>37</v>
      </c>
      <c r="N660" s="5" t="s">
        <v>37</v>
      </c>
      <c r="O660" s="5" t="s">
        <v>39</v>
      </c>
      <c r="P660" s="5" t="s">
        <v>56</v>
      </c>
      <c r="Q660" s="5" t="s">
        <v>56</v>
      </c>
      <c r="R660" s="5" t="s">
        <v>39</v>
      </c>
      <c r="S660" s="5" t="s">
        <v>41</v>
      </c>
      <c r="T660" s="5" t="s">
        <v>6991</v>
      </c>
      <c r="U660" s="5" t="s">
        <v>6992</v>
      </c>
      <c r="V660" s="5" t="s">
        <v>6450</v>
      </c>
      <c r="W660" s="5" t="s">
        <v>6932</v>
      </c>
      <c r="X660" s="5"/>
      <c r="Y660" s="5"/>
      <c r="Z660" s="5" t="s">
        <v>46</v>
      </c>
      <c r="AA660" s="5" t="s">
        <v>6457</v>
      </c>
      <c r="AB660" s="5" t="s">
        <v>5658</v>
      </c>
      <c r="AC660" s="7">
        <v>1</v>
      </c>
      <c r="AD660" t="str">
        <f>VLOOKUP($T660,[1]NhanSu!$C$5:$M$229,11,0)</f>
        <v>SM0000110</v>
      </c>
    </row>
    <row r="661" spans="1:30" x14ac:dyDescent="0.45">
      <c r="A661" s="8" t="s">
        <v>6444</v>
      </c>
      <c r="B661" s="4">
        <v>218</v>
      </c>
      <c r="C661" s="4" t="s">
        <v>7085</v>
      </c>
      <c r="D661" s="4" t="s">
        <v>7086</v>
      </c>
      <c r="E661" s="4" t="s">
        <v>674</v>
      </c>
      <c r="F661" s="4" t="s">
        <v>417</v>
      </c>
      <c r="G661" s="4" t="s">
        <v>177</v>
      </c>
      <c r="H661" s="4" t="s">
        <v>1658</v>
      </c>
      <c r="I661" s="4" t="s">
        <v>7087</v>
      </c>
      <c r="J661" s="4" t="s">
        <v>37</v>
      </c>
      <c r="K661" s="4" t="s">
        <v>775</v>
      </c>
      <c r="L661" s="4" t="s">
        <v>39</v>
      </c>
      <c r="M661" s="4" t="s">
        <v>37</v>
      </c>
      <c r="N661" s="4" t="s">
        <v>775</v>
      </c>
      <c r="O661" s="4" t="s">
        <v>39</v>
      </c>
      <c r="P661" s="4" t="s">
        <v>38</v>
      </c>
      <c r="Q661" s="4" t="s">
        <v>56</v>
      </c>
      <c r="R661" s="4" t="s">
        <v>39</v>
      </c>
      <c r="S661" s="4" t="s">
        <v>7088</v>
      </c>
      <c r="T661" s="4" t="s">
        <v>6930</v>
      </c>
      <c r="U661" s="4" t="s">
        <v>6931</v>
      </c>
      <c r="V661" s="4" t="s">
        <v>6450</v>
      </c>
      <c r="W661" s="4" t="s">
        <v>6932</v>
      </c>
      <c r="X661" s="4"/>
      <c r="Y661" s="4"/>
      <c r="Z661" s="4" t="s">
        <v>46</v>
      </c>
      <c r="AA661" s="4" t="s">
        <v>6457</v>
      </c>
      <c r="AB661" s="4" t="s">
        <v>3109</v>
      </c>
      <c r="AC661" s="9">
        <v>1</v>
      </c>
      <c r="AD661" t="str">
        <f>VLOOKUP($T661,[1]NhanSu!$C$5:$M$229,11,0)</f>
        <v>SM0000108</v>
      </c>
    </row>
    <row r="662" spans="1:30" x14ac:dyDescent="0.45">
      <c r="A662" s="6" t="s">
        <v>6444</v>
      </c>
      <c r="B662" s="5">
        <v>219</v>
      </c>
      <c r="C662" s="5" t="s">
        <v>7089</v>
      </c>
      <c r="D662" s="5" t="s">
        <v>7090</v>
      </c>
      <c r="E662" s="5" t="s">
        <v>529</v>
      </c>
      <c r="F662" s="5" t="s">
        <v>115</v>
      </c>
      <c r="G662" s="5" t="s">
        <v>177</v>
      </c>
      <c r="H662" s="5" t="s">
        <v>2426</v>
      </c>
      <c r="I662" s="5" t="s">
        <v>7091</v>
      </c>
      <c r="J662" s="5" t="s">
        <v>775</v>
      </c>
      <c r="K662" s="5" t="s">
        <v>56</v>
      </c>
      <c r="L662" s="5" t="s">
        <v>39</v>
      </c>
      <c r="M662" s="5" t="s">
        <v>775</v>
      </c>
      <c r="N662" s="5" t="s">
        <v>56</v>
      </c>
      <c r="O662" s="5" t="s">
        <v>39</v>
      </c>
      <c r="P662" s="5" t="s">
        <v>38</v>
      </c>
      <c r="Q662" s="5" t="s">
        <v>37</v>
      </c>
      <c r="R662" s="5" t="s">
        <v>39</v>
      </c>
      <c r="S662" s="5" t="s">
        <v>7092</v>
      </c>
      <c r="T662" s="5" t="s">
        <v>6930</v>
      </c>
      <c r="U662" s="5" t="s">
        <v>6931</v>
      </c>
      <c r="V662" s="5" t="s">
        <v>6450</v>
      </c>
      <c r="W662" s="5" t="s">
        <v>6932</v>
      </c>
      <c r="X662" s="5"/>
      <c r="Y662" s="5"/>
      <c r="Z662" s="5" t="s">
        <v>46</v>
      </c>
      <c r="AA662" s="5" t="s">
        <v>6457</v>
      </c>
      <c r="AB662" s="5" t="s">
        <v>3109</v>
      </c>
      <c r="AC662" s="7">
        <v>1</v>
      </c>
      <c r="AD662" t="str">
        <f>VLOOKUP($T662,[1]NhanSu!$C$5:$M$229,11,0)</f>
        <v>SM0000108</v>
      </c>
    </row>
    <row r="663" spans="1:30" x14ac:dyDescent="0.45">
      <c r="A663" s="8" t="s">
        <v>6444</v>
      </c>
      <c r="B663" s="4">
        <v>220</v>
      </c>
      <c r="C663" s="4" t="s">
        <v>7093</v>
      </c>
      <c r="D663" s="4" t="s">
        <v>7094</v>
      </c>
      <c r="E663" s="4" t="s">
        <v>7095</v>
      </c>
      <c r="F663" s="4" t="s">
        <v>1887</v>
      </c>
      <c r="G663" s="4" t="s">
        <v>177</v>
      </c>
      <c r="H663" s="4" t="s">
        <v>1188</v>
      </c>
      <c r="I663" s="4" t="s">
        <v>7096</v>
      </c>
      <c r="J663" s="4" t="s">
        <v>37</v>
      </c>
      <c r="K663" s="4" t="s">
        <v>37</v>
      </c>
      <c r="L663" s="4" t="s">
        <v>39</v>
      </c>
      <c r="M663" s="4" t="s">
        <v>37</v>
      </c>
      <c r="N663" s="4" t="s">
        <v>37</v>
      </c>
      <c r="O663" s="4" t="s">
        <v>39</v>
      </c>
      <c r="P663" s="4" t="s">
        <v>37</v>
      </c>
      <c r="Q663" s="4" t="s">
        <v>37</v>
      </c>
      <c r="R663" s="4" t="s">
        <v>39</v>
      </c>
      <c r="S663" s="4" t="s">
        <v>7097</v>
      </c>
      <c r="T663" s="4" t="s">
        <v>7098</v>
      </c>
      <c r="U663" s="4" t="s">
        <v>7099</v>
      </c>
      <c r="V663" s="4" t="s">
        <v>6450</v>
      </c>
      <c r="W663" s="4" t="s">
        <v>7100</v>
      </c>
      <c r="X663" s="4"/>
      <c r="Y663" s="4"/>
      <c r="Z663" s="4" t="s">
        <v>46</v>
      </c>
      <c r="AA663" s="4" t="s">
        <v>7101</v>
      </c>
      <c r="AB663" s="4" t="s">
        <v>4223</v>
      </c>
      <c r="AC663" s="9">
        <v>1</v>
      </c>
      <c r="AD663" t="str">
        <f>VLOOKUP($T663,[1]NhanSu!$C$5:$M$229,11,0)</f>
        <v>SM0000141</v>
      </c>
    </row>
    <row r="664" spans="1:30" x14ac:dyDescent="0.45">
      <c r="A664" s="6" t="s">
        <v>6444</v>
      </c>
      <c r="B664" s="5">
        <v>222</v>
      </c>
      <c r="C664" s="5" t="s">
        <v>7107</v>
      </c>
      <c r="D664" s="5" t="s">
        <v>7108</v>
      </c>
      <c r="E664" s="5" t="s">
        <v>657</v>
      </c>
      <c r="F664" s="5" t="s">
        <v>7109</v>
      </c>
      <c r="G664" s="5" t="s">
        <v>34</v>
      </c>
      <c r="H664" s="5" t="s">
        <v>2251</v>
      </c>
      <c r="I664" s="5" t="s">
        <v>7110</v>
      </c>
      <c r="J664" s="5" t="s">
        <v>37</v>
      </c>
      <c r="K664" s="5" t="s">
        <v>37</v>
      </c>
      <c r="L664" s="5" t="s">
        <v>39</v>
      </c>
      <c r="M664" s="5" t="s">
        <v>37</v>
      </c>
      <c r="N664" s="5" t="s">
        <v>56</v>
      </c>
      <c r="O664" s="5" t="s">
        <v>39</v>
      </c>
      <c r="P664" s="5" t="s">
        <v>37</v>
      </c>
      <c r="Q664" s="5" t="s">
        <v>37</v>
      </c>
      <c r="R664" s="5" t="s">
        <v>39</v>
      </c>
      <c r="S664" s="5" t="s">
        <v>7111</v>
      </c>
      <c r="T664" s="5" t="s">
        <v>7112</v>
      </c>
      <c r="U664" s="5" t="s">
        <v>7106</v>
      </c>
      <c r="V664" s="5" t="s">
        <v>6450</v>
      </c>
      <c r="W664" s="5" t="s">
        <v>7100</v>
      </c>
      <c r="X664" s="5"/>
      <c r="Y664" s="5"/>
      <c r="Z664" s="5" t="s">
        <v>46</v>
      </c>
      <c r="AA664" s="5" t="s">
        <v>6457</v>
      </c>
      <c r="AB664" s="5" t="s">
        <v>4223</v>
      </c>
      <c r="AC664" s="7">
        <v>1</v>
      </c>
      <c r="AD664" t="str">
        <f>VLOOKUP($T664,[1]NhanSu!$C$5:$M$229,11,0)</f>
        <v>SM0000142</v>
      </c>
    </row>
    <row r="665" spans="1:30" x14ac:dyDescent="0.45">
      <c r="A665" s="8" t="s">
        <v>6444</v>
      </c>
      <c r="B665" s="4">
        <v>223</v>
      </c>
      <c r="C665" s="4" t="s">
        <v>7113</v>
      </c>
      <c r="D665" s="4" t="s">
        <v>7114</v>
      </c>
      <c r="E665" s="4" t="s">
        <v>7115</v>
      </c>
      <c r="F665" s="4" t="s">
        <v>325</v>
      </c>
      <c r="G665" s="4" t="s">
        <v>177</v>
      </c>
      <c r="H665" s="4" t="s">
        <v>917</v>
      </c>
      <c r="I665" s="4" t="s">
        <v>4989</v>
      </c>
      <c r="J665" s="4" t="s">
        <v>37</v>
      </c>
      <c r="K665" s="4" t="s">
        <v>37</v>
      </c>
      <c r="L665" s="4" t="s">
        <v>39</v>
      </c>
      <c r="M665" s="4" t="s">
        <v>56</v>
      </c>
      <c r="N665" s="4" t="s">
        <v>56</v>
      </c>
      <c r="O665" s="4" t="s">
        <v>39</v>
      </c>
      <c r="P665" s="4" t="s">
        <v>37</v>
      </c>
      <c r="Q665" s="4" t="s">
        <v>37</v>
      </c>
      <c r="R665" s="4" t="s">
        <v>39</v>
      </c>
      <c r="S665" s="4" t="s">
        <v>41</v>
      </c>
      <c r="T665" s="4" t="s">
        <v>7098</v>
      </c>
      <c r="U665" s="4" t="s">
        <v>7099</v>
      </c>
      <c r="V665" s="4" t="s">
        <v>6450</v>
      </c>
      <c r="W665" s="4" t="s">
        <v>7100</v>
      </c>
      <c r="X665" s="4"/>
      <c r="Y665" s="4"/>
      <c r="Z665" s="4" t="s">
        <v>46</v>
      </c>
      <c r="AA665" s="4" t="s">
        <v>7101</v>
      </c>
      <c r="AB665" s="4" t="s">
        <v>3109</v>
      </c>
      <c r="AC665" s="9">
        <v>1</v>
      </c>
      <c r="AD665" t="str">
        <f>VLOOKUP($T665,[1]NhanSu!$C$5:$M$229,11,0)</f>
        <v>SM0000141</v>
      </c>
    </row>
    <row r="666" spans="1:30" x14ac:dyDescent="0.45">
      <c r="A666" s="6" t="s">
        <v>6444</v>
      </c>
      <c r="B666" s="5">
        <v>226</v>
      </c>
      <c r="C666" s="5" t="s">
        <v>7122</v>
      </c>
      <c r="D666" s="5" t="s">
        <v>7123</v>
      </c>
      <c r="E666" s="5" t="s">
        <v>7124</v>
      </c>
      <c r="F666" s="5" t="s">
        <v>53</v>
      </c>
      <c r="G666" s="5" t="s">
        <v>177</v>
      </c>
      <c r="H666" s="5" t="s">
        <v>171</v>
      </c>
      <c r="I666" s="5" t="s">
        <v>7125</v>
      </c>
      <c r="J666" s="5" t="s">
        <v>37</v>
      </c>
      <c r="K666" s="5" t="s">
        <v>37</v>
      </c>
      <c r="L666" s="5" t="s">
        <v>40</v>
      </c>
      <c r="M666" s="5" t="s">
        <v>37</v>
      </c>
      <c r="N666" s="5" t="s">
        <v>37</v>
      </c>
      <c r="O666" s="5" t="s">
        <v>39</v>
      </c>
      <c r="P666" s="5" t="s">
        <v>37</v>
      </c>
      <c r="Q666" s="5" t="s">
        <v>37</v>
      </c>
      <c r="R666" s="5" t="s">
        <v>40</v>
      </c>
      <c r="S666" s="5" t="s">
        <v>41</v>
      </c>
      <c r="T666" s="5" t="s">
        <v>7098</v>
      </c>
      <c r="U666" s="5" t="s">
        <v>7099</v>
      </c>
      <c r="V666" s="5" t="s">
        <v>6450</v>
      </c>
      <c r="W666" s="5" t="s">
        <v>7100</v>
      </c>
      <c r="X666" s="5"/>
      <c r="Y666" s="5"/>
      <c r="Z666" s="5" t="s">
        <v>46</v>
      </c>
      <c r="AA666" s="5" t="s">
        <v>7101</v>
      </c>
      <c r="AB666" s="5" t="s">
        <v>3109</v>
      </c>
      <c r="AC666" s="7">
        <v>1</v>
      </c>
      <c r="AD666" t="str">
        <f>VLOOKUP($T666,[1]NhanSu!$C$5:$M$229,11,0)</f>
        <v>SM0000141</v>
      </c>
    </row>
    <row r="667" spans="1:30" x14ac:dyDescent="0.45">
      <c r="A667" s="8" t="s">
        <v>6444</v>
      </c>
      <c r="B667" s="4">
        <v>228</v>
      </c>
      <c r="C667" s="4" t="s">
        <v>7129</v>
      </c>
      <c r="D667" s="4" t="s">
        <v>7130</v>
      </c>
      <c r="E667" s="4" t="s">
        <v>6593</v>
      </c>
      <c r="F667" s="4" t="s">
        <v>53</v>
      </c>
      <c r="G667" s="4" t="s">
        <v>177</v>
      </c>
      <c r="H667" s="4" t="s">
        <v>214</v>
      </c>
      <c r="I667" s="4" t="s">
        <v>7125</v>
      </c>
      <c r="J667" s="4" t="s">
        <v>37</v>
      </c>
      <c r="K667" s="4" t="s">
        <v>37</v>
      </c>
      <c r="L667" s="4" t="s">
        <v>40</v>
      </c>
      <c r="M667" s="4" t="s">
        <v>37</v>
      </c>
      <c r="N667" s="4" t="s">
        <v>37</v>
      </c>
      <c r="O667" s="4" t="s">
        <v>39</v>
      </c>
      <c r="P667" s="4" t="s">
        <v>37</v>
      </c>
      <c r="Q667" s="4" t="s">
        <v>37</v>
      </c>
      <c r="R667" s="4" t="s">
        <v>40</v>
      </c>
      <c r="S667" s="4" t="s">
        <v>7131</v>
      </c>
      <c r="T667" s="4" t="s">
        <v>7098</v>
      </c>
      <c r="U667" s="4" t="s">
        <v>7099</v>
      </c>
      <c r="V667" s="4" t="s">
        <v>6450</v>
      </c>
      <c r="W667" s="4" t="s">
        <v>7100</v>
      </c>
      <c r="X667" s="4"/>
      <c r="Y667" s="4"/>
      <c r="Z667" s="4" t="s">
        <v>46</v>
      </c>
      <c r="AA667" s="4" t="s">
        <v>7101</v>
      </c>
      <c r="AB667" s="4" t="s">
        <v>4223</v>
      </c>
      <c r="AC667" s="9">
        <v>1</v>
      </c>
      <c r="AD667" t="str">
        <f>VLOOKUP($T667,[1]NhanSu!$C$5:$M$229,11,0)</f>
        <v>SM0000141</v>
      </c>
    </row>
    <row r="668" spans="1:30" x14ac:dyDescent="0.45">
      <c r="A668" s="6" t="s">
        <v>6444</v>
      </c>
      <c r="B668" s="5">
        <v>229</v>
      </c>
      <c r="C668" s="5" t="s">
        <v>7132</v>
      </c>
      <c r="D668" s="5" t="s">
        <v>7133</v>
      </c>
      <c r="E668" s="5" t="s">
        <v>7135</v>
      </c>
      <c r="F668" s="5" t="s">
        <v>478</v>
      </c>
      <c r="G668" s="5" t="s">
        <v>177</v>
      </c>
      <c r="H668" s="5" t="s">
        <v>214</v>
      </c>
      <c r="I668" s="5" t="s">
        <v>7136</v>
      </c>
      <c r="J668" s="5" t="s">
        <v>37</v>
      </c>
      <c r="K668" s="5" t="s">
        <v>37</v>
      </c>
      <c r="L668" s="5" t="s">
        <v>39</v>
      </c>
      <c r="M668" s="5" t="s">
        <v>37</v>
      </c>
      <c r="N668" s="5" t="s">
        <v>37</v>
      </c>
      <c r="O668" s="5" t="s">
        <v>39</v>
      </c>
      <c r="P668" s="5" t="s">
        <v>37</v>
      </c>
      <c r="Q668" s="5" t="s">
        <v>37</v>
      </c>
      <c r="R668" s="5" t="s">
        <v>39</v>
      </c>
      <c r="S668" s="5" t="s">
        <v>7137</v>
      </c>
      <c r="T668" s="5" t="s">
        <v>7098</v>
      </c>
      <c r="U668" s="5" t="s">
        <v>7099</v>
      </c>
      <c r="V668" s="5" t="s">
        <v>6450</v>
      </c>
      <c r="W668" s="5" t="s">
        <v>7100</v>
      </c>
      <c r="X668" s="5"/>
      <c r="Y668" s="5"/>
      <c r="Z668" s="5" t="s">
        <v>46</v>
      </c>
      <c r="AA668" s="5" t="s">
        <v>7101</v>
      </c>
      <c r="AB668" s="5" t="s">
        <v>4223</v>
      </c>
      <c r="AC668" s="7">
        <v>1</v>
      </c>
      <c r="AD668" t="str">
        <f>VLOOKUP($T668,[1]NhanSu!$C$5:$M$229,11,0)</f>
        <v>SM0000141</v>
      </c>
    </row>
    <row r="669" spans="1:30" x14ac:dyDescent="0.45">
      <c r="A669" s="8" t="s">
        <v>6444</v>
      </c>
      <c r="B669" s="4">
        <v>230</v>
      </c>
      <c r="C669" s="4" t="s">
        <v>7138</v>
      </c>
      <c r="D669" s="4" t="s">
        <v>7139</v>
      </c>
      <c r="E669" s="4" t="s">
        <v>7140</v>
      </c>
      <c r="F669" s="4" t="s">
        <v>53</v>
      </c>
      <c r="G669" s="4" t="s">
        <v>177</v>
      </c>
      <c r="H669" s="4" t="s">
        <v>917</v>
      </c>
      <c r="I669" s="4" t="s">
        <v>7141</v>
      </c>
      <c r="J669" s="4" t="s">
        <v>37</v>
      </c>
      <c r="K669" s="4" t="s">
        <v>37</v>
      </c>
      <c r="L669" s="4" t="s">
        <v>39</v>
      </c>
      <c r="M669" s="4" t="s">
        <v>37</v>
      </c>
      <c r="N669" s="4" t="s">
        <v>37</v>
      </c>
      <c r="O669" s="4" t="s">
        <v>39</v>
      </c>
      <c r="P669" s="4" t="s">
        <v>37</v>
      </c>
      <c r="Q669" s="4" t="s">
        <v>37</v>
      </c>
      <c r="R669" s="4" t="s">
        <v>39</v>
      </c>
      <c r="S669" s="4" t="s">
        <v>41</v>
      </c>
      <c r="T669" s="4" t="s">
        <v>7098</v>
      </c>
      <c r="U669" s="4" t="s">
        <v>7099</v>
      </c>
      <c r="V669" s="4" t="s">
        <v>6450</v>
      </c>
      <c r="W669" s="4" t="s">
        <v>7100</v>
      </c>
      <c r="X669" s="4"/>
      <c r="Y669" s="4"/>
      <c r="Z669" s="4" t="s">
        <v>46</v>
      </c>
      <c r="AA669" s="4" t="s">
        <v>6457</v>
      </c>
      <c r="AB669" s="4" t="s">
        <v>3012</v>
      </c>
      <c r="AC669" s="9">
        <v>1</v>
      </c>
      <c r="AD669" t="str">
        <f>VLOOKUP($T669,[1]NhanSu!$C$5:$M$229,11,0)</f>
        <v>SM0000141</v>
      </c>
    </row>
    <row r="670" spans="1:30" x14ac:dyDescent="0.45">
      <c r="A670" s="6" t="s">
        <v>6444</v>
      </c>
      <c r="B670" s="5">
        <v>231</v>
      </c>
      <c r="C670" s="5" t="s">
        <v>7142</v>
      </c>
      <c r="D670" s="5" t="s">
        <v>7143</v>
      </c>
      <c r="E670" s="5" t="s">
        <v>148</v>
      </c>
      <c r="F670" s="5" t="s">
        <v>1160</v>
      </c>
      <c r="G670" s="5" t="s">
        <v>34</v>
      </c>
      <c r="H670" s="5" t="s">
        <v>77</v>
      </c>
      <c r="I670" s="5" t="s">
        <v>7104</v>
      </c>
      <c r="J670" s="5" t="s">
        <v>37</v>
      </c>
      <c r="K670" s="5" t="s">
        <v>37</v>
      </c>
      <c r="L670" s="5" t="s">
        <v>39</v>
      </c>
      <c r="M670" s="5" t="s">
        <v>37</v>
      </c>
      <c r="N670" s="5" t="s">
        <v>37</v>
      </c>
      <c r="O670" s="5" t="s">
        <v>39</v>
      </c>
      <c r="P670" s="5" t="s">
        <v>37</v>
      </c>
      <c r="Q670" s="5" t="s">
        <v>37</v>
      </c>
      <c r="R670" s="5" t="s">
        <v>39</v>
      </c>
      <c r="S670" s="5" t="s">
        <v>41</v>
      </c>
      <c r="T670" s="5" t="s">
        <v>7105</v>
      </c>
      <c r="U670" s="5" t="s">
        <v>7106</v>
      </c>
      <c r="V670" s="5" t="s">
        <v>6450</v>
      </c>
      <c r="W670" s="5" t="s">
        <v>7100</v>
      </c>
      <c r="X670" s="5"/>
      <c r="Y670" s="5"/>
      <c r="Z670" s="5" t="s">
        <v>46</v>
      </c>
      <c r="AA670" s="5" t="s">
        <v>6457</v>
      </c>
      <c r="AB670" s="5" t="s">
        <v>3109</v>
      </c>
      <c r="AC670" s="7">
        <v>1</v>
      </c>
      <c r="AD670" t="str">
        <f>VLOOKUP($T670,[1]NhanSu!$C$5:$M$229,11,0)</f>
        <v>SM0000143</v>
      </c>
    </row>
    <row r="671" spans="1:30" x14ac:dyDescent="0.45">
      <c r="A671" s="8" t="s">
        <v>6444</v>
      </c>
      <c r="B671" s="4">
        <v>232</v>
      </c>
      <c r="C671" s="4" t="s">
        <v>7144</v>
      </c>
      <c r="D671" s="4" t="s">
        <v>7145</v>
      </c>
      <c r="E671" s="4" t="s">
        <v>2222</v>
      </c>
      <c r="F671" s="4" t="s">
        <v>224</v>
      </c>
      <c r="G671" s="4" t="s">
        <v>177</v>
      </c>
      <c r="H671" s="4" t="s">
        <v>565</v>
      </c>
      <c r="I671" s="4" t="s">
        <v>7146</v>
      </c>
      <c r="J671" s="4" t="s">
        <v>37</v>
      </c>
      <c r="K671" s="4" t="s">
        <v>37</v>
      </c>
      <c r="L671" s="4" t="s">
        <v>39</v>
      </c>
      <c r="M671" s="4" t="s">
        <v>37</v>
      </c>
      <c r="N671" s="4" t="s">
        <v>37</v>
      </c>
      <c r="O671" s="4" t="s">
        <v>39</v>
      </c>
      <c r="P671" s="4" t="s">
        <v>37</v>
      </c>
      <c r="Q671" s="4" t="s">
        <v>37</v>
      </c>
      <c r="R671" s="4" t="s">
        <v>39</v>
      </c>
      <c r="S671" s="4" t="s">
        <v>41</v>
      </c>
      <c r="T671" s="4" t="s">
        <v>7098</v>
      </c>
      <c r="U671" s="4" t="s">
        <v>7099</v>
      </c>
      <c r="V671" s="4" t="s">
        <v>6450</v>
      </c>
      <c r="W671" s="4" t="s">
        <v>7100</v>
      </c>
      <c r="X671" s="4"/>
      <c r="Y671" s="4"/>
      <c r="Z671" s="4" t="s">
        <v>46</v>
      </c>
      <c r="AA671" s="4" t="s">
        <v>7101</v>
      </c>
      <c r="AB671" s="4" t="s">
        <v>3109</v>
      </c>
      <c r="AC671" s="9">
        <v>1</v>
      </c>
      <c r="AD671" t="str">
        <f>VLOOKUP($T671,[1]NhanSu!$C$5:$M$229,11,0)</f>
        <v>SM0000141</v>
      </c>
    </row>
    <row r="672" spans="1:30" x14ac:dyDescent="0.45">
      <c r="A672" s="6" t="s">
        <v>6444</v>
      </c>
      <c r="B672" s="5">
        <v>235</v>
      </c>
      <c r="C672" s="5" t="s">
        <v>7153</v>
      </c>
      <c r="D672" s="5" t="s">
        <v>7154</v>
      </c>
      <c r="E672" s="5" t="s">
        <v>98</v>
      </c>
      <c r="F672" s="5" t="s">
        <v>4431</v>
      </c>
      <c r="G672" s="5" t="s">
        <v>34</v>
      </c>
      <c r="H672" s="5" t="s">
        <v>1736</v>
      </c>
      <c r="I672" s="5" t="s">
        <v>7104</v>
      </c>
      <c r="J672" s="5" t="s">
        <v>38</v>
      </c>
      <c r="K672" s="5" t="s">
        <v>37</v>
      </c>
      <c r="L672" s="5" t="s">
        <v>39</v>
      </c>
      <c r="M672" s="5" t="s">
        <v>37</v>
      </c>
      <c r="N672" s="5" t="s">
        <v>37</v>
      </c>
      <c r="O672" s="5" t="s">
        <v>39</v>
      </c>
      <c r="P672" s="5" t="s">
        <v>38</v>
      </c>
      <c r="Q672" s="5" t="s">
        <v>37</v>
      </c>
      <c r="R672" s="5" t="s">
        <v>39</v>
      </c>
      <c r="S672" s="5" t="s">
        <v>41</v>
      </c>
      <c r="T672" s="5" t="s">
        <v>7105</v>
      </c>
      <c r="U672" s="5" t="s">
        <v>7106</v>
      </c>
      <c r="V672" s="5" t="s">
        <v>6450</v>
      </c>
      <c r="W672" s="5" t="s">
        <v>7100</v>
      </c>
      <c r="X672" s="5"/>
      <c r="Y672" s="5"/>
      <c r="Z672" s="5" t="s">
        <v>46</v>
      </c>
      <c r="AA672" s="5" t="s">
        <v>6457</v>
      </c>
      <c r="AB672" s="5" t="s">
        <v>4223</v>
      </c>
      <c r="AC672" s="7">
        <v>1</v>
      </c>
      <c r="AD672" t="str">
        <f>VLOOKUP($T672,[1]NhanSu!$C$5:$M$229,11,0)</f>
        <v>SM0000143</v>
      </c>
    </row>
    <row r="673" spans="1:30" x14ac:dyDescent="0.45">
      <c r="A673" s="8" t="s">
        <v>6444</v>
      </c>
      <c r="B673" s="4">
        <v>236</v>
      </c>
      <c r="C673" s="4" t="s">
        <v>7155</v>
      </c>
      <c r="D673" s="4" t="s">
        <v>7156</v>
      </c>
      <c r="E673" s="4" t="s">
        <v>75</v>
      </c>
      <c r="F673" s="4" t="s">
        <v>2089</v>
      </c>
      <c r="G673" s="4" t="s">
        <v>34</v>
      </c>
      <c r="H673" s="4" t="s">
        <v>2197</v>
      </c>
      <c r="I673" s="4" t="s">
        <v>7157</v>
      </c>
      <c r="J673" s="4" t="s">
        <v>37</v>
      </c>
      <c r="K673" s="4" t="s">
        <v>37</v>
      </c>
      <c r="L673" s="4" t="s">
        <v>39</v>
      </c>
      <c r="M673" s="4" t="s">
        <v>37</v>
      </c>
      <c r="N673" s="4" t="s">
        <v>37</v>
      </c>
      <c r="O673" s="4" t="s">
        <v>39</v>
      </c>
      <c r="P673" s="4" t="s">
        <v>37</v>
      </c>
      <c r="Q673" s="4" t="s">
        <v>37</v>
      </c>
      <c r="R673" s="4" t="s">
        <v>39</v>
      </c>
      <c r="S673" s="4" t="s">
        <v>41</v>
      </c>
      <c r="T673" s="4" t="s">
        <v>7105</v>
      </c>
      <c r="U673" s="4" t="s">
        <v>7106</v>
      </c>
      <c r="V673" s="4" t="s">
        <v>6450</v>
      </c>
      <c r="W673" s="4" t="s">
        <v>7100</v>
      </c>
      <c r="X673" s="4"/>
      <c r="Y673" s="4"/>
      <c r="Z673" s="4" t="s">
        <v>46</v>
      </c>
      <c r="AA673" s="4" t="s">
        <v>6457</v>
      </c>
      <c r="AB673" s="4" t="s">
        <v>3109</v>
      </c>
      <c r="AC673" s="9">
        <v>1</v>
      </c>
      <c r="AD673" t="str">
        <f>VLOOKUP($T673,[1]NhanSu!$C$5:$M$229,11,0)</f>
        <v>SM0000143</v>
      </c>
    </row>
    <row r="674" spans="1:30" x14ac:dyDescent="0.45">
      <c r="A674" s="6" t="s">
        <v>6444</v>
      </c>
      <c r="B674" s="5">
        <v>246</v>
      </c>
      <c r="C674" s="5" t="s">
        <v>7187</v>
      </c>
      <c r="D674" s="5" t="s">
        <v>7188</v>
      </c>
      <c r="E674" s="5" t="s">
        <v>1015</v>
      </c>
      <c r="F674" s="5" t="s">
        <v>1882</v>
      </c>
      <c r="G674" s="5" t="s">
        <v>34</v>
      </c>
      <c r="H674" s="5" t="s">
        <v>479</v>
      </c>
      <c r="I674" s="5" t="s">
        <v>7189</v>
      </c>
      <c r="J674" s="5" t="s">
        <v>38</v>
      </c>
      <c r="K674" s="5" t="s">
        <v>38</v>
      </c>
      <c r="L674" s="5" t="s">
        <v>40</v>
      </c>
      <c r="M674" s="5" t="s">
        <v>38</v>
      </c>
      <c r="N674" s="5" t="s">
        <v>37</v>
      </c>
      <c r="O674" s="5" t="s">
        <v>40</v>
      </c>
      <c r="P674" s="5" t="s">
        <v>38</v>
      </c>
      <c r="Q674" s="5" t="s">
        <v>37</v>
      </c>
      <c r="R674" s="5" t="s">
        <v>40</v>
      </c>
      <c r="S674" s="5" t="s">
        <v>41</v>
      </c>
      <c r="T674" s="5" t="s">
        <v>7183</v>
      </c>
      <c r="U674" s="5" t="s">
        <v>7184</v>
      </c>
      <c r="V674" s="5" t="s">
        <v>6450</v>
      </c>
      <c r="W674" s="5" t="s">
        <v>7100</v>
      </c>
      <c r="X674" s="5"/>
      <c r="Y674" s="5"/>
      <c r="Z674" s="5" t="s">
        <v>46</v>
      </c>
      <c r="AA674" s="5" t="s">
        <v>7101</v>
      </c>
      <c r="AB674" s="5" t="s">
        <v>3109</v>
      </c>
      <c r="AC674" s="7">
        <v>1</v>
      </c>
      <c r="AD674" t="str">
        <f>VLOOKUP($T674,[1]NhanSu!$C$5:$M$229,11,0)</f>
        <v>SM0000176</v>
      </c>
    </row>
    <row r="675" spans="1:30" x14ac:dyDescent="0.45">
      <c r="A675" s="8" t="s">
        <v>6444</v>
      </c>
      <c r="B675" s="4">
        <v>249</v>
      </c>
      <c r="C675" s="4" t="s">
        <v>7194</v>
      </c>
      <c r="D675" s="4" t="s">
        <v>7195</v>
      </c>
      <c r="E675" s="4" t="s">
        <v>455</v>
      </c>
      <c r="F675" s="4" t="s">
        <v>7196</v>
      </c>
      <c r="G675" s="4" t="s">
        <v>34</v>
      </c>
      <c r="H675" s="4" t="s">
        <v>1877</v>
      </c>
      <c r="I675" s="4" t="s">
        <v>7197</v>
      </c>
      <c r="J675" s="4" t="s">
        <v>37</v>
      </c>
      <c r="K675" s="4" t="s">
        <v>37</v>
      </c>
      <c r="L675" s="4" t="s">
        <v>39</v>
      </c>
      <c r="M675" s="4" t="s">
        <v>37</v>
      </c>
      <c r="N675" s="4" t="s">
        <v>56</v>
      </c>
      <c r="O675" s="4" t="s">
        <v>39</v>
      </c>
      <c r="P675" s="4" t="s">
        <v>37</v>
      </c>
      <c r="Q675" s="4" t="s">
        <v>37</v>
      </c>
      <c r="R675" s="4" t="s">
        <v>40</v>
      </c>
      <c r="S675" s="4" t="s">
        <v>7198</v>
      </c>
      <c r="T675" s="4" t="s">
        <v>7112</v>
      </c>
      <c r="U675" s="4" t="s">
        <v>7106</v>
      </c>
      <c r="V675" s="4" t="s">
        <v>6450</v>
      </c>
      <c r="W675" s="4" t="s">
        <v>7100</v>
      </c>
      <c r="X675" s="4"/>
      <c r="Y675" s="4"/>
      <c r="Z675" s="4" t="s">
        <v>46</v>
      </c>
      <c r="AA675" s="4" t="s">
        <v>6457</v>
      </c>
      <c r="AB675" s="4" t="s">
        <v>4223</v>
      </c>
      <c r="AC675" s="9">
        <v>1</v>
      </c>
      <c r="AD675" t="str">
        <f>VLOOKUP($T675,[1]NhanSu!$C$5:$M$229,11,0)</f>
        <v>SM0000142</v>
      </c>
    </row>
    <row r="676" spans="1:30" x14ac:dyDescent="0.45">
      <c r="A676" s="6" t="s">
        <v>6444</v>
      </c>
      <c r="B676" s="5">
        <v>250</v>
      </c>
      <c r="C676" s="5" t="s">
        <v>7199</v>
      </c>
      <c r="D676" s="5" t="s">
        <v>7200</v>
      </c>
      <c r="E676" s="5" t="s">
        <v>127</v>
      </c>
      <c r="F676" s="5" t="s">
        <v>53</v>
      </c>
      <c r="G676" s="5" t="s">
        <v>34</v>
      </c>
      <c r="H676" s="5" t="s">
        <v>842</v>
      </c>
      <c r="I676" s="5" t="s">
        <v>7201</v>
      </c>
      <c r="J676" s="5" t="s">
        <v>38</v>
      </c>
      <c r="K676" s="5" t="s">
        <v>38</v>
      </c>
      <c r="L676" s="5" t="s">
        <v>39</v>
      </c>
      <c r="M676" s="5" t="s">
        <v>38</v>
      </c>
      <c r="N676" s="5" t="s">
        <v>37</v>
      </c>
      <c r="O676" s="5" t="s">
        <v>40</v>
      </c>
      <c r="P676" s="5" t="s">
        <v>38</v>
      </c>
      <c r="Q676" s="5" t="s">
        <v>38</v>
      </c>
      <c r="R676" s="5" t="s">
        <v>39</v>
      </c>
      <c r="S676" s="5" t="s">
        <v>41</v>
      </c>
      <c r="T676" s="5" t="s">
        <v>7183</v>
      </c>
      <c r="U676" s="5" t="s">
        <v>7184</v>
      </c>
      <c r="V676" s="5" t="s">
        <v>6450</v>
      </c>
      <c r="W676" s="5" t="s">
        <v>7100</v>
      </c>
      <c r="X676" s="5"/>
      <c r="Y676" s="5"/>
      <c r="Z676" s="5" t="s">
        <v>46</v>
      </c>
      <c r="AA676" s="5" t="s">
        <v>6457</v>
      </c>
      <c r="AB676" s="5" t="s">
        <v>4223</v>
      </c>
      <c r="AC676" s="7">
        <v>1</v>
      </c>
      <c r="AD676" t="str">
        <f>VLOOKUP($T676,[1]NhanSu!$C$5:$M$229,11,0)</f>
        <v>SM0000176</v>
      </c>
    </row>
    <row r="677" spans="1:30" x14ac:dyDescent="0.45">
      <c r="A677" s="8" t="s">
        <v>6444</v>
      </c>
      <c r="B677" s="4">
        <v>256</v>
      </c>
      <c r="C677" s="4" t="s">
        <v>7216</v>
      </c>
      <c r="D677" s="4" t="s">
        <v>7217</v>
      </c>
      <c r="E677" s="4" t="s">
        <v>304</v>
      </c>
      <c r="F677" s="4" t="s">
        <v>53</v>
      </c>
      <c r="G677" s="4" t="s">
        <v>34</v>
      </c>
      <c r="H677" s="4" t="s">
        <v>1750</v>
      </c>
      <c r="I677" s="4" t="s">
        <v>341</v>
      </c>
      <c r="J677" s="4" t="s">
        <v>37</v>
      </c>
      <c r="K677" s="4" t="s">
        <v>56</v>
      </c>
      <c r="L677" s="4" t="s">
        <v>39</v>
      </c>
      <c r="M677" s="4" t="s">
        <v>37</v>
      </c>
      <c r="N677" s="4" t="s">
        <v>38</v>
      </c>
      <c r="O677" s="4" t="s">
        <v>39</v>
      </c>
      <c r="P677" s="4" t="s">
        <v>38</v>
      </c>
      <c r="Q677" s="4" t="s">
        <v>38</v>
      </c>
      <c r="R677" s="4" t="s">
        <v>40</v>
      </c>
      <c r="S677" s="4" t="s">
        <v>41</v>
      </c>
      <c r="T677" s="4" t="s">
        <v>7112</v>
      </c>
      <c r="U677" s="4" t="s">
        <v>7106</v>
      </c>
      <c r="V677" s="4" t="s">
        <v>6450</v>
      </c>
      <c r="W677" s="4" t="s">
        <v>7100</v>
      </c>
      <c r="X677" s="4"/>
      <c r="Y677" s="4"/>
      <c r="Z677" s="4" t="s">
        <v>46</v>
      </c>
      <c r="AA677" s="4" t="s">
        <v>7101</v>
      </c>
      <c r="AB677" s="4"/>
      <c r="AC677" s="9">
        <v>1</v>
      </c>
      <c r="AD677" t="str">
        <f>VLOOKUP($T677,[1]NhanSu!$C$5:$M$229,11,0)</f>
        <v>SM0000142</v>
      </c>
    </row>
    <row r="678" spans="1:30" x14ac:dyDescent="0.45">
      <c r="A678" s="6" t="s">
        <v>6444</v>
      </c>
      <c r="B678" s="5">
        <v>258</v>
      </c>
      <c r="C678" s="5" t="s">
        <v>7220</v>
      </c>
      <c r="D678" s="5" t="s">
        <v>7221</v>
      </c>
      <c r="E678" s="5" t="s">
        <v>219</v>
      </c>
      <c r="F678" s="5" t="s">
        <v>115</v>
      </c>
      <c r="G678" s="5" t="s">
        <v>34</v>
      </c>
      <c r="H678" s="5" t="s">
        <v>2044</v>
      </c>
      <c r="I678" s="5" t="s">
        <v>7222</v>
      </c>
      <c r="J678" s="5" t="s">
        <v>38</v>
      </c>
      <c r="K678" s="5" t="s">
        <v>37</v>
      </c>
      <c r="L678" s="5" t="s">
        <v>40</v>
      </c>
      <c r="M678" s="5" t="s">
        <v>37</v>
      </c>
      <c r="N678" s="5" t="s">
        <v>56</v>
      </c>
      <c r="O678" s="5" t="s">
        <v>39</v>
      </c>
      <c r="P678" s="5" t="s">
        <v>38</v>
      </c>
      <c r="Q678" s="5" t="s">
        <v>38</v>
      </c>
      <c r="R678" s="5" t="s">
        <v>40</v>
      </c>
      <c r="S678" s="5" t="s">
        <v>7223</v>
      </c>
      <c r="T678" s="5" t="s">
        <v>7112</v>
      </c>
      <c r="U678" s="5" t="s">
        <v>7106</v>
      </c>
      <c r="V678" s="5" t="s">
        <v>6450</v>
      </c>
      <c r="W678" s="5" t="s">
        <v>7100</v>
      </c>
      <c r="X678" s="5"/>
      <c r="Y678" s="5"/>
      <c r="Z678" s="5" t="s">
        <v>46</v>
      </c>
      <c r="AA678" s="5" t="s">
        <v>7101</v>
      </c>
      <c r="AB678" s="5" t="s">
        <v>3109</v>
      </c>
      <c r="AC678" s="7">
        <v>1</v>
      </c>
      <c r="AD678" t="str">
        <f>VLOOKUP($T678,[1]NhanSu!$C$5:$M$229,11,0)</f>
        <v>SM0000142</v>
      </c>
    </row>
    <row r="679" spans="1:30" x14ac:dyDescent="0.45">
      <c r="A679" s="8" t="s">
        <v>6444</v>
      </c>
      <c r="B679" s="4">
        <v>259</v>
      </c>
      <c r="C679" s="4" t="s">
        <v>7224</v>
      </c>
      <c r="D679" s="4" t="s">
        <v>7225</v>
      </c>
      <c r="E679" s="4" t="s">
        <v>32</v>
      </c>
      <c r="F679" s="4" t="s">
        <v>401</v>
      </c>
      <c r="G679" s="4" t="s">
        <v>34</v>
      </c>
      <c r="H679" s="4" t="s">
        <v>2197</v>
      </c>
      <c r="I679" s="4" t="s">
        <v>7226</v>
      </c>
      <c r="J679" s="4" t="s">
        <v>37</v>
      </c>
      <c r="K679" s="4" t="s">
        <v>37</v>
      </c>
      <c r="L679" s="4" t="s">
        <v>39</v>
      </c>
      <c r="M679" s="4" t="s">
        <v>37</v>
      </c>
      <c r="N679" s="4" t="s">
        <v>37</v>
      </c>
      <c r="O679" s="4" t="s">
        <v>39</v>
      </c>
      <c r="P679" s="4" t="s">
        <v>37</v>
      </c>
      <c r="Q679" s="4" t="s">
        <v>37</v>
      </c>
      <c r="R679" s="4" t="s">
        <v>39</v>
      </c>
      <c r="S679" s="4" t="s">
        <v>41</v>
      </c>
      <c r="T679" s="4" t="s">
        <v>7105</v>
      </c>
      <c r="U679" s="4" t="s">
        <v>7106</v>
      </c>
      <c r="V679" s="4" t="s">
        <v>6450</v>
      </c>
      <c r="W679" s="4" t="s">
        <v>7100</v>
      </c>
      <c r="X679" s="4"/>
      <c r="Y679" s="4"/>
      <c r="Z679" s="4" t="s">
        <v>46</v>
      </c>
      <c r="AA679" s="4" t="s">
        <v>7101</v>
      </c>
      <c r="AB679" s="4" t="s">
        <v>3109</v>
      </c>
      <c r="AC679" s="9">
        <v>1</v>
      </c>
      <c r="AD679" t="str">
        <f>VLOOKUP($T679,[1]NhanSu!$C$5:$M$229,11,0)</f>
        <v>SM0000143</v>
      </c>
    </row>
    <row r="680" spans="1:30" x14ac:dyDescent="0.45">
      <c r="A680" s="6" t="s">
        <v>6444</v>
      </c>
      <c r="B680" s="5">
        <v>261</v>
      </c>
      <c r="C680" s="5" t="s">
        <v>7230</v>
      </c>
      <c r="D680" s="5" t="s">
        <v>4154</v>
      </c>
      <c r="E680" s="5" t="s">
        <v>219</v>
      </c>
      <c r="F680" s="5" t="s">
        <v>325</v>
      </c>
      <c r="G680" s="5" t="s">
        <v>34</v>
      </c>
      <c r="H680" s="5" t="s">
        <v>1188</v>
      </c>
      <c r="I680" s="5" t="s">
        <v>7231</v>
      </c>
      <c r="J680" s="5" t="s">
        <v>37</v>
      </c>
      <c r="K680" s="5" t="s">
        <v>37</v>
      </c>
      <c r="L680" s="5" t="s">
        <v>39</v>
      </c>
      <c r="M680" s="5" t="s">
        <v>37</v>
      </c>
      <c r="N680" s="5" t="s">
        <v>37</v>
      </c>
      <c r="O680" s="5" t="s">
        <v>39</v>
      </c>
      <c r="P680" s="5" t="s">
        <v>37</v>
      </c>
      <c r="Q680" s="5" t="s">
        <v>37</v>
      </c>
      <c r="R680" s="5" t="s">
        <v>39</v>
      </c>
      <c r="S680" s="5" t="s">
        <v>41</v>
      </c>
      <c r="T680" s="5" t="s">
        <v>7105</v>
      </c>
      <c r="U680" s="5" t="s">
        <v>7106</v>
      </c>
      <c r="V680" s="5" t="s">
        <v>6450</v>
      </c>
      <c r="W680" s="5" t="s">
        <v>7100</v>
      </c>
      <c r="X680" s="5"/>
      <c r="Y680" s="5"/>
      <c r="Z680" s="5" t="s">
        <v>46</v>
      </c>
      <c r="AA680" s="5" t="s">
        <v>7101</v>
      </c>
      <c r="AB680" s="5" t="s">
        <v>117</v>
      </c>
      <c r="AC680" s="7">
        <v>1</v>
      </c>
      <c r="AD680" t="str">
        <f>VLOOKUP($T680,[1]NhanSu!$C$5:$M$229,11,0)</f>
        <v>SM0000143</v>
      </c>
    </row>
    <row r="681" spans="1:30" x14ac:dyDescent="0.45">
      <c r="A681" s="8" t="s">
        <v>6444</v>
      </c>
      <c r="B681" s="4">
        <v>262</v>
      </c>
      <c r="C681" s="4" t="s">
        <v>7232</v>
      </c>
      <c r="D681" s="4" t="s">
        <v>7233</v>
      </c>
      <c r="E681" s="4" t="s">
        <v>113</v>
      </c>
      <c r="F681" s="4" t="s">
        <v>166</v>
      </c>
      <c r="G681" s="4" t="s">
        <v>34</v>
      </c>
      <c r="H681" s="4" t="s">
        <v>685</v>
      </c>
      <c r="I681" s="4" t="s">
        <v>7207</v>
      </c>
      <c r="J681" s="4" t="s">
        <v>56</v>
      </c>
      <c r="K681" s="4" t="s">
        <v>38</v>
      </c>
      <c r="L681" s="4" t="s">
        <v>39</v>
      </c>
      <c r="M681" s="4" t="s">
        <v>37</v>
      </c>
      <c r="N681" s="4" t="s">
        <v>37</v>
      </c>
      <c r="O681" s="4" t="s">
        <v>39</v>
      </c>
      <c r="P681" s="4" t="s">
        <v>38</v>
      </c>
      <c r="Q681" s="4" t="s">
        <v>38</v>
      </c>
      <c r="R681" s="4" t="s">
        <v>40</v>
      </c>
      <c r="S681" s="4" t="s">
        <v>7234</v>
      </c>
      <c r="T681" s="4" t="s">
        <v>7112</v>
      </c>
      <c r="U681" s="4" t="s">
        <v>7106</v>
      </c>
      <c r="V681" s="4" t="s">
        <v>6450</v>
      </c>
      <c r="W681" s="4" t="s">
        <v>7100</v>
      </c>
      <c r="X681" s="4"/>
      <c r="Y681" s="4"/>
      <c r="Z681" s="4" t="s">
        <v>46</v>
      </c>
      <c r="AA681" s="4" t="s">
        <v>7101</v>
      </c>
      <c r="AB681" s="4" t="s">
        <v>3109</v>
      </c>
      <c r="AC681" s="9">
        <v>1</v>
      </c>
      <c r="AD681" t="str">
        <f>VLOOKUP($T681,[1]NhanSu!$C$5:$M$229,11,0)</f>
        <v>SM0000142</v>
      </c>
    </row>
    <row r="682" spans="1:30" x14ac:dyDescent="0.45">
      <c r="A682" s="6" t="s">
        <v>6444</v>
      </c>
      <c r="B682" s="5">
        <v>263</v>
      </c>
      <c r="C682" s="5" t="s">
        <v>7235</v>
      </c>
      <c r="D682" s="5" t="s">
        <v>7236</v>
      </c>
      <c r="E682" s="5" t="s">
        <v>32</v>
      </c>
      <c r="F682" s="5" t="s">
        <v>3258</v>
      </c>
      <c r="G682" s="5" t="s">
        <v>34</v>
      </c>
      <c r="H682" s="5" t="s">
        <v>319</v>
      </c>
      <c r="I682" s="5" t="s">
        <v>7237</v>
      </c>
      <c r="J682" s="5" t="s">
        <v>37</v>
      </c>
      <c r="K682" s="5" t="s">
        <v>37</v>
      </c>
      <c r="L682" s="5" t="s">
        <v>39</v>
      </c>
      <c r="M682" s="5" t="s">
        <v>37</v>
      </c>
      <c r="N682" s="5" t="s">
        <v>37</v>
      </c>
      <c r="O682" s="5" t="s">
        <v>39</v>
      </c>
      <c r="P682" s="5" t="s">
        <v>37</v>
      </c>
      <c r="Q682" s="5" t="s">
        <v>37</v>
      </c>
      <c r="R682" s="5" t="s">
        <v>39</v>
      </c>
      <c r="S682" s="5" t="s">
        <v>41</v>
      </c>
      <c r="T682" s="5" t="s">
        <v>7105</v>
      </c>
      <c r="U682" s="5" t="s">
        <v>7106</v>
      </c>
      <c r="V682" s="5" t="s">
        <v>6450</v>
      </c>
      <c r="W682" s="5" t="s">
        <v>7100</v>
      </c>
      <c r="X682" s="5"/>
      <c r="Y682" s="5"/>
      <c r="Z682" s="5" t="s">
        <v>46</v>
      </c>
      <c r="AA682" s="5" t="s">
        <v>7101</v>
      </c>
      <c r="AB682" s="5" t="s">
        <v>3109</v>
      </c>
      <c r="AC682" s="7">
        <v>1</v>
      </c>
      <c r="AD682" t="str">
        <f>VLOOKUP($T682,[1]NhanSu!$C$5:$M$229,11,0)</f>
        <v>SM0000143</v>
      </c>
    </row>
    <row r="683" spans="1:30" x14ac:dyDescent="0.45">
      <c r="A683" s="8" t="s">
        <v>6444</v>
      </c>
      <c r="B683" s="4">
        <v>264</v>
      </c>
      <c r="C683" s="4" t="s">
        <v>7238</v>
      </c>
      <c r="D683" s="4" t="s">
        <v>7239</v>
      </c>
      <c r="E683" s="4" t="s">
        <v>1964</v>
      </c>
      <c r="F683" s="4" t="s">
        <v>115</v>
      </c>
      <c r="G683" s="4" t="s">
        <v>34</v>
      </c>
      <c r="H683" s="4" t="s">
        <v>319</v>
      </c>
      <c r="I683" s="4" t="s">
        <v>7240</v>
      </c>
      <c r="J683" s="4" t="s">
        <v>37</v>
      </c>
      <c r="K683" s="4" t="s">
        <v>37</v>
      </c>
      <c r="L683" s="4" t="s">
        <v>40</v>
      </c>
      <c r="M683" s="4" t="s">
        <v>37</v>
      </c>
      <c r="N683" s="4" t="s">
        <v>37</v>
      </c>
      <c r="O683" s="4" t="s">
        <v>39</v>
      </c>
      <c r="P683" s="4" t="s">
        <v>37</v>
      </c>
      <c r="Q683" s="4" t="s">
        <v>37</v>
      </c>
      <c r="R683" s="4" t="s">
        <v>39</v>
      </c>
      <c r="S683" s="4" t="s">
        <v>41</v>
      </c>
      <c r="T683" s="4" t="s">
        <v>7105</v>
      </c>
      <c r="U683" s="4" t="s">
        <v>7106</v>
      </c>
      <c r="V683" s="4" t="s">
        <v>6450</v>
      </c>
      <c r="W683" s="4" t="s">
        <v>7100</v>
      </c>
      <c r="X683" s="4"/>
      <c r="Y683" s="4"/>
      <c r="Z683" s="4" t="s">
        <v>46</v>
      </c>
      <c r="AA683" s="4" t="s">
        <v>7101</v>
      </c>
      <c r="AB683" s="4" t="s">
        <v>4223</v>
      </c>
      <c r="AC683" s="9">
        <v>1</v>
      </c>
      <c r="AD683" t="str">
        <f>VLOOKUP($T683,[1]NhanSu!$C$5:$M$229,11,0)</f>
        <v>SM0000143</v>
      </c>
    </row>
    <row r="684" spans="1:30" x14ac:dyDescent="0.45">
      <c r="A684" s="6" t="s">
        <v>6444</v>
      </c>
      <c r="B684" s="5">
        <v>265</v>
      </c>
      <c r="C684" s="5" t="s">
        <v>7241</v>
      </c>
      <c r="D684" s="5" t="s">
        <v>7242</v>
      </c>
      <c r="E684" s="5" t="s">
        <v>1866</v>
      </c>
      <c r="F684" s="5" t="s">
        <v>166</v>
      </c>
      <c r="G684" s="5" t="s">
        <v>150</v>
      </c>
      <c r="H684" s="5" t="s">
        <v>133</v>
      </c>
      <c r="I684" s="5" t="s">
        <v>7243</v>
      </c>
      <c r="J684" s="5" t="s">
        <v>38</v>
      </c>
      <c r="K684" s="5" t="s">
        <v>38</v>
      </c>
      <c r="L684" s="5" t="s">
        <v>39</v>
      </c>
      <c r="M684" s="5" t="s">
        <v>37</v>
      </c>
      <c r="N684" s="5" t="s">
        <v>37</v>
      </c>
      <c r="O684" s="5" t="s">
        <v>39</v>
      </c>
      <c r="P684" s="5" t="s">
        <v>38</v>
      </c>
      <c r="Q684" s="5" t="s">
        <v>38</v>
      </c>
      <c r="R684" s="5" t="s">
        <v>39</v>
      </c>
      <c r="S684" s="5" t="s">
        <v>41</v>
      </c>
      <c r="T684" s="5" t="s">
        <v>7183</v>
      </c>
      <c r="U684" s="5" t="s">
        <v>7184</v>
      </c>
      <c r="V684" s="5" t="s">
        <v>6450</v>
      </c>
      <c r="W684" s="5" t="s">
        <v>7100</v>
      </c>
      <c r="X684" s="5"/>
      <c r="Y684" s="5"/>
      <c r="Z684" s="5" t="s">
        <v>46</v>
      </c>
      <c r="AA684" s="5" t="s">
        <v>7101</v>
      </c>
      <c r="AB684" s="5"/>
      <c r="AC684" s="7">
        <v>1</v>
      </c>
      <c r="AD684" t="str">
        <f>VLOOKUP($T684,[1]NhanSu!$C$5:$M$229,11,0)</f>
        <v>SM0000176</v>
      </c>
    </row>
    <row r="685" spans="1:30" x14ac:dyDescent="0.45">
      <c r="A685" s="8" t="s">
        <v>6444</v>
      </c>
      <c r="B685" s="4">
        <v>267</v>
      </c>
      <c r="C685" s="4" t="s">
        <v>7247</v>
      </c>
      <c r="D685" s="4" t="s">
        <v>7248</v>
      </c>
      <c r="E685" s="4" t="s">
        <v>2040</v>
      </c>
      <c r="F685" s="4" t="s">
        <v>5386</v>
      </c>
      <c r="G685" s="4" t="s">
        <v>34</v>
      </c>
      <c r="H685" s="4" t="s">
        <v>697</v>
      </c>
      <c r="I685" s="4" t="s">
        <v>7249</v>
      </c>
      <c r="J685" s="4" t="s">
        <v>37</v>
      </c>
      <c r="K685" s="4" t="s">
        <v>37</v>
      </c>
      <c r="L685" s="4" t="s">
        <v>40</v>
      </c>
      <c r="M685" s="4" t="s">
        <v>37</v>
      </c>
      <c r="N685" s="4" t="s">
        <v>37</v>
      </c>
      <c r="O685" s="4" t="s">
        <v>39</v>
      </c>
      <c r="P685" s="4" t="s">
        <v>37</v>
      </c>
      <c r="Q685" s="4" t="s">
        <v>37</v>
      </c>
      <c r="R685" s="4" t="s">
        <v>39</v>
      </c>
      <c r="S685" s="4" t="s">
        <v>41</v>
      </c>
      <c r="T685" s="4" t="s">
        <v>7105</v>
      </c>
      <c r="U685" s="4" t="s">
        <v>7106</v>
      </c>
      <c r="V685" s="4" t="s">
        <v>6450</v>
      </c>
      <c r="W685" s="4" t="s">
        <v>7100</v>
      </c>
      <c r="X685" s="4"/>
      <c r="Y685" s="4"/>
      <c r="Z685" s="4" t="s">
        <v>46</v>
      </c>
      <c r="AA685" s="4" t="s">
        <v>7250</v>
      </c>
      <c r="AB685" s="4" t="s">
        <v>5658</v>
      </c>
      <c r="AC685" s="9">
        <v>1</v>
      </c>
      <c r="AD685" t="str">
        <f>VLOOKUP($T685,[1]NhanSu!$C$5:$M$229,11,0)</f>
        <v>SM0000143</v>
      </c>
    </row>
    <row r="686" spans="1:30" x14ac:dyDescent="0.45">
      <c r="A686" s="6" t="s">
        <v>6444</v>
      </c>
      <c r="B686" s="5">
        <v>268</v>
      </c>
      <c r="C686" s="5" t="s">
        <v>7251</v>
      </c>
      <c r="D686" s="5" t="s">
        <v>7252</v>
      </c>
      <c r="E686" s="5" t="s">
        <v>2011</v>
      </c>
      <c r="F686" s="5" t="s">
        <v>884</v>
      </c>
      <c r="G686" s="5" t="s">
        <v>150</v>
      </c>
      <c r="H686" s="5" t="s">
        <v>842</v>
      </c>
      <c r="I686" s="5" t="s">
        <v>7253</v>
      </c>
      <c r="J686" s="5" t="s">
        <v>37</v>
      </c>
      <c r="K686" s="5" t="s">
        <v>37</v>
      </c>
      <c r="L686" s="5" t="s">
        <v>39</v>
      </c>
      <c r="M686" s="5" t="s">
        <v>37</v>
      </c>
      <c r="N686" s="5" t="s">
        <v>38</v>
      </c>
      <c r="O686" s="5" t="s">
        <v>39</v>
      </c>
      <c r="P686" s="5" t="s">
        <v>37</v>
      </c>
      <c r="Q686" s="5" t="s">
        <v>38</v>
      </c>
      <c r="R686" s="5" t="s">
        <v>40</v>
      </c>
      <c r="S686" s="5" t="s">
        <v>41</v>
      </c>
      <c r="T686" s="5" t="s">
        <v>7183</v>
      </c>
      <c r="U686" s="5" t="s">
        <v>7184</v>
      </c>
      <c r="V686" s="5" t="s">
        <v>6450</v>
      </c>
      <c r="W686" s="5" t="s">
        <v>7100</v>
      </c>
      <c r="X686" s="5"/>
      <c r="Y686" s="5"/>
      <c r="Z686" s="5" t="s">
        <v>46</v>
      </c>
      <c r="AA686" s="5" t="s">
        <v>7101</v>
      </c>
      <c r="AB686" s="5"/>
      <c r="AC686" s="7">
        <v>1</v>
      </c>
      <c r="AD686" t="str">
        <f>VLOOKUP($T686,[1]NhanSu!$C$5:$M$229,11,0)</f>
        <v>SM0000176</v>
      </c>
    </row>
    <row r="687" spans="1:30" x14ac:dyDescent="0.45">
      <c r="A687" s="8" t="s">
        <v>6444</v>
      </c>
      <c r="B687" s="4">
        <v>269</v>
      </c>
      <c r="C687" s="4" t="s">
        <v>7254</v>
      </c>
      <c r="D687" s="4" t="s">
        <v>7255</v>
      </c>
      <c r="E687" s="4" t="s">
        <v>330</v>
      </c>
      <c r="F687" s="4" t="s">
        <v>53</v>
      </c>
      <c r="G687" s="4" t="s">
        <v>150</v>
      </c>
      <c r="H687" s="4" t="s">
        <v>1483</v>
      </c>
      <c r="I687" s="4" t="s">
        <v>2061</v>
      </c>
      <c r="J687" s="4" t="s">
        <v>38</v>
      </c>
      <c r="K687" s="4" t="s">
        <v>38</v>
      </c>
      <c r="L687" s="4" t="s">
        <v>40</v>
      </c>
      <c r="M687" s="4" t="s">
        <v>38</v>
      </c>
      <c r="N687" s="4" t="s">
        <v>37</v>
      </c>
      <c r="O687" s="4" t="s">
        <v>39</v>
      </c>
      <c r="P687" s="4" t="s">
        <v>38</v>
      </c>
      <c r="Q687" s="4" t="s">
        <v>38</v>
      </c>
      <c r="R687" s="4" t="s">
        <v>40</v>
      </c>
      <c r="S687" s="4" t="s">
        <v>41</v>
      </c>
      <c r="T687" s="4" t="s">
        <v>7183</v>
      </c>
      <c r="U687" s="4" t="s">
        <v>7184</v>
      </c>
      <c r="V687" s="4" t="s">
        <v>6450</v>
      </c>
      <c r="W687" s="4" t="s">
        <v>7100</v>
      </c>
      <c r="X687" s="4"/>
      <c r="Y687" s="4"/>
      <c r="Z687" s="4" t="s">
        <v>46</v>
      </c>
      <c r="AA687" s="4" t="s">
        <v>7101</v>
      </c>
      <c r="AB687" s="4" t="s">
        <v>4223</v>
      </c>
      <c r="AC687" s="9">
        <v>1</v>
      </c>
      <c r="AD687" t="str">
        <f>VLOOKUP($T687,[1]NhanSu!$C$5:$M$229,11,0)</f>
        <v>SM0000176</v>
      </c>
    </row>
    <row r="688" spans="1:30" x14ac:dyDescent="0.45">
      <c r="A688" s="6" t="s">
        <v>6444</v>
      </c>
      <c r="B688" s="5">
        <v>270</v>
      </c>
      <c r="C688" s="5" t="s">
        <v>7256</v>
      </c>
      <c r="D688" s="5" t="s">
        <v>7257</v>
      </c>
      <c r="E688" s="5" t="s">
        <v>143</v>
      </c>
      <c r="F688" s="5" t="s">
        <v>5976</v>
      </c>
      <c r="G688" s="5" t="s">
        <v>34</v>
      </c>
      <c r="H688" s="5" t="s">
        <v>697</v>
      </c>
      <c r="I688" s="5" t="s">
        <v>7258</v>
      </c>
      <c r="J688" s="5" t="s">
        <v>38</v>
      </c>
      <c r="K688" s="5" t="s">
        <v>38</v>
      </c>
      <c r="L688" s="5" t="s">
        <v>40</v>
      </c>
      <c r="M688" s="5" t="s">
        <v>37</v>
      </c>
      <c r="N688" s="5" t="s">
        <v>37</v>
      </c>
      <c r="O688" s="5" t="s">
        <v>40</v>
      </c>
      <c r="P688" s="5" t="s">
        <v>38</v>
      </c>
      <c r="Q688" s="5" t="s">
        <v>38</v>
      </c>
      <c r="R688" s="5" t="s">
        <v>40</v>
      </c>
      <c r="S688" s="5" t="s">
        <v>7259</v>
      </c>
      <c r="T688" s="5" t="s">
        <v>7112</v>
      </c>
      <c r="U688" s="5" t="s">
        <v>7106</v>
      </c>
      <c r="V688" s="5" t="s">
        <v>6450</v>
      </c>
      <c r="W688" s="5" t="s">
        <v>7100</v>
      </c>
      <c r="X688" s="5"/>
      <c r="Y688" s="5"/>
      <c r="Z688" s="5" t="s">
        <v>46</v>
      </c>
      <c r="AA688" s="5" t="s">
        <v>6457</v>
      </c>
      <c r="AB688" s="5" t="s">
        <v>4223</v>
      </c>
      <c r="AC688" s="7">
        <v>1</v>
      </c>
      <c r="AD688" t="str">
        <f>VLOOKUP($T688,[1]NhanSu!$C$5:$M$229,11,0)</f>
        <v>SM0000142</v>
      </c>
    </row>
    <row r="689" spans="1:30" x14ac:dyDescent="0.45">
      <c r="A689" s="8" t="s">
        <v>6444</v>
      </c>
      <c r="B689" s="4">
        <v>271</v>
      </c>
      <c r="C689" s="4" t="s">
        <v>7260</v>
      </c>
      <c r="D689" s="4" t="s">
        <v>7261</v>
      </c>
      <c r="E689" s="4" t="s">
        <v>1866</v>
      </c>
      <c r="F689" s="4" t="s">
        <v>2673</v>
      </c>
      <c r="G689" s="4" t="s">
        <v>1624</v>
      </c>
      <c r="H689" s="4" t="s">
        <v>4797</v>
      </c>
      <c r="I689" s="4" t="s">
        <v>7262</v>
      </c>
      <c r="J689" s="4" t="s">
        <v>38</v>
      </c>
      <c r="K689" s="4" t="s">
        <v>37</v>
      </c>
      <c r="L689" s="4" t="s">
        <v>40</v>
      </c>
      <c r="M689" s="4" t="s">
        <v>38</v>
      </c>
      <c r="N689" s="4" t="s">
        <v>37</v>
      </c>
      <c r="O689" s="4" t="s">
        <v>39</v>
      </c>
      <c r="P689" s="4" t="s">
        <v>38</v>
      </c>
      <c r="Q689" s="4" t="s">
        <v>38</v>
      </c>
      <c r="R689" s="4" t="s">
        <v>40</v>
      </c>
      <c r="S689" s="4" t="s">
        <v>41</v>
      </c>
      <c r="T689" s="4" t="s">
        <v>7183</v>
      </c>
      <c r="U689" s="4" t="s">
        <v>7184</v>
      </c>
      <c r="V689" s="4" t="s">
        <v>6450</v>
      </c>
      <c r="W689" s="4" t="s">
        <v>7100</v>
      </c>
      <c r="X689" s="4"/>
      <c r="Y689" s="4"/>
      <c r="Z689" s="4" t="s">
        <v>46</v>
      </c>
      <c r="AA689" s="4" t="s">
        <v>7101</v>
      </c>
      <c r="AB689" s="4" t="s">
        <v>3101</v>
      </c>
      <c r="AC689" s="9">
        <v>1</v>
      </c>
      <c r="AD689" t="str">
        <f>VLOOKUP($T689,[1]NhanSu!$C$5:$M$229,11,0)</f>
        <v>SM0000176</v>
      </c>
    </row>
    <row r="690" spans="1:30" x14ac:dyDescent="0.45">
      <c r="A690" s="6" t="s">
        <v>6444</v>
      </c>
      <c r="B690" s="5">
        <v>273</v>
      </c>
      <c r="C690" s="5" t="s">
        <v>7266</v>
      </c>
      <c r="D690" s="5" t="s">
        <v>7267</v>
      </c>
      <c r="E690" s="5" t="s">
        <v>674</v>
      </c>
      <c r="F690" s="5" t="s">
        <v>4431</v>
      </c>
      <c r="G690" s="5" t="s">
        <v>34</v>
      </c>
      <c r="H690" s="5" t="s">
        <v>2251</v>
      </c>
      <c r="I690" s="5" t="s">
        <v>7268</v>
      </c>
      <c r="J690" s="5" t="s">
        <v>37</v>
      </c>
      <c r="K690" s="5" t="s">
        <v>37</v>
      </c>
      <c r="L690" s="5" t="s">
        <v>40</v>
      </c>
      <c r="M690" s="5" t="s">
        <v>37</v>
      </c>
      <c r="N690" s="5" t="s">
        <v>37</v>
      </c>
      <c r="O690" s="5" t="s">
        <v>39</v>
      </c>
      <c r="P690" s="5" t="s">
        <v>38</v>
      </c>
      <c r="Q690" s="5" t="s">
        <v>38</v>
      </c>
      <c r="R690" s="5" t="s">
        <v>40</v>
      </c>
      <c r="S690" s="5" t="s">
        <v>41</v>
      </c>
      <c r="T690" s="5" t="s">
        <v>7112</v>
      </c>
      <c r="U690" s="5" t="s">
        <v>7106</v>
      </c>
      <c r="V690" s="5" t="s">
        <v>6450</v>
      </c>
      <c r="W690" s="5" t="s">
        <v>7100</v>
      </c>
      <c r="X690" s="5"/>
      <c r="Y690" s="5"/>
      <c r="Z690" s="5" t="s">
        <v>46</v>
      </c>
      <c r="AA690" s="5" t="s">
        <v>7101</v>
      </c>
      <c r="AB690" s="5" t="s">
        <v>3109</v>
      </c>
      <c r="AC690" s="7">
        <v>1</v>
      </c>
      <c r="AD690" t="str">
        <f>VLOOKUP($T690,[1]NhanSu!$C$5:$M$229,11,0)</f>
        <v>SM0000142</v>
      </c>
    </row>
    <row r="691" spans="1:30" x14ac:dyDescent="0.45">
      <c r="A691" s="8" t="s">
        <v>6444</v>
      </c>
      <c r="B691" s="4">
        <v>274</v>
      </c>
      <c r="C691" s="4" t="s">
        <v>7269</v>
      </c>
      <c r="D691" s="4" t="s">
        <v>7270</v>
      </c>
      <c r="E691" s="4" t="s">
        <v>1610</v>
      </c>
      <c r="F691" s="4" t="s">
        <v>166</v>
      </c>
      <c r="G691" s="4" t="s">
        <v>34</v>
      </c>
      <c r="H691" s="4" t="s">
        <v>1639</v>
      </c>
      <c r="I691" s="4" t="s">
        <v>7231</v>
      </c>
      <c r="J691" s="4" t="s">
        <v>37</v>
      </c>
      <c r="K691" s="4" t="s">
        <v>37</v>
      </c>
      <c r="L691" s="4" t="s">
        <v>40</v>
      </c>
      <c r="M691" s="4" t="s">
        <v>37</v>
      </c>
      <c r="N691" s="4" t="s">
        <v>37</v>
      </c>
      <c r="O691" s="4" t="s">
        <v>39</v>
      </c>
      <c r="P691" s="4" t="s">
        <v>37</v>
      </c>
      <c r="Q691" s="4" t="s">
        <v>37</v>
      </c>
      <c r="R691" s="4" t="s">
        <v>40</v>
      </c>
      <c r="S691" s="4" t="s">
        <v>41</v>
      </c>
      <c r="T691" s="4" t="s">
        <v>7105</v>
      </c>
      <c r="U691" s="4" t="s">
        <v>7106</v>
      </c>
      <c r="V691" s="4" t="s">
        <v>6450</v>
      </c>
      <c r="W691" s="4" t="s">
        <v>7100</v>
      </c>
      <c r="X691" s="4"/>
      <c r="Y691" s="4"/>
      <c r="Z691" s="4" t="s">
        <v>46</v>
      </c>
      <c r="AA691" s="4" t="s">
        <v>7101</v>
      </c>
      <c r="AB691" s="4" t="s">
        <v>4223</v>
      </c>
      <c r="AC691" s="9">
        <v>1</v>
      </c>
      <c r="AD691" t="str">
        <f>VLOOKUP($T691,[1]NhanSu!$C$5:$M$229,11,0)</f>
        <v>SM0000143</v>
      </c>
    </row>
    <row r="692" spans="1:30" x14ac:dyDescent="0.45">
      <c r="A692" s="6" t="s">
        <v>6444</v>
      </c>
      <c r="B692" s="5">
        <v>275</v>
      </c>
      <c r="C692" s="5" t="s">
        <v>7271</v>
      </c>
      <c r="D692" s="5" t="s">
        <v>5782</v>
      </c>
      <c r="E692" s="5" t="s">
        <v>455</v>
      </c>
      <c r="F692" s="5" t="s">
        <v>292</v>
      </c>
      <c r="G692" s="5" t="s">
        <v>34</v>
      </c>
      <c r="H692" s="5" t="s">
        <v>319</v>
      </c>
      <c r="I692" s="5" t="s">
        <v>7264</v>
      </c>
      <c r="J692" s="5" t="s">
        <v>38</v>
      </c>
      <c r="K692" s="5" t="s">
        <v>38</v>
      </c>
      <c r="L692" s="5" t="s">
        <v>39</v>
      </c>
      <c r="M692" s="5" t="s">
        <v>37</v>
      </c>
      <c r="N692" s="5" t="s">
        <v>56</v>
      </c>
      <c r="O692" s="5" t="s">
        <v>39</v>
      </c>
      <c r="P692" s="5" t="s">
        <v>38</v>
      </c>
      <c r="Q692" s="5" t="s">
        <v>38</v>
      </c>
      <c r="R692" s="5" t="s">
        <v>40</v>
      </c>
      <c r="S692" s="5" t="s">
        <v>7272</v>
      </c>
      <c r="T692" s="5" t="s">
        <v>7112</v>
      </c>
      <c r="U692" s="5" t="s">
        <v>7106</v>
      </c>
      <c r="V692" s="5" t="s">
        <v>6450</v>
      </c>
      <c r="W692" s="5" t="s">
        <v>7100</v>
      </c>
      <c r="X692" s="5"/>
      <c r="Y692" s="5"/>
      <c r="Z692" s="5" t="s">
        <v>46</v>
      </c>
      <c r="AA692" s="5" t="s">
        <v>7273</v>
      </c>
      <c r="AB692" s="5" t="s">
        <v>5658</v>
      </c>
      <c r="AC692" s="7">
        <v>1</v>
      </c>
      <c r="AD692" t="str">
        <f>VLOOKUP($T692,[1]NhanSu!$C$5:$M$229,11,0)</f>
        <v>SM0000142</v>
      </c>
    </row>
    <row r="693" spans="1:30" x14ac:dyDescent="0.45">
      <c r="A693" s="8" t="s">
        <v>6444</v>
      </c>
      <c r="B693" s="4">
        <v>276</v>
      </c>
      <c r="C693" s="4" t="s">
        <v>7274</v>
      </c>
      <c r="D693" s="4" t="s">
        <v>7275</v>
      </c>
      <c r="E693" s="4" t="s">
        <v>113</v>
      </c>
      <c r="F693" s="4" t="s">
        <v>2902</v>
      </c>
      <c r="G693" s="4" t="s">
        <v>34</v>
      </c>
      <c r="H693" s="4" t="s">
        <v>1280</v>
      </c>
      <c r="I693" s="4" t="s">
        <v>7276</v>
      </c>
      <c r="J693" s="4" t="s">
        <v>38</v>
      </c>
      <c r="K693" s="4" t="s">
        <v>37</v>
      </c>
      <c r="L693" s="4" t="s">
        <v>40</v>
      </c>
      <c r="M693" s="4" t="s">
        <v>37</v>
      </c>
      <c r="N693" s="4" t="s">
        <v>37</v>
      </c>
      <c r="O693" s="4" t="s">
        <v>39</v>
      </c>
      <c r="P693" s="4" t="s">
        <v>38</v>
      </c>
      <c r="Q693" s="4" t="s">
        <v>38</v>
      </c>
      <c r="R693" s="4" t="s">
        <v>40</v>
      </c>
      <c r="S693" s="4" t="s">
        <v>41</v>
      </c>
      <c r="T693" s="4" t="s">
        <v>7112</v>
      </c>
      <c r="U693" s="4" t="s">
        <v>7106</v>
      </c>
      <c r="V693" s="4" t="s">
        <v>6450</v>
      </c>
      <c r="W693" s="4" t="s">
        <v>7100</v>
      </c>
      <c r="X693" s="4"/>
      <c r="Y693" s="4"/>
      <c r="Z693" s="4" t="s">
        <v>46</v>
      </c>
      <c r="AA693" s="4" t="s">
        <v>7101</v>
      </c>
      <c r="AB693" s="4" t="s">
        <v>3109</v>
      </c>
      <c r="AC693" s="9">
        <v>1</v>
      </c>
      <c r="AD693" t="str">
        <f>VLOOKUP($T693,[1]NhanSu!$C$5:$M$229,11,0)</f>
        <v>SM0000142</v>
      </c>
    </row>
    <row r="694" spans="1:30" x14ac:dyDescent="0.45">
      <c r="A694" s="6" t="s">
        <v>6444</v>
      </c>
      <c r="B694" s="5">
        <v>277</v>
      </c>
      <c r="C694" s="5" t="s">
        <v>7277</v>
      </c>
      <c r="D694" s="5" t="s">
        <v>7278</v>
      </c>
      <c r="E694" s="5" t="s">
        <v>580</v>
      </c>
      <c r="F694" s="5" t="s">
        <v>1160</v>
      </c>
      <c r="G694" s="5" t="s">
        <v>34</v>
      </c>
      <c r="H694" s="5" t="s">
        <v>4689</v>
      </c>
      <c r="I694" s="5" t="s">
        <v>7279</v>
      </c>
      <c r="J694" s="5" t="s">
        <v>37</v>
      </c>
      <c r="K694" s="5" t="s">
        <v>56</v>
      </c>
      <c r="L694" s="5" t="s">
        <v>39</v>
      </c>
      <c r="M694" s="5" t="s">
        <v>37</v>
      </c>
      <c r="N694" s="5" t="s">
        <v>37</v>
      </c>
      <c r="O694" s="5" t="s">
        <v>39</v>
      </c>
      <c r="P694" s="5" t="s">
        <v>38</v>
      </c>
      <c r="Q694" s="5" t="s">
        <v>38</v>
      </c>
      <c r="R694" s="5" t="s">
        <v>40</v>
      </c>
      <c r="S694" s="5" t="s">
        <v>41</v>
      </c>
      <c r="T694" s="5" t="s">
        <v>7112</v>
      </c>
      <c r="U694" s="5" t="s">
        <v>7106</v>
      </c>
      <c r="V694" s="5" t="s">
        <v>6450</v>
      </c>
      <c r="W694" s="5" t="s">
        <v>7100</v>
      </c>
      <c r="X694" s="5"/>
      <c r="Y694" s="5"/>
      <c r="Z694" s="5" t="s">
        <v>46</v>
      </c>
      <c r="AA694" s="5" t="s">
        <v>7101</v>
      </c>
      <c r="AB694" s="5" t="s">
        <v>3101</v>
      </c>
      <c r="AC694" s="7">
        <v>1</v>
      </c>
      <c r="AD694" t="str">
        <f>VLOOKUP($T694,[1]NhanSu!$C$5:$M$229,11,0)</f>
        <v>SM0000142</v>
      </c>
    </row>
    <row r="695" spans="1:30" x14ac:dyDescent="0.45">
      <c r="A695" s="8" t="s">
        <v>6444</v>
      </c>
      <c r="B695" s="4">
        <v>278</v>
      </c>
      <c r="C695" s="4" t="s">
        <v>7280</v>
      </c>
      <c r="D695" s="4" t="s">
        <v>7281</v>
      </c>
      <c r="E695" s="4" t="s">
        <v>7282</v>
      </c>
      <c r="F695" s="4" t="s">
        <v>115</v>
      </c>
      <c r="G695" s="4" t="s">
        <v>177</v>
      </c>
      <c r="H695" s="4" t="s">
        <v>402</v>
      </c>
      <c r="I695" s="4" t="s">
        <v>7283</v>
      </c>
      <c r="J695" s="4" t="s">
        <v>38</v>
      </c>
      <c r="K695" s="4" t="s">
        <v>38</v>
      </c>
      <c r="L695" s="4" t="s">
        <v>40</v>
      </c>
      <c r="M695" s="4" t="s">
        <v>38</v>
      </c>
      <c r="N695" s="4" t="s">
        <v>38</v>
      </c>
      <c r="O695" s="4" t="s">
        <v>39</v>
      </c>
      <c r="P695" s="4" t="s">
        <v>38</v>
      </c>
      <c r="Q695" s="4" t="s">
        <v>38</v>
      </c>
      <c r="R695" s="4" t="s">
        <v>40</v>
      </c>
      <c r="S695" s="4" t="s">
        <v>41</v>
      </c>
      <c r="T695" s="4" t="s">
        <v>7105</v>
      </c>
      <c r="U695" s="4" t="s">
        <v>7106</v>
      </c>
      <c r="V695" s="4" t="s">
        <v>6450</v>
      </c>
      <c r="W695" s="4" t="s">
        <v>7100</v>
      </c>
      <c r="X695" s="4"/>
      <c r="Y695" s="4"/>
      <c r="Z695" s="4" t="s">
        <v>46</v>
      </c>
      <c r="AA695" s="4" t="s">
        <v>6457</v>
      </c>
      <c r="AB695" s="4" t="s">
        <v>4223</v>
      </c>
      <c r="AC695" s="9">
        <v>1</v>
      </c>
      <c r="AD695" t="str">
        <f>VLOOKUP($T695,[1]NhanSu!$C$5:$M$229,11,0)</f>
        <v>SM0000143</v>
      </c>
    </row>
    <row r="696" spans="1:30" x14ac:dyDescent="0.45">
      <c r="A696" s="6" t="s">
        <v>6444</v>
      </c>
      <c r="B696" s="5">
        <v>279</v>
      </c>
      <c r="C696" s="5" t="s">
        <v>7284</v>
      </c>
      <c r="D696" s="5" t="s">
        <v>7285</v>
      </c>
      <c r="E696" s="5" t="s">
        <v>307</v>
      </c>
      <c r="F696" s="5" t="s">
        <v>4431</v>
      </c>
      <c r="G696" s="5" t="s">
        <v>34</v>
      </c>
      <c r="H696" s="5" t="s">
        <v>2256</v>
      </c>
      <c r="I696" s="5" t="s">
        <v>7287</v>
      </c>
      <c r="J696" s="5" t="s">
        <v>38</v>
      </c>
      <c r="K696" s="5" t="s">
        <v>38</v>
      </c>
      <c r="L696" s="5" t="s">
        <v>40</v>
      </c>
      <c r="M696" s="5" t="s">
        <v>38</v>
      </c>
      <c r="N696" s="5" t="s">
        <v>38</v>
      </c>
      <c r="O696" s="5" t="s">
        <v>40</v>
      </c>
      <c r="P696" s="5" t="s">
        <v>38</v>
      </c>
      <c r="Q696" s="5" t="s">
        <v>38</v>
      </c>
      <c r="R696" s="5" t="s">
        <v>40</v>
      </c>
      <c r="S696" s="5" t="s">
        <v>41</v>
      </c>
      <c r="T696" s="5" t="s">
        <v>7105</v>
      </c>
      <c r="U696" s="5" t="s">
        <v>7106</v>
      </c>
      <c r="V696" s="5" t="s">
        <v>6450</v>
      </c>
      <c r="W696" s="5" t="s">
        <v>7100</v>
      </c>
      <c r="X696" s="5"/>
      <c r="Y696" s="5"/>
      <c r="Z696" s="5" t="s">
        <v>46</v>
      </c>
      <c r="AA696" s="5" t="s">
        <v>6457</v>
      </c>
      <c r="AB696" s="5" t="s">
        <v>5658</v>
      </c>
      <c r="AC696" s="7">
        <v>1</v>
      </c>
      <c r="AD696" t="str">
        <f>VLOOKUP($T696,[1]NhanSu!$C$5:$M$229,11,0)</f>
        <v>SM0000143</v>
      </c>
    </row>
    <row r="697" spans="1:30" x14ac:dyDescent="0.45">
      <c r="A697" s="8" t="s">
        <v>6444</v>
      </c>
      <c r="B697" s="4">
        <v>280</v>
      </c>
      <c r="C697" s="4" t="s">
        <v>7288</v>
      </c>
      <c r="D697" s="4" t="s">
        <v>7289</v>
      </c>
      <c r="E697" s="4" t="s">
        <v>7290</v>
      </c>
      <c r="F697" s="4" t="s">
        <v>1160</v>
      </c>
      <c r="G697" s="4" t="s">
        <v>177</v>
      </c>
      <c r="H697" s="4" t="s">
        <v>555</v>
      </c>
      <c r="I697" s="4" t="s">
        <v>7291</v>
      </c>
      <c r="J697" s="4" t="s">
        <v>38</v>
      </c>
      <c r="K697" s="4" t="s">
        <v>38</v>
      </c>
      <c r="L697" s="4" t="s">
        <v>40</v>
      </c>
      <c r="M697" s="4" t="s">
        <v>38</v>
      </c>
      <c r="N697" s="4" t="s">
        <v>38</v>
      </c>
      <c r="O697" s="4" t="s">
        <v>39</v>
      </c>
      <c r="P697" s="4" t="s">
        <v>38</v>
      </c>
      <c r="Q697" s="4" t="s">
        <v>38</v>
      </c>
      <c r="R697" s="4" t="s">
        <v>40</v>
      </c>
      <c r="S697" s="4" t="s">
        <v>41</v>
      </c>
      <c r="T697" s="4" t="s">
        <v>7105</v>
      </c>
      <c r="U697" s="4" t="s">
        <v>7106</v>
      </c>
      <c r="V697" s="4" t="s">
        <v>6450</v>
      </c>
      <c r="W697" s="4" t="s">
        <v>7100</v>
      </c>
      <c r="X697" s="4"/>
      <c r="Y697" s="4"/>
      <c r="Z697" s="4" t="s">
        <v>46</v>
      </c>
      <c r="AA697" s="4" t="s">
        <v>7101</v>
      </c>
      <c r="AB697" s="4" t="s">
        <v>3109</v>
      </c>
      <c r="AC697" s="9">
        <v>1</v>
      </c>
      <c r="AD697" t="str">
        <f>VLOOKUP($T697,[1]NhanSu!$C$5:$M$229,11,0)</f>
        <v>SM0000143</v>
      </c>
    </row>
    <row r="698" spans="1:30" x14ac:dyDescent="0.45">
      <c r="A698" s="6" t="s">
        <v>6444</v>
      </c>
      <c r="B698" s="5">
        <v>281</v>
      </c>
      <c r="C698" s="5" t="s">
        <v>7292</v>
      </c>
      <c r="D698" s="5" t="s">
        <v>7293</v>
      </c>
      <c r="E698" s="5" t="s">
        <v>682</v>
      </c>
      <c r="F698" s="5" t="s">
        <v>401</v>
      </c>
      <c r="G698" s="5" t="s">
        <v>34</v>
      </c>
      <c r="H698" s="5" t="s">
        <v>2426</v>
      </c>
      <c r="I698" s="5" t="s">
        <v>7294</v>
      </c>
      <c r="J698" s="5" t="s">
        <v>38</v>
      </c>
      <c r="K698" s="5" t="s">
        <v>38</v>
      </c>
      <c r="L698" s="5" t="s">
        <v>40</v>
      </c>
      <c r="M698" s="5" t="s">
        <v>38</v>
      </c>
      <c r="N698" s="5" t="s">
        <v>37</v>
      </c>
      <c r="O698" s="5" t="s">
        <v>39</v>
      </c>
      <c r="P698" s="5" t="s">
        <v>38</v>
      </c>
      <c r="Q698" s="5" t="s">
        <v>38</v>
      </c>
      <c r="R698" s="5" t="s">
        <v>40</v>
      </c>
      <c r="S698" s="5" t="s">
        <v>41</v>
      </c>
      <c r="T698" s="5" t="s">
        <v>7105</v>
      </c>
      <c r="U698" s="5" t="s">
        <v>7106</v>
      </c>
      <c r="V698" s="5" t="s">
        <v>6450</v>
      </c>
      <c r="W698" s="5" t="s">
        <v>7100</v>
      </c>
      <c r="X698" s="5"/>
      <c r="Y698" s="5"/>
      <c r="Z698" s="5" t="s">
        <v>46</v>
      </c>
      <c r="AA698" s="5" t="s">
        <v>7101</v>
      </c>
      <c r="AB698" s="5" t="s">
        <v>3109</v>
      </c>
      <c r="AC698" s="7">
        <v>1</v>
      </c>
      <c r="AD698" t="str">
        <f>VLOOKUP($T698,[1]NhanSu!$C$5:$M$229,11,0)</f>
        <v>SM0000143</v>
      </c>
    </row>
    <row r="699" spans="1:30" x14ac:dyDescent="0.45">
      <c r="A699" s="8" t="s">
        <v>6444</v>
      </c>
      <c r="B699" s="4">
        <v>302</v>
      </c>
      <c r="C699" s="4" t="s">
        <v>7363</v>
      </c>
      <c r="D699" s="4" t="s">
        <v>7364</v>
      </c>
      <c r="E699" s="4" t="s">
        <v>7365</v>
      </c>
      <c r="F699" s="4" t="s">
        <v>7366</v>
      </c>
      <c r="G699" s="4" t="s">
        <v>34</v>
      </c>
      <c r="H699" s="4" t="s">
        <v>54</v>
      </c>
      <c r="I699" s="4" t="s">
        <v>7367</v>
      </c>
      <c r="J699" s="4" t="s">
        <v>37</v>
      </c>
      <c r="K699" s="4" t="s">
        <v>37</v>
      </c>
      <c r="L699" s="4" t="s">
        <v>39</v>
      </c>
      <c r="M699" s="4" t="s">
        <v>56</v>
      </c>
      <c r="N699" s="4" t="s">
        <v>56</v>
      </c>
      <c r="O699" s="4" t="s">
        <v>39</v>
      </c>
      <c r="P699" s="4" t="s">
        <v>38</v>
      </c>
      <c r="Q699" s="4" t="s">
        <v>37</v>
      </c>
      <c r="R699" s="4" t="s">
        <v>39</v>
      </c>
      <c r="S699" s="4" t="s">
        <v>41</v>
      </c>
      <c r="T699" s="4" t="s">
        <v>7368</v>
      </c>
      <c r="U699" s="4" t="s">
        <v>7369</v>
      </c>
      <c r="V699" s="4" t="s">
        <v>6450</v>
      </c>
      <c r="W699" s="4" t="s">
        <v>7312</v>
      </c>
      <c r="X699" s="4"/>
      <c r="Y699" s="4"/>
      <c r="Z699" s="4" t="s">
        <v>46</v>
      </c>
      <c r="AA699" s="4" t="s">
        <v>7370</v>
      </c>
      <c r="AB699" s="4"/>
      <c r="AC699" s="9">
        <v>1</v>
      </c>
      <c r="AD699" t="str">
        <f>VLOOKUP($T699,[1]NhanSu!$C$5:$M$229,11,0)</f>
        <v>SM0000123</v>
      </c>
    </row>
    <row r="700" spans="1:30" x14ac:dyDescent="0.45">
      <c r="A700" s="6" t="s">
        <v>6444</v>
      </c>
      <c r="B700" s="5">
        <v>314</v>
      </c>
      <c r="C700" s="5" t="s">
        <v>7397</v>
      </c>
      <c r="D700" s="5" t="s">
        <v>6058</v>
      </c>
      <c r="E700" s="5" t="s">
        <v>7398</v>
      </c>
      <c r="F700" s="5" t="s">
        <v>286</v>
      </c>
      <c r="G700" s="5" t="s">
        <v>34</v>
      </c>
      <c r="H700" s="5" t="s">
        <v>54</v>
      </c>
      <c r="I700" s="5" t="s">
        <v>7399</v>
      </c>
      <c r="J700" s="5" t="s">
        <v>38</v>
      </c>
      <c r="K700" s="5" t="s">
        <v>38</v>
      </c>
      <c r="L700" s="5" t="s">
        <v>40</v>
      </c>
      <c r="M700" s="5" t="s">
        <v>37</v>
      </c>
      <c r="N700" s="5" t="s">
        <v>37</v>
      </c>
      <c r="O700" s="5" t="s">
        <v>39</v>
      </c>
      <c r="P700" s="5" t="s">
        <v>37</v>
      </c>
      <c r="Q700" s="5" t="s">
        <v>56</v>
      </c>
      <c r="R700" s="5" t="s">
        <v>39</v>
      </c>
      <c r="S700" s="5" t="s">
        <v>41</v>
      </c>
      <c r="T700" s="5" t="s">
        <v>7368</v>
      </c>
      <c r="U700" s="5" t="s">
        <v>7369</v>
      </c>
      <c r="V700" s="5" t="s">
        <v>6450</v>
      </c>
      <c r="W700" s="5" t="s">
        <v>7312</v>
      </c>
      <c r="X700" s="5"/>
      <c r="Y700" s="5"/>
      <c r="Z700" s="5" t="s">
        <v>46</v>
      </c>
      <c r="AA700" s="5" t="s">
        <v>6457</v>
      </c>
      <c r="AB700" s="5" t="s">
        <v>5658</v>
      </c>
      <c r="AC700" s="7">
        <v>1</v>
      </c>
      <c r="AD700" t="str">
        <f>VLOOKUP($T700,[1]NhanSu!$C$5:$M$229,11,0)</f>
        <v>SM0000123</v>
      </c>
    </row>
    <row r="701" spans="1:30" x14ac:dyDescent="0.45">
      <c r="A701" s="8" t="s">
        <v>6444</v>
      </c>
      <c r="B701" s="4">
        <v>332</v>
      </c>
      <c r="C701" s="4" t="s">
        <v>7444</v>
      </c>
      <c r="D701" s="4" t="s">
        <v>7445</v>
      </c>
      <c r="E701" s="4" t="s">
        <v>828</v>
      </c>
      <c r="F701" s="4" t="s">
        <v>53</v>
      </c>
      <c r="G701" s="4" t="s">
        <v>34</v>
      </c>
      <c r="H701" s="4" t="s">
        <v>54</v>
      </c>
      <c r="I701" s="4" t="s">
        <v>7446</v>
      </c>
      <c r="J701" s="4" t="s">
        <v>38</v>
      </c>
      <c r="K701" s="4" t="s">
        <v>38</v>
      </c>
      <c r="L701" s="4" t="s">
        <v>39</v>
      </c>
      <c r="M701" s="4" t="s">
        <v>56</v>
      </c>
      <c r="N701" s="4" t="s">
        <v>56</v>
      </c>
      <c r="O701" s="4" t="s">
        <v>39</v>
      </c>
      <c r="P701" s="4" t="s">
        <v>38</v>
      </c>
      <c r="Q701" s="4" t="s">
        <v>38</v>
      </c>
      <c r="R701" s="4" t="s">
        <v>39</v>
      </c>
      <c r="S701" s="4" t="s">
        <v>41</v>
      </c>
      <c r="T701" s="4" t="s">
        <v>7368</v>
      </c>
      <c r="U701" s="4" t="s">
        <v>7369</v>
      </c>
      <c r="V701" s="4" t="s">
        <v>6450</v>
      </c>
      <c r="W701" s="4" t="s">
        <v>7312</v>
      </c>
      <c r="X701" s="4"/>
      <c r="Y701" s="4"/>
      <c r="Z701" s="4" t="s">
        <v>46</v>
      </c>
      <c r="AA701" s="4" t="s">
        <v>6457</v>
      </c>
      <c r="AB701" s="4" t="s">
        <v>3109</v>
      </c>
      <c r="AC701" s="9">
        <v>1</v>
      </c>
      <c r="AD701" t="str">
        <f>VLOOKUP($T701,[1]NhanSu!$C$5:$M$229,11,0)</f>
        <v>SM0000123</v>
      </c>
    </row>
    <row r="702" spans="1:30" x14ac:dyDescent="0.45">
      <c r="A702" s="6" t="s">
        <v>6444</v>
      </c>
      <c r="B702" s="5">
        <v>341</v>
      </c>
      <c r="C702" s="5" t="s">
        <v>7468</v>
      </c>
      <c r="D702" s="5" t="s">
        <v>7469</v>
      </c>
      <c r="E702" s="5" t="s">
        <v>69</v>
      </c>
      <c r="F702" s="5" t="s">
        <v>53</v>
      </c>
      <c r="G702" s="5" t="s">
        <v>177</v>
      </c>
      <c r="H702" s="5" t="s">
        <v>54</v>
      </c>
      <c r="I702" s="5" t="s">
        <v>7470</v>
      </c>
      <c r="J702" s="5" t="s">
        <v>56</v>
      </c>
      <c r="K702" s="5" t="s">
        <v>37</v>
      </c>
      <c r="L702" s="5" t="s">
        <v>39</v>
      </c>
      <c r="M702" s="5" t="s">
        <v>37</v>
      </c>
      <c r="N702" s="5" t="s">
        <v>37</v>
      </c>
      <c r="O702" s="5" t="s">
        <v>39</v>
      </c>
      <c r="P702" s="5" t="s">
        <v>37</v>
      </c>
      <c r="Q702" s="5" t="s">
        <v>37</v>
      </c>
      <c r="R702" s="5" t="s">
        <v>39</v>
      </c>
      <c r="S702" s="5" t="s">
        <v>7471</v>
      </c>
      <c r="T702" s="5" t="s">
        <v>7319</v>
      </c>
      <c r="U702" s="5" t="s">
        <v>7311</v>
      </c>
      <c r="V702" s="5" t="s">
        <v>6450</v>
      </c>
      <c r="W702" s="5" t="s">
        <v>5607</v>
      </c>
      <c r="X702" s="5"/>
      <c r="Y702" s="5"/>
      <c r="Z702" s="5" t="s">
        <v>46</v>
      </c>
      <c r="AA702" s="5" t="s">
        <v>7370</v>
      </c>
      <c r="AB702" s="5" t="s">
        <v>4223</v>
      </c>
      <c r="AC702" s="7">
        <v>1</v>
      </c>
      <c r="AD702" t="str">
        <f>VLOOKUP($T702,[1]NhanSu!$C$5:$M$229,11,0)</f>
        <v>SM0000125</v>
      </c>
    </row>
    <row r="703" spans="1:30" x14ac:dyDescent="0.45">
      <c r="A703" s="8" t="s">
        <v>6444</v>
      </c>
      <c r="B703" s="4">
        <v>343</v>
      </c>
      <c r="C703" s="4" t="s">
        <v>7476</v>
      </c>
      <c r="D703" s="4" t="s">
        <v>7477</v>
      </c>
      <c r="E703" s="4" t="s">
        <v>330</v>
      </c>
      <c r="F703" s="4" t="s">
        <v>331</v>
      </c>
      <c r="G703" s="4" t="s">
        <v>34</v>
      </c>
      <c r="H703" s="4" t="s">
        <v>54</v>
      </c>
      <c r="I703" s="4" t="s">
        <v>7478</v>
      </c>
      <c r="J703" s="4" t="s">
        <v>38</v>
      </c>
      <c r="K703" s="4" t="s">
        <v>38</v>
      </c>
      <c r="L703" s="4" t="s">
        <v>40</v>
      </c>
      <c r="M703" s="4" t="s">
        <v>56</v>
      </c>
      <c r="N703" s="4" t="s">
        <v>37</v>
      </c>
      <c r="O703" s="4" t="s">
        <v>39</v>
      </c>
      <c r="P703" s="4" t="s">
        <v>56</v>
      </c>
      <c r="Q703" s="4" t="s">
        <v>56</v>
      </c>
      <c r="R703" s="4" t="s">
        <v>39</v>
      </c>
      <c r="S703" s="4" t="s">
        <v>41</v>
      </c>
      <c r="T703" s="4" t="s">
        <v>7368</v>
      </c>
      <c r="U703" s="4" t="s">
        <v>7369</v>
      </c>
      <c r="V703" s="4" t="s">
        <v>6450</v>
      </c>
      <c r="W703" s="4" t="s">
        <v>5607</v>
      </c>
      <c r="X703" s="4"/>
      <c r="Y703" s="4"/>
      <c r="Z703" s="4" t="s">
        <v>46</v>
      </c>
      <c r="AA703" s="4" t="s">
        <v>7370</v>
      </c>
      <c r="AB703" s="4" t="s">
        <v>3109</v>
      </c>
      <c r="AC703" s="9">
        <v>1</v>
      </c>
      <c r="AD703" t="str">
        <f>VLOOKUP($T703,[1]NhanSu!$C$5:$M$229,11,0)</f>
        <v>SM0000123</v>
      </c>
    </row>
    <row r="704" spans="1:30" x14ac:dyDescent="0.45">
      <c r="A704" s="6" t="s">
        <v>6444</v>
      </c>
      <c r="B704" s="5">
        <v>346</v>
      </c>
      <c r="C704" s="5" t="s">
        <v>7486</v>
      </c>
      <c r="D704" s="5" t="s">
        <v>7487</v>
      </c>
      <c r="E704" s="5" t="s">
        <v>344</v>
      </c>
      <c r="F704" s="5" t="s">
        <v>426</v>
      </c>
      <c r="G704" s="5" t="s">
        <v>177</v>
      </c>
      <c r="H704" s="5" t="s">
        <v>54</v>
      </c>
      <c r="I704" s="5" t="s">
        <v>6268</v>
      </c>
      <c r="J704" s="5" t="s">
        <v>56</v>
      </c>
      <c r="K704" s="5" t="s">
        <v>56</v>
      </c>
      <c r="L704" s="5" t="s">
        <v>39</v>
      </c>
      <c r="M704" s="5" t="s">
        <v>56</v>
      </c>
      <c r="N704" s="5" t="s">
        <v>56</v>
      </c>
      <c r="O704" s="5" t="s">
        <v>39</v>
      </c>
      <c r="P704" s="5" t="s">
        <v>37</v>
      </c>
      <c r="Q704" s="5" t="s">
        <v>37</v>
      </c>
      <c r="R704" s="5" t="s">
        <v>39</v>
      </c>
      <c r="S704" s="5" t="s">
        <v>7488</v>
      </c>
      <c r="T704" s="5" t="s">
        <v>7310</v>
      </c>
      <c r="U704" s="5" t="s">
        <v>7311</v>
      </c>
      <c r="V704" s="5" t="s">
        <v>6450</v>
      </c>
      <c r="W704" s="5" t="s">
        <v>5607</v>
      </c>
      <c r="X704" s="5"/>
      <c r="Y704" s="5"/>
      <c r="Z704" s="5" t="s">
        <v>46</v>
      </c>
      <c r="AA704" s="5" t="s">
        <v>7370</v>
      </c>
      <c r="AB704" s="5" t="s">
        <v>4223</v>
      </c>
      <c r="AC704" s="7">
        <v>1</v>
      </c>
      <c r="AD704" t="str">
        <f>VLOOKUP($T704,[1]NhanSu!$C$5:$M$229,11,0)</f>
        <v>SM0000126</v>
      </c>
    </row>
    <row r="705" spans="1:30" x14ac:dyDescent="0.45">
      <c r="A705" s="8" t="s">
        <v>6444</v>
      </c>
      <c r="B705" s="4">
        <v>347</v>
      </c>
      <c r="C705" s="4" t="s">
        <v>7489</v>
      </c>
      <c r="D705" s="4" t="s">
        <v>7490</v>
      </c>
      <c r="E705" s="4" t="s">
        <v>291</v>
      </c>
      <c r="F705" s="4" t="s">
        <v>456</v>
      </c>
      <c r="G705" s="4" t="s">
        <v>177</v>
      </c>
      <c r="H705" s="4" t="s">
        <v>54</v>
      </c>
      <c r="I705" s="4" t="s">
        <v>7491</v>
      </c>
      <c r="J705" s="4" t="s">
        <v>56</v>
      </c>
      <c r="K705" s="4" t="s">
        <v>37</v>
      </c>
      <c r="L705" s="4" t="s">
        <v>39</v>
      </c>
      <c r="M705" s="4" t="s">
        <v>37</v>
      </c>
      <c r="N705" s="4" t="s">
        <v>37</v>
      </c>
      <c r="O705" s="4" t="s">
        <v>39</v>
      </c>
      <c r="P705" s="4" t="s">
        <v>37</v>
      </c>
      <c r="Q705" s="4" t="s">
        <v>37</v>
      </c>
      <c r="R705" s="4" t="s">
        <v>39</v>
      </c>
      <c r="S705" s="4" t="s">
        <v>5363</v>
      </c>
      <c r="T705" s="4" t="s">
        <v>7319</v>
      </c>
      <c r="U705" s="4" t="s">
        <v>7311</v>
      </c>
      <c r="V705" s="4" t="s">
        <v>6450</v>
      </c>
      <c r="W705" s="4" t="s">
        <v>7312</v>
      </c>
      <c r="X705" s="4"/>
      <c r="Y705" s="4"/>
      <c r="Z705" s="4" t="s">
        <v>46</v>
      </c>
      <c r="AA705" s="4" t="s">
        <v>7370</v>
      </c>
      <c r="AB705" s="4" t="s">
        <v>4223</v>
      </c>
      <c r="AC705" s="9">
        <v>1</v>
      </c>
      <c r="AD705" t="str">
        <f>VLOOKUP($T705,[1]NhanSu!$C$5:$M$229,11,0)</f>
        <v>SM0000125</v>
      </c>
    </row>
    <row r="706" spans="1:30" x14ac:dyDescent="0.45">
      <c r="A706" s="6" t="s">
        <v>6444</v>
      </c>
      <c r="B706" s="5">
        <v>348</v>
      </c>
      <c r="C706" s="5" t="s">
        <v>7492</v>
      </c>
      <c r="D706" s="5" t="s">
        <v>7493</v>
      </c>
      <c r="E706" s="5" t="s">
        <v>344</v>
      </c>
      <c r="F706" s="5" t="s">
        <v>401</v>
      </c>
      <c r="G706" s="5" t="s">
        <v>177</v>
      </c>
      <c r="H706" s="5" t="s">
        <v>54</v>
      </c>
      <c r="I706" s="5" t="s">
        <v>7494</v>
      </c>
      <c r="J706" s="5" t="s">
        <v>37</v>
      </c>
      <c r="K706" s="5" t="s">
        <v>37</v>
      </c>
      <c r="L706" s="5" t="s">
        <v>39</v>
      </c>
      <c r="M706" s="5" t="s">
        <v>37</v>
      </c>
      <c r="N706" s="5" t="s">
        <v>56</v>
      </c>
      <c r="O706" s="5" t="s">
        <v>121</v>
      </c>
      <c r="P706" s="5" t="s">
        <v>38</v>
      </c>
      <c r="Q706" s="5" t="s">
        <v>38</v>
      </c>
      <c r="R706" s="5" t="s">
        <v>39</v>
      </c>
      <c r="S706" s="5" t="s">
        <v>7495</v>
      </c>
      <c r="T706" s="5" t="s">
        <v>7319</v>
      </c>
      <c r="U706" s="5" t="s">
        <v>7311</v>
      </c>
      <c r="V706" s="5" t="s">
        <v>6450</v>
      </c>
      <c r="W706" s="5" t="s">
        <v>5607</v>
      </c>
      <c r="X706" s="5"/>
      <c r="Y706" s="5"/>
      <c r="Z706" s="5" t="s">
        <v>46</v>
      </c>
      <c r="AA706" s="5" t="s">
        <v>7370</v>
      </c>
      <c r="AB706" s="5" t="s">
        <v>4223</v>
      </c>
      <c r="AC706" s="7">
        <v>1</v>
      </c>
      <c r="AD706" t="str">
        <f>VLOOKUP($T706,[1]NhanSu!$C$5:$M$229,11,0)</f>
        <v>SM0000125</v>
      </c>
    </row>
    <row r="707" spans="1:30" x14ac:dyDescent="0.45">
      <c r="A707" s="8" t="s">
        <v>6444</v>
      </c>
      <c r="B707" s="4">
        <v>349</v>
      </c>
      <c r="C707" s="4" t="s">
        <v>7496</v>
      </c>
      <c r="D707" s="4" t="s">
        <v>7497</v>
      </c>
      <c r="E707" s="4" t="s">
        <v>68</v>
      </c>
      <c r="F707" s="4" t="s">
        <v>53</v>
      </c>
      <c r="G707" s="4" t="s">
        <v>177</v>
      </c>
      <c r="H707" s="4" t="s">
        <v>54</v>
      </c>
      <c r="I707" s="4" t="s">
        <v>7498</v>
      </c>
      <c r="J707" s="4" t="s">
        <v>38</v>
      </c>
      <c r="K707" s="4" t="s">
        <v>37</v>
      </c>
      <c r="L707" s="4" t="s">
        <v>39</v>
      </c>
      <c r="M707" s="4" t="s">
        <v>37</v>
      </c>
      <c r="N707" s="4" t="s">
        <v>37</v>
      </c>
      <c r="O707" s="4" t="s">
        <v>39</v>
      </c>
      <c r="P707" s="4" t="s">
        <v>38</v>
      </c>
      <c r="Q707" s="4" t="s">
        <v>38</v>
      </c>
      <c r="R707" s="4" t="s">
        <v>39</v>
      </c>
      <c r="S707" s="4" t="s">
        <v>5625</v>
      </c>
      <c r="T707" s="4" t="s">
        <v>7319</v>
      </c>
      <c r="U707" s="4" t="s">
        <v>7311</v>
      </c>
      <c r="V707" s="4" t="s">
        <v>6450</v>
      </c>
      <c r="W707" s="4" t="s">
        <v>7312</v>
      </c>
      <c r="X707" s="4"/>
      <c r="Y707" s="4"/>
      <c r="Z707" s="4" t="s">
        <v>46</v>
      </c>
      <c r="AA707" s="4" t="s">
        <v>7370</v>
      </c>
      <c r="AB707" s="4" t="s">
        <v>4223</v>
      </c>
      <c r="AC707" s="9">
        <v>1</v>
      </c>
      <c r="AD707" t="str">
        <f>VLOOKUP($T707,[1]NhanSu!$C$5:$M$229,11,0)</f>
        <v>SM0000125</v>
      </c>
    </row>
    <row r="708" spans="1:30" x14ac:dyDescent="0.45">
      <c r="A708" s="6" t="s">
        <v>6444</v>
      </c>
      <c r="B708" s="5">
        <v>350</v>
      </c>
      <c r="C708" s="5" t="s">
        <v>7499</v>
      </c>
      <c r="D708" s="5" t="s">
        <v>4825</v>
      </c>
      <c r="E708" s="5" t="s">
        <v>91</v>
      </c>
      <c r="F708" s="5" t="s">
        <v>53</v>
      </c>
      <c r="G708" s="5" t="s">
        <v>34</v>
      </c>
      <c r="H708" s="5" t="s">
        <v>319</v>
      </c>
      <c r="I708" s="5" t="s">
        <v>7500</v>
      </c>
      <c r="J708" s="5" t="s">
        <v>37</v>
      </c>
      <c r="K708" s="5" t="s">
        <v>37</v>
      </c>
      <c r="L708" s="5" t="s">
        <v>39</v>
      </c>
      <c r="M708" s="5" t="s">
        <v>56</v>
      </c>
      <c r="N708" s="5" t="s">
        <v>56</v>
      </c>
      <c r="O708" s="5" t="s">
        <v>39</v>
      </c>
      <c r="P708" s="5" t="s">
        <v>38</v>
      </c>
      <c r="Q708" s="5" t="s">
        <v>38</v>
      </c>
      <c r="R708" s="5" t="s">
        <v>39</v>
      </c>
      <c r="S708" s="5" t="s">
        <v>41</v>
      </c>
      <c r="T708" s="5" t="s">
        <v>7327</v>
      </c>
      <c r="U708" s="5" t="s">
        <v>7311</v>
      </c>
      <c r="V708" s="5" t="s">
        <v>6450</v>
      </c>
      <c r="W708" s="5" t="s">
        <v>5607</v>
      </c>
      <c r="X708" s="5"/>
      <c r="Y708" s="5"/>
      <c r="Z708" s="5" t="s">
        <v>46</v>
      </c>
      <c r="AA708" s="5" t="s">
        <v>7370</v>
      </c>
      <c r="AB708" s="5" t="s">
        <v>4223</v>
      </c>
      <c r="AC708" s="7">
        <v>1</v>
      </c>
      <c r="AD708" t="str">
        <f>VLOOKUP($T708,[1]NhanSu!$C$5:$M$229,11,0)</f>
        <v>SM0000124</v>
      </c>
    </row>
    <row r="709" spans="1:30" x14ac:dyDescent="0.45">
      <c r="A709" s="8" t="s">
        <v>6444</v>
      </c>
      <c r="B709" s="4">
        <v>351</v>
      </c>
      <c r="C709" s="4" t="s">
        <v>7501</v>
      </c>
      <c r="D709" s="4" t="s">
        <v>7502</v>
      </c>
      <c r="E709" s="4" t="s">
        <v>91</v>
      </c>
      <c r="F709" s="4" t="s">
        <v>401</v>
      </c>
      <c r="G709" s="4" t="s">
        <v>177</v>
      </c>
      <c r="H709" s="4" t="s">
        <v>54</v>
      </c>
      <c r="I709" s="4" t="s">
        <v>7503</v>
      </c>
      <c r="J709" s="4" t="s">
        <v>37</v>
      </c>
      <c r="K709" s="4" t="s">
        <v>37</v>
      </c>
      <c r="L709" s="4" t="s">
        <v>39</v>
      </c>
      <c r="M709" s="4" t="s">
        <v>37</v>
      </c>
      <c r="N709" s="4" t="s">
        <v>37</v>
      </c>
      <c r="O709" s="4" t="s">
        <v>39</v>
      </c>
      <c r="P709" s="4" t="s">
        <v>38</v>
      </c>
      <c r="Q709" s="4" t="s">
        <v>37</v>
      </c>
      <c r="R709" s="4" t="s">
        <v>39</v>
      </c>
      <c r="S709" s="4" t="s">
        <v>5625</v>
      </c>
      <c r="T709" s="4" t="s">
        <v>7319</v>
      </c>
      <c r="U709" s="4" t="s">
        <v>7311</v>
      </c>
      <c r="V709" s="4" t="s">
        <v>6450</v>
      </c>
      <c r="W709" s="4" t="s">
        <v>5607</v>
      </c>
      <c r="X709" s="4"/>
      <c r="Y709" s="4"/>
      <c r="Z709" s="4" t="s">
        <v>46</v>
      </c>
      <c r="AA709" s="4" t="s">
        <v>7370</v>
      </c>
      <c r="AB709" s="4" t="s">
        <v>4223</v>
      </c>
      <c r="AC709" s="9">
        <v>1</v>
      </c>
      <c r="AD709" t="str">
        <f>VLOOKUP($T709,[1]NhanSu!$C$5:$M$229,11,0)</f>
        <v>SM0000125</v>
      </c>
    </row>
    <row r="710" spans="1:30" x14ac:dyDescent="0.45">
      <c r="A710" s="6" t="s">
        <v>6444</v>
      </c>
      <c r="B710" s="5">
        <v>352</v>
      </c>
      <c r="C710" s="5" t="s">
        <v>7504</v>
      </c>
      <c r="D710" s="5" t="s">
        <v>7505</v>
      </c>
      <c r="E710" s="5" t="s">
        <v>176</v>
      </c>
      <c r="F710" s="5" t="s">
        <v>53</v>
      </c>
      <c r="G710" s="5" t="s">
        <v>177</v>
      </c>
      <c r="H710" s="5" t="s">
        <v>54</v>
      </c>
      <c r="I710" s="5" t="s">
        <v>7506</v>
      </c>
      <c r="J710" s="5" t="s">
        <v>56</v>
      </c>
      <c r="K710" s="5" t="s">
        <v>37</v>
      </c>
      <c r="L710" s="5" t="s">
        <v>39</v>
      </c>
      <c r="M710" s="5" t="s">
        <v>37</v>
      </c>
      <c r="N710" s="5" t="s">
        <v>38</v>
      </c>
      <c r="O710" s="5" t="s">
        <v>39</v>
      </c>
      <c r="P710" s="5" t="s">
        <v>38</v>
      </c>
      <c r="Q710" s="5" t="s">
        <v>37</v>
      </c>
      <c r="R710" s="5" t="s">
        <v>39</v>
      </c>
      <c r="S710" s="5" t="s">
        <v>4892</v>
      </c>
      <c r="T710" s="5" t="s">
        <v>7319</v>
      </c>
      <c r="U710" s="5" t="s">
        <v>7311</v>
      </c>
      <c r="V710" s="5" t="s">
        <v>6450</v>
      </c>
      <c r="W710" s="5" t="s">
        <v>7312</v>
      </c>
      <c r="X710" s="5"/>
      <c r="Y710" s="5"/>
      <c r="Z710" s="5" t="s">
        <v>46</v>
      </c>
      <c r="AA710" s="5" t="s">
        <v>7370</v>
      </c>
      <c r="AB710" s="5" t="s">
        <v>4223</v>
      </c>
      <c r="AC710" s="7">
        <v>1</v>
      </c>
      <c r="AD710" t="str">
        <f>VLOOKUP($T710,[1]NhanSu!$C$5:$M$229,11,0)</f>
        <v>SM0000125</v>
      </c>
    </row>
    <row r="711" spans="1:30" x14ac:dyDescent="0.45">
      <c r="A711" s="8" t="s">
        <v>6444</v>
      </c>
      <c r="B711" s="4">
        <v>353</v>
      </c>
      <c r="C711" s="4" t="s">
        <v>7507</v>
      </c>
      <c r="D711" s="4" t="s">
        <v>7508</v>
      </c>
      <c r="E711" s="4" t="s">
        <v>206</v>
      </c>
      <c r="F711" s="4" t="s">
        <v>325</v>
      </c>
      <c r="G711" s="4" t="s">
        <v>177</v>
      </c>
      <c r="H711" s="4" t="s">
        <v>54</v>
      </c>
      <c r="I711" s="4" t="s">
        <v>7509</v>
      </c>
      <c r="J711" s="4" t="s">
        <v>56</v>
      </c>
      <c r="K711" s="4" t="s">
        <v>38</v>
      </c>
      <c r="L711" s="4" t="s">
        <v>39</v>
      </c>
      <c r="M711" s="4" t="s">
        <v>37</v>
      </c>
      <c r="N711" s="4" t="s">
        <v>37</v>
      </c>
      <c r="O711" s="4" t="s">
        <v>39</v>
      </c>
      <c r="P711" s="4" t="s">
        <v>37</v>
      </c>
      <c r="Q711" s="4" t="s">
        <v>38</v>
      </c>
      <c r="R711" s="4" t="s">
        <v>39</v>
      </c>
      <c r="S711" s="4" t="s">
        <v>5460</v>
      </c>
      <c r="T711" s="4" t="s">
        <v>7319</v>
      </c>
      <c r="U711" s="4" t="s">
        <v>7311</v>
      </c>
      <c r="V711" s="4" t="s">
        <v>6450</v>
      </c>
      <c r="W711" s="4" t="s">
        <v>7312</v>
      </c>
      <c r="X711" s="4"/>
      <c r="Y711" s="4"/>
      <c r="Z711" s="4" t="s">
        <v>46</v>
      </c>
      <c r="AA711" s="4" t="s">
        <v>7370</v>
      </c>
      <c r="AB711" s="4" t="s">
        <v>4223</v>
      </c>
      <c r="AC711" s="9">
        <v>1</v>
      </c>
      <c r="AD711" t="str">
        <f>VLOOKUP($T711,[1]NhanSu!$C$5:$M$229,11,0)</f>
        <v>SM0000125</v>
      </c>
    </row>
    <row r="712" spans="1:30" x14ac:dyDescent="0.45">
      <c r="A712" s="6" t="s">
        <v>6444</v>
      </c>
      <c r="B712" s="5">
        <v>354</v>
      </c>
      <c r="C712" s="5" t="s">
        <v>7510</v>
      </c>
      <c r="D712" s="5" t="s">
        <v>7511</v>
      </c>
      <c r="E712" s="5" t="s">
        <v>91</v>
      </c>
      <c r="F712" s="5" t="s">
        <v>166</v>
      </c>
      <c r="G712" s="5" t="s">
        <v>177</v>
      </c>
      <c r="H712" s="5" t="s">
        <v>54</v>
      </c>
      <c r="I712" s="5" t="s">
        <v>6268</v>
      </c>
      <c r="J712" s="5" t="s">
        <v>56</v>
      </c>
      <c r="K712" s="5" t="s">
        <v>56</v>
      </c>
      <c r="L712" s="5" t="s">
        <v>40</v>
      </c>
      <c r="M712" s="5" t="s">
        <v>56</v>
      </c>
      <c r="N712" s="5" t="s">
        <v>56</v>
      </c>
      <c r="O712" s="5" t="s">
        <v>40</v>
      </c>
      <c r="P712" s="5" t="s">
        <v>56</v>
      </c>
      <c r="Q712" s="5" t="s">
        <v>56</v>
      </c>
      <c r="R712" s="5" t="s">
        <v>40</v>
      </c>
      <c r="S712" s="5" t="s">
        <v>41</v>
      </c>
      <c r="T712" s="5" t="s">
        <v>7310</v>
      </c>
      <c r="U712" s="5" t="s">
        <v>7311</v>
      </c>
      <c r="V712" s="5" t="s">
        <v>6450</v>
      </c>
      <c r="W712" s="5" t="s">
        <v>5607</v>
      </c>
      <c r="X712" s="5"/>
      <c r="Y712" s="5"/>
      <c r="Z712" s="5" t="s">
        <v>46</v>
      </c>
      <c r="AA712" s="5" t="s">
        <v>6457</v>
      </c>
      <c r="AB712" s="5" t="s">
        <v>4223</v>
      </c>
      <c r="AC712" s="7">
        <v>1</v>
      </c>
      <c r="AD712" t="str">
        <f>VLOOKUP($T712,[1]NhanSu!$C$5:$M$229,11,0)</f>
        <v>SM0000126</v>
      </c>
    </row>
    <row r="713" spans="1:30" x14ac:dyDescent="0.45">
      <c r="A713" s="8" t="s">
        <v>6444</v>
      </c>
      <c r="B713" s="4">
        <v>355</v>
      </c>
      <c r="C713" s="4" t="s">
        <v>7512</v>
      </c>
      <c r="D713" s="4" t="s">
        <v>7513</v>
      </c>
      <c r="E713" s="4" t="s">
        <v>206</v>
      </c>
      <c r="F713" s="4" t="s">
        <v>2432</v>
      </c>
      <c r="G713" s="4" t="s">
        <v>177</v>
      </c>
      <c r="H713" s="4" t="s">
        <v>171</v>
      </c>
      <c r="I713" s="4" t="s">
        <v>7514</v>
      </c>
      <c r="J713" s="4" t="s">
        <v>37</v>
      </c>
      <c r="K713" s="4" t="s">
        <v>37</v>
      </c>
      <c r="L713" s="4" t="s">
        <v>39</v>
      </c>
      <c r="M713" s="4" t="s">
        <v>37</v>
      </c>
      <c r="N713" s="4" t="s">
        <v>38</v>
      </c>
      <c r="O713" s="4" t="s">
        <v>39</v>
      </c>
      <c r="P713" s="4" t="s">
        <v>38</v>
      </c>
      <c r="Q713" s="4" t="s">
        <v>37</v>
      </c>
      <c r="R713" s="4" t="s">
        <v>39</v>
      </c>
      <c r="S713" s="4" t="s">
        <v>7515</v>
      </c>
      <c r="T713" s="4" t="s">
        <v>7319</v>
      </c>
      <c r="U713" s="4" t="s">
        <v>7311</v>
      </c>
      <c r="V713" s="4" t="s">
        <v>6450</v>
      </c>
      <c r="W713" s="4" t="s">
        <v>5607</v>
      </c>
      <c r="X713" s="4"/>
      <c r="Y713" s="4"/>
      <c r="Z713" s="4" t="s">
        <v>46</v>
      </c>
      <c r="AA713" s="4" t="s">
        <v>7370</v>
      </c>
      <c r="AB713" s="4" t="s">
        <v>4223</v>
      </c>
      <c r="AC713" s="9">
        <v>1</v>
      </c>
      <c r="AD713" t="str">
        <f>VLOOKUP($T713,[1]NhanSu!$C$5:$M$229,11,0)</f>
        <v>SM0000125</v>
      </c>
    </row>
    <row r="714" spans="1:30" x14ac:dyDescent="0.45">
      <c r="A714" s="6" t="s">
        <v>6444</v>
      </c>
      <c r="B714" s="5">
        <v>356</v>
      </c>
      <c r="C714" s="5" t="s">
        <v>7516</v>
      </c>
      <c r="D714" s="5" t="s">
        <v>4658</v>
      </c>
      <c r="E714" s="5" t="s">
        <v>416</v>
      </c>
      <c r="F714" s="5" t="s">
        <v>53</v>
      </c>
      <c r="G714" s="5" t="s">
        <v>177</v>
      </c>
      <c r="H714" s="5" t="s">
        <v>54</v>
      </c>
      <c r="I714" s="5" t="s">
        <v>7517</v>
      </c>
      <c r="J714" s="5" t="s">
        <v>37</v>
      </c>
      <c r="K714" s="5" t="s">
        <v>37</v>
      </c>
      <c r="L714" s="5" t="s">
        <v>39</v>
      </c>
      <c r="M714" s="5" t="s">
        <v>38</v>
      </c>
      <c r="N714" s="5" t="s">
        <v>38</v>
      </c>
      <c r="O714" s="5" t="s">
        <v>39</v>
      </c>
      <c r="P714" s="5" t="s">
        <v>38</v>
      </c>
      <c r="Q714" s="5" t="s">
        <v>38</v>
      </c>
      <c r="R714" s="5" t="s">
        <v>40</v>
      </c>
      <c r="S714" s="5" t="s">
        <v>7515</v>
      </c>
      <c r="T714" s="5" t="s">
        <v>7319</v>
      </c>
      <c r="U714" s="5" t="s">
        <v>7311</v>
      </c>
      <c r="V714" s="5" t="s">
        <v>6450</v>
      </c>
      <c r="W714" s="5" t="s">
        <v>7312</v>
      </c>
      <c r="X714" s="5"/>
      <c r="Y714" s="5"/>
      <c r="Z714" s="5" t="s">
        <v>46</v>
      </c>
      <c r="AA714" s="5" t="s">
        <v>7370</v>
      </c>
      <c r="AB714" s="5" t="s">
        <v>4223</v>
      </c>
      <c r="AC714" s="7">
        <v>1</v>
      </c>
      <c r="AD714" t="str">
        <f>VLOOKUP($T714,[1]NhanSu!$C$5:$M$229,11,0)</f>
        <v>SM0000125</v>
      </c>
    </row>
    <row r="715" spans="1:30" x14ac:dyDescent="0.45">
      <c r="A715" s="8" t="s">
        <v>6444</v>
      </c>
      <c r="B715" s="4">
        <v>357</v>
      </c>
      <c r="C715" s="4" t="s">
        <v>7518</v>
      </c>
      <c r="D715" s="4" t="s">
        <v>7519</v>
      </c>
      <c r="E715" s="4" t="s">
        <v>290</v>
      </c>
      <c r="F715" s="4" t="s">
        <v>3264</v>
      </c>
      <c r="G715" s="4" t="s">
        <v>177</v>
      </c>
      <c r="H715" s="4" t="s">
        <v>54</v>
      </c>
      <c r="I715" s="4" t="s">
        <v>7520</v>
      </c>
      <c r="J715" s="4" t="s">
        <v>37</v>
      </c>
      <c r="K715" s="4" t="s">
        <v>38</v>
      </c>
      <c r="L715" s="4" t="s">
        <v>39</v>
      </c>
      <c r="M715" s="4" t="s">
        <v>56</v>
      </c>
      <c r="N715" s="4" t="s">
        <v>56</v>
      </c>
      <c r="O715" s="4" t="s">
        <v>39</v>
      </c>
      <c r="P715" s="4" t="s">
        <v>37</v>
      </c>
      <c r="Q715" s="4" t="s">
        <v>37</v>
      </c>
      <c r="R715" s="4" t="s">
        <v>39</v>
      </c>
      <c r="S715" s="4" t="s">
        <v>7521</v>
      </c>
      <c r="T715" s="4" t="s">
        <v>7310</v>
      </c>
      <c r="U715" s="4" t="s">
        <v>7311</v>
      </c>
      <c r="V715" s="4" t="s">
        <v>6450</v>
      </c>
      <c r="W715" s="4" t="s">
        <v>7312</v>
      </c>
      <c r="X715" s="4"/>
      <c r="Y715" s="4"/>
      <c r="Z715" s="4" t="s">
        <v>46</v>
      </c>
      <c r="AA715" s="4" t="s">
        <v>6457</v>
      </c>
      <c r="AB715" s="4" t="s">
        <v>4223</v>
      </c>
      <c r="AC715" s="9">
        <v>1</v>
      </c>
      <c r="AD715" t="str">
        <f>VLOOKUP($T715,[1]NhanSu!$C$5:$M$229,11,0)</f>
        <v>SM0000126</v>
      </c>
    </row>
    <row r="716" spans="1:30" x14ac:dyDescent="0.45">
      <c r="A716" s="6" t="s">
        <v>6444</v>
      </c>
      <c r="B716" s="5">
        <v>358</v>
      </c>
      <c r="C716" s="5" t="s">
        <v>7522</v>
      </c>
      <c r="D716" s="5" t="s">
        <v>7523</v>
      </c>
      <c r="E716" s="5" t="s">
        <v>7524</v>
      </c>
      <c r="F716" s="5" t="s">
        <v>426</v>
      </c>
      <c r="G716" s="5" t="s">
        <v>34</v>
      </c>
      <c r="H716" s="5" t="s">
        <v>685</v>
      </c>
      <c r="I716" s="5"/>
      <c r="J716" s="5" t="s">
        <v>37</v>
      </c>
      <c r="K716" s="5" t="s">
        <v>38</v>
      </c>
      <c r="L716" s="5" t="s">
        <v>39</v>
      </c>
      <c r="M716" s="5" t="s">
        <v>56</v>
      </c>
      <c r="N716" s="5" t="s">
        <v>56</v>
      </c>
      <c r="O716" s="5" t="s">
        <v>39</v>
      </c>
      <c r="P716" s="5" t="s">
        <v>38</v>
      </c>
      <c r="Q716" s="5" t="s">
        <v>38</v>
      </c>
      <c r="R716" s="5" t="s">
        <v>39</v>
      </c>
      <c r="S716" s="5" t="s">
        <v>41</v>
      </c>
      <c r="T716" s="5" t="s">
        <v>7327</v>
      </c>
      <c r="U716" s="5" t="s">
        <v>7311</v>
      </c>
      <c r="V716" s="5" t="s">
        <v>6450</v>
      </c>
      <c r="W716" s="5" t="s">
        <v>5607</v>
      </c>
      <c r="X716" s="5"/>
      <c r="Y716" s="5"/>
      <c r="Z716" s="5" t="s">
        <v>46</v>
      </c>
      <c r="AA716" s="5" t="s">
        <v>6457</v>
      </c>
      <c r="AB716" s="5" t="s">
        <v>4223</v>
      </c>
      <c r="AC716" s="7">
        <v>1</v>
      </c>
      <c r="AD716" t="str">
        <f>VLOOKUP($T716,[1]NhanSu!$C$5:$M$229,11,0)</f>
        <v>SM0000124</v>
      </c>
    </row>
    <row r="717" spans="1:30" x14ac:dyDescent="0.45">
      <c r="A717" s="8" t="s">
        <v>6444</v>
      </c>
      <c r="B717" s="4">
        <v>359</v>
      </c>
      <c r="C717" s="4" t="s">
        <v>7525</v>
      </c>
      <c r="D717" s="4" t="s">
        <v>7526</v>
      </c>
      <c r="E717" s="4" t="s">
        <v>68</v>
      </c>
      <c r="F717" s="4" t="s">
        <v>53</v>
      </c>
      <c r="G717" s="4" t="s">
        <v>177</v>
      </c>
      <c r="H717" s="4" t="s">
        <v>54</v>
      </c>
      <c r="I717" s="4" t="s">
        <v>7527</v>
      </c>
      <c r="J717" s="4" t="s">
        <v>56</v>
      </c>
      <c r="K717" s="4" t="s">
        <v>37</v>
      </c>
      <c r="L717" s="4" t="s">
        <v>39</v>
      </c>
      <c r="M717" s="4" t="s">
        <v>37</v>
      </c>
      <c r="N717" s="4" t="s">
        <v>37</v>
      </c>
      <c r="O717" s="4" t="s">
        <v>39</v>
      </c>
      <c r="P717" s="4" t="s">
        <v>38</v>
      </c>
      <c r="Q717" s="4" t="s">
        <v>38</v>
      </c>
      <c r="R717" s="4" t="s">
        <v>39</v>
      </c>
      <c r="S717" s="4" t="s">
        <v>5460</v>
      </c>
      <c r="T717" s="4" t="s">
        <v>7319</v>
      </c>
      <c r="U717" s="4" t="s">
        <v>7311</v>
      </c>
      <c r="V717" s="4" t="s">
        <v>6450</v>
      </c>
      <c r="W717" s="4" t="s">
        <v>5607</v>
      </c>
      <c r="X717" s="4"/>
      <c r="Y717" s="4"/>
      <c r="Z717" s="4" t="s">
        <v>46</v>
      </c>
      <c r="AA717" s="4" t="s">
        <v>7370</v>
      </c>
      <c r="AB717" s="4" t="s">
        <v>4223</v>
      </c>
      <c r="AC717" s="9">
        <v>1</v>
      </c>
      <c r="AD717" t="str">
        <f>VLOOKUP($T717,[1]NhanSu!$C$5:$M$229,11,0)</f>
        <v>SM0000125</v>
      </c>
    </row>
    <row r="718" spans="1:30" x14ac:dyDescent="0.45">
      <c r="A718" s="6" t="s">
        <v>6444</v>
      </c>
      <c r="B718" s="5">
        <v>360</v>
      </c>
      <c r="C718" s="5" t="s">
        <v>7528</v>
      </c>
      <c r="D718" s="5" t="s">
        <v>7529</v>
      </c>
      <c r="E718" s="5" t="s">
        <v>7530</v>
      </c>
      <c r="F718" s="5" t="s">
        <v>115</v>
      </c>
      <c r="G718" s="5" t="s">
        <v>34</v>
      </c>
      <c r="H718" s="5" t="s">
        <v>2256</v>
      </c>
      <c r="I718" s="5" t="s">
        <v>7531</v>
      </c>
      <c r="J718" s="5" t="s">
        <v>56</v>
      </c>
      <c r="K718" s="5" t="s">
        <v>56</v>
      </c>
      <c r="L718" s="5" t="s">
        <v>39</v>
      </c>
      <c r="M718" s="5" t="s">
        <v>37</v>
      </c>
      <c r="N718" s="5" t="s">
        <v>37</v>
      </c>
      <c r="O718" s="5" t="s">
        <v>39</v>
      </c>
      <c r="P718" s="5" t="s">
        <v>38</v>
      </c>
      <c r="Q718" s="5" t="s">
        <v>38</v>
      </c>
      <c r="R718" s="5" t="s">
        <v>39</v>
      </c>
      <c r="S718" s="5" t="s">
        <v>1291</v>
      </c>
      <c r="T718" s="5" t="s">
        <v>7327</v>
      </c>
      <c r="U718" s="5" t="s">
        <v>7311</v>
      </c>
      <c r="V718" s="5" t="s">
        <v>6450</v>
      </c>
      <c r="W718" s="5" t="s">
        <v>5607</v>
      </c>
      <c r="X718" s="5"/>
      <c r="Y718" s="5"/>
      <c r="Z718" s="5" t="s">
        <v>46</v>
      </c>
      <c r="AA718" s="5" t="s">
        <v>7370</v>
      </c>
      <c r="AB718" s="5" t="s">
        <v>4223</v>
      </c>
      <c r="AC718" s="7">
        <v>1</v>
      </c>
      <c r="AD718" t="str">
        <f>VLOOKUP($T718,[1]NhanSu!$C$5:$M$229,11,0)</f>
        <v>SM0000124</v>
      </c>
    </row>
    <row r="719" spans="1:30" x14ac:dyDescent="0.45">
      <c r="A719" s="8" t="s">
        <v>6444</v>
      </c>
      <c r="B719" s="4">
        <v>361</v>
      </c>
      <c r="C719" s="4" t="s">
        <v>7532</v>
      </c>
      <c r="D719" s="4" t="s">
        <v>7533</v>
      </c>
      <c r="E719" s="4" t="s">
        <v>138</v>
      </c>
      <c r="F719" s="4" t="s">
        <v>401</v>
      </c>
      <c r="G719" s="4" t="s">
        <v>177</v>
      </c>
      <c r="H719" s="4" t="s">
        <v>54</v>
      </c>
      <c r="I719" s="4" t="s">
        <v>7534</v>
      </c>
      <c r="J719" s="4" t="s">
        <v>37</v>
      </c>
      <c r="K719" s="4" t="s">
        <v>37</v>
      </c>
      <c r="L719" s="4" t="s">
        <v>39</v>
      </c>
      <c r="M719" s="4" t="s">
        <v>37</v>
      </c>
      <c r="N719" s="4" t="s">
        <v>37</v>
      </c>
      <c r="O719" s="4" t="s">
        <v>121</v>
      </c>
      <c r="P719" s="4" t="s">
        <v>38</v>
      </c>
      <c r="Q719" s="4" t="s">
        <v>38</v>
      </c>
      <c r="R719" s="4" t="s">
        <v>39</v>
      </c>
      <c r="S719" s="4" t="s">
        <v>7535</v>
      </c>
      <c r="T719" s="4" t="s">
        <v>7319</v>
      </c>
      <c r="U719" s="4" t="s">
        <v>7311</v>
      </c>
      <c r="V719" s="4" t="s">
        <v>6450</v>
      </c>
      <c r="W719" s="4" t="s">
        <v>5607</v>
      </c>
      <c r="X719" s="4"/>
      <c r="Y719" s="4"/>
      <c r="Z719" s="4" t="s">
        <v>46</v>
      </c>
      <c r="AA719" s="4" t="s">
        <v>7370</v>
      </c>
      <c r="AB719" s="4" t="s">
        <v>4223</v>
      </c>
      <c r="AC719" s="9">
        <v>1</v>
      </c>
      <c r="AD719" t="str">
        <f>VLOOKUP($T719,[1]NhanSu!$C$5:$M$229,11,0)</f>
        <v>SM0000125</v>
      </c>
    </row>
    <row r="720" spans="1:30" x14ac:dyDescent="0.45">
      <c r="A720" s="6" t="s">
        <v>6444</v>
      </c>
      <c r="B720" s="5">
        <v>362</v>
      </c>
      <c r="C720" s="5" t="s">
        <v>7536</v>
      </c>
      <c r="D720" s="5" t="s">
        <v>7537</v>
      </c>
      <c r="E720" s="5" t="s">
        <v>7538</v>
      </c>
      <c r="F720" s="5" t="s">
        <v>1827</v>
      </c>
      <c r="G720" s="5" t="s">
        <v>177</v>
      </c>
      <c r="H720" s="5" t="s">
        <v>214</v>
      </c>
      <c r="I720" s="5" t="s">
        <v>7539</v>
      </c>
      <c r="J720" s="5" t="s">
        <v>37</v>
      </c>
      <c r="K720" s="5" t="s">
        <v>37</v>
      </c>
      <c r="L720" s="5" t="s">
        <v>40</v>
      </c>
      <c r="M720" s="5" t="s">
        <v>775</v>
      </c>
      <c r="N720" s="5" t="s">
        <v>775</v>
      </c>
      <c r="O720" s="5" t="s">
        <v>39</v>
      </c>
      <c r="P720" s="5" t="s">
        <v>38</v>
      </c>
      <c r="Q720" s="5" t="s">
        <v>38</v>
      </c>
      <c r="R720" s="5" t="s">
        <v>40</v>
      </c>
      <c r="S720" s="5" t="s">
        <v>7540</v>
      </c>
      <c r="T720" s="5" t="s">
        <v>7310</v>
      </c>
      <c r="U720" s="5" t="s">
        <v>7311</v>
      </c>
      <c r="V720" s="5" t="s">
        <v>6450</v>
      </c>
      <c r="W720" s="5" t="s">
        <v>7312</v>
      </c>
      <c r="X720" s="5"/>
      <c r="Y720" s="5"/>
      <c r="Z720" s="5" t="s">
        <v>46</v>
      </c>
      <c r="AA720" s="5" t="s">
        <v>6457</v>
      </c>
      <c r="AB720" s="5" t="s">
        <v>4223</v>
      </c>
      <c r="AC720" s="7">
        <v>1</v>
      </c>
      <c r="AD720" t="str">
        <f>VLOOKUP($T720,[1]NhanSu!$C$5:$M$229,11,0)</f>
        <v>SM0000126</v>
      </c>
    </row>
    <row r="721" spans="1:30" x14ac:dyDescent="0.45">
      <c r="A721" s="8" t="s">
        <v>6444</v>
      </c>
      <c r="B721" s="4">
        <v>366</v>
      </c>
      <c r="C721" s="4" t="s">
        <v>7552</v>
      </c>
      <c r="D721" s="4" t="s">
        <v>7519</v>
      </c>
      <c r="E721" s="4" t="s">
        <v>7553</v>
      </c>
      <c r="F721" s="4" t="s">
        <v>7554</v>
      </c>
      <c r="G721" s="4" t="s">
        <v>34</v>
      </c>
      <c r="H721" s="4" t="s">
        <v>54</v>
      </c>
      <c r="I721" s="4" t="s">
        <v>7555</v>
      </c>
      <c r="J721" s="4" t="s">
        <v>38</v>
      </c>
      <c r="K721" s="4" t="s">
        <v>38</v>
      </c>
      <c r="L721" s="4" t="s">
        <v>40</v>
      </c>
      <c r="M721" s="4" t="s">
        <v>56</v>
      </c>
      <c r="N721" s="4" t="s">
        <v>56</v>
      </c>
      <c r="O721" s="4" t="s">
        <v>39</v>
      </c>
      <c r="P721" s="4" t="s">
        <v>38</v>
      </c>
      <c r="Q721" s="4" t="s">
        <v>37</v>
      </c>
      <c r="R721" s="4" t="s">
        <v>39</v>
      </c>
      <c r="S721" s="4" t="s">
        <v>41</v>
      </c>
      <c r="T721" s="4" t="s">
        <v>7368</v>
      </c>
      <c r="U721" s="4" t="s">
        <v>7369</v>
      </c>
      <c r="V721" s="4" t="s">
        <v>6450</v>
      </c>
      <c r="W721" s="4" t="s">
        <v>7312</v>
      </c>
      <c r="X721" s="4"/>
      <c r="Y721" s="4"/>
      <c r="Z721" s="4" t="s">
        <v>46</v>
      </c>
      <c r="AA721" s="4" t="s">
        <v>6457</v>
      </c>
      <c r="AB721" s="4" t="s">
        <v>5658</v>
      </c>
      <c r="AC721" s="9">
        <v>1</v>
      </c>
      <c r="AD721" t="str">
        <f>VLOOKUP($T721,[1]NhanSu!$C$5:$M$229,11,0)</f>
        <v>SM0000123</v>
      </c>
    </row>
    <row r="722" spans="1:30" x14ac:dyDescent="0.45">
      <c r="A722" s="6" t="s">
        <v>6444</v>
      </c>
      <c r="B722" s="5">
        <v>367</v>
      </c>
      <c r="C722" s="5" t="s">
        <v>7556</v>
      </c>
      <c r="D722" s="5" t="s">
        <v>7557</v>
      </c>
      <c r="E722" s="5" t="s">
        <v>91</v>
      </c>
      <c r="F722" s="5" t="s">
        <v>53</v>
      </c>
      <c r="G722" s="5" t="s">
        <v>34</v>
      </c>
      <c r="H722" s="5" t="s">
        <v>54</v>
      </c>
      <c r="I722" s="5" t="s">
        <v>7326</v>
      </c>
      <c r="J722" s="5" t="s">
        <v>56</v>
      </c>
      <c r="K722" s="5" t="s">
        <v>56</v>
      </c>
      <c r="L722" s="5" t="s">
        <v>39</v>
      </c>
      <c r="M722" s="5" t="s">
        <v>37</v>
      </c>
      <c r="N722" s="5" t="s">
        <v>37</v>
      </c>
      <c r="O722" s="5" t="s">
        <v>39</v>
      </c>
      <c r="P722" s="5" t="s">
        <v>38</v>
      </c>
      <c r="Q722" s="5" t="s">
        <v>38</v>
      </c>
      <c r="R722" s="5" t="s">
        <v>39</v>
      </c>
      <c r="S722" s="5" t="s">
        <v>1291</v>
      </c>
      <c r="T722" s="5" t="s">
        <v>7327</v>
      </c>
      <c r="U722" s="5" t="s">
        <v>7311</v>
      </c>
      <c r="V722" s="5" t="s">
        <v>6450</v>
      </c>
      <c r="W722" s="5" t="s">
        <v>7312</v>
      </c>
      <c r="X722" s="5"/>
      <c r="Y722" s="5"/>
      <c r="Z722" s="5" t="s">
        <v>46</v>
      </c>
      <c r="AA722" s="5" t="s">
        <v>6457</v>
      </c>
      <c r="AB722" s="5" t="s">
        <v>4223</v>
      </c>
      <c r="AC722" s="7">
        <v>1</v>
      </c>
      <c r="AD722" t="str">
        <f>VLOOKUP($T722,[1]NhanSu!$C$5:$M$229,11,0)</f>
        <v>SM0000124</v>
      </c>
    </row>
    <row r="723" spans="1:30" x14ac:dyDescent="0.45">
      <c r="A723" s="8" t="s">
        <v>6444</v>
      </c>
      <c r="B723" s="4">
        <v>368</v>
      </c>
      <c r="C723" s="4" t="s">
        <v>7558</v>
      </c>
      <c r="D723" s="4" t="s">
        <v>7559</v>
      </c>
      <c r="E723" s="4" t="s">
        <v>529</v>
      </c>
      <c r="F723" s="4" t="s">
        <v>286</v>
      </c>
      <c r="G723" s="4" t="s">
        <v>177</v>
      </c>
      <c r="H723" s="4" t="s">
        <v>54</v>
      </c>
      <c r="I723" s="4" t="s">
        <v>7560</v>
      </c>
      <c r="J723" s="4" t="s">
        <v>37</v>
      </c>
      <c r="K723" s="4" t="s">
        <v>38</v>
      </c>
      <c r="L723" s="4" t="s">
        <v>39</v>
      </c>
      <c r="M723" s="4" t="s">
        <v>37</v>
      </c>
      <c r="N723" s="4" t="s">
        <v>37</v>
      </c>
      <c r="O723" s="4" t="s">
        <v>39</v>
      </c>
      <c r="P723" s="4" t="s">
        <v>38</v>
      </c>
      <c r="Q723" s="4" t="s">
        <v>38</v>
      </c>
      <c r="R723" s="4" t="s">
        <v>40</v>
      </c>
      <c r="S723" s="4" t="s">
        <v>7515</v>
      </c>
      <c r="T723" s="4" t="s">
        <v>7319</v>
      </c>
      <c r="U723" s="4" t="s">
        <v>7311</v>
      </c>
      <c r="V723" s="4" t="s">
        <v>6450</v>
      </c>
      <c r="W723" s="4" t="s">
        <v>5607</v>
      </c>
      <c r="X723" s="4"/>
      <c r="Y723" s="4"/>
      <c r="Z723" s="4" t="s">
        <v>46</v>
      </c>
      <c r="AA723" s="4" t="s">
        <v>7370</v>
      </c>
      <c r="AB723" s="4" t="s">
        <v>4223</v>
      </c>
      <c r="AC723" s="9">
        <v>1</v>
      </c>
      <c r="AD723" t="str">
        <f>VLOOKUP($T723,[1]NhanSu!$C$5:$M$229,11,0)</f>
        <v>SM0000125</v>
      </c>
    </row>
    <row r="724" spans="1:30" x14ac:dyDescent="0.45">
      <c r="A724" s="6" t="s">
        <v>6444</v>
      </c>
      <c r="B724" s="5">
        <v>369</v>
      </c>
      <c r="C724" s="5" t="s">
        <v>7561</v>
      </c>
      <c r="D724" s="5" t="s">
        <v>7562</v>
      </c>
      <c r="E724" s="5" t="s">
        <v>157</v>
      </c>
      <c r="F724" s="5" t="s">
        <v>441</v>
      </c>
      <c r="G724" s="5" t="s">
        <v>177</v>
      </c>
      <c r="H724" s="5" t="s">
        <v>54</v>
      </c>
      <c r="I724" s="5" t="s">
        <v>7563</v>
      </c>
      <c r="J724" s="5" t="s">
        <v>37</v>
      </c>
      <c r="K724" s="5" t="s">
        <v>37</v>
      </c>
      <c r="L724" s="5" t="s">
        <v>39</v>
      </c>
      <c r="M724" s="5" t="s">
        <v>37</v>
      </c>
      <c r="N724" s="5" t="s">
        <v>37</v>
      </c>
      <c r="O724" s="5" t="s">
        <v>39</v>
      </c>
      <c r="P724" s="5" t="s">
        <v>38</v>
      </c>
      <c r="Q724" s="5" t="s">
        <v>38</v>
      </c>
      <c r="R724" s="5" t="s">
        <v>39</v>
      </c>
      <c r="S724" s="5" t="s">
        <v>5363</v>
      </c>
      <c r="T724" s="5" t="s">
        <v>7319</v>
      </c>
      <c r="U724" s="5" t="s">
        <v>7311</v>
      </c>
      <c r="V724" s="5" t="s">
        <v>6450</v>
      </c>
      <c r="W724" s="5" t="s">
        <v>7312</v>
      </c>
      <c r="X724" s="5"/>
      <c r="Y724" s="5"/>
      <c r="Z724" s="5" t="s">
        <v>46</v>
      </c>
      <c r="AA724" s="5" t="s">
        <v>7370</v>
      </c>
      <c r="AB724" s="5" t="s">
        <v>4223</v>
      </c>
      <c r="AC724" s="7">
        <v>1</v>
      </c>
      <c r="AD724" t="str">
        <f>VLOOKUP($T724,[1]NhanSu!$C$5:$M$229,11,0)</f>
        <v>SM0000125</v>
      </c>
    </row>
    <row r="725" spans="1:30" x14ac:dyDescent="0.45">
      <c r="A725" s="8" t="s">
        <v>6444</v>
      </c>
      <c r="B725" s="4">
        <v>370</v>
      </c>
      <c r="C725" s="4" t="s">
        <v>7564</v>
      </c>
      <c r="D725" s="4" t="s">
        <v>7347</v>
      </c>
      <c r="E725" s="4" t="s">
        <v>344</v>
      </c>
      <c r="F725" s="4" t="s">
        <v>1279</v>
      </c>
      <c r="G725" s="4" t="s">
        <v>177</v>
      </c>
      <c r="H725" s="4" t="s">
        <v>54</v>
      </c>
      <c r="I725" s="4" t="s">
        <v>7565</v>
      </c>
      <c r="J725" s="4" t="s">
        <v>56</v>
      </c>
      <c r="K725" s="4" t="s">
        <v>56</v>
      </c>
      <c r="L725" s="4" t="s">
        <v>121</v>
      </c>
      <c r="M725" s="4" t="s">
        <v>775</v>
      </c>
      <c r="N725" s="4" t="s">
        <v>775</v>
      </c>
      <c r="O725" s="4" t="s">
        <v>39</v>
      </c>
      <c r="P725" s="4" t="s">
        <v>37</v>
      </c>
      <c r="Q725" s="4" t="s">
        <v>37</v>
      </c>
      <c r="R725" s="4" t="s">
        <v>39</v>
      </c>
      <c r="S725" s="4" t="s">
        <v>7566</v>
      </c>
      <c r="T725" s="4" t="s">
        <v>7310</v>
      </c>
      <c r="U725" s="4" t="s">
        <v>7311</v>
      </c>
      <c r="V725" s="4" t="s">
        <v>6450</v>
      </c>
      <c r="W725" s="4" t="s">
        <v>7312</v>
      </c>
      <c r="X725" s="4"/>
      <c r="Y725" s="4"/>
      <c r="Z725" s="4" t="s">
        <v>46</v>
      </c>
      <c r="AA725" s="4" t="s">
        <v>6457</v>
      </c>
      <c r="AB725" s="4" t="s">
        <v>4223</v>
      </c>
      <c r="AC725" s="9">
        <v>1</v>
      </c>
      <c r="AD725" t="str">
        <f>VLOOKUP($T725,[1]NhanSu!$C$5:$M$229,11,0)</f>
        <v>SM0000126</v>
      </c>
    </row>
    <row r="726" spans="1:30" x14ac:dyDescent="0.45">
      <c r="A726" s="6" t="s">
        <v>6444</v>
      </c>
      <c r="B726" s="5">
        <v>371</v>
      </c>
      <c r="C726" s="5" t="s">
        <v>7567</v>
      </c>
      <c r="D726" s="5" t="s">
        <v>7568</v>
      </c>
      <c r="E726" s="5" t="s">
        <v>176</v>
      </c>
      <c r="F726" s="5" t="s">
        <v>53</v>
      </c>
      <c r="G726" s="5" t="s">
        <v>177</v>
      </c>
      <c r="H726" s="5" t="s">
        <v>54</v>
      </c>
      <c r="I726" s="5" t="s">
        <v>7318</v>
      </c>
      <c r="J726" s="5" t="s">
        <v>37</v>
      </c>
      <c r="K726" s="5" t="s">
        <v>37</v>
      </c>
      <c r="L726" s="5" t="s">
        <v>39</v>
      </c>
      <c r="M726" s="5" t="s">
        <v>37</v>
      </c>
      <c r="N726" s="5" t="s">
        <v>37</v>
      </c>
      <c r="O726" s="5" t="s">
        <v>39</v>
      </c>
      <c r="P726" s="5" t="s">
        <v>38</v>
      </c>
      <c r="Q726" s="5" t="s">
        <v>38</v>
      </c>
      <c r="R726" s="5" t="s">
        <v>39</v>
      </c>
      <c r="S726" s="5" t="s">
        <v>5363</v>
      </c>
      <c r="T726" s="5" t="s">
        <v>7319</v>
      </c>
      <c r="U726" s="5" t="s">
        <v>7311</v>
      </c>
      <c r="V726" s="5" t="s">
        <v>6450</v>
      </c>
      <c r="W726" s="5" t="s">
        <v>7312</v>
      </c>
      <c r="X726" s="5"/>
      <c r="Y726" s="5"/>
      <c r="Z726" s="5" t="s">
        <v>46</v>
      </c>
      <c r="AA726" s="5" t="s">
        <v>7370</v>
      </c>
      <c r="AB726" s="5" t="s">
        <v>4223</v>
      </c>
      <c r="AC726" s="7">
        <v>1</v>
      </c>
      <c r="AD726" t="str">
        <f>VLOOKUP($T726,[1]NhanSu!$C$5:$M$229,11,0)</f>
        <v>SM0000125</v>
      </c>
    </row>
    <row r="727" spans="1:30" x14ac:dyDescent="0.45">
      <c r="A727" s="8" t="s">
        <v>6444</v>
      </c>
      <c r="B727" s="4">
        <v>372</v>
      </c>
      <c r="C727" s="4" t="s">
        <v>7569</v>
      </c>
      <c r="D727" s="4" t="s">
        <v>7570</v>
      </c>
      <c r="E727" s="4" t="s">
        <v>529</v>
      </c>
      <c r="F727" s="4" t="s">
        <v>456</v>
      </c>
      <c r="G727" s="4" t="s">
        <v>177</v>
      </c>
      <c r="H727" s="4" t="s">
        <v>54</v>
      </c>
      <c r="I727" s="4" t="s">
        <v>7571</v>
      </c>
      <c r="J727" s="4" t="s">
        <v>56</v>
      </c>
      <c r="K727" s="4" t="s">
        <v>37</v>
      </c>
      <c r="L727" s="4" t="s">
        <v>39</v>
      </c>
      <c r="M727" s="4" t="s">
        <v>37</v>
      </c>
      <c r="N727" s="4" t="s">
        <v>37</v>
      </c>
      <c r="O727" s="4" t="s">
        <v>39</v>
      </c>
      <c r="P727" s="4" t="s">
        <v>38</v>
      </c>
      <c r="Q727" s="4" t="s">
        <v>38</v>
      </c>
      <c r="R727" s="4" t="s">
        <v>39</v>
      </c>
      <c r="S727" s="4" t="s">
        <v>7572</v>
      </c>
      <c r="T727" s="4" t="s">
        <v>7319</v>
      </c>
      <c r="U727" s="4" t="s">
        <v>7311</v>
      </c>
      <c r="V727" s="4" t="s">
        <v>6450</v>
      </c>
      <c r="W727" s="4" t="s">
        <v>7312</v>
      </c>
      <c r="X727" s="4"/>
      <c r="Y727" s="4"/>
      <c r="Z727" s="4" t="s">
        <v>46</v>
      </c>
      <c r="AA727" s="4" t="s">
        <v>7370</v>
      </c>
      <c r="AB727" s="4" t="s">
        <v>4223</v>
      </c>
      <c r="AC727" s="9">
        <v>1</v>
      </c>
      <c r="AD727" t="str">
        <f>VLOOKUP($T727,[1]NhanSu!$C$5:$M$229,11,0)</f>
        <v>SM0000125</v>
      </c>
    </row>
    <row r="728" spans="1:30" x14ac:dyDescent="0.45">
      <c r="A728" s="6" t="s">
        <v>6444</v>
      </c>
      <c r="B728" s="5">
        <v>373</v>
      </c>
      <c r="C728" s="5" t="s">
        <v>7573</v>
      </c>
      <c r="D728" s="5" t="s">
        <v>7574</v>
      </c>
      <c r="E728" s="5" t="s">
        <v>529</v>
      </c>
      <c r="F728" s="5" t="s">
        <v>401</v>
      </c>
      <c r="G728" s="5" t="s">
        <v>34</v>
      </c>
      <c r="H728" s="5" t="s">
        <v>54</v>
      </c>
      <c r="I728" s="5" t="s">
        <v>7575</v>
      </c>
      <c r="J728" s="5" t="s">
        <v>56</v>
      </c>
      <c r="K728" s="5" t="s">
        <v>37</v>
      </c>
      <c r="L728" s="5" t="s">
        <v>39</v>
      </c>
      <c r="M728" s="5" t="s">
        <v>56</v>
      </c>
      <c r="N728" s="5" t="s">
        <v>56</v>
      </c>
      <c r="O728" s="5" t="s">
        <v>39</v>
      </c>
      <c r="P728" s="5" t="s">
        <v>56</v>
      </c>
      <c r="Q728" s="5" t="s">
        <v>37</v>
      </c>
      <c r="R728" s="5" t="s">
        <v>39</v>
      </c>
      <c r="S728" s="5" t="s">
        <v>7576</v>
      </c>
      <c r="T728" s="5" t="s">
        <v>7310</v>
      </c>
      <c r="U728" s="5" t="s">
        <v>7311</v>
      </c>
      <c r="V728" s="5" t="s">
        <v>6450</v>
      </c>
      <c r="W728" s="5" t="s">
        <v>7312</v>
      </c>
      <c r="X728" s="5"/>
      <c r="Y728" s="5"/>
      <c r="Z728" s="5" t="s">
        <v>46</v>
      </c>
      <c r="AA728" s="5" t="s">
        <v>6457</v>
      </c>
      <c r="AB728" s="5" t="s">
        <v>4223</v>
      </c>
      <c r="AC728" s="7">
        <v>1</v>
      </c>
      <c r="AD728" t="str">
        <f>VLOOKUP($T728,[1]NhanSu!$C$5:$M$229,11,0)</f>
        <v>SM0000126</v>
      </c>
    </row>
    <row r="729" spans="1:30" x14ac:dyDescent="0.45">
      <c r="A729" s="8" t="s">
        <v>6444</v>
      </c>
      <c r="B729" s="4">
        <v>374</v>
      </c>
      <c r="C729" s="4" t="s">
        <v>7577</v>
      </c>
      <c r="D729" s="4" t="s">
        <v>7578</v>
      </c>
      <c r="E729" s="4" t="s">
        <v>529</v>
      </c>
      <c r="F729" s="4" t="s">
        <v>53</v>
      </c>
      <c r="G729" s="4" t="s">
        <v>34</v>
      </c>
      <c r="H729" s="4" t="s">
        <v>479</v>
      </c>
      <c r="I729" s="4" t="s">
        <v>7345</v>
      </c>
      <c r="J729" s="4" t="s">
        <v>56</v>
      </c>
      <c r="K729" s="4" t="s">
        <v>56</v>
      </c>
      <c r="L729" s="4" t="s">
        <v>39</v>
      </c>
      <c r="M729" s="4" t="s">
        <v>37</v>
      </c>
      <c r="N729" s="4" t="s">
        <v>37</v>
      </c>
      <c r="O729" s="4" t="s">
        <v>39</v>
      </c>
      <c r="P729" s="4" t="s">
        <v>37</v>
      </c>
      <c r="Q729" s="4" t="s">
        <v>37</v>
      </c>
      <c r="R729" s="4" t="s">
        <v>39</v>
      </c>
      <c r="S729" s="4" t="s">
        <v>1291</v>
      </c>
      <c r="T729" s="4" t="s">
        <v>7327</v>
      </c>
      <c r="U729" s="4" t="s">
        <v>7311</v>
      </c>
      <c r="V729" s="4" t="s">
        <v>6450</v>
      </c>
      <c r="W729" s="4" t="s">
        <v>7312</v>
      </c>
      <c r="X729" s="4"/>
      <c r="Y729" s="4"/>
      <c r="Z729" s="4" t="s">
        <v>46</v>
      </c>
      <c r="AA729" s="4" t="s">
        <v>6457</v>
      </c>
      <c r="AB729" s="4" t="s">
        <v>4223</v>
      </c>
      <c r="AC729" s="9">
        <v>1</v>
      </c>
      <c r="AD729" t="str">
        <f>VLOOKUP($T729,[1]NhanSu!$C$5:$M$229,11,0)</f>
        <v>SM0000124</v>
      </c>
    </row>
    <row r="730" spans="1:30" x14ac:dyDescent="0.45">
      <c r="A730" s="6" t="s">
        <v>6444</v>
      </c>
      <c r="B730" s="5">
        <v>409</v>
      </c>
      <c r="C730" s="5" t="s">
        <v>7665</v>
      </c>
      <c r="D730" s="5" t="s">
        <v>7666</v>
      </c>
      <c r="E730" s="5" t="s">
        <v>563</v>
      </c>
      <c r="F730" s="5" t="s">
        <v>224</v>
      </c>
      <c r="G730" s="5" t="s">
        <v>34</v>
      </c>
      <c r="H730" s="5" t="s">
        <v>1177</v>
      </c>
      <c r="I730" s="5" t="s">
        <v>7667</v>
      </c>
      <c r="J730" s="5" t="s">
        <v>56</v>
      </c>
      <c r="K730" s="5" t="s">
        <v>56</v>
      </c>
      <c r="L730" s="5" t="s">
        <v>39</v>
      </c>
      <c r="M730" s="5" t="s">
        <v>37</v>
      </c>
      <c r="N730" s="5" t="s">
        <v>37</v>
      </c>
      <c r="O730" s="5" t="s">
        <v>39</v>
      </c>
      <c r="P730" s="5" t="s">
        <v>38</v>
      </c>
      <c r="Q730" s="5" t="s">
        <v>38</v>
      </c>
      <c r="R730" s="5" t="s">
        <v>39</v>
      </c>
      <c r="S730" s="5" t="s">
        <v>1291</v>
      </c>
      <c r="T730" s="5" t="s">
        <v>7327</v>
      </c>
      <c r="U730" s="5" t="s">
        <v>7311</v>
      </c>
      <c r="V730" s="5" t="s">
        <v>6450</v>
      </c>
      <c r="W730" s="5" t="s">
        <v>5607</v>
      </c>
      <c r="X730" s="5"/>
      <c r="Y730" s="5"/>
      <c r="Z730" s="5" t="s">
        <v>46</v>
      </c>
      <c r="AA730" s="5" t="s">
        <v>6457</v>
      </c>
      <c r="AB730" s="5" t="s">
        <v>4223</v>
      </c>
      <c r="AC730" s="7">
        <v>1</v>
      </c>
      <c r="AD730" t="str">
        <f>VLOOKUP($T730,[1]NhanSu!$C$5:$M$229,11,0)</f>
        <v>SM0000124</v>
      </c>
    </row>
    <row r="731" spans="1:30" x14ac:dyDescent="0.45">
      <c r="A731" s="8" t="s">
        <v>6444</v>
      </c>
      <c r="B731" s="4">
        <v>410</v>
      </c>
      <c r="C731" s="4" t="s">
        <v>7668</v>
      </c>
      <c r="D731" s="4" t="s">
        <v>7669</v>
      </c>
      <c r="E731" s="4" t="s">
        <v>529</v>
      </c>
      <c r="F731" s="4" t="s">
        <v>1573</v>
      </c>
      <c r="G731" s="4" t="s">
        <v>177</v>
      </c>
      <c r="H731" s="4" t="s">
        <v>350</v>
      </c>
      <c r="I731" s="4" t="s">
        <v>7670</v>
      </c>
      <c r="J731" s="4" t="s">
        <v>56</v>
      </c>
      <c r="K731" s="4" t="s">
        <v>38</v>
      </c>
      <c r="L731" s="4" t="s">
        <v>39</v>
      </c>
      <c r="M731" s="4" t="s">
        <v>56</v>
      </c>
      <c r="N731" s="4" t="s">
        <v>56</v>
      </c>
      <c r="O731" s="4" t="s">
        <v>39</v>
      </c>
      <c r="P731" s="4" t="s">
        <v>56</v>
      </c>
      <c r="Q731" s="4" t="s">
        <v>56</v>
      </c>
      <c r="R731" s="4" t="s">
        <v>39</v>
      </c>
      <c r="S731" s="4" t="s">
        <v>41</v>
      </c>
      <c r="T731" s="4" t="s">
        <v>7310</v>
      </c>
      <c r="U731" s="4" t="s">
        <v>7311</v>
      </c>
      <c r="V731" s="4" t="s">
        <v>6450</v>
      </c>
      <c r="W731" s="4" t="s">
        <v>5607</v>
      </c>
      <c r="X731" s="4"/>
      <c r="Y731" s="4"/>
      <c r="Z731" s="4" t="s">
        <v>46</v>
      </c>
      <c r="AA731" s="4" t="s">
        <v>6457</v>
      </c>
      <c r="AB731" s="4" t="s">
        <v>4223</v>
      </c>
      <c r="AC731" s="9">
        <v>1</v>
      </c>
      <c r="AD731" t="str">
        <f>VLOOKUP($T731,[1]NhanSu!$C$5:$M$229,11,0)</f>
        <v>SM0000126</v>
      </c>
    </row>
    <row r="732" spans="1:30" x14ac:dyDescent="0.45">
      <c r="A732" s="6" t="s">
        <v>6444</v>
      </c>
      <c r="B732" s="5">
        <v>411</v>
      </c>
      <c r="C732" s="5" t="s">
        <v>7671</v>
      </c>
      <c r="D732" s="5" t="s">
        <v>7672</v>
      </c>
      <c r="E732" s="5" t="s">
        <v>138</v>
      </c>
      <c r="F732" s="5" t="s">
        <v>166</v>
      </c>
      <c r="G732" s="5" t="s">
        <v>177</v>
      </c>
      <c r="H732" s="5" t="s">
        <v>54</v>
      </c>
      <c r="I732" s="5" t="s">
        <v>7673</v>
      </c>
      <c r="J732" s="5" t="s">
        <v>38</v>
      </c>
      <c r="K732" s="5" t="s">
        <v>38</v>
      </c>
      <c r="L732" s="5" t="s">
        <v>39</v>
      </c>
      <c r="M732" s="5" t="s">
        <v>38</v>
      </c>
      <c r="N732" s="5" t="s">
        <v>37</v>
      </c>
      <c r="O732" s="5" t="s">
        <v>39</v>
      </c>
      <c r="P732" s="5" t="s">
        <v>38</v>
      </c>
      <c r="Q732" s="5" t="s">
        <v>38</v>
      </c>
      <c r="R732" s="5" t="s">
        <v>40</v>
      </c>
      <c r="S732" s="5" t="s">
        <v>7515</v>
      </c>
      <c r="T732" s="5" t="s">
        <v>7319</v>
      </c>
      <c r="U732" s="5" t="s">
        <v>7311</v>
      </c>
      <c r="V732" s="5" t="s">
        <v>6450</v>
      </c>
      <c r="W732" s="5" t="s">
        <v>7312</v>
      </c>
      <c r="X732" s="5"/>
      <c r="Y732" s="5"/>
      <c r="Z732" s="5" t="s">
        <v>46</v>
      </c>
      <c r="AA732" s="5" t="s">
        <v>7370</v>
      </c>
      <c r="AB732" s="5" t="s">
        <v>4223</v>
      </c>
      <c r="AC732" s="7">
        <v>1</v>
      </c>
      <c r="AD732" t="str">
        <f>VLOOKUP($T732,[1]NhanSu!$C$5:$M$229,11,0)</f>
        <v>SM0000125</v>
      </c>
    </row>
    <row r="733" spans="1:30" x14ac:dyDescent="0.45">
      <c r="A733" s="8" t="s">
        <v>6444</v>
      </c>
      <c r="B733" s="4">
        <v>412</v>
      </c>
      <c r="C733" s="4" t="s">
        <v>7674</v>
      </c>
      <c r="D733" s="4" t="s">
        <v>7675</v>
      </c>
      <c r="E733" s="4" t="s">
        <v>261</v>
      </c>
      <c r="F733" s="4" t="s">
        <v>3264</v>
      </c>
      <c r="G733" s="4" t="s">
        <v>34</v>
      </c>
      <c r="H733" s="4" t="s">
        <v>2426</v>
      </c>
      <c r="I733" s="4" t="s">
        <v>7667</v>
      </c>
      <c r="J733" s="4" t="s">
        <v>56</v>
      </c>
      <c r="K733" s="4" t="s">
        <v>56</v>
      </c>
      <c r="L733" s="4" t="s">
        <v>39</v>
      </c>
      <c r="M733" s="4" t="s">
        <v>37</v>
      </c>
      <c r="N733" s="4" t="s">
        <v>37</v>
      </c>
      <c r="O733" s="4" t="s">
        <v>39</v>
      </c>
      <c r="P733" s="4" t="s">
        <v>38</v>
      </c>
      <c r="Q733" s="4" t="s">
        <v>38</v>
      </c>
      <c r="R733" s="4" t="s">
        <v>39</v>
      </c>
      <c r="S733" s="4" t="s">
        <v>7676</v>
      </c>
      <c r="T733" s="4" t="s">
        <v>7327</v>
      </c>
      <c r="U733" s="4" t="s">
        <v>7311</v>
      </c>
      <c r="V733" s="4" t="s">
        <v>6450</v>
      </c>
      <c r="W733" s="4" t="s">
        <v>7312</v>
      </c>
      <c r="X733" s="4"/>
      <c r="Y733" s="4"/>
      <c r="Z733" s="4" t="s">
        <v>46</v>
      </c>
      <c r="AA733" s="4" t="s">
        <v>6457</v>
      </c>
      <c r="AB733" s="4" t="s">
        <v>4223</v>
      </c>
      <c r="AC733" s="9">
        <v>1</v>
      </c>
      <c r="AD733" t="str">
        <f>VLOOKUP($T733,[1]NhanSu!$C$5:$M$229,11,0)</f>
        <v>SM0000124</v>
      </c>
    </row>
    <row r="734" spans="1:30" x14ac:dyDescent="0.45">
      <c r="A734" s="6" t="s">
        <v>6444</v>
      </c>
      <c r="B734" s="5">
        <v>414</v>
      </c>
      <c r="C734" s="5" t="s">
        <v>7680</v>
      </c>
      <c r="D734" s="5" t="s">
        <v>7681</v>
      </c>
      <c r="E734" s="5" t="s">
        <v>7682</v>
      </c>
      <c r="F734" s="5" t="s">
        <v>53</v>
      </c>
      <c r="G734" s="5" t="s">
        <v>34</v>
      </c>
      <c r="H734" s="5" t="s">
        <v>842</v>
      </c>
      <c r="I734" s="5" t="s">
        <v>7683</v>
      </c>
      <c r="J734" s="5" t="s">
        <v>56</v>
      </c>
      <c r="K734" s="5" t="s">
        <v>56</v>
      </c>
      <c r="L734" s="5" t="s">
        <v>39</v>
      </c>
      <c r="M734" s="5" t="s">
        <v>37</v>
      </c>
      <c r="N734" s="5" t="s">
        <v>37</v>
      </c>
      <c r="O734" s="5" t="s">
        <v>39</v>
      </c>
      <c r="P734" s="5" t="s">
        <v>38</v>
      </c>
      <c r="Q734" s="5" t="s">
        <v>38</v>
      </c>
      <c r="R734" s="5" t="s">
        <v>40</v>
      </c>
      <c r="S734" s="5" t="s">
        <v>1291</v>
      </c>
      <c r="T734" s="5" t="s">
        <v>7327</v>
      </c>
      <c r="U734" s="5" t="s">
        <v>7311</v>
      </c>
      <c r="V734" s="5" t="s">
        <v>6450</v>
      </c>
      <c r="W734" s="5" t="s">
        <v>7312</v>
      </c>
      <c r="X734" s="5"/>
      <c r="Y734" s="5"/>
      <c r="Z734" s="5" t="s">
        <v>46</v>
      </c>
      <c r="AA734" s="5" t="s">
        <v>6457</v>
      </c>
      <c r="AB734" s="5" t="s">
        <v>4223</v>
      </c>
      <c r="AC734" s="7">
        <v>1</v>
      </c>
      <c r="AD734" t="str">
        <f>VLOOKUP($T734,[1]NhanSu!$C$5:$M$229,11,0)</f>
        <v>SM0000124</v>
      </c>
    </row>
    <row r="735" spans="1:30" x14ac:dyDescent="0.45">
      <c r="A735" s="8" t="s">
        <v>6444</v>
      </c>
      <c r="B735" s="4">
        <v>415</v>
      </c>
      <c r="C735" s="4" t="s">
        <v>7684</v>
      </c>
      <c r="D735" s="4" t="s">
        <v>7685</v>
      </c>
      <c r="E735" s="4" t="s">
        <v>1870</v>
      </c>
      <c r="F735" s="4" t="s">
        <v>461</v>
      </c>
      <c r="G735" s="4" t="s">
        <v>177</v>
      </c>
      <c r="H735" s="4" t="s">
        <v>171</v>
      </c>
      <c r="I735" s="4" t="s">
        <v>7686</v>
      </c>
      <c r="J735" s="4" t="s">
        <v>56</v>
      </c>
      <c r="K735" s="4" t="s">
        <v>56</v>
      </c>
      <c r="L735" s="4" t="s">
        <v>39</v>
      </c>
      <c r="M735" s="4" t="s">
        <v>56</v>
      </c>
      <c r="N735" s="4" t="s">
        <v>56</v>
      </c>
      <c r="O735" s="4" t="s">
        <v>39</v>
      </c>
      <c r="P735" s="4" t="s">
        <v>37</v>
      </c>
      <c r="Q735" s="4" t="s">
        <v>56</v>
      </c>
      <c r="R735" s="4" t="s">
        <v>39</v>
      </c>
      <c r="S735" s="4" t="s">
        <v>41</v>
      </c>
      <c r="T735" s="4" t="s">
        <v>7310</v>
      </c>
      <c r="U735" s="4" t="s">
        <v>7311</v>
      </c>
      <c r="V735" s="4" t="s">
        <v>6450</v>
      </c>
      <c r="W735" s="4" t="s">
        <v>7312</v>
      </c>
      <c r="X735" s="4"/>
      <c r="Y735" s="4"/>
      <c r="Z735" s="4" t="s">
        <v>46</v>
      </c>
      <c r="AA735" s="4" t="s">
        <v>6457</v>
      </c>
      <c r="AB735" s="4" t="s">
        <v>4223</v>
      </c>
      <c r="AC735" s="9">
        <v>1</v>
      </c>
      <c r="AD735" t="str">
        <f>VLOOKUP($T735,[1]NhanSu!$C$5:$M$229,11,0)</f>
        <v>SM0000126</v>
      </c>
    </row>
    <row r="736" spans="1:30" x14ac:dyDescent="0.45">
      <c r="A736" s="6" t="s">
        <v>6444</v>
      </c>
      <c r="B736" s="5">
        <v>416</v>
      </c>
      <c r="C736" s="5" t="s">
        <v>7687</v>
      </c>
      <c r="D736" s="5" t="s">
        <v>7688</v>
      </c>
      <c r="E736" s="5" t="s">
        <v>376</v>
      </c>
      <c r="F736" s="5" t="s">
        <v>461</v>
      </c>
      <c r="G736" s="5" t="s">
        <v>34</v>
      </c>
      <c r="H736" s="5" t="s">
        <v>100</v>
      </c>
      <c r="I736" s="5" t="s">
        <v>7689</v>
      </c>
      <c r="J736" s="5" t="s">
        <v>56</v>
      </c>
      <c r="K736" s="5" t="s">
        <v>56</v>
      </c>
      <c r="L736" s="5" t="s">
        <v>39</v>
      </c>
      <c r="M736" s="5" t="s">
        <v>56</v>
      </c>
      <c r="N736" s="5" t="s">
        <v>56</v>
      </c>
      <c r="O736" s="5" t="s">
        <v>39</v>
      </c>
      <c r="P736" s="5" t="s">
        <v>56</v>
      </c>
      <c r="Q736" s="5" t="s">
        <v>56</v>
      </c>
      <c r="R736" s="5" t="s">
        <v>39</v>
      </c>
      <c r="S736" s="5" t="s">
        <v>7690</v>
      </c>
      <c r="T736" s="5" t="s">
        <v>7310</v>
      </c>
      <c r="U736" s="5" t="s">
        <v>7311</v>
      </c>
      <c r="V736" s="5" t="s">
        <v>6450</v>
      </c>
      <c r="W736" s="5" t="s">
        <v>5607</v>
      </c>
      <c r="X736" s="5"/>
      <c r="Y736" s="5"/>
      <c r="Z736" s="5" t="s">
        <v>46</v>
      </c>
      <c r="AA736" s="5" t="s">
        <v>6457</v>
      </c>
      <c r="AB736" s="5" t="s">
        <v>4223</v>
      </c>
      <c r="AC736" s="7">
        <v>1</v>
      </c>
      <c r="AD736" t="str">
        <f>VLOOKUP($T736,[1]NhanSu!$C$5:$M$229,11,0)</f>
        <v>SM0000126</v>
      </c>
    </row>
    <row r="737" spans="1:30" x14ac:dyDescent="0.45">
      <c r="A737" s="8" t="s">
        <v>6444</v>
      </c>
      <c r="B737" s="4">
        <v>417</v>
      </c>
      <c r="C737" s="4" t="s">
        <v>7691</v>
      </c>
      <c r="D737" s="4" t="s">
        <v>7692</v>
      </c>
      <c r="E737" s="4" t="s">
        <v>297</v>
      </c>
      <c r="F737" s="4" t="s">
        <v>401</v>
      </c>
      <c r="G737" s="4" t="s">
        <v>177</v>
      </c>
      <c r="H737" s="4" t="s">
        <v>54</v>
      </c>
      <c r="I737" s="4" t="s">
        <v>7693</v>
      </c>
      <c r="J737" s="4" t="s">
        <v>56</v>
      </c>
      <c r="K737" s="4" t="s">
        <v>56</v>
      </c>
      <c r="L737" s="4" t="s">
        <v>39</v>
      </c>
      <c r="M737" s="4" t="s">
        <v>56</v>
      </c>
      <c r="N737" s="4" t="s">
        <v>56</v>
      </c>
      <c r="O737" s="4" t="s">
        <v>39</v>
      </c>
      <c r="P737" s="4" t="s">
        <v>37</v>
      </c>
      <c r="Q737" s="4" t="s">
        <v>37</v>
      </c>
      <c r="R737" s="4" t="s">
        <v>39</v>
      </c>
      <c r="S737" s="4" t="s">
        <v>7694</v>
      </c>
      <c r="T737" s="4" t="s">
        <v>7310</v>
      </c>
      <c r="U737" s="4" t="s">
        <v>7311</v>
      </c>
      <c r="V737" s="4" t="s">
        <v>6450</v>
      </c>
      <c r="W737" s="4" t="s">
        <v>7312</v>
      </c>
      <c r="X737" s="4"/>
      <c r="Y737" s="4"/>
      <c r="Z737" s="4" t="s">
        <v>46</v>
      </c>
      <c r="AA737" s="4" t="s">
        <v>6457</v>
      </c>
      <c r="AB737" s="4" t="s">
        <v>5658</v>
      </c>
      <c r="AC737" s="9">
        <v>1</v>
      </c>
      <c r="AD737" t="str">
        <f>VLOOKUP($T737,[1]NhanSu!$C$5:$M$229,11,0)</f>
        <v>SM0000126</v>
      </c>
    </row>
    <row r="738" spans="1:30" x14ac:dyDescent="0.45">
      <c r="A738" s="6" t="s">
        <v>6444</v>
      </c>
      <c r="B738" s="5">
        <v>419</v>
      </c>
      <c r="C738" s="5" t="s">
        <v>7697</v>
      </c>
      <c r="D738" s="5" t="s">
        <v>7455</v>
      </c>
      <c r="E738" s="5" t="s">
        <v>7698</v>
      </c>
      <c r="F738" s="5" t="s">
        <v>4355</v>
      </c>
      <c r="G738" s="5" t="s">
        <v>34</v>
      </c>
      <c r="H738" s="5" t="s">
        <v>54</v>
      </c>
      <c r="I738" s="5" t="s">
        <v>7699</v>
      </c>
      <c r="J738" s="5" t="s">
        <v>37</v>
      </c>
      <c r="K738" s="5" t="s">
        <v>37</v>
      </c>
      <c r="L738" s="5" t="s">
        <v>39</v>
      </c>
      <c r="M738" s="5" t="s">
        <v>56</v>
      </c>
      <c r="N738" s="5" t="s">
        <v>56</v>
      </c>
      <c r="O738" s="5" t="s">
        <v>39</v>
      </c>
      <c r="P738" s="5" t="s">
        <v>38</v>
      </c>
      <c r="Q738" s="5" t="s">
        <v>38</v>
      </c>
      <c r="R738" s="5" t="s">
        <v>39</v>
      </c>
      <c r="S738" s="5" t="s">
        <v>41</v>
      </c>
      <c r="T738" s="5" t="s">
        <v>7368</v>
      </c>
      <c r="U738" s="5" t="s">
        <v>7369</v>
      </c>
      <c r="V738" s="5" t="s">
        <v>6450</v>
      </c>
      <c r="W738" s="5" t="s">
        <v>7312</v>
      </c>
      <c r="X738" s="5"/>
      <c r="Y738" s="5"/>
      <c r="Z738" s="5" t="s">
        <v>46</v>
      </c>
      <c r="AA738" s="5" t="s">
        <v>6457</v>
      </c>
      <c r="AB738" s="5" t="s">
        <v>5658</v>
      </c>
      <c r="AC738" s="7">
        <v>1</v>
      </c>
      <c r="AD738" t="str">
        <f>VLOOKUP($T738,[1]NhanSu!$C$5:$M$229,11,0)</f>
        <v>SM0000123</v>
      </c>
    </row>
    <row r="739" spans="1:30" x14ac:dyDescent="0.45">
      <c r="A739" s="8" t="s">
        <v>6444</v>
      </c>
      <c r="B739" s="4">
        <v>426</v>
      </c>
      <c r="C739" s="4" t="s">
        <v>7715</v>
      </c>
      <c r="D739" s="4" t="s">
        <v>7716</v>
      </c>
      <c r="E739" s="4" t="s">
        <v>109</v>
      </c>
      <c r="F739" s="4" t="s">
        <v>53</v>
      </c>
      <c r="G739" s="4" t="s">
        <v>177</v>
      </c>
      <c r="H739" s="4" t="s">
        <v>54</v>
      </c>
      <c r="I739" s="4" t="s">
        <v>7322</v>
      </c>
      <c r="J739" s="4" t="s">
        <v>37</v>
      </c>
      <c r="K739" s="4" t="s">
        <v>37</v>
      </c>
      <c r="L739" s="4" t="s">
        <v>40</v>
      </c>
      <c r="M739" s="4" t="s">
        <v>56</v>
      </c>
      <c r="N739" s="4" t="s">
        <v>56</v>
      </c>
      <c r="O739" s="4" t="s">
        <v>39</v>
      </c>
      <c r="P739" s="4" t="s">
        <v>37</v>
      </c>
      <c r="Q739" s="4" t="s">
        <v>37</v>
      </c>
      <c r="R739" s="4" t="s">
        <v>40</v>
      </c>
      <c r="S739" s="4" t="s">
        <v>41</v>
      </c>
      <c r="T739" s="4" t="s">
        <v>7310</v>
      </c>
      <c r="U739" s="4" t="s">
        <v>7311</v>
      </c>
      <c r="V739" s="4" t="s">
        <v>6450</v>
      </c>
      <c r="W739" s="4" t="s">
        <v>5607</v>
      </c>
      <c r="X739" s="4"/>
      <c r="Y739" s="4"/>
      <c r="Z739" s="4" t="s">
        <v>46</v>
      </c>
      <c r="AA739" s="4" t="s">
        <v>7370</v>
      </c>
      <c r="AB739" s="4" t="s">
        <v>3109</v>
      </c>
      <c r="AC739" s="9">
        <v>1</v>
      </c>
      <c r="AD739" t="str">
        <f>VLOOKUP($T739,[1]NhanSu!$C$5:$M$229,11,0)</f>
        <v>SM0000126</v>
      </c>
    </row>
    <row r="740" spans="1:30" x14ac:dyDescent="0.45">
      <c r="A740" s="6" t="s">
        <v>6444</v>
      </c>
      <c r="B740" s="5">
        <v>427</v>
      </c>
      <c r="C740" s="5" t="s">
        <v>7717</v>
      </c>
      <c r="D740" s="5" t="s">
        <v>7718</v>
      </c>
      <c r="E740" s="5" t="s">
        <v>108</v>
      </c>
      <c r="F740" s="5" t="s">
        <v>401</v>
      </c>
      <c r="G740" s="5" t="s">
        <v>177</v>
      </c>
      <c r="H740" s="5" t="s">
        <v>54</v>
      </c>
      <c r="I740" s="5" t="s">
        <v>6268</v>
      </c>
      <c r="J740" s="5" t="s">
        <v>775</v>
      </c>
      <c r="K740" s="5" t="s">
        <v>56</v>
      </c>
      <c r="L740" s="5" t="s">
        <v>39</v>
      </c>
      <c r="M740" s="5" t="s">
        <v>775</v>
      </c>
      <c r="N740" s="5" t="s">
        <v>1034</v>
      </c>
      <c r="O740" s="5" t="s">
        <v>39</v>
      </c>
      <c r="P740" s="5" t="s">
        <v>37</v>
      </c>
      <c r="Q740" s="5" t="s">
        <v>37</v>
      </c>
      <c r="R740" s="5" t="s">
        <v>40</v>
      </c>
      <c r="S740" s="5" t="s">
        <v>7719</v>
      </c>
      <c r="T740" s="5" t="s">
        <v>7310</v>
      </c>
      <c r="U740" s="5" t="s">
        <v>7311</v>
      </c>
      <c r="V740" s="5" t="s">
        <v>6450</v>
      </c>
      <c r="W740" s="5" t="s">
        <v>7312</v>
      </c>
      <c r="X740" s="5"/>
      <c r="Y740" s="5"/>
      <c r="Z740" s="5" t="s">
        <v>46</v>
      </c>
      <c r="AA740" s="5" t="s">
        <v>6457</v>
      </c>
      <c r="AB740" s="5" t="s">
        <v>3109</v>
      </c>
      <c r="AC740" s="7">
        <v>1</v>
      </c>
      <c r="AD740" t="str">
        <f>VLOOKUP($T740,[1]NhanSu!$C$5:$M$229,11,0)</f>
        <v>SM0000126</v>
      </c>
    </row>
    <row r="741" spans="1:30" x14ac:dyDescent="0.45">
      <c r="A741" s="8" t="s">
        <v>6444</v>
      </c>
      <c r="B741" s="4">
        <v>428</v>
      </c>
      <c r="C741" s="4" t="s">
        <v>7720</v>
      </c>
      <c r="D741" s="4" t="s">
        <v>7721</v>
      </c>
      <c r="E741" s="4" t="s">
        <v>344</v>
      </c>
      <c r="F741" s="4" t="s">
        <v>401</v>
      </c>
      <c r="G741" s="4" t="s">
        <v>177</v>
      </c>
      <c r="H741" s="4" t="s">
        <v>54</v>
      </c>
      <c r="I741" s="4" t="s">
        <v>7722</v>
      </c>
      <c r="J741" s="4" t="s">
        <v>38</v>
      </c>
      <c r="K741" s="4" t="s">
        <v>38</v>
      </c>
      <c r="L741" s="4" t="s">
        <v>40</v>
      </c>
      <c r="M741" s="4" t="s">
        <v>37</v>
      </c>
      <c r="N741" s="4" t="s">
        <v>37</v>
      </c>
      <c r="O741" s="4" t="s">
        <v>39</v>
      </c>
      <c r="P741" s="4" t="s">
        <v>37</v>
      </c>
      <c r="Q741" s="4" t="s">
        <v>37</v>
      </c>
      <c r="R741" s="4" t="s">
        <v>39</v>
      </c>
      <c r="S741" s="4" t="s">
        <v>41</v>
      </c>
      <c r="T741" s="4" t="s">
        <v>7310</v>
      </c>
      <c r="U741" s="4" t="s">
        <v>7311</v>
      </c>
      <c r="V741" s="4" t="s">
        <v>6450</v>
      </c>
      <c r="W741" s="4" t="s">
        <v>7312</v>
      </c>
      <c r="X741" s="4"/>
      <c r="Y741" s="4"/>
      <c r="Z741" s="4" t="s">
        <v>46</v>
      </c>
      <c r="AA741" s="4" t="s">
        <v>6457</v>
      </c>
      <c r="AB741" s="4" t="s">
        <v>3109</v>
      </c>
      <c r="AC741" s="9">
        <v>1</v>
      </c>
      <c r="AD741" t="str">
        <f>VLOOKUP($T741,[1]NhanSu!$C$5:$M$229,11,0)</f>
        <v>SM0000126</v>
      </c>
    </row>
    <row r="742" spans="1:30" x14ac:dyDescent="0.45">
      <c r="A742" s="6" t="s">
        <v>6444</v>
      </c>
      <c r="B742" s="5">
        <v>429</v>
      </c>
      <c r="C742" s="5" t="s">
        <v>7723</v>
      </c>
      <c r="D742" s="5" t="s">
        <v>7724</v>
      </c>
      <c r="E742" s="5" t="s">
        <v>108</v>
      </c>
      <c r="F742" s="5" t="s">
        <v>53</v>
      </c>
      <c r="G742" s="5" t="s">
        <v>177</v>
      </c>
      <c r="H742" s="5" t="s">
        <v>54</v>
      </c>
      <c r="I742" s="5" t="s">
        <v>7315</v>
      </c>
      <c r="J742" s="5" t="s">
        <v>37</v>
      </c>
      <c r="K742" s="5" t="s">
        <v>37</v>
      </c>
      <c r="L742" s="5" t="s">
        <v>39</v>
      </c>
      <c r="M742" s="5" t="s">
        <v>56</v>
      </c>
      <c r="N742" s="5" t="s">
        <v>56</v>
      </c>
      <c r="O742" s="5" t="s">
        <v>39</v>
      </c>
      <c r="P742" s="5" t="s">
        <v>37</v>
      </c>
      <c r="Q742" s="5" t="s">
        <v>37</v>
      </c>
      <c r="R742" s="5" t="s">
        <v>40</v>
      </c>
      <c r="S742" s="5" t="s">
        <v>41</v>
      </c>
      <c r="T742" s="5" t="s">
        <v>7310</v>
      </c>
      <c r="U742" s="5" t="s">
        <v>7311</v>
      </c>
      <c r="V742" s="5" t="s">
        <v>6450</v>
      </c>
      <c r="W742" s="5" t="s">
        <v>5607</v>
      </c>
      <c r="X742" s="5"/>
      <c r="Y742" s="5"/>
      <c r="Z742" s="5" t="s">
        <v>46</v>
      </c>
      <c r="AA742" s="5" t="s">
        <v>7370</v>
      </c>
      <c r="AB742" s="5" t="s">
        <v>3109</v>
      </c>
      <c r="AC742" s="7">
        <v>1</v>
      </c>
      <c r="AD742" t="str">
        <f>VLOOKUP($T742,[1]NhanSu!$C$5:$M$229,11,0)</f>
        <v>SM0000126</v>
      </c>
    </row>
    <row r="743" spans="1:30" x14ac:dyDescent="0.45">
      <c r="A743" s="8" t="s">
        <v>6444</v>
      </c>
      <c r="B743" s="4">
        <v>430</v>
      </c>
      <c r="C743" s="4" t="s">
        <v>7725</v>
      </c>
      <c r="D743" s="4" t="s">
        <v>7726</v>
      </c>
      <c r="E743" s="4" t="s">
        <v>185</v>
      </c>
      <c r="F743" s="4" t="s">
        <v>53</v>
      </c>
      <c r="G743" s="4" t="s">
        <v>177</v>
      </c>
      <c r="H743" s="4" t="s">
        <v>54</v>
      </c>
      <c r="I743" s="4" t="s">
        <v>609</v>
      </c>
      <c r="J743" s="4" t="s">
        <v>56</v>
      </c>
      <c r="K743" s="4" t="s">
        <v>37</v>
      </c>
      <c r="L743" s="4" t="s">
        <v>39</v>
      </c>
      <c r="M743" s="4" t="s">
        <v>37</v>
      </c>
      <c r="N743" s="4" t="s">
        <v>37</v>
      </c>
      <c r="O743" s="4" t="s">
        <v>39</v>
      </c>
      <c r="P743" s="4" t="s">
        <v>37</v>
      </c>
      <c r="Q743" s="4" t="s">
        <v>38</v>
      </c>
      <c r="R743" s="4" t="s">
        <v>39</v>
      </c>
      <c r="S743" s="4" t="s">
        <v>5363</v>
      </c>
      <c r="T743" s="4" t="s">
        <v>7319</v>
      </c>
      <c r="U743" s="4" t="s">
        <v>7311</v>
      </c>
      <c r="V743" s="4" t="s">
        <v>6450</v>
      </c>
      <c r="W743" s="4" t="s">
        <v>7312</v>
      </c>
      <c r="X743" s="4"/>
      <c r="Y743" s="4"/>
      <c r="Z743" s="4" t="s">
        <v>46</v>
      </c>
      <c r="AA743" s="4" t="s">
        <v>7370</v>
      </c>
      <c r="AB743" s="4" t="s">
        <v>3109</v>
      </c>
      <c r="AC743" s="9">
        <v>1</v>
      </c>
      <c r="AD743" t="str">
        <f>VLOOKUP($T743,[1]NhanSu!$C$5:$M$229,11,0)</f>
        <v>SM0000125</v>
      </c>
    </row>
    <row r="744" spans="1:30" x14ac:dyDescent="0.45">
      <c r="A744" s="6" t="s">
        <v>6444</v>
      </c>
      <c r="B744" s="5">
        <v>431</v>
      </c>
      <c r="C744" s="5" t="s">
        <v>7727</v>
      </c>
      <c r="D744" s="5" t="s">
        <v>7728</v>
      </c>
      <c r="E744" s="5" t="s">
        <v>3429</v>
      </c>
      <c r="F744" s="5" t="s">
        <v>115</v>
      </c>
      <c r="G744" s="5" t="s">
        <v>177</v>
      </c>
      <c r="H744" s="5" t="s">
        <v>54</v>
      </c>
      <c r="I744" s="5" t="s">
        <v>7503</v>
      </c>
      <c r="J744" s="5" t="s">
        <v>37</v>
      </c>
      <c r="K744" s="5" t="s">
        <v>37</v>
      </c>
      <c r="L744" s="5" t="s">
        <v>39</v>
      </c>
      <c r="M744" s="5" t="s">
        <v>37</v>
      </c>
      <c r="N744" s="5" t="s">
        <v>37</v>
      </c>
      <c r="O744" s="5" t="s">
        <v>39</v>
      </c>
      <c r="P744" s="5" t="s">
        <v>38</v>
      </c>
      <c r="Q744" s="5" t="s">
        <v>37</v>
      </c>
      <c r="R744" s="5" t="s">
        <v>39</v>
      </c>
      <c r="S744" s="5" t="s">
        <v>5625</v>
      </c>
      <c r="T744" s="5" t="s">
        <v>7319</v>
      </c>
      <c r="U744" s="5" t="s">
        <v>7311</v>
      </c>
      <c r="V744" s="5" t="s">
        <v>6450</v>
      </c>
      <c r="W744" s="5" t="s">
        <v>7312</v>
      </c>
      <c r="X744" s="5"/>
      <c r="Y744" s="5"/>
      <c r="Z744" s="5" t="s">
        <v>46</v>
      </c>
      <c r="AA744" s="5" t="s">
        <v>7370</v>
      </c>
      <c r="AB744" s="5" t="s">
        <v>3109</v>
      </c>
      <c r="AC744" s="7">
        <v>1</v>
      </c>
      <c r="AD744" t="str">
        <f>VLOOKUP($T744,[1]NhanSu!$C$5:$M$229,11,0)</f>
        <v>SM0000125</v>
      </c>
    </row>
    <row r="745" spans="1:30" x14ac:dyDescent="0.45">
      <c r="A745" s="8" t="s">
        <v>6444</v>
      </c>
      <c r="B745" s="4">
        <v>432</v>
      </c>
      <c r="C745" s="4" t="s">
        <v>7729</v>
      </c>
      <c r="D745" s="4" t="s">
        <v>7730</v>
      </c>
      <c r="E745" s="4" t="s">
        <v>109</v>
      </c>
      <c r="F745" s="4" t="s">
        <v>53</v>
      </c>
      <c r="G745" s="4" t="s">
        <v>177</v>
      </c>
      <c r="H745" s="4" t="s">
        <v>54</v>
      </c>
      <c r="I745" s="4" t="s">
        <v>7315</v>
      </c>
      <c r="J745" s="4" t="s">
        <v>37</v>
      </c>
      <c r="K745" s="4" t="s">
        <v>37</v>
      </c>
      <c r="L745" s="4" t="s">
        <v>39</v>
      </c>
      <c r="M745" s="4" t="s">
        <v>56</v>
      </c>
      <c r="N745" s="4" t="s">
        <v>56</v>
      </c>
      <c r="O745" s="4" t="s">
        <v>39</v>
      </c>
      <c r="P745" s="4" t="s">
        <v>56</v>
      </c>
      <c r="Q745" s="4" t="s">
        <v>37</v>
      </c>
      <c r="R745" s="4" t="s">
        <v>39</v>
      </c>
      <c r="S745" s="4" t="s">
        <v>41</v>
      </c>
      <c r="T745" s="4" t="s">
        <v>7310</v>
      </c>
      <c r="U745" s="4" t="s">
        <v>7311</v>
      </c>
      <c r="V745" s="4" t="s">
        <v>6450</v>
      </c>
      <c r="W745" s="4" t="s">
        <v>7312</v>
      </c>
      <c r="X745" s="4"/>
      <c r="Y745" s="4"/>
      <c r="Z745" s="4" t="s">
        <v>46</v>
      </c>
      <c r="AA745" s="4" t="s">
        <v>6457</v>
      </c>
      <c r="AB745" s="4" t="s">
        <v>3109</v>
      </c>
      <c r="AC745" s="9">
        <v>1</v>
      </c>
      <c r="AD745" t="str">
        <f>VLOOKUP($T745,[1]NhanSu!$C$5:$M$229,11,0)</f>
        <v>SM0000126</v>
      </c>
    </row>
    <row r="746" spans="1:30" x14ac:dyDescent="0.45">
      <c r="A746" s="6" t="s">
        <v>6444</v>
      </c>
      <c r="B746" s="5">
        <v>433</v>
      </c>
      <c r="C746" s="5" t="s">
        <v>7731</v>
      </c>
      <c r="D746" s="5" t="s">
        <v>436</v>
      </c>
      <c r="E746" s="5" t="s">
        <v>69</v>
      </c>
      <c r="F746" s="5" t="s">
        <v>53</v>
      </c>
      <c r="G746" s="5" t="s">
        <v>34</v>
      </c>
      <c r="H746" s="5" t="s">
        <v>54</v>
      </c>
      <c r="I746" s="5" t="s">
        <v>7326</v>
      </c>
      <c r="J746" s="5" t="s">
        <v>56</v>
      </c>
      <c r="K746" s="5" t="s">
        <v>56</v>
      </c>
      <c r="L746" s="5" t="s">
        <v>39</v>
      </c>
      <c r="M746" s="5" t="s">
        <v>37</v>
      </c>
      <c r="N746" s="5" t="s">
        <v>37</v>
      </c>
      <c r="O746" s="5" t="s">
        <v>39</v>
      </c>
      <c r="P746" s="5" t="s">
        <v>38</v>
      </c>
      <c r="Q746" s="5" t="s">
        <v>38</v>
      </c>
      <c r="R746" s="5" t="s">
        <v>39</v>
      </c>
      <c r="S746" s="5" t="s">
        <v>1291</v>
      </c>
      <c r="T746" s="5" t="s">
        <v>7327</v>
      </c>
      <c r="U746" s="5" t="s">
        <v>7311</v>
      </c>
      <c r="V746" s="5" t="s">
        <v>6450</v>
      </c>
      <c r="W746" s="5" t="s">
        <v>7312</v>
      </c>
      <c r="X746" s="5"/>
      <c r="Y746" s="5"/>
      <c r="Z746" s="5" t="s">
        <v>46</v>
      </c>
      <c r="AA746" s="5" t="s">
        <v>6457</v>
      </c>
      <c r="AB746" s="5" t="s">
        <v>3109</v>
      </c>
      <c r="AC746" s="7">
        <v>1</v>
      </c>
      <c r="AD746" t="str">
        <f>VLOOKUP($T746,[1]NhanSu!$C$5:$M$229,11,0)</f>
        <v>SM0000124</v>
      </c>
    </row>
    <row r="747" spans="1:30" x14ac:dyDescent="0.45">
      <c r="A747" s="8" t="s">
        <v>6444</v>
      </c>
      <c r="B747" s="4">
        <v>434</v>
      </c>
      <c r="C747" s="4" t="s">
        <v>7732</v>
      </c>
      <c r="D747" s="4" t="s">
        <v>7733</v>
      </c>
      <c r="E747" s="4" t="s">
        <v>69</v>
      </c>
      <c r="F747" s="4" t="s">
        <v>53</v>
      </c>
      <c r="G747" s="4" t="s">
        <v>34</v>
      </c>
      <c r="H747" s="4" t="s">
        <v>54</v>
      </c>
      <c r="I747" s="4" t="s">
        <v>7734</v>
      </c>
      <c r="J747" s="4" t="s">
        <v>56</v>
      </c>
      <c r="K747" s="4" t="s">
        <v>56</v>
      </c>
      <c r="L747" s="4" t="s">
        <v>39</v>
      </c>
      <c r="M747" s="4" t="s">
        <v>37</v>
      </c>
      <c r="N747" s="4" t="s">
        <v>37</v>
      </c>
      <c r="O747" s="4" t="s">
        <v>39</v>
      </c>
      <c r="P747" s="4" t="s">
        <v>38</v>
      </c>
      <c r="Q747" s="4" t="s">
        <v>38</v>
      </c>
      <c r="R747" s="4" t="s">
        <v>39</v>
      </c>
      <c r="S747" s="4" t="s">
        <v>1291</v>
      </c>
      <c r="T747" s="4" t="s">
        <v>7327</v>
      </c>
      <c r="U747" s="4" t="s">
        <v>7311</v>
      </c>
      <c r="V747" s="4" t="s">
        <v>6450</v>
      </c>
      <c r="W747" s="4" t="s">
        <v>7312</v>
      </c>
      <c r="X747" s="4"/>
      <c r="Y747" s="4"/>
      <c r="Z747" s="4" t="s">
        <v>46</v>
      </c>
      <c r="AA747" s="4" t="s">
        <v>6457</v>
      </c>
      <c r="AB747" s="4" t="s">
        <v>3109</v>
      </c>
      <c r="AC747" s="9">
        <v>1</v>
      </c>
      <c r="AD747" t="str">
        <f>VLOOKUP($T747,[1]NhanSu!$C$5:$M$229,11,0)</f>
        <v>SM0000124</v>
      </c>
    </row>
    <row r="748" spans="1:30" x14ac:dyDescent="0.45">
      <c r="A748" s="6" t="s">
        <v>6444</v>
      </c>
      <c r="B748" s="5">
        <v>435</v>
      </c>
      <c r="C748" s="5" t="s">
        <v>7735</v>
      </c>
      <c r="D748" s="5" t="s">
        <v>7736</v>
      </c>
      <c r="E748" s="5" t="s">
        <v>69</v>
      </c>
      <c r="F748" s="5" t="s">
        <v>53</v>
      </c>
      <c r="G748" s="5" t="s">
        <v>177</v>
      </c>
      <c r="H748" s="5" t="s">
        <v>54</v>
      </c>
      <c r="I748" s="5" t="s">
        <v>7315</v>
      </c>
      <c r="J748" s="5" t="s">
        <v>56</v>
      </c>
      <c r="K748" s="5" t="s">
        <v>56</v>
      </c>
      <c r="L748" s="5" t="s">
        <v>39</v>
      </c>
      <c r="M748" s="5" t="s">
        <v>56</v>
      </c>
      <c r="N748" s="5" t="s">
        <v>56</v>
      </c>
      <c r="O748" s="5" t="s">
        <v>39</v>
      </c>
      <c r="P748" s="5" t="s">
        <v>56</v>
      </c>
      <c r="Q748" s="5" t="s">
        <v>56</v>
      </c>
      <c r="R748" s="5" t="s">
        <v>39</v>
      </c>
      <c r="S748" s="5" t="s">
        <v>41</v>
      </c>
      <c r="T748" s="5" t="s">
        <v>7310</v>
      </c>
      <c r="U748" s="5" t="s">
        <v>7311</v>
      </c>
      <c r="V748" s="5" t="s">
        <v>6450</v>
      </c>
      <c r="W748" s="5" t="s">
        <v>5607</v>
      </c>
      <c r="X748" s="5"/>
      <c r="Y748" s="5"/>
      <c r="Z748" s="5" t="s">
        <v>46</v>
      </c>
      <c r="AA748" s="5" t="s">
        <v>7370</v>
      </c>
      <c r="AB748" s="5" t="s">
        <v>3109</v>
      </c>
      <c r="AC748" s="7">
        <v>1</v>
      </c>
      <c r="AD748" t="str">
        <f>VLOOKUP($T748,[1]NhanSu!$C$5:$M$229,11,0)</f>
        <v>SM0000126</v>
      </c>
    </row>
    <row r="749" spans="1:30" x14ac:dyDescent="0.45">
      <c r="A749" s="8" t="s">
        <v>6444</v>
      </c>
      <c r="B749" s="4">
        <v>436</v>
      </c>
      <c r="C749" s="4" t="s">
        <v>7737</v>
      </c>
      <c r="D749" s="4" t="s">
        <v>7738</v>
      </c>
      <c r="E749" s="4" t="s">
        <v>109</v>
      </c>
      <c r="F749" s="4" t="s">
        <v>53</v>
      </c>
      <c r="G749" s="4" t="s">
        <v>177</v>
      </c>
      <c r="H749" s="4" t="s">
        <v>54</v>
      </c>
      <c r="I749" s="4" t="s">
        <v>7654</v>
      </c>
      <c r="J749" s="4" t="s">
        <v>37</v>
      </c>
      <c r="K749" s="4" t="s">
        <v>37</v>
      </c>
      <c r="L749" s="4" t="s">
        <v>39</v>
      </c>
      <c r="M749" s="4" t="s">
        <v>37</v>
      </c>
      <c r="N749" s="4" t="s">
        <v>37</v>
      </c>
      <c r="O749" s="4" t="s">
        <v>39</v>
      </c>
      <c r="P749" s="4" t="s">
        <v>38</v>
      </c>
      <c r="Q749" s="4" t="s">
        <v>38</v>
      </c>
      <c r="R749" s="4" t="s">
        <v>39</v>
      </c>
      <c r="S749" s="4" t="s">
        <v>7515</v>
      </c>
      <c r="T749" s="4" t="s">
        <v>7319</v>
      </c>
      <c r="U749" s="4" t="s">
        <v>7311</v>
      </c>
      <c r="V749" s="4" t="s">
        <v>6450</v>
      </c>
      <c r="W749" s="4" t="s">
        <v>5607</v>
      </c>
      <c r="X749" s="4"/>
      <c r="Y749" s="4"/>
      <c r="Z749" s="4" t="s">
        <v>46</v>
      </c>
      <c r="AA749" s="4" t="s">
        <v>7370</v>
      </c>
      <c r="AB749" s="4" t="s">
        <v>3109</v>
      </c>
      <c r="AC749" s="9">
        <v>1</v>
      </c>
      <c r="AD749" t="str">
        <f>VLOOKUP($T749,[1]NhanSu!$C$5:$M$229,11,0)</f>
        <v>SM0000125</v>
      </c>
    </row>
    <row r="750" spans="1:30" x14ac:dyDescent="0.45">
      <c r="A750" s="6" t="s">
        <v>6444</v>
      </c>
      <c r="B750" s="5">
        <v>437</v>
      </c>
      <c r="C750" s="5" t="s">
        <v>7739</v>
      </c>
      <c r="D750" s="5" t="s">
        <v>7740</v>
      </c>
      <c r="E750" s="5" t="s">
        <v>128</v>
      </c>
      <c r="F750" s="5" t="s">
        <v>166</v>
      </c>
      <c r="G750" s="5" t="s">
        <v>34</v>
      </c>
      <c r="H750" s="5" t="s">
        <v>319</v>
      </c>
      <c r="I750" s="5" t="s">
        <v>7531</v>
      </c>
      <c r="J750" s="5" t="s">
        <v>56</v>
      </c>
      <c r="K750" s="5" t="s">
        <v>56</v>
      </c>
      <c r="L750" s="5" t="s">
        <v>39</v>
      </c>
      <c r="M750" s="5" t="s">
        <v>37</v>
      </c>
      <c r="N750" s="5" t="s">
        <v>37</v>
      </c>
      <c r="O750" s="5" t="s">
        <v>39</v>
      </c>
      <c r="P750" s="5" t="s">
        <v>38</v>
      </c>
      <c r="Q750" s="5" t="s">
        <v>38</v>
      </c>
      <c r="R750" s="5" t="s">
        <v>39</v>
      </c>
      <c r="S750" s="5" t="s">
        <v>5460</v>
      </c>
      <c r="T750" s="5" t="s">
        <v>7327</v>
      </c>
      <c r="U750" s="5" t="s">
        <v>7311</v>
      </c>
      <c r="V750" s="5" t="s">
        <v>6450</v>
      </c>
      <c r="W750" s="5" t="s">
        <v>5607</v>
      </c>
      <c r="X750" s="5"/>
      <c r="Y750" s="5"/>
      <c r="Z750" s="5" t="s">
        <v>46</v>
      </c>
      <c r="AA750" s="5" t="s">
        <v>7370</v>
      </c>
      <c r="AB750" s="5" t="s">
        <v>5658</v>
      </c>
      <c r="AC750" s="7">
        <v>1</v>
      </c>
      <c r="AD750" t="str">
        <f>VLOOKUP($T750,[1]NhanSu!$C$5:$M$229,11,0)</f>
        <v>SM0000124</v>
      </c>
    </row>
    <row r="751" spans="1:30" x14ac:dyDescent="0.45">
      <c r="A751" s="8" t="s">
        <v>6444</v>
      </c>
      <c r="B751" s="4">
        <v>438</v>
      </c>
      <c r="C751" s="4" t="s">
        <v>7741</v>
      </c>
      <c r="D751" s="4" t="s">
        <v>7742</v>
      </c>
      <c r="E751" s="4" t="s">
        <v>261</v>
      </c>
      <c r="F751" s="4" t="s">
        <v>3156</v>
      </c>
      <c r="G751" s="4" t="s">
        <v>34</v>
      </c>
      <c r="H751" s="4" t="s">
        <v>54</v>
      </c>
      <c r="I751" s="4" t="s">
        <v>7743</v>
      </c>
      <c r="J751" s="4" t="s">
        <v>56</v>
      </c>
      <c r="K751" s="4" t="s">
        <v>56</v>
      </c>
      <c r="L751" s="4" t="s">
        <v>39</v>
      </c>
      <c r="M751" s="4" t="s">
        <v>37</v>
      </c>
      <c r="N751" s="4" t="s">
        <v>37</v>
      </c>
      <c r="O751" s="4" t="s">
        <v>39</v>
      </c>
      <c r="P751" s="4" t="s">
        <v>38</v>
      </c>
      <c r="Q751" s="4" t="s">
        <v>38</v>
      </c>
      <c r="R751" s="4" t="s">
        <v>39</v>
      </c>
      <c r="S751" s="4" t="s">
        <v>7676</v>
      </c>
      <c r="T751" s="4" t="s">
        <v>7327</v>
      </c>
      <c r="U751" s="4" t="s">
        <v>7311</v>
      </c>
      <c r="V751" s="4" t="s">
        <v>6450</v>
      </c>
      <c r="W751" s="4" t="s">
        <v>7312</v>
      </c>
      <c r="X751" s="4"/>
      <c r="Y751" s="4"/>
      <c r="Z751" s="4" t="s">
        <v>46</v>
      </c>
      <c r="AA751" s="4" t="s">
        <v>6457</v>
      </c>
      <c r="AB751" s="4" t="s">
        <v>5658</v>
      </c>
      <c r="AC751" s="9">
        <v>1</v>
      </c>
      <c r="AD751" t="str">
        <f>VLOOKUP($T751,[1]NhanSu!$C$5:$M$229,11,0)</f>
        <v>SM0000124</v>
      </c>
    </row>
    <row r="752" spans="1:30" x14ac:dyDescent="0.45">
      <c r="A752" s="6" t="s">
        <v>6444</v>
      </c>
      <c r="B752" s="5">
        <v>439</v>
      </c>
      <c r="C752" s="5" t="s">
        <v>7744</v>
      </c>
      <c r="D752" s="5" t="s">
        <v>7745</v>
      </c>
      <c r="E752" s="5" t="s">
        <v>4259</v>
      </c>
      <c r="F752" s="5" t="s">
        <v>7746</v>
      </c>
      <c r="G752" s="5" t="s">
        <v>177</v>
      </c>
      <c r="H752" s="5" t="s">
        <v>171</v>
      </c>
      <c r="I752" s="5" t="s">
        <v>7747</v>
      </c>
      <c r="J752" s="5" t="s">
        <v>37</v>
      </c>
      <c r="K752" s="5" t="s">
        <v>37</v>
      </c>
      <c r="L752" s="5" t="s">
        <v>39</v>
      </c>
      <c r="M752" s="5" t="s">
        <v>37</v>
      </c>
      <c r="N752" s="5" t="s">
        <v>37</v>
      </c>
      <c r="O752" s="5" t="s">
        <v>39</v>
      </c>
      <c r="P752" s="5" t="s">
        <v>38</v>
      </c>
      <c r="Q752" s="5" t="s">
        <v>38</v>
      </c>
      <c r="R752" s="5" t="s">
        <v>39</v>
      </c>
      <c r="S752" s="5" t="s">
        <v>5625</v>
      </c>
      <c r="T752" s="5" t="s">
        <v>7319</v>
      </c>
      <c r="U752" s="5" t="s">
        <v>7311</v>
      </c>
      <c r="V752" s="5" t="s">
        <v>6450</v>
      </c>
      <c r="W752" s="5" t="s">
        <v>7312</v>
      </c>
      <c r="X752" s="5"/>
      <c r="Y752" s="5"/>
      <c r="Z752" s="5" t="s">
        <v>46</v>
      </c>
      <c r="AA752" s="5" t="s">
        <v>7370</v>
      </c>
      <c r="AB752" s="5" t="s">
        <v>5658</v>
      </c>
      <c r="AC752" s="7">
        <v>1</v>
      </c>
      <c r="AD752" t="str">
        <f>VLOOKUP($T752,[1]NhanSu!$C$5:$M$229,11,0)</f>
        <v>SM0000125</v>
      </c>
    </row>
    <row r="753" spans="1:30" x14ac:dyDescent="0.45">
      <c r="A753" s="8" t="s">
        <v>6444</v>
      </c>
      <c r="B753" s="4">
        <v>440</v>
      </c>
      <c r="C753" s="4" t="s">
        <v>7748</v>
      </c>
      <c r="D753" s="4" t="s">
        <v>7749</v>
      </c>
      <c r="E753" s="4" t="s">
        <v>2630</v>
      </c>
      <c r="F753" s="4" t="s">
        <v>7750</v>
      </c>
      <c r="G753" s="4" t="s">
        <v>34</v>
      </c>
      <c r="H753" s="4" t="s">
        <v>171</v>
      </c>
      <c r="I753" s="4" t="s">
        <v>7751</v>
      </c>
      <c r="J753" s="4" t="s">
        <v>37</v>
      </c>
      <c r="K753" s="4" t="s">
        <v>37</v>
      </c>
      <c r="L753" s="4" t="s">
        <v>39</v>
      </c>
      <c r="M753" s="4" t="s">
        <v>37</v>
      </c>
      <c r="N753" s="4" t="s">
        <v>37</v>
      </c>
      <c r="O753" s="4" t="s">
        <v>39</v>
      </c>
      <c r="P753" s="4" t="s">
        <v>38</v>
      </c>
      <c r="Q753" s="4" t="s">
        <v>38</v>
      </c>
      <c r="R753" s="4" t="s">
        <v>39</v>
      </c>
      <c r="S753" s="4" t="s">
        <v>7515</v>
      </c>
      <c r="T753" s="4" t="s">
        <v>7319</v>
      </c>
      <c r="U753" s="4" t="s">
        <v>7311</v>
      </c>
      <c r="V753" s="4" t="s">
        <v>6450</v>
      </c>
      <c r="W753" s="4" t="s">
        <v>7312</v>
      </c>
      <c r="X753" s="4"/>
      <c r="Y753" s="4"/>
      <c r="Z753" s="4" t="s">
        <v>46</v>
      </c>
      <c r="AA753" s="4" t="s">
        <v>7370</v>
      </c>
      <c r="AB753" s="4" t="s">
        <v>5658</v>
      </c>
      <c r="AC753" s="9">
        <v>1</v>
      </c>
      <c r="AD753" t="str">
        <f>VLOOKUP($T753,[1]NhanSu!$C$5:$M$229,11,0)</f>
        <v>SM0000125</v>
      </c>
    </row>
    <row r="754" spans="1:30" x14ac:dyDescent="0.45">
      <c r="A754" s="6" t="s">
        <v>6444</v>
      </c>
      <c r="B754" s="5">
        <v>441</v>
      </c>
      <c r="C754" s="5" t="s">
        <v>7752</v>
      </c>
      <c r="D754" s="5" t="s">
        <v>7753</v>
      </c>
      <c r="E754" s="5" t="s">
        <v>682</v>
      </c>
      <c r="F754" s="5" t="s">
        <v>286</v>
      </c>
      <c r="G754" s="5" t="s">
        <v>177</v>
      </c>
      <c r="H754" s="5" t="s">
        <v>54</v>
      </c>
      <c r="I754" s="5" t="s">
        <v>7754</v>
      </c>
      <c r="J754" s="5" t="s">
        <v>37</v>
      </c>
      <c r="K754" s="5" t="s">
        <v>37</v>
      </c>
      <c r="L754" s="5" t="s">
        <v>39</v>
      </c>
      <c r="M754" s="5" t="s">
        <v>37</v>
      </c>
      <c r="N754" s="5" t="s">
        <v>37</v>
      </c>
      <c r="O754" s="5" t="s">
        <v>39</v>
      </c>
      <c r="P754" s="5" t="s">
        <v>38</v>
      </c>
      <c r="Q754" s="5" t="s">
        <v>37</v>
      </c>
      <c r="R754" s="5" t="s">
        <v>39</v>
      </c>
      <c r="S754" s="5" t="s">
        <v>5363</v>
      </c>
      <c r="T754" s="5" t="s">
        <v>7319</v>
      </c>
      <c r="U754" s="5" t="s">
        <v>7311</v>
      </c>
      <c r="V754" s="5" t="s">
        <v>6450</v>
      </c>
      <c r="W754" s="5" t="s">
        <v>7312</v>
      </c>
      <c r="X754" s="5"/>
      <c r="Y754" s="5"/>
      <c r="Z754" s="5" t="s">
        <v>46</v>
      </c>
      <c r="AA754" s="5" t="s">
        <v>7370</v>
      </c>
      <c r="AB754" s="5" t="s">
        <v>5658</v>
      </c>
      <c r="AC754" s="7">
        <v>1</v>
      </c>
      <c r="AD754" t="str">
        <f>VLOOKUP($T754,[1]NhanSu!$C$5:$M$229,11,0)</f>
        <v>SM0000125</v>
      </c>
    </row>
    <row r="755" spans="1:30" x14ac:dyDescent="0.45">
      <c r="A755" s="8" t="s">
        <v>6444</v>
      </c>
      <c r="B755" s="4">
        <v>443</v>
      </c>
      <c r="C755" s="4" t="s">
        <v>7759</v>
      </c>
      <c r="D755" s="4" t="s">
        <v>7760</v>
      </c>
      <c r="E755" s="4" t="s">
        <v>69</v>
      </c>
      <c r="F755" s="4" t="s">
        <v>53</v>
      </c>
      <c r="G755" s="4" t="s">
        <v>34</v>
      </c>
      <c r="H755" s="4" t="s">
        <v>708</v>
      </c>
      <c r="I755" s="4" t="s">
        <v>7326</v>
      </c>
      <c r="J755" s="4" t="s">
        <v>56</v>
      </c>
      <c r="K755" s="4" t="s">
        <v>56</v>
      </c>
      <c r="L755" s="4" t="s">
        <v>39</v>
      </c>
      <c r="M755" s="4" t="s">
        <v>37</v>
      </c>
      <c r="N755" s="4" t="s">
        <v>37</v>
      </c>
      <c r="O755" s="4" t="s">
        <v>39</v>
      </c>
      <c r="P755" s="4" t="s">
        <v>38</v>
      </c>
      <c r="Q755" s="4" t="s">
        <v>38</v>
      </c>
      <c r="R755" s="4" t="s">
        <v>39</v>
      </c>
      <c r="S755" s="4" t="s">
        <v>1291</v>
      </c>
      <c r="T755" s="4" t="s">
        <v>7327</v>
      </c>
      <c r="U755" s="4" t="s">
        <v>7311</v>
      </c>
      <c r="V755" s="4" t="s">
        <v>6450</v>
      </c>
      <c r="W755" s="4" t="s">
        <v>7312</v>
      </c>
      <c r="X755" s="4"/>
      <c r="Y755" s="4"/>
      <c r="Z755" s="4" t="s">
        <v>46</v>
      </c>
      <c r="AA755" s="4" t="s">
        <v>6457</v>
      </c>
      <c r="AB755" s="4" t="s">
        <v>3109</v>
      </c>
      <c r="AC755" s="9">
        <v>1</v>
      </c>
      <c r="AD755" t="str">
        <f>VLOOKUP($T755,[1]NhanSu!$C$5:$M$229,11,0)</f>
        <v>SM0000124</v>
      </c>
    </row>
    <row r="756" spans="1:30" x14ac:dyDescent="0.45">
      <c r="A756" s="6" t="s">
        <v>6444</v>
      </c>
      <c r="B756" s="5">
        <v>444</v>
      </c>
      <c r="C756" s="5" t="s">
        <v>7761</v>
      </c>
      <c r="D756" s="5" t="s">
        <v>7762</v>
      </c>
      <c r="E756" s="5" t="s">
        <v>64</v>
      </c>
      <c r="F756" s="5" t="s">
        <v>53</v>
      </c>
      <c r="G756" s="5" t="s">
        <v>177</v>
      </c>
      <c r="H756" s="5" t="s">
        <v>54</v>
      </c>
      <c r="I756" s="5" t="s">
        <v>7654</v>
      </c>
      <c r="J756" s="5" t="s">
        <v>37</v>
      </c>
      <c r="K756" s="5" t="s">
        <v>37</v>
      </c>
      <c r="L756" s="5" t="s">
        <v>39</v>
      </c>
      <c r="M756" s="5" t="s">
        <v>37</v>
      </c>
      <c r="N756" s="5" t="s">
        <v>37</v>
      </c>
      <c r="O756" s="5" t="s">
        <v>39</v>
      </c>
      <c r="P756" s="5" t="s">
        <v>37</v>
      </c>
      <c r="Q756" s="5" t="s">
        <v>37</v>
      </c>
      <c r="R756" s="5" t="s">
        <v>39</v>
      </c>
      <c r="S756" s="5" t="s">
        <v>5625</v>
      </c>
      <c r="T756" s="5" t="s">
        <v>7319</v>
      </c>
      <c r="U756" s="5" t="s">
        <v>7311</v>
      </c>
      <c r="V756" s="5" t="s">
        <v>6450</v>
      </c>
      <c r="W756" s="5" t="s">
        <v>7312</v>
      </c>
      <c r="X756" s="5"/>
      <c r="Y756" s="5"/>
      <c r="Z756" s="5" t="s">
        <v>46</v>
      </c>
      <c r="AA756" s="5" t="s">
        <v>7370</v>
      </c>
      <c r="AB756" s="5" t="s">
        <v>3109</v>
      </c>
      <c r="AC756" s="7">
        <v>1</v>
      </c>
      <c r="AD756" t="str">
        <f>VLOOKUP($T756,[1]NhanSu!$C$5:$M$229,11,0)</f>
        <v>SM0000125</v>
      </c>
    </row>
    <row r="757" spans="1:30" x14ac:dyDescent="0.45">
      <c r="A757" s="8" t="s">
        <v>6444</v>
      </c>
      <c r="B757" s="4">
        <v>445</v>
      </c>
      <c r="C757" s="4" t="s">
        <v>7763</v>
      </c>
      <c r="D757" s="4" t="s">
        <v>7764</v>
      </c>
      <c r="E757" s="4" t="s">
        <v>176</v>
      </c>
      <c r="F757" s="4" t="s">
        <v>53</v>
      </c>
      <c r="G757" s="4" t="s">
        <v>177</v>
      </c>
      <c r="H757" s="4" t="s">
        <v>54</v>
      </c>
      <c r="I757" s="4" t="s">
        <v>7459</v>
      </c>
      <c r="J757" s="4" t="s">
        <v>56</v>
      </c>
      <c r="K757" s="4" t="s">
        <v>38</v>
      </c>
      <c r="L757" s="4" t="s">
        <v>39</v>
      </c>
      <c r="M757" s="4" t="s">
        <v>56</v>
      </c>
      <c r="N757" s="4" t="s">
        <v>56</v>
      </c>
      <c r="O757" s="4" t="s">
        <v>39</v>
      </c>
      <c r="P757" s="4" t="s">
        <v>37</v>
      </c>
      <c r="Q757" s="4" t="s">
        <v>37</v>
      </c>
      <c r="R757" s="4" t="s">
        <v>39</v>
      </c>
      <c r="S757" s="4" t="s">
        <v>41</v>
      </c>
      <c r="T757" s="4" t="s">
        <v>7310</v>
      </c>
      <c r="U757" s="4" t="s">
        <v>7311</v>
      </c>
      <c r="V757" s="4" t="s">
        <v>6450</v>
      </c>
      <c r="W757" s="4" t="s">
        <v>7312</v>
      </c>
      <c r="X757" s="4"/>
      <c r="Y757" s="4"/>
      <c r="Z757" s="4" t="s">
        <v>46</v>
      </c>
      <c r="AA757" s="4" t="s">
        <v>6457</v>
      </c>
      <c r="AB757" s="4" t="s">
        <v>3109</v>
      </c>
      <c r="AC757" s="9">
        <v>1</v>
      </c>
      <c r="AD757" t="str">
        <f>VLOOKUP($T757,[1]NhanSu!$C$5:$M$229,11,0)</f>
        <v>SM0000126</v>
      </c>
    </row>
    <row r="758" spans="1:30" x14ac:dyDescent="0.45">
      <c r="A758" s="6" t="s">
        <v>6444</v>
      </c>
      <c r="B758" s="5">
        <v>446</v>
      </c>
      <c r="C758" s="5" t="s">
        <v>7765</v>
      </c>
      <c r="D758" s="5" t="s">
        <v>7766</v>
      </c>
      <c r="E758" s="5" t="s">
        <v>108</v>
      </c>
      <c r="F758" s="5" t="s">
        <v>53</v>
      </c>
      <c r="G758" s="5" t="s">
        <v>34</v>
      </c>
      <c r="H758" s="5" t="s">
        <v>54</v>
      </c>
      <c r="I758" s="5" t="s">
        <v>7322</v>
      </c>
      <c r="J758" s="5" t="s">
        <v>37</v>
      </c>
      <c r="K758" s="5" t="s">
        <v>38</v>
      </c>
      <c r="L758" s="5" t="s">
        <v>40</v>
      </c>
      <c r="M758" s="5" t="s">
        <v>56</v>
      </c>
      <c r="N758" s="5" t="s">
        <v>56</v>
      </c>
      <c r="O758" s="5" t="s">
        <v>39</v>
      </c>
      <c r="P758" s="5" t="s">
        <v>56</v>
      </c>
      <c r="Q758" s="5" t="s">
        <v>56</v>
      </c>
      <c r="R758" s="5" t="s">
        <v>39</v>
      </c>
      <c r="S758" s="5" t="s">
        <v>41</v>
      </c>
      <c r="T758" s="5" t="s">
        <v>7310</v>
      </c>
      <c r="U758" s="5" t="s">
        <v>7311</v>
      </c>
      <c r="V758" s="5" t="s">
        <v>6450</v>
      </c>
      <c r="W758" s="5" t="s">
        <v>5607</v>
      </c>
      <c r="X758" s="5"/>
      <c r="Y758" s="5"/>
      <c r="Z758" s="5" t="s">
        <v>46</v>
      </c>
      <c r="AA758" s="5" t="s">
        <v>6457</v>
      </c>
      <c r="AB758" s="5" t="s">
        <v>3109</v>
      </c>
      <c r="AC758" s="7">
        <v>1</v>
      </c>
      <c r="AD758" t="str">
        <f>VLOOKUP($T758,[1]NhanSu!$C$5:$M$229,11,0)</f>
        <v>SM0000126</v>
      </c>
    </row>
    <row r="759" spans="1:30" x14ac:dyDescent="0.45">
      <c r="A759" s="8" t="s">
        <v>6444</v>
      </c>
      <c r="B759" s="4">
        <v>447</v>
      </c>
      <c r="C759" s="4" t="s">
        <v>7767</v>
      </c>
      <c r="D759" s="4" t="s">
        <v>7768</v>
      </c>
      <c r="E759" s="4" t="s">
        <v>157</v>
      </c>
      <c r="F759" s="4" t="s">
        <v>191</v>
      </c>
      <c r="G759" s="4" t="s">
        <v>34</v>
      </c>
      <c r="H759" s="4" t="s">
        <v>54</v>
      </c>
      <c r="I759" s="4" t="s">
        <v>7769</v>
      </c>
      <c r="J759" s="4" t="s">
        <v>56</v>
      </c>
      <c r="K759" s="4" t="s">
        <v>56</v>
      </c>
      <c r="L759" s="4" t="s">
        <v>39</v>
      </c>
      <c r="M759" s="4" t="s">
        <v>37</v>
      </c>
      <c r="N759" s="4" t="s">
        <v>37</v>
      </c>
      <c r="O759" s="4" t="s">
        <v>39</v>
      </c>
      <c r="P759" s="4" t="s">
        <v>38</v>
      </c>
      <c r="Q759" s="4" t="s">
        <v>38</v>
      </c>
      <c r="R759" s="4" t="s">
        <v>39</v>
      </c>
      <c r="S759" s="4" t="s">
        <v>1291</v>
      </c>
      <c r="T759" s="4" t="s">
        <v>7327</v>
      </c>
      <c r="U759" s="4" t="s">
        <v>7311</v>
      </c>
      <c r="V759" s="4" t="s">
        <v>6450</v>
      </c>
      <c r="W759" s="4" t="s">
        <v>5607</v>
      </c>
      <c r="X759" s="4"/>
      <c r="Y759" s="4"/>
      <c r="Z759" s="4" t="s">
        <v>46</v>
      </c>
      <c r="AA759" s="4" t="s">
        <v>7370</v>
      </c>
      <c r="AB759" s="4" t="s">
        <v>3109</v>
      </c>
      <c r="AC759" s="9">
        <v>1</v>
      </c>
      <c r="AD759" t="str">
        <f>VLOOKUP($T759,[1]NhanSu!$C$5:$M$229,11,0)</f>
        <v>SM0000124</v>
      </c>
    </row>
    <row r="760" spans="1:30" x14ac:dyDescent="0.45">
      <c r="A760" s="6" t="s">
        <v>6444</v>
      </c>
      <c r="B760" s="5">
        <v>449</v>
      </c>
      <c r="C760" s="5" t="s">
        <v>7774</v>
      </c>
      <c r="D760" s="5" t="s">
        <v>7775</v>
      </c>
      <c r="E760" s="5" t="s">
        <v>68</v>
      </c>
      <c r="F760" s="5" t="s">
        <v>53</v>
      </c>
      <c r="G760" s="5" t="s">
        <v>177</v>
      </c>
      <c r="H760" s="5" t="s">
        <v>54</v>
      </c>
      <c r="I760" s="5" t="s">
        <v>7654</v>
      </c>
      <c r="J760" s="5" t="s">
        <v>56</v>
      </c>
      <c r="K760" s="5" t="s">
        <v>37</v>
      </c>
      <c r="L760" s="5" t="s">
        <v>39</v>
      </c>
      <c r="M760" s="5" t="s">
        <v>37</v>
      </c>
      <c r="N760" s="5" t="s">
        <v>37</v>
      </c>
      <c r="O760" s="5" t="s">
        <v>39</v>
      </c>
      <c r="P760" s="5" t="s">
        <v>37</v>
      </c>
      <c r="Q760" s="5" t="s">
        <v>38</v>
      </c>
      <c r="R760" s="5" t="s">
        <v>39</v>
      </c>
      <c r="S760" s="5" t="s">
        <v>41</v>
      </c>
      <c r="T760" s="5" t="s">
        <v>7319</v>
      </c>
      <c r="U760" s="5" t="s">
        <v>7311</v>
      </c>
      <c r="V760" s="5" t="s">
        <v>6450</v>
      </c>
      <c r="W760" s="5" t="s">
        <v>7312</v>
      </c>
      <c r="X760" s="5"/>
      <c r="Y760" s="5"/>
      <c r="Z760" s="5" t="s">
        <v>46</v>
      </c>
      <c r="AA760" s="5" t="s">
        <v>7370</v>
      </c>
      <c r="AB760" s="5" t="s">
        <v>3109</v>
      </c>
      <c r="AC760" s="7">
        <v>1</v>
      </c>
      <c r="AD760" t="str">
        <f>VLOOKUP($T760,[1]NhanSu!$C$5:$M$229,11,0)</f>
        <v>SM0000125</v>
      </c>
    </row>
    <row r="761" spans="1:30" x14ac:dyDescent="0.45">
      <c r="A761" s="8" t="s">
        <v>6444</v>
      </c>
      <c r="B761" s="4">
        <v>450</v>
      </c>
      <c r="C761" s="4" t="s">
        <v>7776</v>
      </c>
      <c r="D761" s="4" t="s">
        <v>7777</v>
      </c>
      <c r="E761" s="4" t="s">
        <v>416</v>
      </c>
      <c r="F761" s="4" t="s">
        <v>1676</v>
      </c>
      <c r="G761" s="4" t="s">
        <v>177</v>
      </c>
      <c r="H761" s="4" t="s">
        <v>54</v>
      </c>
      <c r="I761" s="4" t="s">
        <v>7778</v>
      </c>
      <c r="J761" s="4" t="s">
        <v>56</v>
      </c>
      <c r="K761" s="4" t="s">
        <v>37</v>
      </c>
      <c r="L761" s="4" t="s">
        <v>39</v>
      </c>
      <c r="M761" s="4" t="s">
        <v>37</v>
      </c>
      <c r="N761" s="4" t="s">
        <v>37</v>
      </c>
      <c r="O761" s="4" t="s">
        <v>39</v>
      </c>
      <c r="P761" s="4" t="s">
        <v>38</v>
      </c>
      <c r="Q761" s="4" t="s">
        <v>38</v>
      </c>
      <c r="R761" s="4" t="s">
        <v>40</v>
      </c>
      <c r="S761" s="4" t="s">
        <v>5363</v>
      </c>
      <c r="T761" s="4" t="s">
        <v>7319</v>
      </c>
      <c r="U761" s="4" t="s">
        <v>7311</v>
      </c>
      <c r="V761" s="4" t="s">
        <v>6450</v>
      </c>
      <c r="W761" s="4" t="s">
        <v>7312</v>
      </c>
      <c r="X761" s="4"/>
      <c r="Y761" s="4"/>
      <c r="Z761" s="4" t="s">
        <v>46</v>
      </c>
      <c r="AA761" s="4" t="s">
        <v>7370</v>
      </c>
      <c r="AB761" s="4" t="s">
        <v>3109</v>
      </c>
      <c r="AC761" s="9">
        <v>1</v>
      </c>
      <c r="AD761" t="str">
        <f>VLOOKUP($T761,[1]NhanSu!$C$5:$M$229,11,0)</f>
        <v>SM0000125</v>
      </c>
    </row>
    <row r="762" spans="1:30" x14ac:dyDescent="0.45">
      <c r="A762" s="6" t="s">
        <v>6444</v>
      </c>
      <c r="B762" s="5">
        <v>451</v>
      </c>
      <c r="C762" s="5" t="s">
        <v>7779</v>
      </c>
      <c r="D762" s="5" t="s">
        <v>7780</v>
      </c>
      <c r="E762" s="5" t="s">
        <v>92</v>
      </c>
      <c r="F762" s="5" t="s">
        <v>7781</v>
      </c>
      <c r="G762" s="5" t="s">
        <v>177</v>
      </c>
      <c r="H762" s="5" t="s">
        <v>54</v>
      </c>
      <c r="I762" s="5" t="s">
        <v>7782</v>
      </c>
      <c r="J762" s="5" t="s">
        <v>56</v>
      </c>
      <c r="K762" s="5" t="s">
        <v>37</v>
      </c>
      <c r="L762" s="5" t="s">
        <v>39</v>
      </c>
      <c r="M762" s="5" t="s">
        <v>37</v>
      </c>
      <c r="N762" s="5" t="s">
        <v>37</v>
      </c>
      <c r="O762" s="5" t="s">
        <v>39</v>
      </c>
      <c r="P762" s="5" t="s">
        <v>37</v>
      </c>
      <c r="Q762" s="5" t="s">
        <v>37</v>
      </c>
      <c r="R762" s="5" t="s">
        <v>39</v>
      </c>
      <c r="S762" s="5" t="s">
        <v>5625</v>
      </c>
      <c r="T762" s="5" t="s">
        <v>7319</v>
      </c>
      <c r="U762" s="5" t="s">
        <v>7311</v>
      </c>
      <c r="V762" s="5" t="s">
        <v>6450</v>
      </c>
      <c r="W762" s="5" t="s">
        <v>7312</v>
      </c>
      <c r="X762" s="5"/>
      <c r="Y762" s="5"/>
      <c r="Z762" s="5" t="s">
        <v>46</v>
      </c>
      <c r="AA762" s="5" t="s">
        <v>7370</v>
      </c>
      <c r="AB762" s="5" t="s">
        <v>3109</v>
      </c>
      <c r="AC762" s="7">
        <v>1</v>
      </c>
      <c r="AD762" t="str">
        <f>VLOOKUP($T762,[1]NhanSu!$C$5:$M$229,11,0)</f>
        <v>SM0000125</v>
      </c>
    </row>
    <row r="763" spans="1:30" x14ac:dyDescent="0.45">
      <c r="A763" s="8" t="s">
        <v>6444</v>
      </c>
      <c r="B763" s="4">
        <v>454</v>
      </c>
      <c r="C763" s="4" t="s">
        <v>7788</v>
      </c>
      <c r="D763" s="4" t="s">
        <v>7789</v>
      </c>
      <c r="E763" s="4" t="s">
        <v>7791</v>
      </c>
      <c r="F763" s="4" t="s">
        <v>76</v>
      </c>
      <c r="G763" s="4" t="s">
        <v>34</v>
      </c>
      <c r="H763" s="4" t="s">
        <v>54</v>
      </c>
      <c r="I763" s="4" t="s">
        <v>7792</v>
      </c>
      <c r="J763" s="4" t="s">
        <v>37</v>
      </c>
      <c r="K763" s="4" t="s">
        <v>37</v>
      </c>
      <c r="L763" s="4" t="s">
        <v>40</v>
      </c>
      <c r="M763" s="4" t="s">
        <v>56</v>
      </c>
      <c r="N763" s="4" t="s">
        <v>56</v>
      </c>
      <c r="O763" s="4" t="s">
        <v>39</v>
      </c>
      <c r="P763" s="4" t="s">
        <v>38</v>
      </c>
      <c r="Q763" s="4" t="s">
        <v>38</v>
      </c>
      <c r="R763" s="4" t="s">
        <v>39</v>
      </c>
      <c r="S763" s="4" t="s">
        <v>41</v>
      </c>
      <c r="T763" s="4" t="s">
        <v>7368</v>
      </c>
      <c r="U763" s="4" t="s">
        <v>7369</v>
      </c>
      <c r="V763" s="4" t="s">
        <v>6450</v>
      </c>
      <c r="W763" s="4" t="s">
        <v>7312</v>
      </c>
      <c r="X763" s="4"/>
      <c r="Y763" s="4"/>
      <c r="Z763" s="4" t="s">
        <v>46</v>
      </c>
      <c r="AA763" s="4" t="s">
        <v>6457</v>
      </c>
      <c r="AB763" s="4" t="s">
        <v>4223</v>
      </c>
      <c r="AC763" s="9">
        <v>1</v>
      </c>
      <c r="AD763" t="str">
        <f>VLOOKUP($T763,[1]NhanSu!$C$5:$M$229,11,0)</f>
        <v>SM0000123</v>
      </c>
    </row>
    <row r="764" spans="1:30" x14ac:dyDescent="0.45">
      <c r="A764" s="6" t="s">
        <v>6444</v>
      </c>
      <c r="B764" s="5">
        <v>455</v>
      </c>
      <c r="C764" s="5" t="s">
        <v>7793</v>
      </c>
      <c r="D764" s="5" t="s">
        <v>2001</v>
      </c>
      <c r="E764" s="5" t="s">
        <v>857</v>
      </c>
      <c r="F764" s="5" t="s">
        <v>53</v>
      </c>
      <c r="G764" s="5" t="s">
        <v>177</v>
      </c>
      <c r="H764" s="5" t="s">
        <v>54</v>
      </c>
      <c r="I764" s="5" t="s">
        <v>7318</v>
      </c>
      <c r="J764" s="5" t="s">
        <v>56</v>
      </c>
      <c r="K764" s="5" t="s">
        <v>37</v>
      </c>
      <c r="L764" s="5" t="s">
        <v>39</v>
      </c>
      <c r="M764" s="5" t="s">
        <v>37</v>
      </c>
      <c r="N764" s="5" t="s">
        <v>37</v>
      </c>
      <c r="O764" s="5" t="s">
        <v>39</v>
      </c>
      <c r="P764" s="5" t="s">
        <v>37</v>
      </c>
      <c r="Q764" s="5" t="s">
        <v>37</v>
      </c>
      <c r="R764" s="5" t="s">
        <v>39</v>
      </c>
      <c r="S764" s="5" t="s">
        <v>5363</v>
      </c>
      <c r="T764" s="5" t="s">
        <v>7319</v>
      </c>
      <c r="U764" s="5" t="s">
        <v>7311</v>
      </c>
      <c r="V764" s="5" t="s">
        <v>6450</v>
      </c>
      <c r="W764" s="5" t="s">
        <v>7312</v>
      </c>
      <c r="X764" s="5"/>
      <c r="Y764" s="5"/>
      <c r="Z764" s="5" t="s">
        <v>46</v>
      </c>
      <c r="AA764" s="5" t="s">
        <v>7370</v>
      </c>
      <c r="AB764" s="5" t="s">
        <v>3109</v>
      </c>
      <c r="AC764" s="7">
        <v>1</v>
      </c>
      <c r="AD764" t="str">
        <f>VLOOKUP($T764,[1]NhanSu!$C$5:$M$229,11,0)</f>
        <v>SM0000125</v>
      </c>
    </row>
    <row r="765" spans="1:30" x14ac:dyDescent="0.45">
      <c r="A765" s="8" t="s">
        <v>6444</v>
      </c>
      <c r="B765" s="4">
        <v>456</v>
      </c>
      <c r="C765" s="4" t="s">
        <v>7794</v>
      </c>
      <c r="D765" s="4" t="s">
        <v>7795</v>
      </c>
      <c r="E765" s="4" t="s">
        <v>69</v>
      </c>
      <c r="F765" s="4" t="s">
        <v>53</v>
      </c>
      <c r="G765" s="4" t="s">
        <v>34</v>
      </c>
      <c r="H765" s="4" t="s">
        <v>54</v>
      </c>
      <c r="I765" s="4" t="s">
        <v>7326</v>
      </c>
      <c r="J765" s="4" t="s">
        <v>56</v>
      </c>
      <c r="K765" s="4" t="s">
        <v>56</v>
      </c>
      <c r="L765" s="4" t="s">
        <v>39</v>
      </c>
      <c r="M765" s="4" t="s">
        <v>37</v>
      </c>
      <c r="N765" s="4" t="s">
        <v>37</v>
      </c>
      <c r="O765" s="4" t="s">
        <v>39</v>
      </c>
      <c r="P765" s="4" t="s">
        <v>38</v>
      </c>
      <c r="Q765" s="4" t="s">
        <v>38</v>
      </c>
      <c r="R765" s="4" t="s">
        <v>39</v>
      </c>
      <c r="S765" s="4" t="s">
        <v>1291</v>
      </c>
      <c r="T765" s="4" t="s">
        <v>7327</v>
      </c>
      <c r="U765" s="4" t="s">
        <v>7311</v>
      </c>
      <c r="V765" s="4" t="s">
        <v>6450</v>
      </c>
      <c r="W765" s="4" t="s">
        <v>7312</v>
      </c>
      <c r="X765" s="4"/>
      <c r="Y765" s="4"/>
      <c r="Z765" s="4" t="s">
        <v>46</v>
      </c>
      <c r="AA765" s="4" t="s">
        <v>7370</v>
      </c>
      <c r="AB765" s="4" t="s">
        <v>3109</v>
      </c>
      <c r="AC765" s="9">
        <v>1</v>
      </c>
      <c r="AD765" t="str">
        <f>VLOOKUP($T765,[1]NhanSu!$C$5:$M$229,11,0)</f>
        <v>SM0000124</v>
      </c>
    </row>
    <row r="766" spans="1:30" x14ac:dyDescent="0.45">
      <c r="A766" s="6" t="s">
        <v>6444</v>
      </c>
      <c r="B766" s="5">
        <v>457</v>
      </c>
      <c r="C766" s="5" t="s">
        <v>7796</v>
      </c>
      <c r="D766" s="5" t="s">
        <v>7797</v>
      </c>
      <c r="E766" s="5" t="s">
        <v>91</v>
      </c>
      <c r="F766" s="5" t="s">
        <v>934</v>
      </c>
      <c r="G766" s="5" t="s">
        <v>34</v>
      </c>
      <c r="H766" s="5" t="s">
        <v>1706</v>
      </c>
      <c r="I766" s="5" t="s">
        <v>7667</v>
      </c>
      <c r="J766" s="5" t="s">
        <v>56</v>
      </c>
      <c r="K766" s="5" t="s">
        <v>37</v>
      </c>
      <c r="L766" s="5" t="s">
        <v>39</v>
      </c>
      <c r="M766" s="5" t="s">
        <v>37</v>
      </c>
      <c r="N766" s="5" t="s">
        <v>37</v>
      </c>
      <c r="O766" s="5" t="s">
        <v>39</v>
      </c>
      <c r="P766" s="5" t="s">
        <v>38</v>
      </c>
      <c r="Q766" s="5" t="s">
        <v>38</v>
      </c>
      <c r="R766" s="5" t="s">
        <v>39</v>
      </c>
      <c r="S766" s="5" t="s">
        <v>7676</v>
      </c>
      <c r="T766" s="5" t="s">
        <v>7327</v>
      </c>
      <c r="U766" s="5" t="s">
        <v>7311</v>
      </c>
      <c r="V766" s="5" t="s">
        <v>6450</v>
      </c>
      <c r="W766" s="5" t="s">
        <v>5607</v>
      </c>
      <c r="X766" s="5"/>
      <c r="Y766" s="5"/>
      <c r="Z766" s="5" t="s">
        <v>46</v>
      </c>
      <c r="AA766" s="5" t="s">
        <v>7370</v>
      </c>
      <c r="AB766" s="5" t="s">
        <v>3109</v>
      </c>
      <c r="AC766" s="7">
        <v>1</v>
      </c>
      <c r="AD766" t="str">
        <f>VLOOKUP($T766,[1]NhanSu!$C$5:$M$229,11,0)</f>
        <v>SM0000124</v>
      </c>
    </row>
    <row r="767" spans="1:30" x14ac:dyDescent="0.45">
      <c r="A767" s="8" t="s">
        <v>6444</v>
      </c>
      <c r="B767" s="4">
        <v>458</v>
      </c>
      <c r="C767" s="4" t="s">
        <v>7798</v>
      </c>
      <c r="D767" s="4" t="s">
        <v>7799</v>
      </c>
      <c r="E767" s="4" t="s">
        <v>307</v>
      </c>
      <c r="F767" s="4" t="s">
        <v>456</v>
      </c>
      <c r="G767" s="4" t="s">
        <v>177</v>
      </c>
      <c r="H767" s="4" t="s">
        <v>54</v>
      </c>
      <c r="I767" s="4" t="s">
        <v>7800</v>
      </c>
      <c r="J767" s="4" t="s">
        <v>56</v>
      </c>
      <c r="K767" s="4" t="s">
        <v>37</v>
      </c>
      <c r="L767" s="4" t="s">
        <v>121</v>
      </c>
      <c r="M767" s="4" t="s">
        <v>37</v>
      </c>
      <c r="N767" s="4" t="s">
        <v>37</v>
      </c>
      <c r="O767" s="4" t="s">
        <v>39</v>
      </c>
      <c r="P767" s="4" t="s">
        <v>37</v>
      </c>
      <c r="Q767" s="4" t="s">
        <v>37</v>
      </c>
      <c r="R767" s="4" t="s">
        <v>39</v>
      </c>
      <c r="S767" s="4" t="s">
        <v>41</v>
      </c>
      <c r="T767" s="4" t="s">
        <v>7319</v>
      </c>
      <c r="U767" s="4" t="s">
        <v>7311</v>
      </c>
      <c r="V767" s="4" t="s">
        <v>6450</v>
      </c>
      <c r="W767" s="4" t="s">
        <v>7312</v>
      </c>
      <c r="X767" s="4"/>
      <c r="Y767" s="4"/>
      <c r="Z767" s="4" t="s">
        <v>46</v>
      </c>
      <c r="AA767" s="4" t="s">
        <v>7370</v>
      </c>
      <c r="AB767" s="4" t="s">
        <v>5658</v>
      </c>
      <c r="AC767" s="9">
        <v>1</v>
      </c>
      <c r="AD767" t="str">
        <f>VLOOKUP($T767,[1]NhanSu!$C$5:$M$229,11,0)</f>
        <v>SM0000125</v>
      </c>
    </row>
    <row r="768" spans="1:30" x14ac:dyDescent="0.45">
      <c r="A768" s="6" t="s">
        <v>6444</v>
      </c>
      <c r="B768" s="5">
        <v>460</v>
      </c>
      <c r="C768" s="5" t="s">
        <v>7804</v>
      </c>
      <c r="D768" s="5" t="s">
        <v>7805</v>
      </c>
      <c r="E768" s="5" t="s">
        <v>69</v>
      </c>
      <c r="F768" s="5" t="s">
        <v>53</v>
      </c>
      <c r="G768" s="5" t="s">
        <v>34</v>
      </c>
      <c r="H768" s="5" t="s">
        <v>54</v>
      </c>
      <c r="I768" s="5" t="s">
        <v>7806</v>
      </c>
      <c r="J768" s="5" t="s">
        <v>56</v>
      </c>
      <c r="K768" s="5" t="s">
        <v>56</v>
      </c>
      <c r="L768" s="5" t="s">
        <v>39</v>
      </c>
      <c r="M768" s="5" t="s">
        <v>37</v>
      </c>
      <c r="N768" s="5" t="s">
        <v>37</v>
      </c>
      <c r="O768" s="5" t="s">
        <v>39</v>
      </c>
      <c r="P768" s="5" t="s">
        <v>38</v>
      </c>
      <c r="Q768" s="5" t="s">
        <v>38</v>
      </c>
      <c r="R768" s="5" t="s">
        <v>39</v>
      </c>
      <c r="S768" s="5" t="s">
        <v>4783</v>
      </c>
      <c r="T768" s="5" t="s">
        <v>7327</v>
      </c>
      <c r="U768" s="5" t="s">
        <v>7311</v>
      </c>
      <c r="V768" s="5" t="s">
        <v>6450</v>
      </c>
      <c r="W768" s="5" t="s">
        <v>7312</v>
      </c>
      <c r="X768" s="5"/>
      <c r="Y768" s="5"/>
      <c r="Z768" s="5" t="s">
        <v>46</v>
      </c>
      <c r="AA768" s="5" t="s">
        <v>7370</v>
      </c>
      <c r="AB768" s="5" t="s">
        <v>3109</v>
      </c>
      <c r="AC768" s="7">
        <v>1</v>
      </c>
      <c r="AD768" t="str">
        <f>VLOOKUP($T768,[1]NhanSu!$C$5:$M$229,11,0)</f>
        <v>SM0000124</v>
      </c>
    </row>
    <row r="769" spans="1:30" x14ac:dyDescent="0.45">
      <c r="A769" s="8" t="s">
        <v>6444</v>
      </c>
      <c r="B769" s="4">
        <v>461</v>
      </c>
      <c r="C769" s="4" t="s">
        <v>7807</v>
      </c>
      <c r="D769" s="4" t="s">
        <v>7808</v>
      </c>
      <c r="E769" s="4" t="s">
        <v>573</v>
      </c>
      <c r="F769" s="4" t="s">
        <v>53</v>
      </c>
      <c r="G769" s="4" t="s">
        <v>177</v>
      </c>
      <c r="H769" s="4" t="s">
        <v>54</v>
      </c>
      <c r="I769" s="4" t="s">
        <v>7654</v>
      </c>
      <c r="J769" s="4" t="s">
        <v>37</v>
      </c>
      <c r="K769" s="4" t="s">
        <v>37</v>
      </c>
      <c r="L769" s="4" t="s">
        <v>39</v>
      </c>
      <c r="M769" s="4" t="s">
        <v>38</v>
      </c>
      <c r="N769" s="4" t="s">
        <v>38</v>
      </c>
      <c r="O769" s="4" t="s">
        <v>39</v>
      </c>
      <c r="P769" s="4" t="s">
        <v>38</v>
      </c>
      <c r="Q769" s="4" t="s">
        <v>38</v>
      </c>
      <c r="R769" s="4" t="s">
        <v>39</v>
      </c>
      <c r="S769" s="4" t="s">
        <v>7515</v>
      </c>
      <c r="T769" s="4" t="s">
        <v>7319</v>
      </c>
      <c r="U769" s="4" t="s">
        <v>7311</v>
      </c>
      <c r="V769" s="4" t="s">
        <v>6450</v>
      </c>
      <c r="W769" s="4" t="s">
        <v>5607</v>
      </c>
      <c r="X769" s="4"/>
      <c r="Y769" s="4"/>
      <c r="Z769" s="4" t="s">
        <v>46</v>
      </c>
      <c r="AA769" s="4" t="s">
        <v>7370</v>
      </c>
      <c r="AB769" s="4" t="s">
        <v>3109</v>
      </c>
      <c r="AC769" s="9">
        <v>1</v>
      </c>
      <c r="AD769" t="str">
        <f>VLOOKUP($T769,[1]NhanSu!$C$5:$M$229,11,0)</f>
        <v>SM0000125</v>
      </c>
    </row>
    <row r="770" spans="1:30" x14ac:dyDescent="0.45">
      <c r="A770" s="6" t="s">
        <v>6444</v>
      </c>
      <c r="B770" s="5">
        <v>462</v>
      </c>
      <c r="C770" s="5" t="s">
        <v>7809</v>
      </c>
      <c r="D770" s="5" t="s">
        <v>7810</v>
      </c>
      <c r="E770" s="5" t="s">
        <v>157</v>
      </c>
      <c r="F770" s="5" t="s">
        <v>53</v>
      </c>
      <c r="G770" s="5" t="s">
        <v>34</v>
      </c>
      <c r="H770" s="5" t="s">
        <v>54</v>
      </c>
      <c r="I770" s="5" t="s">
        <v>7322</v>
      </c>
      <c r="J770" s="5" t="s">
        <v>56</v>
      </c>
      <c r="K770" s="5" t="s">
        <v>56</v>
      </c>
      <c r="L770" s="5" t="s">
        <v>39</v>
      </c>
      <c r="M770" s="5" t="s">
        <v>56</v>
      </c>
      <c r="N770" s="5" t="s">
        <v>56</v>
      </c>
      <c r="O770" s="5" t="s">
        <v>39</v>
      </c>
      <c r="P770" s="5" t="s">
        <v>37</v>
      </c>
      <c r="Q770" s="5" t="s">
        <v>37</v>
      </c>
      <c r="R770" s="5" t="s">
        <v>40</v>
      </c>
      <c r="S770" s="5" t="s">
        <v>41</v>
      </c>
      <c r="T770" s="5" t="s">
        <v>7310</v>
      </c>
      <c r="U770" s="5" t="s">
        <v>7311</v>
      </c>
      <c r="V770" s="5" t="s">
        <v>6450</v>
      </c>
      <c r="W770" s="5" t="s">
        <v>5607</v>
      </c>
      <c r="X770" s="5"/>
      <c r="Y770" s="5"/>
      <c r="Z770" s="5" t="s">
        <v>46</v>
      </c>
      <c r="AA770" s="5" t="s">
        <v>7370</v>
      </c>
      <c r="AB770" s="5" t="s">
        <v>3109</v>
      </c>
      <c r="AC770" s="7">
        <v>1</v>
      </c>
      <c r="AD770" t="str">
        <f>VLOOKUP($T770,[1]NhanSu!$C$5:$M$229,11,0)</f>
        <v>SM0000126</v>
      </c>
    </row>
    <row r="771" spans="1:30" x14ac:dyDescent="0.45">
      <c r="A771" s="8" t="s">
        <v>6444</v>
      </c>
      <c r="B771" s="4">
        <v>463</v>
      </c>
      <c r="C771" s="4" t="s">
        <v>7811</v>
      </c>
      <c r="D771" s="4" t="s">
        <v>7812</v>
      </c>
      <c r="E771" s="4" t="s">
        <v>113</v>
      </c>
      <c r="F771" s="4" t="s">
        <v>2432</v>
      </c>
      <c r="G771" s="4" t="s">
        <v>34</v>
      </c>
      <c r="H771" s="4" t="s">
        <v>54</v>
      </c>
      <c r="I771" s="4" t="s">
        <v>7813</v>
      </c>
      <c r="J771" s="4" t="s">
        <v>37</v>
      </c>
      <c r="K771" s="4" t="s">
        <v>37</v>
      </c>
      <c r="L771" s="4" t="s">
        <v>39</v>
      </c>
      <c r="M771" s="4" t="s">
        <v>37</v>
      </c>
      <c r="N771" s="4" t="s">
        <v>37</v>
      </c>
      <c r="O771" s="4" t="s">
        <v>39</v>
      </c>
      <c r="P771" s="4" t="s">
        <v>37</v>
      </c>
      <c r="Q771" s="4" t="s">
        <v>37</v>
      </c>
      <c r="R771" s="4" t="s">
        <v>39</v>
      </c>
      <c r="S771" s="4" t="s">
        <v>41</v>
      </c>
      <c r="T771" s="4" t="s">
        <v>7327</v>
      </c>
      <c r="U771" s="4" t="s">
        <v>7311</v>
      </c>
      <c r="V771" s="4" t="s">
        <v>6450</v>
      </c>
      <c r="W771" s="4" t="s">
        <v>7312</v>
      </c>
      <c r="X771" s="4"/>
      <c r="Y771" s="4"/>
      <c r="Z771" s="4" t="s">
        <v>46</v>
      </c>
      <c r="AA771" s="4" t="s">
        <v>7370</v>
      </c>
      <c r="AB771" s="4" t="s">
        <v>3109</v>
      </c>
      <c r="AC771" s="9">
        <v>1</v>
      </c>
      <c r="AD771" t="str">
        <f>VLOOKUP($T771,[1]NhanSu!$C$5:$M$229,11,0)</f>
        <v>SM0000124</v>
      </c>
    </row>
    <row r="772" spans="1:30" x14ac:dyDescent="0.45">
      <c r="A772" s="6" t="s">
        <v>6444</v>
      </c>
      <c r="B772" s="5">
        <v>464</v>
      </c>
      <c r="C772" s="5" t="s">
        <v>7814</v>
      </c>
      <c r="D772" s="5" t="s">
        <v>7815</v>
      </c>
      <c r="E772" s="5" t="s">
        <v>113</v>
      </c>
      <c r="F772" s="5" t="s">
        <v>1340</v>
      </c>
      <c r="G772" s="5" t="s">
        <v>177</v>
      </c>
      <c r="H772" s="5" t="s">
        <v>54</v>
      </c>
      <c r="I772" s="5" t="s">
        <v>7816</v>
      </c>
      <c r="J772" s="5" t="s">
        <v>56</v>
      </c>
      <c r="K772" s="5" t="s">
        <v>37</v>
      </c>
      <c r="L772" s="5" t="s">
        <v>121</v>
      </c>
      <c r="M772" s="5" t="s">
        <v>37</v>
      </c>
      <c r="N772" s="5" t="s">
        <v>37</v>
      </c>
      <c r="O772" s="5" t="s">
        <v>39</v>
      </c>
      <c r="P772" s="5" t="s">
        <v>38</v>
      </c>
      <c r="Q772" s="5" t="s">
        <v>37</v>
      </c>
      <c r="R772" s="5" t="s">
        <v>39</v>
      </c>
      <c r="S772" s="5" t="s">
        <v>7817</v>
      </c>
      <c r="T772" s="5" t="s">
        <v>7319</v>
      </c>
      <c r="U772" s="5" t="s">
        <v>7311</v>
      </c>
      <c r="V772" s="5" t="s">
        <v>6450</v>
      </c>
      <c r="W772" s="5" t="s">
        <v>7312</v>
      </c>
      <c r="X772" s="5"/>
      <c r="Y772" s="5"/>
      <c r="Z772" s="5" t="s">
        <v>46</v>
      </c>
      <c r="AA772" s="5" t="s">
        <v>7370</v>
      </c>
      <c r="AB772" s="5" t="s">
        <v>3109</v>
      </c>
      <c r="AC772" s="7">
        <v>1</v>
      </c>
      <c r="AD772" t="str">
        <f>VLOOKUP($T772,[1]NhanSu!$C$5:$M$229,11,0)</f>
        <v>SM0000125</v>
      </c>
    </row>
    <row r="773" spans="1:30" x14ac:dyDescent="0.45">
      <c r="A773" s="8" t="s">
        <v>6444</v>
      </c>
      <c r="B773" s="4">
        <v>465</v>
      </c>
      <c r="C773" s="4" t="s">
        <v>7818</v>
      </c>
      <c r="D773" s="4" t="s">
        <v>7819</v>
      </c>
      <c r="E773" s="4" t="s">
        <v>176</v>
      </c>
      <c r="F773" s="4" t="s">
        <v>70</v>
      </c>
      <c r="G773" s="4" t="s">
        <v>177</v>
      </c>
      <c r="H773" s="4" t="s">
        <v>54</v>
      </c>
      <c r="I773" s="4" t="s">
        <v>7820</v>
      </c>
      <c r="J773" s="4" t="s">
        <v>37</v>
      </c>
      <c r="K773" s="4" t="s">
        <v>37</v>
      </c>
      <c r="L773" s="4" t="s">
        <v>39</v>
      </c>
      <c r="M773" s="4" t="s">
        <v>38</v>
      </c>
      <c r="N773" s="4" t="s">
        <v>38</v>
      </c>
      <c r="O773" s="4" t="s">
        <v>39</v>
      </c>
      <c r="P773" s="4" t="s">
        <v>38</v>
      </c>
      <c r="Q773" s="4" t="s">
        <v>38</v>
      </c>
      <c r="R773" s="4" t="s">
        <v>40</v>
      </c>
      <c r="S773" s="4" t="s">
        <v>7821</v>
      </c>
      <c r="T773" s="4" t="s">
        <v>7319</v>
      </c>
      <c r="U773" s="4" t="s">
        <v>7311</v>
      </c>
      <c r="V773" s="4" t="s">
        <v>6450</v>
      </c>
      <c r="W773" s="4" t="s">
        <v>7312</v>
      </c>
      <c r="X773" s="4"/>
      <c r="Y773" s="4"/>
      <c r="Z773" s="4" t="s">
        <v>46</v>
      </c>
      <c r="AA773" s="4" t="s">
        <v>7370</v>
      </c>
      <c r="AB773" s="4" t="s">
        <v>3109</v>
      </c>
      <c r="AC773" s="9">
        <v>1</v>
      </c>
      <c r="AD773" t="str">
        <f>VLOOKUP($T773,[1]NhanSu!$C$5:$M$229,11,0)</f>
        <v>SM0000125</v>
      </c>
    </row>
    <row r="774" spans="1:30" x14ac:dyDescent="0.45">
      <c r="A774" s="6" t="s">
        <v>6444</v>
      </c>
      <c r="B774" s="5">
        <v>466</v>
      </c>
      <c r="C774" s="5" t="s">
        <v>7822</v>
      </c>
      <c r="D774" s="5" t="s">
        <v>7823</v>
      </c>
      <c r="E774" s="5" t="s">
        <v>2678</v>
      </c>
      <c r="F774" s="5" t="s">
        <v>53</v>
      </c>
      <c r="G774" s="5" t="s">
        <v>34</v>
      </c>
      <c r="H774" s="5" t="s">
        <v>54</v>
      </c>
      <c r="I774" s="5" t="s">
        <v>7824</v>
      </c>
      <c r="J774" s="5" t="s">
        <v>38</v>
      </c>
      <c r="K774" s="5" t="s">
        <v>38</v>
      </c>
      <c r="L774" s="5" t="s">
        <v>40</v>
      </c>
      <c r="M774" s="5" t="s">
        <v>37</v>
      </c>
      <c r="N774" s="5" t="s">
        <v>56</v>
      </c>
      <c r="O774" s="5" t="s">
        <v>39</v>
      </c>
      <c r="P774" s="5" t="s">
        <v>37</v>
      </c>
      <c r="Q774" s="5" t="s">
        <v>37</v>
      </c>
      <c r="R774" s="5" t="s">
        <v>39</v>
      </c>
      <c r="S774" s="5" t="s">
        <v>41</v>
      </c>
      <c r="T774" s="5" t="s">
        <v>7368</v>
      </c>
      <c r="U774" s="5" t="s">
        <v>7369</v>
      </c>
      <c r="V774" s="5" t="s">
        <v>6450</v>
      </c>
      <c r="W774" s="5" t="s">
        <v>5607</v>
      </c>
      <c r="X774" s="5"/>
      <c r="Y774" s="5"/>
      <c r="Z774" s="5" t="s">
        <v>46</v>
      </c>
      <c r="AA774" s="5" t="s">
        <v>6457</v>
      </c>
      <c r="AB774" s="5" t="s">
        <v>4223</v>
      </c>
      <c r="AC774" s="7">
        <v>1</v>
      </c>
      <c r="AD774" t="str">
        <f>VLOOKUP($T774,[1]NhanSu!$C$5:$M$229,11,0)</f>
        <v>SM0000123</v>
      </c>
    </row>
    <row r="775" spans="1:30" x14ac:dyDescent="0.45">
      <c r="A775" s="8" t="s">
        <v>6444</v>
      </c>
      <c r="B775" s="4">
        <v>467</v>
      </c>
      <c r="C775" s="4" t="s">
        <v>7825</v>
      </c>
      <c r="D775" s="4" t="s">
        <v>7826</v>
      </c>
      <c r="E775" s="4" t="s">
        <v>291</v>
      </c>
      <c r="F775" s="4" t="s">
        <v>166</v>
      </c>
      <c r="G775" s="4" t="s">
        <v>34</v>
      </c>
      <c r="H775" s="4" t="s">
        <v>319</v>
      </c>
      <c r="I775" s="4" t="s">
        <v>7827</v>
      </c>
      <c r="J775" s="4" t="s">
        <v>38</v>
      </c>
      <c r="K775" s="4" t="s">
        <v>56</v>
      </c>
      <c r="L775" s="4" t="s">
        <v>39</v>
      </c>
      <c r="M775" s="4" t="s">
        <v>37</v>
      </c>
      <c r="N775" s="4" t="s">
        <v>37</v>
      </c>
      <c r="O775" s="4" t="s">
        <v>39</v>
      </c>
      <c r="P775" s="4" t="s">
        <v>38</v>
      </c>
      <c r="Q775" s="4" t="s">
        <v>38</v>
      </c>
      <c r="R775" s="4" t="s">
        <v>39</v>
      </c>
      <c r="S775" s="4" t="s">
        <v>41</v>
      </c>
      <c r="T775" s="4" t="s">
        <v>7327</v>
      </c>
      <c r="U775" s="4" t="s">
        <v>7311</v>
      </c>
      <c r="V775" s="4" t="s">
        <v>6450</v>
      </c>
      <c r="W775" s="4" t="s">
        <v>5607</v>
      </c>
      <c r="X775" s="4"/>
      <c r="Y775" s="4"/>
      <c r="Z775" s="4" t="s">
        <v>46</v>
      </c>
      <c r="AA775" s="4" t="s">
        <v>7370</v>
      </c>
      <c r="AB775" s="4" t="s">
        <v>3109</v>
      </c>
      <c r="AC775" s="9">
        <v>1</v>
      </c>
      <c r="AD775" t="str">
        <f>VLOOKUP($T775,[1]NhanSu!$C$5:$M$229,11,0)</f>
        <v>SM0000124</v>
      </c>
    </row>
    <row r="776" spans="1:30" x14ac:dyDescent="0.45">
      <c r="A776" s="6" t="s">
        <v>6444</v>
      </c>
      <c r="B776" s="5">
        <v>469</v>
      </c>
      <c r="C776" s="5" t="s">
        <v>7831</v>
      </c>
      <c r="D776" s="5" t="s">
        <v>7832</v>
      </c>
      <c r="E776" s="5" t="s">
        <v>92</v>
      </c>
      <c r="F776" s="5" t="s">
        <v>417</v>
      </c>
      <c r="G776" s="5" t="s">
        <v>177</v>
      </c>
      <c r="H776" s="5" t="s">
        <v>54</v>
      </c>
      <c r="I776" s="5" t="s">
        <v>7833</v>
      </c>
      <c r="J776" s="5" t="s">
        <v>37</v>
      </c>
      <c r="K776" s="5" t="s">
        <v>37</v>
      </c>
      <c r="L776" s="5" t="s">
        <v>39</v>
      </c>
      <c r="M776" s="5" t="s">
        <v>37</v>
      </c>
      <c r="N776" s="5" t="s">
        <v>37</v>
      </c>
      <c r="O776" s="5" t="s">
        <v>39</v>
      </c>
      <c r="P776" s="5" t="s">
        <v>38</v>
      </c>
      <c r="Q776" s="5" t="s">
        <v>37</v>
      </c>
      <c r="R776" s="5" t="s">
        <v>39</v>
      </c>
      <c r="S776" s="5" t="s">
        <v>7495</v>
      </c>
      <c r="T776" s="5" t="s">
        <v>7319</v>
      </c>
      <c r="U776" s="5" t="s">
        <v>7311</v>
      </c>
      <c r="V776" s="5" t="s">
        <v>6450</v>
      </c>
      <c r="W776" s="5" t="s">
        <v>5607</v>
      </c>
      <c r="X776" s="5"/>
      <c r="Y776" s="5"/>
      <c r="Z776" s="5" t="s">
        <v>46</v>
      </c>
      <c r="AA776" s="5" t="s">
        <v>7370</v>
      </c>
      <c r="AB776" s="5" t="s">
        <v>3109</v>
      </c>
      <c r="AC776" s="7">
        <v>1</v>
      </c>
      <c r="AD776" t="str">
        <f>VLOOKUP($T776,[1]NhanSu!$C$5:$M$229,11,0)</f>
        <v>SM0000125</v>
      </c>
    </row>
    <row r="777" spans="1:30" x14ac:dyDescent="0.45">
      <c r="A777" s="8" t="s">
        <v>6444</v>
      </c>
      <c r="B777" s="4">
        <v>470</v>
      </c>
      <c r="C777" s="4" t="s">
        <v>7834</v>
      </c>
      <c r="D777" s="4" t="s">
        <v>7835</v>
      </c>
      <c r="E777" s="4" t="s">
        <v>206</v>
      </c>
      <c r="F777" s="4" t="s">
        <v>456</v>
      </c>
      <c r="G777" s="4" t="s">
        <v>34</v>
      </c>
      <c r="H777" s="4" t="s">
        <v>2426</v>
      </c>
      <c r="I777" s="4" t="s">
        <v>7836</v>
      </c>
      <c r="J777" s="4" t="s">
        <v>56</v>
      </c>
      <c r="K777" s="4" t="s">
        <v>56</v>
      </c>
      <c r="L777" s="4" t="s">
        <v>39</v>
      </c>
      <c r="M777" s="4" t="s">
        <v>37</v>
      </c>
      <c r="N777" s="4" t="s">
        <v>37</v>
      </c>
      <c r="O777" s="4" t="s">
        <v>39</v>
      </c>
      <c r="P777" s="4" t="s">
        <v>38</v>
      </c>
      <c r="Q777" s="4" t="s">
        <v>38</v>
      </c>
      <c r="R777" s="4" t="s">
        <v>39</v>
      </c>
      <c r="S777" s="4" t="s">
        <v>5460</v>
      </c>
      <c r="T777" s="4" t="s">
        <v>7327</v>
      </c>
      <c r="U777" s="4" t="s">
        <v>7311</v>
      </c>
      <c r="V777" s="4" t="s">
        <v>6450</v>
      </c>
      <c r="W777" s="4" t="s">
        <v>7312</v>
      </c>
      <c r="X777" s="4"/>
      <c r="Y777" s="4"/>
      <c r="Z777" s="4" t="s">
        <v>46</v>
      </c>
      <c r="AA777" s="4" t="s">
        <v>7370</v>
      </c>
      <c r="AB777" s="4" t="s">
        <v>3109</v>
      </c>
      <c r="AC777" s="9">
        <v>1</v>
      </c>
      <c r="AD777" t="str">
        <f>VLOOKUP($T777,[1]NhanSu!$C$5:$M$229,11,0)</f>
        <v>SM0000124</v>
      </c>
    </row>
    <row r="778" spans="1:30" x14ac:dyDescent="0.45">
      <c r="A778" s="6" t="s">
        <v>6444</v>
      </c>
      <c r="B778" s="5">
        <v>471</v>
      </c>
      <c r="C778" s="5" t="s">
        <v>7837</v>
      </c>
      <c r="D778" s="5" t="s">
        <v>7838</v>
      </c>
      <c r="E778" s="5" t="s">
        <v>108</v>
      </c>
      <c r="F778" s="5" t="s">
        <v>191</v>
      </c>
      <c r="G778" s="5" t="s">
        <v>34</v>
      </c>
      <c r="H778" s="5" t="s">
        <v>54</v>
      </c>
      <c r="I778" s="5" t="s">
        <v>7839</v>
      </c>
      <c r="J778" s="5" t="s">
        <v>56</v>
      </c>
      <c r="K778" s="5" t="s">
        <v>56</v>
      </c>
      <c r="L778" s="5" t="s">
        <v>39</v>
      </c>
      <c r="M778" s="5" t="s">
        <v>37</v>
      </c>
      <c r="N778" s="5" t="s">
        <v>37</v>
      </c>
      <c r="O778" s="5" t="s">
        <v>39</v>
      </c>
      <c r="P778" s="5" t="s">
        <v>38</v>
      </c>
      <c r="Q778" s="5" t="s">
        <v>38</v>
      </c>
      <c r="R778" s="5" t="s">
        <v>39</v>
      </c>
      <c r="S778" s="5" t="s">
        <v>5460</v>
      </c>
      <c r="T778" s="5" t="s">
        <v>7327</v>
      </c>
      <c r="U778" s="5" t="s">
        <v>7311</v>
      </c>
      <c r="V778" s="5" t="s">
        <v>6450</v>
      </c>
      <c r="W778" s="5" t="s">
        <v>7312</v>
      </c>
      <c r="X778" s="5"/>
      <c r="Y778" s="5"/>
      <c r="Z778" s="5" t="s">
        <v>46</v>
      </c>
      <c r="AA778" s="5" t="s">
        <v>7370</v>
      </c>
      <c r="AB778" s="5" t="s">
        <v>3109</v>
      </c>
      <c r="AC778" s="7">
        <v>1</v>
      </c>
      <c r="AD778" t="str">
        <f>VLOOKUP($T778,[1]NhanSu!$C$5:$M$229,11,0)</f>
        <v>SM0000124</v>
      </c>
    </row>
    <row r="779" spans="1:30" x14ac:dyDescent="0.45">
      <c r="A779" s="8" t="s">
        <v>6444</v>
      </c>
      <c r="B779" s="4">
        <v>472</v>
      </c>
      <c r="C779" s="4" t="s">
        <v>7840</v>
      </c>
      <c r="D779" s="4" t="s">
        <v>7841</v>
      </c>
      <c r="E779" s="4" t="s">
        <v>304</v>
      </c>
      <c r="F779" s="4" t="s">
        <v>53</v>
      </c>
      <c r="G779" s="4" t="s">
        <v>177</v>
      </c>
      <c r="H779" s="4" t="s">
        <v>54</v>
      </c>
      <c r="I779" s="4" t="s">
        <v>7842</v>
      </c>
      <c r="J779" s="4" t="s">
        <v>37</v>
      </c>
      <c r="K779" s="4" t="s">
        <v>37</v>
      </c>
      <c r="L779" s="4" t="s">
        <v>39</v>
      </c>
      <c r="M779" s="4" t="s">
        <v>37</v>
      </c>
      <c r="N779" s="4" t="s">
        <v>37</v>
      </c>
      <c r="O779" s="4" t="s">
        <v>39</v>
      </c>
      <c r="P779" s="4" t="s">
        <v>37</v>
      </c>
      <c r="Q779" s="4" t="s">
        <v>37</v>
      </c>
      <c r="R779" s="4" t="s">
        <v>39</v>
      </c>
      <c r="S779" s="4" t="s">
        <v>5460</v>
      </c>
      <c r="T779" s="4" t="s">
        <v>7319</v>
      </c>
      <c r="U779" s="4" t="s">
        <v>7311</v>
      </c>
      <c r="V779" s="4" t="s">
        <v>6450</v>
      </c>
      <c r="W779" s="4" t="s">
        <v>7312</v>
      </c>
      <c r="X779" s="4"/>
      <c r="Y779" s="4"/>
      <c r="Z779" s="4" t="s">
        <v>46</v>
      </c>
      <c r="AA779" s="4" t="s">
        <v>7370</v>
      </c>
      <c r="AB779" s="4" t="s">
        <v>3109</v>
      </c>
      <c r="AC779" s="9">
        <v>1</v>
      </c>
      <c r="AD779" t="str">
        <f>VLOOKUP($T779,[1]NhanSu!$C$5:$M$229,11,0)</f>
        <v>SM0000125</v>
      </c>
    </row>
    <row r="780" spans="1:30" x14ac:dyDescent="0.45">
      <c r="A780" s="6" t="s">
        <v>6444</v>
      </c>
      <c r="B780" s="5">
        <v>475</v>
      </c>
      <c r="C780" s="5" t="s">
        <v>7847</v>
      </c>
      <c r="D780" s="5" t="s">
        <v>7848</v>
      </c>
      <c r="E780" s="5" t="s">
        <v>157</v>
      </c>
      <c r="F780" s="5" t="s">
        <v>53</v>
      </c>
      <c r="G780" s="5" t="s">
        <v>177</v>
      </c>
      <c r="H780" s="5" t="s">
        <v>54</v>
      </c>
      <c r="I780" s="5" t="s">
        <v>7506</v>
      </c>
      <c r="J780" s="5" t="s">
        <v>37</v>
      </c>
      <c r="K780" s="5" t="s">
        <v>37</v>
      </c>
      <c r="L780" s="5" t="s">
        <v>39</v>
      </c>
      <c r="M780" s="5" t="s">
        <v>37</v>
      </c>
      <c r="N780" s="5" t="s">
        <v>37</v>
      </c>
      <c r="O780" s="5" t="s">
        <v>39</v>
      </c>
      <c r="P780" s="5" t="s">
        <v>37</v>
      </c>
      <c r="Q780" s="5" t="s">
        <v>37</v>
      </c>
      <c r="R780" s="5" t="s">
        <v>39</v>
      </c>
      <c r="S780" s="5" t="s">
        <v>5625</v>
      </c>
      <c r="T780" s="5" t="s">
        <v>7319</v>
      </c>
      <c r="U780" s="5" t="s">
        <v>7311</v>
      </c>
      <c r="V780" s="5" t="s">
        <v>6450</v>
      </c>
      <c r="W780" s="5" t="s">
        <v>7312</v>
      </c>
      <c r="X780" s="5"/>
      <c r="Y780" s="5"/>
      <c r="Z780" s="5" t="s">
        <v>46</v>
      </c>
      <c r="AA780" s="5" t="s">
        <v>7370</v>
      </c>
      <c r="AB780" s="5" t="s">
        <v>3109</v>
      </c>
      <c r="AC780" s="7">
        <v>1</v>
      </c>
      <c r="AD780" t="str">
        <f>VLOOKUP($T780,[1]NhanSu!$C$5:$M$229,11,0)</f>
        <v>SM0000125</v>
      </c>
    </row>
    <row r="781" spans="1:30" x14ac:dyDescent="0.45">
      <c r="A781" s="8" t="s">
        <v>6444</v>
      </c>
      <c r="B781" s="4">
        <v>476</v>
      </c>
      <c r="C781" s="4" t="s">
        <v>7849</v>
      </c>
      <c r="D781" s="4" t="s">
        <v>7850</v>
      </c>
      <c r="E781" s="4" t="s">
        <v>138</v>
      </c>
      <c r="F781" s="4" t="s">
        <v>456</v>
      </c>
      <c r="G781" s="4" t="s">
        <v>34</v>
      </c>
      <c r="H781" s="4" t="s">
        <v>1877</v>
      </c>
      <c r="I781" s="4" t="s">
        <v>7851</v>
      </c>
      <c r="J781" s="4" t="s">
        <v>37</v>
      </c>
      <c r="K781" s="4" t="s">
        <v>37</v>
      </c>
      <c r="L781" s="4" t="s">
        <v>39</v>
      </c>
      <c r="M781" s="4" t="s">
        <v>37</v>
      </c>
      <c r="N781" s="4" t="s">
        <v>37</v>
      </c>
      <c r="O781" s="4" t="s">
        <v>39</v>
      </c>
      <c r="P781" s="4" t="s">
        <v>37</v>
      </c>
      <c r="Q781" s="4" t="s">
        <v>37</v>
      </c>
      <c r="R781" s="4" t="s">
        <v>39</v>
      </c>
      <c r="S781" s="4" t="s">
        <v>41</v>
      </c>
      <c r="T781" s="4" t="s">
        <v>7327</v>
      </c>
      <c r="U781" s="4" t="s">
        <v>7311</v>
      </c>
      <c r="V781" s="4" t="s">
        <v>6450</v>
      </c>
      <c r="W781" s="4" t="s">
        <v>7312</v>
      </c>
      <c r="X781" s="4"/>
      <c r="Y781" s="4"/>
      <c r="Z781" s="4" t="s">
        <v>46</v>
      </c>
      <c r="AA781" s="4" t="s">
        <v>7370</v>
      </c>
      <c r="AB781" s="4" t="s">
        <v>3109</v>
      </c>
      <c r="AC781" s="9">
        <v>1</v>
      </c>
      <c r="AD781" t="str">
        <f>VLOOKUP($T781,[1]NhanSu!$C$5:$M$229,11,0)</f>
        <v>SM0000124</v>
      </c>
    </row>
    <row r="782" spans="1:30" x14ac:dyDescent="0.45">
      <c r="A782" s="6" t="s">
        <v>6444</v>
      </c>
      <c r="B782" s="5">
        <v>477</v>
      </c>
      <c r="C782" s="5" t="s">
        <v>7852</v>
      </c>
      <c r="D782" s="5" t="s">
        <v>7853</v>
      </c>
      <c r="E782" s="5" t="s">
        <v>157</v>
      </c>
      <c r="F782" s="5" t="s">
        <v>166</v>
      </c>
      <c r="G782" s="5" t="s">
        <v>177</v>
      </c>
      <c r="H782" s="5" t="s">
        <v>54</v>
      </c>
      <c r="I782" s="5" t="s">
        <v>7854</v>
      </c>
      <c r="J782" s="5" t="s">
        <v>37</v>
      </c>
      <c r="K782" s="5" t="s">
        <v>37</v>
      </c>
      <c r="L782" s="5" t="s">
        <v>39</v>
      </c>
      <c r="M782" s="5" t="s">
        <v>37</v>
      </c>
      <c r="N782" s="5" t="s">
        <v>37</v>
      </c>
      <c r="O782" s="5" t="s">
        <v>39</v>
      </c>
      <c r="P782" s="5" t="s">
        <v>38</v>
      </c>
      <c r="Q782" s="5" t="s">
        <v>37</v>
      </c>
      <c r="R782" s="5" t="s">
        <v>39</v>
      </c>
      <c r="S782" s="5" t="s">
        <v>5363</v>
      </c>
      <c r="T782" s="5" t="s">
        <v>7319</v>
      </c>
      <c r="U782" s="5" t="s">
        <v>7311</v>
      </c>
      <c r="V782" s="5" t="s">
        <v>6450</v>
      </c>
      <c r="W782" s="5" t="s">
        <v>5607</v>
      </c>
      <c r="X782" s="5"/>
      <c r="Y782" s="5"/>
      <c r="Z782" s="5" t="s">
        <v>46</v>
      </c>
      <c r="AA782" s="5" t="s">
        <v>7370</v>
      </c>
      <c r="AB782" s="5" t="s">
        <v>3109</v>
      </c>
      <c r="AC782" s="7">
        <v>1</v>
      </c>
      <c r="AD782" t="str">
        <f>VLOOKUP($T782,[1]NhanSu!$C$5:$M$229,11,0)</f>
        <v>SM0000125</v>
      </c>
    </row>
    <row r="783" spans="1:30" x14ac:dyDescent="0.45">
      <c r="A783" s="8" t="s">
        <v>6444</v>
      </c>
      <c r="B783" s="4">
        <v>479</v>
      </c>
      <c r="C783" s="4" t="s">
        <v>7857</v>
      </c>
      <c r="D783" s="4" t="s">
        <v>7858</v>
      </c>
      <c r="E783" s="4" t="s">
        <v>91</v>
      </c>
      <c r="F783" s="4" t="s">
        <v>1573</v>
      </c>
      <c r="G783" s="4" t="s">
        <v>34</v>
      </c>
      <c r="H783" s="4" t="s">
        <v>54</v>
      </c>
      <c r="I783" s="4" t="s">
        <v>7859</v>
      </c>
      <c r="J783" s="4" t="s">
        <v>37</v>
      </c>
      <c r="K783" s="4" t="s">
        <v>37</v>
      </c>
      <c r="L783" s="4" t="s">
        <v>39</v>
      </c>
      <c r="M783" s="4" t="s">
        <v>56</v>
      </c>
      <c r="N783" s="4" t="s">
        <v>37</v>
      </c>
      <c r="O783" s="4" t="s">
        <v>121</v>
      </c>
      <c r="P783" s="4" t="s">
        <v>38</v>
      </c>
      <c r="Q783" s="4" t="s">
        <v>37</v>
      </c>
      <c r="R783" s="4" t="s">
        <v>39</v>
      </c>
      <c r="S783" s="4" t="s">
        <v>5460</v>
      </c>
      <c r="T783" s="4" t="s">
        <v>7319</v>
      </c>
      <c r="U783" s="4" t="s">
        <v>7311</v>
      </c>
      <c r="V783" s="4" t="s">
        <v>6450</v>
      </c>
      <c r="W783" s="4" t="s">
        <v>7312</v>
      </c>
      <c r="X783" s="4"/>
      <c r="Y783" s="4"/>
      <c r="Z783" s="4" t="s">
        <v>46</v>
      </c>
      <c r="AA783" s="4" t="s">
        <v>7370</v>
      </c>
      <c r="AB783" s="4" t="s">
        <v>3109</v>
      </c>
      <c r="AC783" s="9">
        <v>1</v>
      </c>
      <c r="AD783" t="str">
        <f>VLOOKUP($T783,[1]NhanSu!$C$5:$M$229,11,0)</f>
        <v>SM0000125</v>
      </c>
    </row>
    <row r="784" spans="1:30" x14ac:dyDescent="0.45">
      <c r="A784" s="6" t="s">
        <v>6444</v>
      </c>
      <c r="B784" s="5">
        <v>480</v>
      </c>
      <c r="C784" s="5" t="s">
        <v>7860</v>
      </c>
      <c r="D784" s="5" t="s">
        <v>7861</v>
      </c>
      <c r="E784" s="5" t="s">
        <v>344</v>
      </c>
      <c r="F784" s="5" t="s">
        <v>401</v>
      </c>
      <c r="G784" s="5" t="s">
        <v>177</v>
      </c>
      <c r="H784" s="5" t="s">
        <v>54</v>
      </c>
      <c r="I784" s="5" t="s">
        <v>6268</v>
      </c>
      <c r="J784" s="5" t="s">
        <v>37</v>
      </c>
      <c r="K784" s="5" t="s">
        <v>37</v>
      </c>
      <c r="L784" s="5" t="s">
        <v>39</v>
      </c>
      <c r="M784" s="5" t="s">
        <v>56</v>
      </c>
      <c r="N784" s="5" t="s">
        <v>56</v>
      </c>
      <c r="O784" s="5" t="s">
        <v>39</v>
      </c>
      <c r="P784" s="5" t="s">
        <v>37</v>
      </c>
      <c r="Q784" s="5" t="s">
        <v>37</v>
      </c>
      <c r="R784" s="5" t="s">
        <v>40</v>
      </c>
      <c r="S784" s="5" t="s">
        <v>7862</v>
      </c>
      <c r="T784" s="5" t="s">
        <v>7310</v>
      </c>
      <c r="U784" s="5" t="s">
        <v>7311</v>
      </c>
      <c r="V784" s="5" t="s">
        <v>6450</v>
      </c>
      <c r="W784" s="5" t="s">
        <v>7312</v>
      </c>
      <c r="X784" s="5"/>
      <c r="Y784" s="5"/>
      <c r="Z784" s="5" t="s">
        <v>46</v>
      </c>
      <c r="AA784" s="5" t="s">
        <v>7370</v>
      </c>
      <c r="AB784" s="5" t="s">
        <v>3109</v>
      </c>
      <c r="AC784" s="7">
        <v>1</v>
      </c>
      <c r="AD784" t="str">
        <f>VLOOKUP($T784,[1]NhanSu!$C$5:$M$229,11,0)</f>
        <v>SM0000126</v>
      </c>
    </row>
    <row r="785" spans="1:30" x14ac:dyDescent="0.45">
      <c r="A785" s="8" t="s">
        <v>6444</v>
      </c>
      <c r="B785" s="4">
        <v>481</v>
      </c>
      <c r="C785" s="4" t="s">
        <v>7863</v>
      </c>
      <c r="D785" s="4" t="s">
        <v>2408</v>
      </c>
      <c r="E785" s="4" t="s">
        <v>324</v>
      </c>
      <c r="F785" s="4" t="s">
        <v>3069</v>
      </c>
      <c r="G785" s="4" t="s">
        <v>177</v>
      </c>
      <c r="H785" s="4" t="s">
        <v>54</v>
      </c>
      <c r="I785" s="4" t="s">
        <v>7864</v>
      </c>
      <c r="J785" s="4" t="s">
        <v>56</v>
      </c>
      <c r="K785" s="4" t="s">
        <v>56</v>
      </c>
      <c r="L785" s="4" t="s">
        <v>39</v>
      </c>
      <c r="M785" s="4" t="s">
        <v>775</v>
      </c>
      <c r="N785" s="4" t="s">
        <v>775</v>
      </c>
      <c r="O785" s="4" t="s">
        <v>121</v>
      </c>
      <c r="P785" s="4" t="s">
        <v>37</v>
      </c>
      <c r="Q785" s="4" t="s">
        <v>37</v>
      </c>
      <c r="R785" s="4" t="s">
        <v>39</v>
      </c>
      <c r="S785" s="4" t="s">
        <v>7865</v>
      </c>
      <c r="T785" s="4" t="s">
        <v>7310</v>
      </c>
      <c r="U785" s="4" t="s">
        <v>7311</v>
      </c>
      <c r="V785" s="4" t="s">
        <v>6450</v>
      </c>
      <c r="W785" s="4" t="s">
        <v>7312</v>
      </c>
      <c r="X785" s="4"/>
      <c r="Y785" s="4"/>
      <c r="Z785" s="4" t="s">
        <v>46</v>
      </c>
      <c r="AA785" s="4" t="s">
        <v>7370</v>
      </c>
      <c r="AB785" s="4" t="s">
        <v>3109</v>
      </c>
      <c r="AC785" s="9">
        <v>1</v>
      </c>
      <c r="AD785" t="str">
        <f>VLOOKUP($T785,[1]NhanSu!$C$5:$M$229,11,0)</f>
        <v>SM0000126</v>
      </c>
    </row>
    <row r="786" spans="1:30" x14ac:dyDescent="0.45">
      <c r="A786" s="6" t="s">
        <v>6444</v>
      </c>
      <c r="B786" s="5">
        <v>482</v>
      </c>
      <c r="C786" s="5" t="s">
        <v>7866</v>
      </c>
      <c r="D786" s="5" t="s">
        <v>7867</v>
      </c>
      <c r="E786" s="5" t="s">
        <v>255</v>
      </c>
      <c r="F786" s="5" t="s">
        <v>829</v>
      </c>
      <c r="G786" s="5" t="s">
        <v>177</v>
      </c>
      <c r="H786" s="5" t="s">
        <v>54</v>
      </c>
      <c r="I786" s="5" t="s">
        <v>7868</v>
      </c>
      <c r="J786" s="5" t="s">
        <v>775</v>
      </c>
      <c r="K786" s="5" t="s">
        <v>37</v>
      </c>
      <c r="L786" s="5" t="s">
        <v>121</v>
      </c>
      <c r="M786" s="5" t="s">
        <v>37</v>
      </c>
      <c r="N786" s="5" t="s">
        <v>37</v>
      </c>
      <c r="O786" s="5" t="s">
        <v>39</v>
      </c>
      <c r="P786" s="5" t="s">
        <v>37</v>
      </c>
      <c r="Q786" s="5" t="s">
        <v>37</v>
      </c>
      <c r="R786" s="5" t="s">
        <v>39</v>
      </c>
      <c r="S786" s="5" t="s">
        <v>7869</v>
      </c>
      <c r="T786" s="5" t="s">
        <v>7319</v>
      </c>
      <c r="U786" s="5" t="s">
        <v>7311</v>
      </c>
      <c r="V786" s="5" t="s">
        <v>6450</v>
      </c>
      <c r="W786" s="5" t="s">
        <v>7312</v>
      </c>
      <c r="X786" s="5"/>
      <c r="Y786" s="5"/>
      <c r="Z786" s="5" t="s">
        <v>46</v>
      </c>
      <c r="AA786" s="5" t="s">
        <v>7370</v>
      </c>
      <c r="AB786" s="5" t="s">
        <v>3109</v>
      </c>
      <c r="AC786" s="7">
        <v>1</v>
      </c>
      <c r="AD786" t="str">
        <f>VLOOKUP($T786,[1]NhanSu!$C$5:$M$229,11,0)</f>
        <v>SM0000125</v>
      </c>
    </row>
    <row r="787" spans="1:30" x14ac:dyDescent="0.45">
      <c r="A787" s="8" t="s">
        <v>6444</v>
      </c>
      <c r="B787" s="4">
        <v>483</v>
      </c>
      <c r="C787" s="4" t="s">
        <v>7870</v>
      </c>
      <c r="D787" s="4" t="s">
        <v>7871</v>
      </c>
      <c r="E787" s="4" t="s">
        <v>69</v>
      </c>
      <c r="F787" s="4" t="s">
        <v>53</v>
      </c>
      <c r="G787" s="4" t="s">
        <v>34</v>
      </c>
      <c r="H787" s="4" t="s">
        <v>54</v>
      </c>
      <c r="I787" s="4" t="s">
        <v>237</v>
      </c>
      <c r="J787" s="4" t="s">
        <v>56</v>
      </c>
      <c r="K787" s="4" t="s">
        <v>56</v>
      </c>
      <c r="L787" s="4" t="s">
        <v>39</v>
      </c>
      <c r="M787" s="4" t="s">
        <v>37</v>
      </c>
      <c r="N787" s="4" t="s">
        <v>37</v>
      </c>
      <c r="O787" s="4" t="s">
        <v>39</v>
      </c>
      <c r="P787" s="4" t="s">
        <v>38</v>
      </c>
      <c r="Q787" s="4" t="s">
        <v>38</v>
      </c>
      <c r="R787" s="4" t="s">
        <v>39</v>
      </c>
      <c r="S787" s="4" t="s">
        <v>1291</v>
      </c>
      <c r="T787" s="4" t="s">
        <v>7327</v>
      </c>
      <c r="U787" s="4" t="s">
        <v>7311</v>
      </c>
      <c r="V787" s="4" t="s">
        <v>6450</v>
      </c>
      <c r="W787" s="4" t="s">
        <v>5607</v>
      </c>
      <c r="X787" s="4"/>
      <c r="Y787" s="4"/>
      <c r="Z787" s="4" t="s">
        <v>46</v>
      </c>
      <c r="AA787" s="4" t="s">
        <v>7370</v>
      </c>
      <c r="AB787" s="4" t="s">
        <v>3109</v>
      </c>
      <c r="AC787" s="9">
        <v>1</v>
      </c>
      <c r="AD787" t="str">
        <f>VLOOKUP($T787,[1]NhanSu!$C$5:$M$229,11,0)</f>
        <v>SM0000124</v>
      </c>
    </row>
    <row r="788" spans="1:30" x14ac:dyDescent="0.45">
      <c r="A788" s="6" t="s">
        <v>6444</v>
      </c>
      <c r="B788" s="5">
        <v>484</v>
      </c>
      <c r="C788" s="5" t="s">
        <v>7872</v>
      </c>
      <c r="D788" s="5" t="s">
        <v>7873</v>
      </c>
      <c r="E788" s="5" t="s">
        <v>157</v>
      </c>
      <c r="F788" s="5" t="s">
        <v>53</v>
      </c>
      <c r="G788" s="5" t="s">
        <v>177</v>
      </c>
      <c r="H788" s="5" t="s">
        <v>54</v>
      </c>
      <c r="I788" s="5" t="s">
        <v>7506</v>
      </c>
      <c r="J788" s="5" t="s">
        <v>38</v>
      </c>
      <c r="K788" s="5" t="s">
        <v>37</v>
      </c>
      <c r="L788" s="5" t="s">
        <v>39</v>
      </c>
      <c r="M788" s="5" t="s">
        <v>37</v>
      </c>
      <c r="N788" s="5" t="s">
        <v>37</v>
      </c>
      <c r="O788" s="5" t="s">
        <v>39</v>
      </c>
      <c r="P788" s="5" t="s">
        <v>38</v>
      </c>
      <c r="Q788" s="5" t="s">
        <v>38</v>
      </c>
      <c r="R788" s="5" t="s">
        <v>39</v>
      </c>
      <c r="S788" s="5" t="s">
        <v>1291</v>
      </c>
      <c r="T788" s="5" t="s">
        <v>7319</v>
      </c>
      <c r="U788" s="5" t="s">
        <v>7311</v>
      </c>
      <c r="V788" s="5" t="s">
        <v>6450</v>
      </c>
      <c r="W788" s="5" t="s">
        <v>7312</v>
      </c>
      <c r="X788" s="5"/>
      <c r="Y788" s="5"/>
      <c r="Z788" s="5" t="s">
        <v>46</v>
      </c>
      <c r="AA788" s="5" t="s">
        <v>7370</v>
      </c>
      <c r="AB788" s="5" t="s">
        <v>3109</v>
      </c>
      <c r="AC788" s="7">
        <v>1</v>
      </c>
      <c r="AD788" t="str">
        <f>VLOOKUP($T788,[1]NhanSu!$C$5:$M$229,11,0)</f>
        <v>SM0000125</v>
      </c>
    </row>
    <row r="789" spans="1:30" x14ac:dyDescent="0.45">
      <c r="A789" s="8" t="s">
        <v>6444</v>
      </c>
      <c r="B789" s="4">
        <v>485</v>
      </c>
      <c r="C789" s="4" t="s">
        <v>7874</v>
      </c>
      <c r="D789" s="4" t="s">
        <v>7875</v>
      </c>
      <c r="E789" s="4" t="s">
        <v>290</v>
      </c>
      <c r="F789" s="4" t="s">
        <v>1573</v>
      </c>
      <c r="G789" s="4" t="s">
        <v>177</v>
      </c>
      <c r="H789" s="4" t="s">
        <v>54</v>
      </c>
      <c r="I789" s="4" t="s">
        <v>7876</v>
      </c>
      <c r="J789" s="4" t="s">
        <v>37</v>
      </c>
      <c r="K789" s="4" t="s">
        <v>37</v>
      </c>
      <c r="L789" s="4" t="s">
        <v>39</v>
      </c>
      <c r="M789" s="4" t="s">
        <v>56</v>
      </c>
      <c r="N789" s="4" t="s">
        <v>56</v>
      </c>
      <c r="O789" s="4" t="s">
        <v>39</v>
      </c>
      <c r="P789" s="4" t="s">
        <v>37</v>
      </c>
      <c r="Q789" s="4" t="s">
        <v>37</v>
      </c>
      <c r="R789" s="4" t="s">
        <v>39</v>
      </c>
      <c r="S789" s="4" t="s">
        <v>7877</v>
      </c>
      <c r="T789" s="4" t="s">
        <v>7310</v>
      </c>
      <c r="U789" s="4" t="s">
        <v>7311</v>
      </c>
      <c r="V789" s="4" t="s">
        <v>6450</v>
      </c>
      <c r="W789" s="4" t="s">
        <v>7312</v>
      </c>
      <c r="X789" s="4"/>
      <c r="Y789" s="4"/>
      <c r="Z789" s="4" t="s">
        <v>46</v>
      </c>
      <c r="AA789" s="4" t="s">
        <v>7370</v>
      </c>
      <c r="AB789" s="4" t="s">
        <v>3109</v>
      </c>
      <c r="AC789" s="9">
        <v>1</v>
      </c>
      <c r="AD789" t="str">
        <f>VLOOKUP($T789,[1]NhanSu!$C$5:$M$229,11,0)</f>
        <v>SM0000126</v>
      </c>
    </row>
    <row r="790" spans="1:30" x14ac:dyDescent="0.45">
      <c r="A790" s="6" t="s">
        <v>6444</v>
      </c>
      <c r="B790" s="5">
        <v>486</v>
      </c>
      <c r="C790" s="5" t="s">
        <v>7878</v>
      </c>
      <c r="D790" s="5" t="s">
        <v>7879</v>
      </c>
      <c r="E790" s="5" t="s">
        <v>157</v>
      </c>
      <c r="F790" s="5" t="s">
        <v>53</v>
      </c>
      <c r="G790" s="5" t="s">
        <v>177</v>
      </c>
      <c r="H790" s="5" t="s">
        <v>54</v>
      </c>
      <c r="I790" s="5" t="s">
        <v>7506</v>
      </c>
      <c r="J790" s="5" t="s">
        <v>37</v>
      </c>
      <c r="K790" s="5" t="s">
        <v>37</v>
      </c>
      <c r="L790" s="5" t="s">
        <v>39</v>
      </c>
      <c r="M790" s="5" t="s">
        <v>37</v>
      </c>
      <c r="N790" s="5" t="s">
        <v>37</v>
      </c>
      <c r="O790" s="5" t="s">
        <v>39</v>
      </c>
      <c r="P790" s="5" t="s">
        <v>38</v>
      </c>
      <c r="Q790" s="5" t="s">
        <v>38</v>
      </c>
      <c r="R790" s="5" t="s">
        <v>39</v>
      </c>
      <c r="S790" s="5" t="s">
        <v>5363</v>
      </c>
      <c r="T790" s="5" t="s">
        <v>7319</v>
      </c>
      <c r="U790" s="5" t="s">
        <v>7311</v>
      </c>
      <c r="V790" s="5" t="s">
        <v>6450</v>
      </c>
      <c r="W790" s="5" t="s">
        <v>7312</v>
      </c>
      <c r="X790" s="5"/>
      <c r="Y790" s="5"/>
      <c r="Z790" s="5" t="s">
        <v>46</v>
      </c>
      <c r="AA790" s="5" t="s">
        <v>7370</v>
      </c>
      <c r="AB790" s="5" t="s">
        <v>3109</v>
      </c>
      <c r="AC790" s="7">
        <v>1</v>
      </c>
      <c r="AD790" t="str">
        <f>VLOOKUP($T790,[1]NhanSu!$C$5:$M$229,11,0)</f>
        <v>SM0000125</v>
      </c>
    </row>
    <row r="791" spans="1:30" x14ac:dyDescent="0.45">
      <c r="A791" s="8" t="s">
        <v>6444</v>
      </c>
      <c r="B791" s="4">
        <v>490</v>
      </c>
      <c r="C791" s="4" t="s">
        <v>7889</v>
      </c>
      <c r="D791" s="4" t="s">
        <v>7890</v>
      </c>
      <c r="E791" s="4" t="s">
        <v>148</v>
      </c>
      <c r="F791" s="4" t="s">
        <v>53</v>
      </c>
      <c r="G791" s="4" t="s">
        <v>177</v>
      </c>
      <c r="H791" s="4" t="s">
        <v>54</v>
      </c>
      <c r="I791" s="4" t="s">
        <v>7315</v>
      </c>
      <c r="J791" s="4" t="s">
        <v>56</v>
      </c>
      <c r="K791" s="4" t="s">
        <v>37</v>
      </c>
      <c r="L791" s="4" t="s">
        <v>39</v>
      </c>
      <c r="M791" s="4" t="s">
        <v>56</v>
      </c>
      <c r="N791" s="4" t="s">
        <v>56</v>
      </c>
      <c r="O791" s="4" t="s">
        <v>39</v>
      </c>
      <c r="P791" s="4" t="s">
        <v>56</v>
      </c>
      <c r="Q791" s="4" t="s">
        <v>56</v>
      </c>
      <c r="R791" s="4" t="s">
        <v>39</v>
      </c>
      <c r="S791" s="4" t="s">
        <v>41</v>
      </c>
      <c r="T791" s="4" t="s">
        <v>7310</v>
      </c>
      <c r="U791" s="4" t="s">
        <v>7311</v>
      </c>
      <c r="V791" s="4" t="s">
        <v>6450</v>
      </c>
      <c r="W791" s="4" t="s">
        <v>7312</v>
      </c>
      <c r="X791" s="4"/>
      <c r="Y791" s="4"/>
      <c r="Z791" s="4" t="s">
        <v>46</v>
      </c>
      <c r="AA791" s="4" t="s">
        <v>7370</v>
      </c>
      <c r="AB791" s="4" t="s">
        <v>3109</v>
      </c>
      <c r="AC791" s="9">
        <v>1</v>
      </c>
      <c r="AD791" t="str">
        <f>VLOOKUP($T791,[1]NhanSu!$C$5:$M$229,11,0)</f>
        <v>SM0000126</v>
      </c>
    </row>
    <row r="792" spans="1:30" x14ac:dyDescent="0.45">
      <c r="A792" s="6" t="s">
        <v>6444</v>
      </c>
      <c r="B792" s="5">
        <v>491</v>
      </c>
      <c r="C792" s="5" t="s">
        <v>7891</v>
      </c>
      <c r="D792" s="5" t="s">
        <v>7892</v>
      </c>
      <c r="E792" s="5" t="s">
        <v>108</v>
      </c>
      <c r="F792" s="5" t="s">
        <v>53</v>
      </c>
      <c r="G792" s="5" t="s">
        <v>34</v>
      </c>
      <c r="H792" s="5" t="s">
        <v>54</v>
      </c>
      <c r="I792" s="5" t="s">
        <v>7322</v>
      </c>
      <c r="J792" s="5" t="s">
        <v>38</v>
      </c>
      <c r="K792" s="5" t="s">
        <v>38</v>
      </c>
      <c r="L792" s="5" t="s">
        <v>40</v>
      </c>
      <c r="M792" s="5" t="s">
        <v>37</v>
      </c>
      <c r="N792" s="5" t="s">
        <v>37</v>
      </c>
      <c r="O792" s="5" t="s">
        <v>40</v>
      </c>
      <c r="P792" s="5" t="s">
        <v>38</v>
      </c>
      <c r="Q792" s="5" t="s">
        <v>38</v>
      </c>
      <c r="R792" s="5" t="s">
        <v>40</v>
      </c>
      <c r="S792" s="5" t="s">
        <v>7893</v>
      </c>
      <c r="T792" s="5" t="s">
        <v>7310</v>
      </c>
      <c r="U792" s="5" t="s">
        <v>7311</v>
      </c>
      <c r="V792" s="5" t="s">
        <v>6450</v>
      </c>
      <c r="W792" s="5" t="s">
        <v>5607</v>
      </c>
      <c r="X792" s="5"/>
      <c r="Y792" s="5"/>
      <c r="Z792" s="5" t="s">
        <v>46</v>
      </c>
      <c r="AA792" s="5" t="s">
        <v>7370</v>
      </c>
      <c r="AB792" s="5" t="s">
        <v>3109</v>
      </c>
      <c r="AC792" s="7">
        <v>1</v>
      </c>
      <c r="AD792" t="str">
        <f>VLOOKUP($T792,[1]NhanSu!$C$5:$M$229,11,0)</f>
        <v>SM0000126</v>
      </c>
    </row>
    <row r="793" spans="1:30" x14ac:dyDescent="0.45">
      <c r="A793" s="8" t="s">
        <v>6444</v>
      </c>
      <c r="B793" s="4">
        <v>493</v>
      </c>
      <c r="C793" s="4" t="s">
        <v>7897</v>
      </c>
      <c r="D793" s="4" t="s">
        <v>7898</v>
      </c>
      <c r="E793" s="4" t="s">
        <v>108</v>
      </c>
      <c r="F793" s="4" t="s">
        <v>53</v>
      </c>
      <c r="G793" s="4" t="s">
        <v>34</v>
      </c>
      <c r="H793" s="4" t="s">
        <v>171</v>
      </c>
      <c r="I793" s="4" t="s">
        <v>7899</v>
      </c>
      <c r="J793" s="4" t="s">
        <v>37</v>
      </c>
      <c r="K793" s="4" t="s">
        <v>38</v>
      </c>
      <c r="L793" s="4" t="s">
        <v>39</v>
      </c>
      <c r="M793" s="4" t="s">
        <v>775</v>
      </c>
      <c r="N793" s="4" t="s">
        <v>56</v>
      </c>
      <c r="O793" s="4" t="s">
        <v>39</v>
      </c>
      <c r="P793" s="4" t="s">
        <v>38</v>
      </c>
      <c r="Q793" s="4" t="s">
        <v>38</v>
      </c>
      <c r="R793" s="4" t="s">
        <v>40</v>
      </c>
      <c r="S793" s="4" t="s">
        <v>41</v>
      </c>
      <c r="T793" s="4" t="s">
        <v>7310</v>
      </c>
      <c r="U793" s="4" t="s">
        <v>7311</v>
      </c>
      <c r="V793" s="4" t="s">
        <v>6450</v>
      </c>
      <c r="W793" s="4" t="s">
        <v>7312</v>
      </c>
      <c r="X793" s="4"/>
      <c r="Y793" s="4"/>
      <c r="Z793" s="4" t="s">
        <v>46</v>
      </c>
      <c r="AA793" s="4" t="s">
        <v>6457</v>
      </c>
      <c r="AB793" s="4" t="s">
        <v>3109</v>
      </c>
      <c r="AC793" s="9">
        <v>1</v>
      </c>
      <c r="AD793" t="str">
        <f>VLOOKUP($T793,[1]NhanSu!$C$5:$M$229,11,0)</f>
        <v>SM0000126</v>
      </c>
    </row>
    <row r="794" spans="1:30" x14ac:dyDescent="0.45">
      <c r="A794" s="6" t="s">
        <v>6444</v>
      </c>
      <c r="B794" s="5">
        <v>496</v>
      </c>
      <c r="C794" s="5" t="s">
        <v>7905</v>
      </c>
      <c r="D794" s="5" t="s">
        <v>5905</v>
      </c>
      <c r="E794" s="5" t="s">
        <v>344</v>
      </c>
      <c r="F794" s="5" t="s">
        <v>191</v>
      </c>
      <c r="G794" s="5" t="s">
        <v>34</v>
      </c>
      <c r="H794" s="5" t="s">
        <v>402</v>
      </c>
      <c r="I794" s="5" t="s">
        <v>7906</v>
      </c>
      <c r="J794" s="5" t="s">
        <v>56</v>
      </c>
      <c r="K794" s="5" t="s">
        <v>56</v>
      </c>
      <c r="L794" s="5" t="s">
        <v>39</v>
      </c>
      <c r="M794" s="5" t="s">
        <v>37</v>
      </c>
      <c r="N794" s="5" t="s">
        <v>37</v>
      </c>
      <c r="O794" s="5" t="s">
        <v>39</v>
      </c>
      <c r="P794" s="5" t="s">
        <v>38</v>
      </c>
      <c r="Q794" s="5" t="s">
        <v>38</v>
      </c>
      <c r="R794" s="5" t="s">
        <v>39</v>
      </c>
      <c r="S794" s="5" t="s">
        <v>1291</v>
      </c>
      <c r="T794" s="5" t="s">
        <v>7327</v>
      </c>
      <c r="U794" s="5" t="s">
        <v>7311</v>
      </c>
      <c r="V794" s="5" t="s">
        <v>6450</v>
      </c>
      <c r="W794" s="5" t="s">
        <v>5607</v>
      </c>
      <c r="X794" s="5"/>
      <c r="Y794" s="5"/>
      <c r="Z794" s="5" t="s">
        <v>46</v>
      </c>
      <c r="AA794" s="5" t="s">
        <v>7370</v>
      </c>
      <c r="AB794" s="5" t="s">
        <v>3109</v>
      </c>
      <c r="AC794" s="7">
        <v>1</v>
      </c>
      <c r="AD794" t="str">
        <f>VLOOKUP($T794,[1]NhanSu!$C$5:$M$229,11,0)</f>
        <v>SM0000124</v>
      </c>
    </row>
    <row r="795" spans="1:30" x14ac:dyDescent="0.45">
      <c r="A795" s="8" t="s">
        <v>6444</v>
      </c>
      <c r="B795" s="4">
        <v>497</v>
      </c>
      <c r="C795" s="4" t="s">
        <v>7907</v>
      </c>
      <c r="D795" s="4" t="s">
        <v>7908</v>
      </c>
      <c r="E795" s="4" t="s">
        <v>291</v>
      </c>
      <c r="F795" s="4" t="s">
        <v>401</v>
      </c>
      <c r="G795" s="4" t="s">
        <v>34</v>
      </c>
      <c r="H795" s="4" t="s">
        <v>54</v>
      </c>
      <c r="I795" s="4" t="s">
        <v>6268</v>
      </c>
      <c r="J795" s="4" t="s">
        <v>56</v>
      </c>
      <c r="K795" s="4" t="s">
        <v>56</v>
      </c>
      <c r="L795" s="4" t="s">
        <v>39</v>
      </c>
      <c r="M795" s="4" t="s">
        <v>56</v>
      </c>
      <c r="N795" s="4" t="s">
        <v>56</v>
      </c>
      <c r="O795" s="4" t="s">
        <v>39</v>
      </c>
      <c r="P795" s="4" t="s">
        <v>37</v>
      </c>
      <c r="Q795" s="4" t="s">
        <v>37</v>
      </c>
      <c r="R795" s="4" t="s">
        <v>39</v>
      </c>
      <c r="S795" s="4" t="s">
        <v>41</v>
      </c>
      <c r="T795" s="4" t="s">
        <v>7310</v>
      </c>
      <c r="U795" s="4" t="s">
        <v>7311</v>
      </c>
      <c r="V795" s="4" t="s">
        <v>6450</v>
      </c>
      <c r="W795" s="4" t="s">
        <v>5607</v>
      </c>
      <c r="X795" s="4"/>
      <c r="Y795" s="4"/>
      <c r="Z795" s="4" t="s">
        <v>46</v>
      </c>
      <c r="AA795" s="4" t="s">
        <v>6457</v>
      </c>
      <c r="AB795" s="4" t="s">
        <v>3109</v>
      </c>
      <c r="AC795" s="9">
        <v>1</v>
      </c>
      <c r="AD795" t="str">
        <f>VLOOKUP($T795,[1]NhanSu!$C$5:$M$229,11,0)</f>
        <v>SM0000126</v>
      </c>
    </row>
    <row r="796" spans="1:30" x14ac:dyDescent="0.45">
      <c r="A796" s="6" t="s">
        <v>6444</v>
      </c>
      <c r="B796" s="5">
        <v>498</v>
      </c>
      <c r="C796" s="5" t="s">
        <v>7909</v>
      </c>
      <c r="D796" s="5" t="s">
        <v>7910</v>
      </c>
      <c r="E796" s="5" t="s">
        <v>297</v>
      </c>
      <c r="F796" s="5" t="s">
        <v>53</v>
      </c>
      <c r="G796" s="5" t="s">
        <v>34</v>
      </c>
      <c r="H796" s="5" t="s">
        <v>54</v>
      </c>
      <c r="I796" s="5" t="s">
        <v>7911</v>
      </c>
      <c r="J796" s="5" t="s">
        <v>38</v>
      </c>
      <c r="K796" s="5" t="s">
        <v>38</v>
      </c>
      <c r="L796" s="5" t="s">
        <v>40</v>
      </c>
      <c r="M796" s="5" t="s">
        <v>775</v>
      </c>
      <c r="N796" s="5" t="s">
        <v>775</v>
      </c>
      <c r="O796" s="5" t="s">
        <v>39</v>
      </c>
      <c r="P796" s="5" t="s">
        <v>38</v>
      </c>
      <c r="Q796" s="5" t="s">
        <v>38</v>
      </c>
      <c r="R796" s="5" t="s">
        <v>40</v>
      </c>
      <c r="S796" s="5" t="s">
        <v>7912</v>
      </c>
      <c r="T796" s="5" t="s">
        <v>7310</v>
      </c>
      <c r="U796" s="5" t="s">
        <v>7311</v>
      </c>
      <c r="V796" s="5" t="s">
        <v>6450</v>
      </c>
      <c r="W796" s="5" t="s">
        <v>5607</v>
      </c>
      <c r="X796" s="5"/>
      <c r="Y796" s="5"/>
      <c r="Z796" s="5" t="s">
        <v>46</v>
      </c>
      <c r="AA796" s="5" t="s">
        <v>7370</v>
      </c>
      <c r="AB796" s="5" t="s">
        <v>3109</v>
      </c>
      <c r="AC796" s="7">
        <v>1</v>
      </c>
      <c r="AD796" t="str">
        <f>VLOOKUP($T796,[1]NhanSu!$C$5:$M$229,11,0)</f>
        <v>SM0000126</v>
      </c>
    </row>
    <row r="797" spans="1:30" x14ac:dyDescent="0.45">
      <c r="A797" s="8" t="s">
        <v>6444</v>
      </c>
      <c r="B797" s="4">
        <v>499</v>
      </c>
      <c r="C797" s="4" t="s">
        <v>7913</v>
      </c>
      <c r="D797" s="4" t="s">
        <v>7914</v>
      </c>
      <c r="E797" s="4" t="s">
        <v>138</v>
      </c>
      <c r="F797" s="4" t="s">
        <v>884</v>
      </c>
      <c r="G797" s="4" t="s">
        <v>34</v>
      </c>
      <c r="H797" s="4" t="s">
        <v>77</v>
      </c>
      <c r="I797" s="4" t="s">
        <v>7915</v>
      </c>
      <c r="J797" s="4" t="s">
        <v>37</v>
      </c>
      <c r="K797" s="4" t="s">
        <v>37</v>
      </c>
      <c r="L797" s="4" t="s">
        <v>39</v>
      </c>
      <c r="M797" s="4" t="s">
        <v>37</v>
      </c>
      <c r="N797" s="4" t="s">
        <v>37</v>
      </c>
      <c r="O797" s="4" t="s">
        <v>39</v>
      </c>
      <c r="P797" s="4" t="s">
        <v>37</v>
      </c>
      <c r="Q797" s="4" t="s">
        <v>37</v>
      </c>
      <c r="R797" s="4" t="s">
        <v>39</v>
      </c>
      <c r="S797" s="4" t="s">
        <v>41</v>
      </c>
      <c r="T797" s="4" t="s">
        <v>7327</v>
      </c>
      <c r="U797" s="4" t="s">
        <v>7311</v>
      </c>
      <c r="V797" s="4" t="s">
        <v>6450</v>
      </c>
      <c r="W797" s="4" t="s">
        <v>7312</v>
      </c>
      <c r="X797" s="4"/>
      <c r="Y797" s="4"/>
      <c r="Z797" s="4" t="s">
        <v>46</v>
      </c>
      <c r="AA797" s="4" t="s">
        <v>6457</v>
      </c>
      <c r="AB797" s="4" t="s">
        <v>3109</v>
      </c>
      <c r="AC797" s="9">
        <v>1</v>
      </c>
      <c r="AD797" t="str">
        <f>VLOOKUP($T797,[1]NhanSu!$C$5:$M$229,11,0)</f>
        <v>SM0000124</v>
      </c>
    </row>
    <row r="798" spans="1:30" x14ac:dyDescent="0.45">
      <c r="A798" s="6" t="s">
        <v>6444</v>
      </c>
      <c r="B798" s="5">
        <v>502</v>
      </c>
      <c r="C798" s="5" t="s">
        <v>7920</v>
      </c>
      <c r="D798" s="5" t="s">
        <v>7921</v>
      </c>
      <c r="E798" s="5" t="s">
        <v>1695</v>
      </c>
      <c r="F798" s="5" t="s">
        <v>461</v>
      </c>
      <c r="G798" s="5" t="s">
        <v>34</v>
      </c>
      <c r="H798" s="5" t="s">
        <v>54</v>
      </c>
      <c r="I798" s="5" t="s">
        <v>7704</v>
      </c>
      <c r="J798" s="5" t="s">
        <v>37</v>
      </c>
      <c r="K798" s="5" t="s">
        <v>38</v>
      </c>
      <c r="L798" s="5" t="s">
        <v>40</v>
      </c>
      <c r="M798" s="5" t="s">
        <v>56</v>
      </c>
      <c r="N798" s="5" t="s">
        <v>37</v>
      </c>
      <c r="O798" s="5" t="s">
        <v>39</v>
      </c>
      <c r="P798" s="5" t="s">
        <v>56</v>
      </c>
      <c r="Q798" s="5" t="s">
        <v>37</v>
      </c>
      <c r="R798" s="5" t="s">
        <v>40</v>
      </c>
      <c r="S798" s="5" t="s">
        <v>41</v>
      </c>
      <c r="T798" s="5" t="s">
        <v>7310</v>
      </c>
      <c r="U798" s="5" t="s">
        <v>7311</v>
      </c>
      <c r="V798" s="5" t="s">
        <v>6450</v>
      </c>
      <c r="W798" s="5" t="s">
        <v>7312</v>
      </c>
      <c r="X798" s="5"/>
      <c r="Y798" s="5"/>
      <c r="Z798" s="5" t="s">
        <v>46</v>
      </c>
      <c r="AA798" s="5" t="s">
        <v>6457</v>
      </c>
      <c r="AB798" s="5" t="s">
        <v>5658</v>
      </c>
      <c r="AC798" s="7">
        <v>1</v>
      </c>
      <c r="AD798" t="str">
        <f>VLOOKUP($T798,[1]NhanSu!$C$5:$M$229,11,0)</f>
        <v>SM0000126</v>
      </c>
    </row>
    <row r="799" spans="1:30" x14ac:dyDescent="0.45">
      <c r="A799" s="8" t="s">
        <v>6444</v>
      </c>
      <c r="B799" s="4">
        <v>506</v>
      </c>
      <c r="C799" s="4" t="s">
        <v>7928</v>
      </c>
      <c r="D799" s="4" t="s">
        <v>7929</v>
      </c>
      <c r="E799" s="4" t="s">
        <v>291</v>
      </c>
      <c r="F799" s="4" t="s">
        <v>7930</v>
      </c>
      <c r="G799" s="4" t="s">
        <v>34</v>
      </c>
      <c r="H799" s="4" t="s">
        <v>54</v>
      </c>
      <c r="I799" s="4" t="s">
        <v>7931</v>
      </c>
      <c r="J799" s="4" t="s">
        <v>775</v>
      </c>
      <c r="K799" s="4" t="s">
        <v>56</v>
      </c>
      <c r="L799" s="4" t="s">
        <v>121</v>
      </c>
      <c r="M799" s="4" t="s">
        <v>37</v>
      </c>
      <c r="N799" s="4" t="s">
        <v>37</v>
      </c>
      <c r="O799" s="4" t="s">
        <v>39</v>
      </c>
      <c r="P799" s="4" t="s">
        <v>38</v>
      </c>
      <c r="Q799" s="4" t="s">
        <v>37</v>
      </c>
      <c r="R799" s="4" t="s">
        <v>39</v>
      </c>
      <c r="S799" s="4" t="s">
        <v>7932</v>
      </c>
      <c r="T799" s="4" t="s">
        <v>7319</v>
      </c>
      <c r="U799" s="4" t="s">
        <v>7311</v>
      </c>
      <c r="V799" s="4" t="s">
        <v>6450</v>
      </c>
      <c r="W799" s="4" t="s">
        <v>5607</v>
      </c>
      <c r="X799" s="4"/>
      <c r="Y799" s="4"/>
      <c r="Z799" s="4" t="s">
        <v>46</v>
      </c>
      <c r="AA799" s="4" t="s">
        <v>7370</v>
      </c>
      <c r="AB799" s="4" t="s">
        <v>3109</v>
      </c>
      <c r="AC799" s="9">
        <v>1</v>
      </c>
      <c r="AD799" t="str">
        <f>VLOOKUP($T799,[1]NhanSu!$C$5:$M$229,11,0)</f>
        <v>SM0000125</v>
      </c>
    </row>
    <row r="800" spans="1:30" x14ac:dyDescent="0.45">
      <c r="A800" s="6" t="s">
        <v>6444</v>
      </c>
      <c r="B800" s="5">
        <v>507</v>
      </c>
      <c r="C800" s="5" t="s">
        <v>7933</v>
      </c>
      <c r="D800" s="5" t="s">
        <v>7934</v>
      </c>
      <c r="E800" s="5" t="s">
        <v>91</v>
      </c>
      <c r="F800" s="5" t="s">
        <v>829</v>
      </c>
      <c r="G800" s="5" t="s">
        <v>177</v>
      </c>
      <c r="H800" s="5" t="s">
        <v>54</v>
      </c>
      <c r="I800" s="5" t="s">
        <v>7935</v>
      </c>
      <c r="J800" s="5" t="s">
        <v>775</v>
      </c>
      <c r="K800" s="5" t="s">
        <v>56</v>
      </c>
      <c r="L800" s="5" t="s">
        <v>39</v>
      </c>
      <c r="M800" s="5" t="s">
        <v>56</v>
      </c>
      <c r="N800" s="5" t="s">
        <v>775</v>
      </c>
      <c r="O800" s="5" t="s">
        <v>39</v>
      </c>
      <c r="P800" s="5" t="s">
        <v>37</v>
      </c>
      <c r="Q800" s="5" t="s">
        <v>37</v>
      </c>
      <c r="R800" s="5" t="s">
        <v>40</v>
      </c>
      <c r="S800" s="5" t="s">
        <v>7936</v>
      </c>
      <c r="T800" s="5" t="s">
        <v>7310</v>
      </c>
      <c r="U800" s="5" t="s">
        <v>7311</v>
      </c>
      <c r="V800" s="5" t="s">
        <v>6450</v>
      </c>
      <c r="W800" s="5" t="s">
        <v>7312</v>
      </c>
      <c r="X800" s="5"/>
      <c r="Y800" s="5"/>
      <c r="Z800" s="5" t="s">
        <v>46</v>
      </c>
      <c r="AA800" s="5" t="s">
        <v>6457</v>
      </c>
      <c r="AB800" s="5" t="s">
        <v>3109</v>
      </c>
      <c r="AC800" s="7">
        <v>1</v>
      </c>
      <c r="AD800" t="str">
        <f>VLOOKUP($T800,[1]NhanSu!$C$5:$M$229,11,0)</f>
        <v>SM0000126</v>
      </c>
    </row>
    <row r="801" spans="1:30" x14ac:dyDescent="0.45">
      <c r="A801" s="8" t="s">
        <v>6444</v>
      </c>
      <c r="B801" s="4">
        <v>508</v>
      </c>
      <c r="C801" s="4" t="s">
        <v>7937</v>
      </c>
      <c r="D801" s="4" t="s">
        <v>7938</v>
      </c>
      <c r="E801" s="4" t="s">
        <v>69</v>
      </c>
      <c r="F801" s="4" t="s">
        <v>53</v>
      </c>
      <c r="G801" s="4" t="s">
        <v>34</v>
      </c>
      <c r="H801" s="4" t="s">
        <v>54</v>
      </c>
      <c r="I801" s="4" t="s">
        <v>7939</v>
      </c>
      <c r="J801" s="4" t="s">
        <v>38</v>
      </c>
      <c r="K801" s="4" t="s">
        <v>38</v>
      </c>
      <c r="L801" s="4" t="s">
        <v>39</v>
      </c>
      <c r="M801" s="4" t="s">
        <v>38</v>
      </c>
      <c r="N801" s="4" t="s">
        <v>37</v>
      </c>
      <c r="O801" s="4" t="s">
        <v>39</v>
      </c>
      <c r="P801" s="4" t="s">
        <v>38</v>
      </c>
      <c r="Q801" s="4" t="s">
        <v>37</v>
      </c>
      <c r="R801" s="4" t="s">
        <v>39</v>
      </c>
      <c r="S801" s="4" t="s">
        <v>7940</v>
      </c>
      <c r="T801" s="4" t="s">
        <v>7319</v>
      </c>
      <c r="U801" s="4" t="s">
        <v>7311</v>
      </c>
      <c r="V801" s="4" t="s">
        <v>6450</v>
      </c>
      <c r="W801" s="4" t="s">
        <v>7312</v>
      </c>
      <c r="X801" s="4"/>
      <c r="Y801" s="4"/>
      <c r="Z801" s="4" t="s">
        <v>46</v>
      </c>
      <c r="AA801" s="4" t="s">
        <v>7370</v>
      </c>
      <c r="AB801" s="4" t="s">
        <v>3109</v>
      </c>
      <c r="AC801" s="9">
        <v>1</v>
      </c>
      <c r="AD801" t="str">
        <f>VLOOKUP($T801,[1]NhanSu!$C$5:$M$229,11,0)</f>
        <v>SM0000125</v>
      </c>
    </row>
    <row r="802" spans="1:30" x14ac:dyDescent="0.45">
      <c r="A802" s="6" t="s">
        <v>6444</v>
      </c>
      <c r="B802" s="5">
        <v>509</v>
      </c>
      <c r="C802" s="5" t="s">
        <v>7941</v>
      </c>
      <c r="D802" s="5" t="s">
        <v>7942</v>
      </c>
      <c r="E802" s="5" t="s">
        <v>176</v>
      </c>
      <c r="F802" s="5" t="s">
        <v>53</v>
      </c>
      <c r="G802" s="5" t="s">
        <v>34</v>
      </c>
      <c r="H802" s="5" t="s">
        <v>54</v>
      </c>
      <c r="I802" s="5" t="s">
        <v>7734</v>
      </c>
      <c r="J802" s="5" t="s">
        <v>56</v>
      </c>
      <c r="K802" s="5" t="s">
        <v>56</v>
      </c>
      <c r="L802" s="5" t="s">
        <v>39</v>
      </c>
      <c r="M802" s="5" t="s">
        <v>37</v>
      </c>
      <c r="N802" s="5" t="s">
        <v>37</v>
      </c>
      <c r="O802" s="5" t="s">
        <v>39</v>
      </c>
      <c r="P802" s="5" t="s">
        <v>38</v>
      </c>
      <c r="Q802" s="5" t="s">
        <v>38</v>
      </c>
      <c r="R802" s="5" t="s">
        <v>39</v>
      </c>
      <c r="S802" s="5" t="s">
        <v>5460</v>
      </c>
      <c r="T802" s="5" t="s">
        <v>7327</v>
      </c>
      <c r="U802" s="5" t="s">
        <v>7311</v>
      </c>
      <c r="V802" s="5" t="s">
        <v>6450</v>
      </c>
      <c r="W802" s="5" t="s">
        <v>7312</v>
      </c>
      <c r="X802" s="5"/>
      <c r="Y802" s="5"/>
      <c r="Z802" s="5" t="s">
        <v>46</v>
      </c>
      <c r="AA802" s="5" t="s">
        <v>6457</v>
      </c>
      <c r="AB802" s="5" t="s">
        <v>4223</v>
      </c>
      <c r="AC802" s="7">
        <v>1</v>
      </c>
      <c r="AD802" t="str">
        <f>VLOOKUP($T802,[1]NhanSu!$C$5:$M$229,11,0)</f>
        <v>SM0000124</v>
      </c>
    </row>
    <row r="803" spans="1:30" x14ac:dyDescent="0.45">
      <c r="A803" s="8" t="s">
        <v>6444</v>
      </c>
      <c r="B803" s="4">
        <v>510</v>
      </c>
      <c r="C803" s="4" t="s">
        <v>7943</v>
      </c>
      <c r="D803" s="4" t="s">
        <v>7944</v>
      </c>
      <c r="E803" s="4" t="s">
        <v>148</v>
      </c>
      <c r="F803" s="4" t="s">
        <v>53</v>
      </c>
      <c r="G803" s="4" t="s">
        <v>34</v>
      </c>
      <c r="H803" s="4" t="s">
        <v>402</v>
      </c>
      <c r="I803" s="4" t="s">
        <v>7945</v>
      </c>
      <c r="J803" s="4" t="s">
        <v>56</v>
      </c>
      <c r="K803" s="4" t="s">
        <v>56</v>
      </c>
      <c r="L803" s="4" t="s">
        <v>39</v>
      </c>
      <c r="M803" s="4" t="s">
        <v>37</v>
      </c>
      <c r="N803" s="4" t="s">
        <v>37</v>
      </c>
      <c r="O803" s="4" t="s">
        <v>39</v>
      </c>
      <c r="P803" s="4" t="s">
        <v>38</v>
      </c>
      <c r="Q803" s="4" t="s">
        <v>38</v>
      </c>
      <c r="R803" s="4" t="s">
        <v>39</v>
      </c>
      <c r="S803" s="4" t="s">
        <v>1291</v>
      </c>
      <c r="T803" s="4" t="s">
        <v>7327</v>
      </c>
      <c r="U803" s="4" t="s">
        <v>7311</v>
      </c>
      <c r="V803" s="4" t="s">
        <v>6450</v>
      </c>
      <c r="W803" s="4" t="s">
        <v>5607</v>
      </c>
      <c r="X803" s="4"/>
      <c r="Y803" s="4"/>
      <c r="Z803" s="4" t="s">
        <v>46</v>
      </c>
      <c r="AA803" s="4" t="s">
        <v>7370</v>
      </c>
      <c r="AB803" s="4" t="s">
        <v>4223</v>
      </c>
      <c r="AC803" s="9">
        <v>1</v>
      </c>
      <c r="AD803" t="str">
        <f>VLOOKUP($T803,[1]NhanSu!$C$5:$M$229,11,0)</f>
        <v>SM0000124</v>
      </c>
    </row>
    <row r="804" spans="1:30" x14ac:dyDescent="0.45">
      <c r="A804" s="6" t="s">
        <v>6444</v>
      </c>
      <c r="B804" s="5">
        <v>511</v>
      </c>
      <c r="C804" s="5" t="s">
        <v>7946</v>
      </c>
      <c r="D804" s="5" t="s">
        <v>7947</v>
      </c>
      <c r="E804" s="5" t="s">
        <v>138</v>
      </c>
      <c r="F804" s="5" t="s">
        <v>401</v>
      </c>
      <c r="G804" s="5" t="s">
        <v>177</v>
      </c>
      <c r="H804" s="5" t="s">
        <v>54</v>
      </c>
      <c r="I804" s="5" t="s">
        <v>6268</v>
      </c>
      <c r="J804" s="5" t="s">
        <v>56</v>
      </c>
      <c r="K804" s="5" t="s">
        <v>56</v>
      </c>
      <c r="L804" s="5" t="s">
        <v>39</v>
      </c>
      <c r="M804" s="5" t="s">
        <v>56</v>
      </c>
      <c r="N804" s="5" t="s">
        <v>56</v>
      </c>
      <c r="O804" s="5" t="s">
        <v>39</v>
      </c>
      <c r="P804" s="5" t="s">
        <v>56</v>
      </c>
      <c r="Q804" s="5" t="s">
        <v>37</v>
      </c>
      <c r="R804" s="5" t="s">
        <v>40</v>
      </c>
      <c r="S804" s="5" t="s">
        <v>41</v>
      </c>
      <c r="T804" s="5" t="s">
        <v>7310</v>
      </c>
      <c r="U804" s="5" t="s">
        <v>7311</v>
      </c>
      <c r="V804" s="5" t="s">
        <v>6450</v>
      </c>
      <c r="W804" s="5" t="s">
        <v>5607</v>
      </c>
      <c r="X804" s="5"/>
      <c r="Y804" s="5"/>
      <c r="Z804" s="5" t="s">
        <v>46</v>
      </c>
      <c r="AA804" s="5" t="s">
        <v>7370</v>
      </c>
      <c r="AB804" s="5" t="s">
        <v>4223</v>
      </c>
      <c r="AC804" s="7">
        <v>1</v>
      </c>
      <c r="AD804" t="str">
        <f>VLOOKUP($T804,[1]NhanSu!$C$5:$M$229,11,0)</f>
        <v>SM0000126</v>
      </c>
    </row>
    <row r="805" spans="1:30" x14ac:dyDescent="0.45">
      <c r="A805" s="8" t="s">
        <v>6444</v>
      </c>
      <c r="B805" s="4">
        <v>512</v>
      </c>
      <c r="C805" s="4" t="s">
        <v>7948</v>
      </c>
      <c r="D805" s="4" t="s">
        <v>7949</v>
      </c>
      <c r="E805" s="4" t="s">
        <v>344</v>
      </c>
      <c r="F805" s="4" t="s">
        <v>401</v>
      </c>
      <c r="G805" s="4" t="s">
        <v>177</v>
      </c>
      <c r="H805" s="4" t="s">
        <v>54</v>
      </c>
      <c r="I805" s="4" t="s">
        <v>7722</v>
      </c>
      <c r="J805" s="4" t="s">
        <v>56</v>
      </c>
      <c r="K805" s="4" t="s">
        <v>56</v>
      </c>
      <c r="L805" s="4" t="s">
        <v>39</v>
      </c>
      <c r="M805" s="4" t="s">
        <v>775</v>
      </c>
      <c r="N805" s="4" t="s">
        <v>775</v>
      </c>
      <c r="O805" s="4" t="s">
        <v>39</v>
      </c>
      <c r="P805" s="4" t="s">
        <v>56</v>
      </c>
      <c r="Q805" s="4" t="s">
        <v>56</v>
      </c>
      <c r="R805" s="4" t="s">
        <v>39</v>
      </c>
      <c r="S805" s="4" t="s">
        <v>7950</v>
      </c>
      <c r="T805" s="4" t="s">
        <v>7310</v>
      </c>
      <c r="U805" s="4" t="s">
        <v>7311</v>
      </c>
      <c r="V805" s="4" t="s">
        <v>6450</v>
      </c>
      <c r="W805" s="4" t="s">
        <v>7312</v>
      </c>
      <c r="X805" s="4"/>
      <c r="Y805" s="4"/>
      <c r="Z805" s="4" t="s">
        <v>46</v>
      </c>
      <c r="AA805" s="4" t="s">
        <v>6457</v>
      </c>
      <c r="AB805" s="4" t="s">
        <v>4223</v>
      </c>
      <c r="AC805" s="9">
        <v>1</v>
      </c>
      <c r="AD805" t="str">
        <f>VLOOKUP($T805,[1]NhanSu!$C$5:$M$229,11,0)</f>
        <v>SM0000126</v>
      </c>
    </row>
    <row r="806" spans="1:30" x14ac:dyDescent="0.45">
      <c r="A806" s="6" t="s">
        <v>6444</v>
      </c>
      <c r="B806" s="5">
        <v>517</v>
      </c>
      <c r="C806" s="5" t="s">
        <v>7961</v>
      </c>
      <c r="D806" s="5" t="s">
        <v>7962</v>
      </c>
      <c r="E806" s="5" t="s">
        <v>162</v>
      </c>
      <c r="F806" s="5" t="s">
        <v>456</v>
      </c>
      <c r="G806" s="5" t="s">
        <v>34</v>
      </c>
      <c r="H806" s="5" t="s">
        <v>171</v>
      </c>
      <c r="I806" s="5" t="s">
        <v>7963</v>
      </c>
      <c r="J806" s="5" t="s">
        <v>37</v>
      </c>
      <c r="K806" s="5" t="s">
        <v>37</v>
      </c>
      <c r="L806" s="5" t="s">
        <v>39</v>
      </c>
      <c r="M806" s="5" t="s">
        <v>56</v>
      </c>
      <c r="N806" s="5" t="s">
        <v>56</v>
      </c>
      <c r="O806" s="5" t="s">
        <v>39</v>
      </c>
      <c r="P806" s="5" t="s">
        <v>38</v>
      </c>
      <c r="Q806" s="5" t="s">
        <v>38</v>
      </c>
      <c r="R806" s="5" t="s">
        <v>40</v>
      </c>
      <c r="S806" s="5" t="s">
        <v>7964</v>
      </c>
      <c r="T806" s="5" t="s">
        <v>7310</v>
      </c>
      <c r="U806" s="5" t="s">
        <v>7311</v>
      </c>
      <c r="V806" s="5" t="s">
        <v>6450</v>
      </c>
      <c r="W806" s="5" t="s">
        <v>7312</v>
      </c>
      <c r="X806" s="5"/>
      <c r="Y806" s="5"/>
      <c r="Z806" s="5" t="s">
        <v>46</v>
      </c>
      <c r="AA806" s="5" t="s">
        <v>6457</v>
      </c>
      <c r="AB806" s="5" t="s">
        <v>5658</v>
      </c>
      <c r="AC806" s="7">
        <v>1</v>
      </c>
      <c r="AD806" t="str">
        <f>VLOOKUP($T806,[1]NhanSu!$C$5:$M$229,11,0)</f>
        <v>SM0000126</v>
      </c>
    </row>
    <row r="807" spans="1:30" x14ac:dyDescent="0.45">
      <c r="A807" s="8" t="s">
        <v>6444</v>
      </c>
      <c r="B807" s="4">
        <v>519</v>
      </c>
      <c r="C807" s="4" t="s">
        <v>7969</v>
      </c>
      <c r="D807" s="4" t="s">
        <v>7970</v>
      </c>
      <c r="E807" s="4" t="s">
        <v>176</v>
      </c>
      <c r="F807" s="4" t="s">
        <v>53</v>
      </c>
      <c r="G807" s="4" t="s">
        <v>177</v>
      </c>
      <c r="H807" s="4" t="s">
        <v>54</v>
      </c>
      <c r="I807" s="4" t="s">
        <v>7315</v>
      </c>
      <c r="J807" s="4" t="s">
        <v>56</v>
      </c>
      <c r="K807" s="4" t="s">
        <v>38</v>
      </c>
      <c r="L807" s="4" t="s">
        <v>39</v>
      </c>
      <c r="M807" s="4" t="s">
        <v>56</v>
      </c>
      <c r="N807" s="4" t="s">
        <v>56</v>
      </c>
      <c r="O807" s="4" t="s">
        <v>39</v>
      </c>
      <c r="P807" s="4" t="s">
        <v>56</v>
      </c>
      <c r="Q807" s="4" t="s">
        <v>37</v>
      </c>
      <c r="R807" s="4" t="s">
        <v>39</v>
      </c>
      <c r="S807" s="4" t="s">
        <v>41</v>
      </c>
      <c r="T807" s="4" t="s">
        <v>7310</v>
      </c>
      <c r="U807" s="4" t="s">
        <v>7311</v>
      </c>
      <c r="V807" s="4" t="s">
        <v>6450</v>
      </c>
      <c r="W807" s="4" t="s">
        <v>7312</v>
      </c>
      <c r="X807" s="4"/>
      <c r="Y807" s="4"/>
      <c r="Z807" s="4" t="s">
        <v>46</v>
      </c>
      <c r="AA807" s="4" t="s">
        <v>6457</v>
      </c>
      <c r="AB807" s="4" t="s">
        <v>4223</v>
      </c>
      <c r="AC807" s="9">
        <v>1</v>
      </c>
      <c r="AD807" t="str">
        <f>VLOOKUP($T807,[1]NhanSu!$C$5:$M$229,11,0)</f>
        <v>SM0000126</v>
      </c>
    </row>
    <row r="808" spans="1:30" x14ac:dyDescent="0.45">
      <c r="A808" s="6" t="s">
        <v>6444</v>
      </c>
      <c r="B808" s="5">
        <v>520</v>
      </c>
      <c r="C808" s="5" t="s">
        <v>7971</v>
      </c>
      <c r="D808" s="5" t="s">
        <v>7972</v>
      </c>
      <c r="E808" s="5" t="s">
        <v>682</v>
      </c>
      <c r="F808" s="5" t="s">
        <v>7973</v>
      </c>
      <c r="G808" s="5" t="s">
        <v>34</v>
      </c>
      <c r="H808" s="5" t="s">
        <v>1263</v>
      </c>
      <c r="I808" s="5" t="s">
        <v>7974</v>
      </c>
      <c r="J808" s="5" t="s">
        <v>37</v>
      </c>
      <c r="K808" s="5" t="s">
        <v>37</v>
      </c>
      <c r="L808" s="5" t="s">
        <v>39</v>
      </c>
      <c r="M808" s="5" t="s">
        <v>37</v>
      </c>
      <c r="N808" s="5" t="s">
        <v>37</v>
      </c>
      <c r="O808" s="5" t="s">
        <v>39</v>
      </c>
      <c r="P808" s="5" t="s">
        <v>37</v>
      </c>
      <c r="Q808" s="5" t="s">
        <v>37</v>
      </c>
      <c r="R808" s="5" t="s">
        <v>39</v>
      </c>
      <c r="S808" s="5" t="s">
        <v>41</v>
      </c>
      <c r="T808" s="5" t="s">
        <v>7327</v>
      </c>
      <c r="U808" s="5" t="s">
        <v>7311</v>
      </c>
      <c r="V808" s="5" t="s">
        <v>6450</v>
      </c>
      <c r="W808" s="5" t="s">
        <v>7312</v>
      </c>
      <c r="X808" s="5"/>
      <c r="Y808" s="5"/>
      <c r="Z808" s="5" t="s">
        <v>46</v>
      </c>
      <c r="AA808" s="5" t="s">
        <v>6457</v>
      </c>
      <c r="AB808" s="5" t="s">
        <v>4223</v>
      </c>
      <c r="AC808" s="7">
        <v>1</v>
      </c>
      <c r="AD808" t="str">
        <f>VLOOKUP($T808,[1]NhanSu!$C$5:$M$229,11,0)</f>
        <v>SM0000124</v>
      </c>
    </row>
    <row r="809" spans="1:30" x14ac:dyDescent="0.45">
      <c r="A809" s="8" t="s">
        <v>6444</v>
      </c>
      <c r="B809" s="4">
        <v>521</v>
      </c>
      <c r="C809" s="4" t="s">
        <v>7975</v>
      </c>
      <c r="D809" s="4" t="s">
        <v>7976</v>
      </c>
      <c r="E809" s="4" t="s">
        <v>148</v>
      </c>
      <c r="F809" s="4" t="s">
        <v>4759</v>
      </c>
      <c r="G809" s="4" t="s">
        <v>34</v>
      </c>
      <c r="H809" s="4" t="s">
        <v>54</v>
      </c>
      <c r="I809" s="4" t="s">
        <v>7977</v>
      </c>
      <c r="J809" s="4" t="s">
        <v>56</v>
      </c>
      <c r="K809" s="4" t="s">
        <v>56</v>
      </c>
      <c r="L809" s="4" t="s">
        <v>121</v>
      </c>
      <c r="M809" s="4" t="s">
        <v>37</v>
      </c>
      <c r="N809" s="4" t="s">
        <v>37</v>
      </c>
      <c r="O809" s="4" t="s">
        <v>39</v>
      </c>
      <c r="P809" s="4" t="s">
        <v>37</v>
      </c>
      <c r="Q809" s="4" t="s">
        <v>37</v>
      </c>
      <c r="R809" s="4" t="s">
        <v>39</v>
      </c>
      <c r="S809" s="4" t="s">
        <v>41</v>
      </c>
      <c r="T809" s="4" t="s">
        <v>7319</v>
      </c>
      <c r="U809" s="4" t="s">
        <v>7311</v>
      </c>
      <c r="V809" s="4" t="s">
        <v>6450</v>
      </c>
      <c r="W809" s="4" t="s">
        <v>7312</v>
      </c>
      <c r="X809" s="4"/>
      <c r="Y809" s="4"/>
      <c r="Z809" s="4" t="s">
        <v>46</v>
      </c>
      <c r="AA809" s="4" t="s">
        <v>7370</v>
      </c>
      <c r="AB809" s="4" t="s">
        <v>4223</v>
      </c>
      <c r="AC809" s="9">
        <v>1</v>
      </c>
      <c r="AD809" t="str">
        <f>VLOOKUP($T809,[1]NhanSu!$C$5:$M$229,11,0)</f>
        <v>SM0000125</v>
      </c>
    </row>
    <row r="810" spans="1:30" x14ac:dyDescent="0.45">
      <c r="A810" s="6" t="s">
        <v>6444</v>
      </c>
      <c r="B810" s="5">
        <v>522</v>
      </c>
      <c r="C810" s="5" t="s">
        <v>7978</v>
      </c>
      <c r="D810" s="5" t="s">
        <v>7979</v>
      </c>
      <c r="E810" s="5" t="s">
        <v>290</v>
      </c>
      <c r="F810" s="5" t="s">
        <v>535</v>
      </c>
      <c r="G810" s="5" t="s">
        <v>177</v>
      </c>
      <c r="H810" s="5" t="s">
        <v>54</v>
      </c>
      <c r="I810" s="5" t="s">
        <v>7980</v>
      </c>
      <c r="J810" s="5" t="s">
        <v>56</v>
      </c>
      <c r="K810" s="5" t="s">
        <v>37</v>
      </c>
      <c r="L810" s="5" t="s">
        <v>121</v>
      </c>
      <c r="M810" s="5" t="s">
        <v>56</v>
      </c>
      <c r="N810" s="5" t="s">
        <v>37</v>
      </c>
      <c r="O810" s="5" t="s">
        <v>39</v>
      </c>
      <c r="P810" s="5" t="s">
        <v>37</v>
      </c>
      <c r="Q810" s="5" t="s">
        <v>37</v>
      </c>
      <c r="R810" s="5" t="s">
        <v>39</v>
      </c>
      <c r="S810" s="5" t="s">
        <v>41</v>
      </c>
      <c r="T810" s="5" t="s">
        <v>7319</v>
      </c>
      <c r="U810" s="5" t="s">
        <v>7311</v>
      </c>
      <c r="V810" s="5" t="s">
        <v>6450</v>
      </c>
      <c r="W810" s="5" t="s">
        <v>7312</v>
      </c>
      <c r="X810" s="5"/>
      <c r="Y810" s="5"/>
      <c r="Z810" s="5" t="s">
        <v>46</v>
      </c>
      <c r="AA810" s="5" t="s">
        <v>7370</v>
      </c>
      <c r="AB810" s="5" t="s">
        <v>4223</v>
      </c>
      <c r="AC810" s="7">
        <v>1</v>
      </c>
      <c r="AD810" t="str">
        <f>VLOOKUP($T810,[1]NhanSu!$C$5:$M$229,11,0)</f>
        <v>SM0000125</v>
      </c>
    </row>
    <row r="811" spans="1:30" x14ac:dyDescent="0.45">
      <c r="A811" s="8" t="s">
        <v>7995</v>
      </c>
      <c r="B811" s="4">
        <v>1</v>
      </c>
      <c r="C811" s="4" t="s">
        <v>7996</v>
      </c>
      <c r="D811" s="4" t="s">
        <v>7997</v>
      </c>
      <c r="E811" s="4" t="s">
        <v>69</v>
      </c>
      <c r="F811" s="4" t="s">
        <v>53</v>
      </c>
      <c r="G811" s="4" t="s">
        <v>34</v>
      </c>
      <c r="H811" s="4" t="s">
        <v>54</v>
      </c>
      <c r="I811" s="4" t="s">
        <v>7998</v>
      </c>
      <c r="J811" s="4" t="s">
        <v>56</v>
      </c>
      <c r="K811" s="4" t="s">
        <v>56</v>
      </c>
      <c r="L811" s="4" t="s">
        <v>40</v>
      </c>
      <c r="M811" s="4" t="s">
        <v>56</v>
      </c>
      <c r="N811" s="4" t="s">
        <v>56</v>
      </c>
      <c r="O811" s="4" t="s">
        <v>40</v>
      </c>
      <c r="P811" s="4" t="s">
        <v>56</v>
      </c>
      <c r="Q811" s="4" t="s">
        <v>56</v>
      </c>
      <c r="R811" s="4" t="s">
        <v>40</v>
      </c>
      <c r="S811" s="4" t="s">
        <v>7999</v>
      </c>
      <c r="T811" s="4" t="s">
        <v>8000</v>
      </c>
      <c r="U811" s="4" t="s">
        <v>8001</v>
      </c>
      <c r="V811" s="4" t="s">
        <v>8002</v>
      </c>
      <c r="W811" s="4" t="s">
        <v>8003</v>
      </c>
      <c r="X811" s="4"/>
      <c r="Y811" s="4"/>
      <c r="Z811" s="4" t="s">
        <v>46</v>
      </c>
      <c r="AA811" s="4" t="s">
        <v>8000</v>
      </c>
      <c r="AB811" s="4"/>
      <c r="AC811" s="9">
        <v>1</v>
      </c>
      <c r="AD811" t="str">
        <f>VLOOKUP($T811,[1]NhanSu!$C$5:$M$229,11,0)</f>
        <v>SM0000022</v>
      </c>
    </row>
    <row r="812" spans="1:30" x14ac:dyDescent="0.45">
      <c r="A812" s="6" t="s">
        <v>7995</v>
      </c>
      <c r="B812" s="5">
        <v>14</v>
      </c>
      <c r="C812" s="5" t="s">
        <v>8058</v>
      </c>
      <c r="D812" s="5" t="s">
        <v>5616</v>
      </c>
      <c r="E812" s="5" t="s">
        <v>75</v>
      </c>
      <c r="F812" s="5" t="s">
        <v>401</v>
      </c>
      <c r="G812" s="5" t="s">
        <v>34</v>
      </c>
      <c r="H812" s="5" t="s">
        <v>1177</v>
      </c>
      <c r="I812" s="5" t="s">
        <v>8059</v>
      </c>
      <c r="J812" s="5" t="s">
        <v>38</v>
      </c>
      <c r="K812" s="5" t="s">
        <v>38</v>
      </c>
      <c r="L812" s="5" t="s">
        <v>39</v>
      </c>
      <c r="M812" s="5" t="s">
        <v>38</v>
      </c>
      <c r="N812" s="5" t="s">
        <v>38</v>
      </c>
      <c r="O812" s="5" t="s">
        <v>39</v>
      </c>
      <c r="P812" s="5" t="s">
        <v>38</v>
      </c>
      <c r="Q812" s="5" t="s">
        <v>38</v>
      </c>
      <c r="R812" s="5" t="s">
        <v>39</v>
      </c>
      <c r="S812" s="5" t="s">
        <v>41</v>
      </c>
      <c r="T812" s="5" t="s">
        <v>8060</v>
      </c>
      <c r="U812" s="5" t="s">
        <v>8016</v>
      </c>
      <c r="V812" s="5" t="s">
        <v>8002</v>
      </c>
      <c r="W812" s="5" t="s">
        <v>8010</v>
      </c>
      <c r="X812" s="5"/>
      <c r="Y812" s="5"/>
      <c r="Z812" s="5" t="s">
        <v>46</v>
      </c>
      <c r="AA812" s="5" t="s">
        <v>8060</v>
      </c>
      <c r="AB812" s="5"/>
      <c r="AC812" s="7">
        <v>1</v>
      </c>
      <c r="AD812" t="str">
        <f>VLOOKUP($T812,[1]NhanSu!$C$5:$M$229,11,0)</f>
        <v>SM0000026</v>
      </c>
    </row>
    <row r="813" spans="1:30" x14ac:dyDescent="0.45">
      <c r="A813" s="8" t="s">
        <v>7995</v>
      </c>
      <c r="B813" s="4">
        <v>23</v>
      </c>
      <c r="C813" s="4" t="s">
        <v>8089</v>
      </c>
      <c r="D813" s="4" t="s">
        <v>8090</v>
      </c>
      <c r="E813" s="4" t="s">
        <v>291</v>
      </c>
      <c r="F813" s="4" t="s">
        <v>115</v>
      </c>
      <c r="G813" s="4" t="s">
        <v>34</v>
      </c>
      <c r="H813" s="4" t="s">
        <v>340</v>
      </c>
      <c r="I813" s="4" t="s">
        <v>8091</v>
      </c>
      <c r="J813" s="4" t="s">
        <v>37</v>
      </c>
      <c r="K813" s="4" t="s">
        <v>37</v>
      </c>
      <c r="L813" s="4" t="s">
        <v>39</v>
      </c>
      <c r="M813" s="4" t="s">
        <v>37</v>
      </c>
      <c r="N813" s="4" t="s">
        <v>37</v>
      </c>
      <c r="O813" s="4" t="s">
        <v>39</v>
      </c>
      <c r="P813" s="4" t="s">
        <v>38</v>
      </c>
      <c r="Q813" s="4" t="s">
        <v>37</v>
      </c>
      <c r="R813" s="4" t="s">
        <v>39</v>
      </c>
      <c r="S813" s="4" t="s">
        <v>41</v>
      </c>
      <c r="T813" s="4" t="s">
        <v>8083</v>
      </c>
      <c r="U813" s="4" t="s">
        <v>8084</v>
      </c>
      <c r="V813" s="4" t="s">
        <v>8002</v>
      </c>
      <c r="W813" s="4" t="s">
        <v>8085</v>
      </c>
      <c r="X813" s="4"/>
      <c r="Y813" s="4"/>
      <c r="Z813" s="4" t="s">
        <v>46</v>
      </c>
      <c r="AA813" s="4" t="s">
        <v>8092</v>
      </c>
      <c r="AB813" s="4"/>
      <c r="AC813" s="9">
        <v>1</v>
      </c>
      <c r="AD813" t="str">
        <f>VLOOKUP($T813,[1]NhanSu!$C$5:$M$229,11,0)</f>
        <v>SM0000155</v>
      </c>
    </row>
    <row r="814" spans="1:30" x14ac:dyDescent="0.45">
      <c r="A814" s="6" t="s">
        <v>7995</v>
      </c>
      <c r="B814" s="5">
        <v>26</v>
      </c>
      <c r="C814" s="5" t="s">
        <v>8099</v>
      </c>
      <c r="D814" s="5" t="s">
        <v>8100</v>
      </c>
      <c r="E814" s="5" t="s">
        <v>108</v>
      </c>
      <c r="F814" s="5" t="s">
        <v>53</v>
      </c>
      <c r="G814" s="5" t="s">
        <v>34</v>
      </c>
      <c r="H814" s="5" t="s">
        <v>54</v>
      </c>
      <c r="I814" s="5" t="s">
        <v>8101</v>
      </c>
      <c r="J814" s="5" t="s">
        <v>56</v>
      </c>
      <c r="K814" s="5" t="s">
        <v>56</v>
      </c>
      <c r="L814" s="5" t="s">
        <v>40</v>
      </c>
      <c r="M814" s="5" t="s">
        <v>56</v>
      </c>
      <c r="N814" s="5" t="s">
        <v>56</v>
      </c>
      <c r="O814" s="5" t="s">
        <v>40</v>
      </c>
      <c r="P814" s="5" t="s">
        <v>56</v>
      </c>
      <c r="Q814" s="5" t="s">
        <v>56</v>
      </c>
      <c r="R814" s="5" t="s">
        <v>40</v>
      </c>
      <c r="S814" s="5" t="s">
        <v>7999</v>
      </c>
      <c r="T814" s="5" t="s">
        <v>8000</v>
      </c>
      <c r="U814" s="5" t="s">
        <v>8001</v>
      </c>
      <c r="V814" s="5" t="s">
        <v>8002</v>
      </c>
      <c r="W814" s="5" t="s">
        <v>8003</v>
      </c>
      <c r="X814" s="5"/>
      <c r="Y814" s="5"/>
      <c r="Z814" s="5" t="s">
        <v>46</v>
      </c>
      <c r="AA814" s="5" t="s">
        <v>8000</v>
      </c>
      <c r="AB814" s="5"/>
      <c r="AC814" s="7">
        <v>1</v>
      </c>
      <c r="AD814" t="str">
        <f>VLOOKUP($T814,[1]NhanSu!$C$5:$M$229,11,0)</f>
        <v>SM0000022</v>
      </c>
    </row>
    <row r="815" spans="1:30" x14ac:dyDescent="0.45">
      <c r="A815" s="8" t="s">
        <v>7995</v>
      </c>
      <c r="B815" s="4">
        <v>29</v>
      </c>
      <c r="C815" s="4" t="s">
        <v>8109</v>
      </c>
      <c r="D815" s="4" t="s">
        <v>8110</v>
      </c>
      <c r="E815" s="4" t="s">
        <v>206</v>
      </c>
      <c r="F815" s="4" t="s">
        <v>53</v>
      </c>
      <c r="G815" s="4" t="s">
        <v>34</v>
      </c>
      <c r="H815" s="4" t="s">
        <v>54</v>
      </c>
      <c r="I815" s="4" t="s">
        <v>8101</v>
      </c>
      <c r="J815" s="4" t="s">
        <v>56</v>
      </c>
      <c r="K815" s="4" t="s">
        <v>56</v>
      </c>
      <c r="L815" s="4" t="s">
        <v>40</v>
      </c>
      <c r="M815" s="4" t="s">
        <v>56</v>
      </c>
      <c r="N815" s="4" t="s">
        <v>56</v>
      </c>
      <c r="O815" s="4" t="s">
        <v>40</v>
      </c>
      <c r="P815" s="4" t="s">
        <v>56</v>
      </c>
      <c r="Q815" s="4" t="s">
        <v>56</v>
      </c>
      <c r="R815" s="4" t="s">
        <v>40</v>
      </c>
      <c r="S815" s="4" t="s">
        <v>7999</v>
      </c>
      <c r="T815" s="4" t="s">
        <v>8000</v>
      </c>
      <c r="U815" s="4" t="s">
        <v>8001</v>
      </c>
      <c r="V815" s="4" t="s">
        <v>8002</v>
      </c>
      <c r="W815" s="4" t="s">
        <v>8003</v>
      </c>
      <c r="X815" s="4"/>
      <c r="Y815" s="4"/>
      <c r="Z815" s="4" t="s">
        <v>46</v>
      </c>
      <c r="AA815" s="4" t="s">
        <v>8000</v>
      </c>
      <c r="AB815" s="4"/>
      <c r="AC815" s="9">
        <v>1</v>
      </c>
      <c r="AD815" t="str">
        <f>VLOOKUP($T815,[1]NhanSu!$C$5:$M$229,11,0)</f>
        <v>SM0000022</v>
      </c>
    </row>
    <row r="816" spans="1:30" x14ac:dyDescent="0.45">
      <c r="A816" s="6" t="s">
        <v>7995</v>
      </c>
      <c r="B816" s="5">
        <v>46</v>
      </c>
      <c r="C816" s="5" t="s">
        <v>8167</v>
      </c>
      <c r="D816" s="5" t="s">
        <v>8168</v>
      </c>
      <c r="E816" s="5" t="s">
        <v>1680</v>
      </c>
      <c r="F816" s="5" t="s">
        <v>166</v>
      </c>
      <c r="G816" s="5" t="s">
        <v>34</v>
      </c>
      <c r="H816" s="5" t="s">
        <v>332</v>
      </c>
      <c r="I816" s="5" t="s">
        <v>2086</v>
      </c>
      <c r="J816" s="5" t="s">
        <v>38</v>
      </c>
      <c r="K816" s="5" t="s">
        <v>38</v>
      </c>
      <c r="L816" s="5" t="s">
        <v>39</v>
      </c>
      <c r="M816" s="5" t="s">
        <v>38</v>
      </c>
      <c r="N816" s="5" t="s">
        <v>38</v>
      </c>
      <c r="O816" s="5" t="s">
        <v>39</v>
      </c>
      <c r="P816" s="5" t="s">
        <v>38</v>
      </c>
      <c r="Q816" s="5" t="s">
        <v>38</v>
      </c>
      <c r="R816" s="5" t="s">
        <v>39</v>
      </c>
      <c r="S816" s="5" t="s">
        <v>41</v>
      </c>
      <c r="T816" s="5" t="s">
        <v>8060</v>
      </c>
      <c r="U816" s="5" t="s">
        <v>8016</v>
      </c>
      <c r="V816" s="5" t="s">
        <v>8002</v>
      </c>
      <c r="W816" s="5" t="s">
        <v>8010</v>
      </c>
      <c r="X816" s="5"/>
      <c r="Y816" s="5"/>
      <c r="Z816" s="5" t="s">
        <v>46</v>
      </c>
      <c r="AA816" s="5" t="s">
        <v>8060</v>
      </c>
      <c r="AB816" s="5"/>
      <c r="AC816" s="7">
        <v>1</v>
      </c>
      <c r="AD816" t="str">
        <f>VLOOKUP($T816,[1]NhanSu!$C$5:$M$229,11,0)</f>
        <v>SM0000026</v>
      </c>
    </row>
    <row r="817" spans="1:30" x14ac:dyDescent="0.45">
      <c r="A817" s="8" t="s">
        <v>7995</v>
      </c>
      <c r="B817" s="4">
        <v>63</v>
      </c>
      <c r="C817" s="4" t="s">
        <v>8229</v>
      </c>
      <c r="D817" s="4" t="s">
        <v>8230</v>
      </c>
      <c r="E817" s="4" t="s">
        <v>416</v>
      </c>
      <c r="F817" s="4" t="s">
        <v>166</v>
      </c>
      <c r="G817" s="4" t="s">
        <v>34</v>
      </c>
      <c r="H817" s="4" t="s">
        <v>1542</v>
      </c>
      <c r="I817" s="4" t="s">
        <v>8231</v>
      </c>
      <c r="J817" s="4" t="s">
        <v>38</v>
      </c>
      <c r="K817" s="4" t="s">
        <v>37</v>
      </c>
      <c r="L817" s="4" t="s">
        <v>39</v>
      </c>
      <c r="M817" s="4" t="s">
        <v>38</v>
      </c>
      <c r="N817" s="4" t="s">
        <v>37</v>
      </c>
      <c r="O817" s="4" t="s">
        <v>39</v>
      </c>
      <c r="P817" s="4" t="s">
        <v>38</v>
      </c>
      <c r="Q817" s="4" t="s">
        <v>38</v>
      </c>
      <c r="R817" s="4" t="s">
        <v>39</v>
      </c>
      <c r="S817" s="4" t="s">
        <v>8191</v>
      </c>
      <c r="T817" s="4" t="s">
        <v>8192</v>
      </c>
      <c r="U817" s="4" t="s">
        <v>8084</v>
      </c>
      <c r="V817" s="4" t="s">
        <v>8002</v>
      </c>
      <c r="W817" s="4" t="s">
        <v>8085</v>
      </c>
      <c r="X817" s="4"/>
      <c r="Y817" s="4"/>
      <c r="Z817" s="4" t="s">
        <v>46</v>
      </c>
      <c r="AA817" s="4" t="s">
        <v>8192</v>
      </c>
      <c r="AB817" s="4"/>
      <c r="AC817" s="9">
        <v>1</v>
      </c>
      <c r="AD817" t="str">
        <f>VLOOKUP($T817,[1]NhanSu!$C$5:$M$229,11,0)</f>
        <v>SM0000021</v>
      </c>
    </row>
    <row r="818" spans="1:30" x14ac:dyDescent="0.45">
      <c r="A818" s="6" t="s">
        <v>7995</v>
      </c>
      <c r="B818" s="5">
        <v>80</v>
      </c>
      <c r="C818" s="5" t="s">
        <v>8289</v>
      </c>
      <c r="D818" s="5" t="s">
        <v>8290</v>
      </c>
      <c r="E818" s="5" t="s">
        <v>529</v>
      </c>
      <c r="F818" s="5" t="s">
        <v>401</v>
      </c>
      <c r="G818" s="5" t="s">
        <v>34</v>
      </c>
      <c r="H818" s="5" t="s">
        <v>1188</v>
      </c>
      <c r="I818" s="5" t="s">
        <v>8291</v>
      </c>
      <c r="J818" s="5" t="s">
        <v>38</v>
      </c>
      <c r="K818" s="5" t="s">
        <v>38</v>
      </c>
      <c r="L818" s="5" t="s">
        <v>40</v>
      </c>
      <c r="M818" s="5" t="s">
        <v>37</v>
      </c>
      <c r="N818" s="5" t="s">
        <v>37</v>
      </c>
      <c r="O818" s="5" t="s">
        <v>39</v>
      </c>
      <c r="P818" s="5" t="s">
        <v>38</v>
      </c>
      <c r="Q818" s="5" t="s">
        <v>38</v>
      </c>
      <c r="R818" s="5" t="s">
        <v>40</v>
      </c>
      <c r="S818" s="5" t="s">
        <v>627</v>
      </c>
      <c r="T818" s="5" t="s">
        <v>8196</v>
      </c>
      <c r="U818" s="5" t="s">
        <v>8001</v>
      </c>
      <c r="V818" s="5" t="s">
        <v>8002</v>
      </c>
      <c r="W818" s="5" t="s">
        <v>8003</v>
      </c>
      <c r="X818" s="5"/>
      <c r="Y818" s="5"/>
      <c r="Z818" s="5" t="s">
        <v>46</v>
      </c>
      <c r="AA818" s="5" t="s">
        <v>8196</v>
      </c>
      <c r="AB818" s="5"/>
      <c r="AC818" s="7">
        <v>1</v>
      </c>
      <c r="AD818" t="str">
        <f>VLOOKUP($T818,[1]NhanSu!$C$5:$M$229,11,0)</f>
        <v>SM0000023</v>
      </c>
    </row>
    <row r="819" spans="1:30" x14ac:dyDescent="0.45">
      <c r="A819" s="8" t="s">
        <v>7995</v>
      </c>
      <c r="B819" s="4">
        <v>83</v>
      </c>
      <c r="C819" s="4" t="s">
        <v>8300</v>
      </c>
      <c r="D819" s="4" t="s">
        <v>8301</v>
      </c>
      <c r="E819" s="4" t="s">
        <v>8302</v>
      </c>
      <c r="F819" s="4" t="s">
        <v>426</v>
      </c>
      <c r="G819" s="4" t="s">
        <v>34</v>
      </c>
      <c r="H819" s="4" t="s">
        <v>708</v>
      </c>
      <c r="I819" s="4" t="s">
        <v>8303</v>
      </c>
      <c r="J819" s="4" t="s">
        <v>37</v>
      </c>
      <c r="K819" s="4" t="s">
        <v>37</v>
      </c>
      <c r="L819" s="4" t="s">
        <v>39</v>
      </c>
      <c r="M819" s="4" t="s">
        <v>37</v>
      </c>
      <c r="N819" s="4" t="s">
        <v>37</v>
      </c>
      <c r="O819" s="4" t="s">
        <v>39</v>
      </c>
      <c r="P819" s="4" t="s">
        <v>38</v>
      </c>
      <c r="Q819" s="4" t="s">
        <v>38</v>
      </c>
      <c r="R819" s="4" t="s">
        <v>39</v>
      </c>
      <c r="S819" s="4" t="s">
        <v>8191</v>
      </c>
      <c r="T819" s="4" t="s">
        <v>8192</v>
      </c>
      <c r="U819" s="4" t="s">
        <v>8084</v>
      </c>
      <c r="V819" s="4" t="s">
        <v>8002</v>
      </c>
      <c r="W819" s="4" t="s">
        <v>8085</v>
      </c>
      <c r="X819" s="4"/>
      <c r="Y819" s="4"/>
      <c r="Z819" s="4" t="s">
        <v>46</v>
      </c>
      <c r="AA819" s="4" t="s">
        <v>8192</v>
      </c>
      <c r="AB819" s="4"/>
      <c r="AC819" s="9">
        <v>1</v>
      </c>
      <c r="AD819" t="str">
        <f>VLOOKUP($T819,[1]NhanSu!$C$5:$M$229,11,0)</f>
        <v>SM0000021</v>
      </c>
    </row>
    <row r="820" spans="1:30" x14ac:dyDescent="0.45">
      <c r="A820" s="6" t="s">
        <v>7995</v>
      </c>
      <c r="B820" s="5">
        <v>90</v>
      </c>
      <c r="C820" s="5" t="s">
        <v>8325</v>
      </c>
      <c r="D820" s="5" t="s">
        <v>8326</v>
      </c>
      <c r="E820" s="5" t="s">
        <v>8327</v>
      </c>
      <c r="F820" s="5" t="s">
        <v>8328</v>
      </c>
      <c r="G820" s="5" t="s">
        <v>34</v>
      </c>
      <c r="H820" s="5" t="s">
        <v>171</v>
      </c>
      <c r="I820" s="5" t="s">
        <v>8329</v>
      </c>
      <c r="J820" s="5" t="s">
        <v>56</v>
      </c>
      <c r="K820" s="5" t="s">
        <v>1034</v>
      </c>
      <c r="L820" s="5" t="s">
        <v>39</v>
      </c>
      <c r="M820" s="5" t="s">
        <v>56</v>
      </c>
      <c r="N820" s="5" t="s">
        <v>56</v>
      </c>
      <c r="O820" s="5" t="s">
        <v>39</v>
      </c>
      <c r="P820" s="5" t="s">
        <v>37</v>
      </c>
      <c r="Q820" s="5" t="s">
        <v>37</v>
      </c>
      <c r="R820" s="5" t="s">
        <v>39</v>
      </c>
      <c r="S820" s="5" t="s">
        <v>41</v>
      </c>
      <c r="T820" s="5" t="s">
        <v>8105</v>
      </c>
      <c r="U820" s="5" t="s">
        <v>8016</v>
      </c>
      <c r="V820" s="5" t="s">
        <v>8002</v>
      </c>
      <c r="W820" s="5" t="s">
        <v>8003</v>
      </c>
      <c r="X820" s="5"/>
      <c r="Y820" s="5"/>
      <c r="Z820" s="5" t="s">
        <v>46</v>
      </c>
      <c r="AA820" s="5" t="s">
        <v>8105</v>
      </c>
      <c r="AB820" s="5"/>
      <c r="AC820" s="7">
        <v>1</v>
      </c>
      <c r="AD820" t="str">
        <f>VLOOKUP($T820,[1]NhanSu!$C$5:$M$229,11,0)</f>
        <v>SM0000025</v>
      </c>
    </row>
    <row r="821" spans="1:30" x14ac:dyDescent="0.45">
      <c r="A821" s="8" t="s">
        <v>7995</v>
      </c>
      <c r="B821" s="4">
        <v>92</v>
      </c>
      <c r="C821" s="4" t="s">
        <v>8333</v>
      </c>
      <c r="D821" s="4" t="s">
        <v>8334</v>
      </c>
      <c r="E821" s="4" t="s">
        <v>641</v>
      </c>
      <c r="F821" s="4" t="s">
        <v>286</v>
      </c>
      <c r="G821" s="4" t="s">
        <v>34</v>
      </c>
      <c r="H821" s="4" t="s">
        <v>1164</v>
      </c>
      <c r="I821" s="4" t="s">
        <v>8335</v>
      </c>
      <c r="J821" s="4" t="s">
        <v>37</v>
      </c>
      <c r="K821" s="4" t="s">
        <v>38</v>
      </c>
      <c r="L821" s="4" t="s">
        <v>39</v>
      </c>
      <c r="M821" s="4" t="s">
        <v>38</v>
      </c>
      <c r="N821" s="4" t="s">
        <v>37</v>
      </c>
      <c r="O821" s="4" t="s">
        <v>39</v>
      </c>
      <c r="P821" s="4" t="s">
        <v>38</v>
      </c>
      <c r="Q821" s="4" t="s">
        <v>37</v>
      </c>
      <c r="R821" s="4" t="s">
        <v>39</v>
      </c>
      <c r="S821" s="4" t="s">
        <v>8191</v>
      </c>
      <c r="T821" s="4" t="s">
        <v>8192</v>
      </c>
      <c r="U821" s="4" t="s">
        <v>8084</v>
      </c>
      <c r="V821" s="4" t="s">
        <v>8002</v>
      </c>
      <c r="W821" s="4" t="s">
        <v>8085</v>
      </c>
      <c r="X821" s="4"/>
      <c r="Y821" s="4"/>
      <c r="Z821" s="4" t="s">
        <v>46</v>
      </c>
      <c r="AA821" s="4" t="s">
        <v>8192</v>
      </c>
      <c r="AB821" s="4"/>
      <c r="AC821" s="9">
        <v>1</v>
      </c>
      <c r="AD821" t="str">
        <f>VLOOKUP($T821,[1]NhanSu!$C$5:$M$229,11,0)</f>
        <v>SM0000021</v>
      </c>
    </row>
    <row r="822" spans="1:30" x14ac:dyDescent="0.45">
      <c r="A822" s="6" t="s">
        <v>7995</v>
      </c>
      <c r="B822" s="5">
        <v>102</v>
      </c>
      <c r="C822" s="5" t="s">
        <v>8364</v>
      </c>
      <c r="D822" s="5" t="s">
        <v>8365</v>
      </c>
      <c r="E822" s="5" t="s">
        <v>8366</v>
      </c>
      <c r="F822" s="5" t="s">
        <v>53</v>
      </c>
      <c r="G822" s="5" t="s">
        <v>34</v>
      </c>
      <c r="H822" s="5" t="s">
        <v>54</v>
      </c>
      <c r="I822" s="5" t="s">
        <v>8367</v>
      </c>
      <c r="J822" s="5" t="s">
        <v>38</v>
      </c>
      <c r="K822" s="5" t="s">
        <v>38</v>
      </c>
      <c r="L822" s="5" t="s">
        <v>40</v>
      </c>
      <c r="M822" s="5" t="s">
        <v>56</v>
      </c>
      <c r="N822" s="5" t="s">
        <v>56</v>
      </c>
      <c r="O822" s="5" t="s">
        <v>39</v>
      </c>
      <c r="P822" s="5" t="s">
        <v>38</v>
      </c>
      <c r="Q822" s="5" t="s">
        <v>38</v>
      </c>
      <c r="R822" s="5" t="s">
        <v>40</v>
      </c>
      <c r="S822" s="5" t="s">
        <v>8368</v>
      </c>
      <c r="T822" s="5" t="s">
        <v>8015</v>
      </c>
      <c r="U822" s="5" t="s">
        <v>8016</v>
      </c>
      <c r="V822" s="5" t="s">
        <v>8002</v>
      </c>
      <c r="W822" s="5" t="s">
        <v>8003</v>
      </c>
      <c r="X822" s="5"/>
      <c r="Y822" s="5"/>
      <c r="Z822" s="5" t="s">
        <v>46</v>
      </c>
      <c r="AA822" s="5" t="s">
        <v>8015</v>
      </c>
      <c r="AB822" s="5"/>
      <c r="AC822" s="7">
        <v>1</v>
      </c>
      <c r="AD822" t="str">
        <f>VLOOKUP($T822,[1]NhanSu!$C$5:$M$229,11,0)</f>
        <v>SM0000024</v>
      </c>
    </row>
    <row r="823" spans="1:30" x14ac:dyDescent="0.45">
      <c r="A823" s="8" t="s">
        <v>7995</v>
      </c>
      <c r="B823" s="4">
        <v>106</v>
      </c>
      <c r="C823" s="4" t="s">
        <v>8379</v>
      </c>
      <c r="D823" s="4" t="s">
        <v>8380</v>
      </c>
      <c r="E823" s="4" t="s">
        <v>148</v>
      </c>
      <c r="F823" s="4" t="s">
        <v>401</v>
      </c>
      <c r="G823" s="4" t="s">
        <v>34</v>
      </c>
      <c r="H823" s="4" t="s">
        <v>332</v>
      </c>
      <c r="I823" s="4" t="s">
        <v>8381</v>
      </c>
      <c r="J823" s="4" t="s">
        <v>37</v>
      </c>
      <c r="K823" s="4" t="s">
        <v>38</v>
      </c>
      <c r="L823" s="4" t="s">
        <v>39</v>
      </c>
      <c r="M823" s="4" t="s">
        <v>37</v>
      </c>
      <c r="N823" s="4" t="s">
        <v>37</v>
      </c>
      <c r="O823" s="4" t="s">
        <v>39</v>
      </c>
      <c r="P823" s="4" t="s">
        <v>37</v>
      </c>
      <c r="Q823" s="4" t="s">
        <v>38</v>
      </c>
      <c r="R823" s="4" t="s">
        <v>39</v>
      </c>
      <c r="S823" s="4" t="s">
        <v>8191</v>
      </c>
      <c r="T823" s="4" t="s">
        <v>8192</v>
      </c>
      <c r="U823" s="4" t="s">
        <v>8084</v>
      </c>
      <c r="V823" s="4" t="s">
        <v>8002</v>
      </c>
      <c r="W823" s="4" t="s">
        <v>8085</v>
      </c>
      <c r="X823" s="4"/>
      <c r="Y823" s="4"/>
      <c r="Z823" s="4" t="s">
        <v>46</v>
      </c>
      <c r="AA823" s="4" t="s">
        <v>8192</v>
      </c>
      <c r="AB823" s="4"/>
      <c r="AC823" s="9">
        <v>1</v>
      </c>
      <c r="AD823" t="str">
        <f>VLOOKUP($T823,[1]NhanSu!$C$5:$M$229,11,0)</f>
        <v>SM0000021</v>
      </c>
    </row>
    <row r="824" spans="1:30" x14ac:dyDescent="0.45">
      <c r="A824" s="6" t="s">
        <v>7995</v>
      </c>
      <c r="B824" s="5">
        <v>110</v>
      </c>
      <c r="C824" s="5" t="s">
        <v>8394</v>
      </c>
      <c r="D824" s="5" t="s">
        <v>8395</v>
      </c>
      <c r="E824" s="5" t="s">
        <v>219</v>
      </c>
      <c r="F824" s="5" t="s">
        <v>417</v>
      </c>
      <c r="G824" s="5" t="s">
        <v>34</v>
      </c>
      <c r="H824" s="5" t="s">
        <v>525</v>
      </c>
      <c r="I824" s="5" t="s">
        <v>8345</v>
      </c>
      <c r="J824" s="5" t="s">
        <v>38</v>
      </c>
      <c r="K824" s="5" t="s">
        <v>38</v>
      </c>
      <c r="L824" s="5" t="s">
        <v>40</v>
      </c>
      <c r="M824" s="5" t="s">
        <v>37</v>
      </c>
      <c r="N824" s="5" t="s">
        <v>37</v>
      </c>
      <c r="O824" s="5" t="s">
        <v>39</v>
      </c>
      <c r="P824" s="5" t="s">
        <v>38</v>
      </c>
      <c r="Q824" s="5" t="s">
        <v>38</v>
      </c>
      <c r="R824" s="5" t="s">
        <v>40</v>
      </c>
      <c r="S824" s="5" t="s">
        <v>627</v>
      </c>
      <c r="T824" s="5" t="s">
        <v>8196</v>
      </c>
      <c r="U824" s="5" t="s">
        <v>8001</v>
      </c>
      <c r="V824" s="5" t="s">
        <v>8002</v>
      </c>
      <c r="W824" s="5" t="s">
        <v>8003</v>
      </c>
      <c r="X824" s="5"/>
      <c r="Y824" s="5"/>
      <c r="Z824" s="5" t="s">
        <v>46</v>
      </c>
      <c r="AA824" s="5" t="s">
        <v>8196</v>
      </c>
      <c r="AB824" s="5"/>
      <c r="AC824" s="7">
        <v>1</v>
      </c>
      <c r="AD824" t="str">
        <f>VLOOKUP($T824,[1]NhanSu!$C$5:$M$229,11,0)</f>
        <v>SM0000023</v>
      </c>
    </row>
    <row r="825" spans="1:30" x14ac:dyDescent="0.45">
      <c r="A825" s="8" t="s">
        <v>7995</v>
      </c>
      <c r="B825" s="4">
        <v>116</v>
      </c>
      <c r="C825" s="4" t="s">
        <v>8412</v>
      </c>
      <c r="D825" s="4" t="s">
        <v>8413</v>
      </c>
      <c r="E825" s="4" t="s">
        <v>8414</v>
      </c>
      <c r="F825" s="4" t="s">
        <v>4395</v>
      </c>
      <c r="G825" s="4" t="s">
        <v>1624</v>
      </c>
      <c r="H825" s="4" t="s">
        <v>54</v>
      </c>
      <c r="I825" s="4" t="s">
        <v>8415</v>
      </c>
      <c r="J825" s="4" t="s">
        <v>56</v>
      </c>
      <c r="K825" s="4" t="s">
        <v>56</v>
      </c>
      <c r="L825" s="4" t="s">
        <v>39</v>
      </c>
      <c r="M825" s="4" t="s">
        <v>56</v>
      </c>
      <c r="N825" s="4" t="s">
        <v>56</v>
      </c>
      <c r="O825" s="4" t="s">
        <v>39</v>
      </c>
      <c r="P825" s="4" t="s">
        <v>37</v>
      </c>
      <c r="Q825" s="4" t="s">
        <v>37</v>
      </c>
      <c r="R825" s="4" t="s">
        <v>39</v>
      </c>
      <c r="S825" s="4" t="s">
        <v>41</v>
      </c>
      <c r="T825" s="4" t="s">
        <v>8105</v>
      </c>
      <c r="U825" s="4" t="s">
        <v>8016</v>
      </c>
      <c r="V825" s="4" t="s">
        <v>8002</v>
      </c>
      <c r="W825" s="4" t="s">
        <v>8003</v>
      </c>
      <c r="X825" s="4"/>
      <c r="Y825" s="4"/>
      <c r="Z825" s="4" t="s">
        <v>46</v>
      </c>
      <c r="AA825" s="4" t="s">
        <v>8105</v>
      </c>
      <c r="AB825" s="4"/>
      <c r="AC825" s="9">
        <v>1</v>
      </c>
      <c r="AD825" t="str">
        <f>VLOOKUP($T825,[1]NhanSu!$C$5:$M$229,11,0)</f>
        <v>SM0000025</v>
      </c>
    </row>
    <row r="826" spans="1:30" x14ac:dyDescent="0.45">
      <c r="A826" s="6" t="s">
        <v>7995</v>
      </c>
      <c r="B826" s="5">
        <v>119</v>
      </c>
      <c r="C826" s="5" t="s">
        <v>8422</v>
      </c>
      <c r="D826" s="5" t="s">
        <v>7903</v>
      </c>
      <c r="E826" s="5" t="s">
        <v>8423</v>
      </c>
      <c r="F826" s="5" t="s">
        <v>426</v>
      </c>
      <c r="G826" s="5" t="s">
        <v>34</v>
      </c>
      <c r="H826" s="5" t="s">
        <v>214</v>
      </c>
      <c r="I826" s="5" t="s">
        <v>8424</v>
      </c>
      <c r="J826" s="5" t="s">
        <v>38</v>
      </c>
      <c r="K826" s="5" t="s">
        <v>38</v>
      </c>
      <c r="L826" s="5" t="s">
        <v>39</v>
      </c>
      <c r="M826" s="5" t="s">
        <v>38</v>
      </c>
      <c r="N826" s="5" t="s">
        <v>38</v>
      </c>
      <c r="O826" s="5" t="s">
        <v>39</v>
      </c>
      <c r="P826" s="5" t="s">
        <v>38</v>
      </c>
      <c r="Q826" s="5" t="s">
        <v>38</v>
      </c>
      <c r="R826" s="5" t="s">
        <v>39</v>
      </c>
      <c r="S826" s="5" t="s">
        <v>41</v>
      </c>
      <c r="T826" s="5" t="s">
        <v>8060</v>
      </c>
      <c r="U826" s="5" t="s">
        <v>8016</v>
      </c>
      <c r="V826" s="5" t="s">
        <v>8002</v>
      </c>
      <c r="W826" s="5" t="s">
        <v>8003</v>
      </c>
      <c r="X826" s="5"/>
      <c r="Y826" s="5"/>
      <c r="Z826" s="5" t="s">
        <v>46</v>
      </c>
      <c r="AA826" s="5" t="s">
        <v>8060</v>
      </c>
      <c r="AB826" s="5"/>
      <c r="AC826" s="7">
        <v>1</v>
      </c>
      <c r="AD826" t="str">
        <f>VLOOKUP($T826,[1]NhanSu!$C$5:$M$229,11,0)</f>
        <v>SM0000026</v>
      </c>
    </row>
    <row r="827" spans="1:30" x14ac:dyDescent="0.45">
      <c r="A827" s="8" t="s">
        <v>7995</v>
      </c>
      <c r="B827" s="4">
        <v>123</v>
      </c>
      <c r="C827" s="4" t="s">
        <v>8435</v>
      </c>
      <c r="D827" s="4" t="s">
        <v>8436</v>
      </c>
      <c r="E827" s="4" t="s">
        <v>108</v>
      </c>
      <c r="F827" s="4" t="s">
        <v>53</v>
      </c>
      <c r="G827" s="4" t="s">
        <v>34</v>
      </c>
      <c r="H827" s="4" t="s">
        <v>54</v>
      </c>
      <c r="I827" s="4" t="s">
        <v>8437</v>
      </c>
      <c r="J827" s="4" t="s">
        <v>56</v>
      </c>
      <c r="K827" s="4" t="s">
        <v>56</v>
      </c>
      <c r="L827" s="4" t="s">
        <v>39</v>
      </c>
      <c r="M827" s="4" t="s">
        <v>56</v>
      </c>
      <c r="N827" s="4" t="s">
        <v>56</v>
      </c>
      <c r="O827" s="4" t="s">
        <v>39</v>
      </c>
      <c r="P827" s="4" t="s">
        <v>56</v>
      </c>
      <c r="Q827" s="4" t="s">
        <v>37</v>
      </c>
      <c r="R827" s="4" t="s">
        <v>40</v>
      </c>
      <c r="S827" s="4" t="s">
        <v>7999</v>
      </c>
      <c r="T827" s="4" t="s">
        <v>8000</v>
      </c>
      <c r="U827" s="4" t="s">
        <v>8001</v>
      </c>
      <c r="V827" s="4" t="s">
        <v>8002</v>
      </c>
      <c r="W827" s="4" t="s">
        <v>8003</v>
      </c>
      <c r="X827" s="4"/>
      <c r="Y827" s="4"/>
      <c r="Z827" s="4" t="s">
        <v>46</v>
      </c>
      <c r="AA827" s="4" t="s">
        <v>8000</v>
      </c>
      <c r="AB827" s="4"/>
      <c r="AC827" s="9">
        <v>1</v>
      </c>
      <c r="AD827" t="str">
        <f>VLOOKUP($T827,[1]NhanSu!$C$5:$M$229,11,0)</f>
        <v>SM0000022</v>
      </c>
    </row>
    <row r="828" spans="1:30" x14ac:dyDescent="0.45">
      <c r="A828" s="6" t="s">
        <v>7995</v>
      </c>
      <c r="B828" s="5">
        <v>125</v>
      </c>
      <c r="C828" s="5" t="s">
        <v>8443</v>
      </c>
      <c r="D828" s="5" t="s">
        <v>8444</v>
      </c>
      <c r="E828" s="5" t="s">
        <v>148</v>
      </c>
      <c r="F828" s="5" t="s">
        <v>53</v>
      </c>
      <c r="G828" s="5" t="s">
        <v>177</v>
      </c>
      <c r="H828" s="5" t="s">
        <v>54</v>
      </c>
      <c r="I828" s="5" t="s">
        <v>8445</v>
      </c>
      <c r="J828" s="5" t="s">
        <v>56</v>
      </c>
      <c r="K828" s="5" t="s">
        <v>56</v>
      </c>
      <c r="L828" s="5" t="s">
        <v>39</v>
      </c>
      <c r="M828" s="5" t="s">
        <v>56</v>
      </c>
      <c r="N828" s="5" t="s">
        <v>56</v>
      </c>
      <c r="O828" s="5" t="s">
        <v>39</v>
      </c>
      <c r="P828" s="5" t="s">
        <v>37</v>
      </c>
      <c r="Q828" s="5" t="s">
        <v>37</v>
      </c>
      <c r="R828" s="5" t="s">
        <v>40</v>
      </c>
      <c r="S828" s="5" t="s">
        <v>8446</v>
      </c>
      <c r="T828" s="5" t="s">
        <v>8000</v>
      </c>
      <c r="U828" s="5" t="s">
        <v>8001</v>
      </c>
      <c r="V828" s="5" t="s">
        <v>8002</v>
      </c>
      <c r="W828" s="5" t="s">
        <v>8003</v>
      </c>
      <c r="X828" s="5"/>
      <c r="Y828" s="5"/>
      <c r="Z828" s="5" t="s">
        <v>46</v>
      </c>
      <c r="AA828" s="5" t="s">
        <v>8000</v>
      </c>
      <c r="AB828" s="5"/>
      <c r="AC828" s="7">
        <v>1</v>
      </c>
      <c r="AD828" t="str">
        <f>VLOOKUP($T828,[1]NhanSu!$C$5:$M$229,11,0)</f>
        <v>SM0000022</v>
      </c>
    </row>
    <row r="829" spans="1:30" x14ac:dyDescent="0.45">
      <c r="A829" s="8" t="s">
        <v>7995</v>
      </c>
      <c r="B829" s="4">
        <v>129</v>
      </c>
      <c r="C829" s="4" t="s">
        <v>8457</v>
      </c>
      <c r="D829" s="4" t="s">
        <v>8458</v>
      </c>
      <c r="E829" s="4" t="s">
        <v>529</v>
      </c>
      <c r="F829" s="4" t="s">
        <v>53</v>
      </c>
      <c r="G829" s="4" t="s">
        <v>34</v>
      </c>
      <c r="H829" s="4" t="s">
        <v>54</v>
      </c>
      <c r="I829" s="4" t="s">
        <v>8459</v>
      </c>
      <c r="J829" s="4" t="s">
        <v>56</v>
      </c>
      <c r="K829" s="4" t="s">
        <v>56</v>
      </c>
      <c r="L829" s="4" t="s">
        <v>39</v>
      </c>
      <c r="M829" s="4" t="s">
        <v>56</v>
      </c>
      <c r="N829" s="4" t="s">
        <v>56</v>
      </c>
      <c r="O829" s="4" t="s">
        <v>39</v>
      </c>
      <c r="P829" s="4" t="s">
        <v>56</v>
      </c>
      <c r="Q829" s="4" t="s">
        <v>37</v>
      </c>
      <c r="R829" s="4" t="s">
        <v>40</v>
      </c>
      <c r="S829" s="4" t="s">
        <v>8446</v>
      </c>
      <c r="T829" s="4" t="s">
        <v>8000</v>
      </c>
      <c r="U829" s="4" t="s">
        <v>8001</v>
      </c>
      <c r="V829" s="4" t="s">
        <v>8002</v>
      </c>
      <c r="W829" s="4" t="s">
        <v>8003</v>
      </c>
      <c r="X829" s="4"/>
      <c r="Y829" s="4"/>
      <c r="Z829" s="4" t="s">
        <v>46</v>
      </c>
      <c r="AA829" s="4" t="s">
        <v>8000</v>
      </c>
      <c r="AB829" s="4"/>
      <c r="AC829" s="9">
        <v>1</v>
      </c>
      <c r="AD829" t="str">
        <f>VLOOKUP($T829,[1]NhanSu!$C$5:$M$229,11,0)</f>
        <v>SM0000022</v>
      </c>
    </row>
    <row r="830" spans="1:30" x14ac:dyDescent="0.45">
      <c r="A830" s="6" t="s">
        <v>7995</v>
      </c>
      <c r="B830" s="5">
        <v>142</v>
      </c>
      <c r="C830" s="5" t="s">
        <v>8506</v>
      </c>
      <c r="D830" s="5" t="s">
        <v>8507</v>
      </c>
      <c r="E830" s="5" t="s">
        <v>69</v>
      </c>
      <c r="F830" s="5" t="s">
        <v>426</v>
      </c>
      <c r="G830" s="5" t="s">
        <v>34</v>
      </c>
      <c r="H830" s="5" t="s">
        <v>54</v>
      </c>
      <c r="I830" s="5" t="s">
        <v>8508</v>
      </c>
      <c r="J830" s="5" t="s">
        <v>37</v>
      </c>
      <c r="K830" s="5" t="s">
        <v>37</v>
      </c>
      <c r="L830" s="5" t="s">
        <v>39</v>
      </c>
      <c r="M830" s="5" t="s">
        <v>38</v>
      </c>
      <c r="N830" s="5" t="s">
        <v>37</v>
      </c>
      <c r="O830" s="5" t="s">
        <v>39</v>
      </c>
      <c r="P830" s="5" t="s">
        <v>37</v>
      </c>
      <c r="Q830" s="5" t="s">
        <v>37</v>
      </c>
      <c r="R830" s="5" t="s">
        <v>39</v>
      </c>
      <c r="S830" s="5" t="s">
        <v>8191</v>
      </c>
      <c r="T830" s="5" t="s">
        <v>8192</v>
      </c>
      <c r="U830" s="5" t="s">
        <v>8084</v>
      </c>
      <c r="V830" s="5" t="s">
        <v>8002</v>
      </c>
      <c r="W830" s="5" t="s">
        <v>8085</v>
      </c>
      <c r="X830" s="5"/>
      <c r="Y830" s="5"/>
      <c r="Z830" s="5" t="s">
        <v>46</v>
      </c>
      <c r="AA830" s="5" t="s">
        <v>8192</v>
      </c>
      <c r="AB830" s="5"/>
      <c r="AC830" s="7">
        <v>1</v>
      </c>
      <c r="AD830" t="str">
        <f>VLOOKUP($T830,[1]NhanSu!$C$5:$M$229,11,0)</f>
        <v>SM0000021</v>
      </c>
    </row>
    <row r="831" spans="1:30" x14ac:dyDescent="0.45">
      <c r="A831" s="8" t="s">
        <v>7995</v>
      </c>
      <c r="B831" s="4">
        <v>144</v>
      </c>
      <c r="C831" s="4" t="s">
        <v>8513</v>
      </c>
      <c r="D831" s="4" t="s">
        <v>8514</v>
      </c>
      <c r="E831" s="4" t="s">
        <v>8515</v>
      </c>
      <c r="F831" s="4" t="s">
        <v>8516</v>
      </c>
      <c r="G831" s="4" t="s">
        <v>1624</v>
      </c>
      <c r="H831" s="4" t="s">
        <v>1280</v>
      </c>
      <c r="I831" s="4" t="s">
        <v>8517</v>
      </c>
      <c r="J831" s="4" t="s">
        <v>56</v>
      </c>
      <c r="K831" s="4" t="s">
        <v>56</v>
      </c>
      <c r="L831" s="4" t="s">
        <v>39</v>
      </c>
      <c r="M831" s="4" t="s">
        <v>56</v>
      </c>
      <c r="N831" s="4" t="s">
        <v>56</v>
      </c>
      <c r="O831" s="4" t="s">
        <v>39</v>
      </c>
      <c r="P831" s="4" t="s">
        <v>56</v>
      </c>
      <c r="Q831" s="4" t="s">
        <v>56</v>
      </c>
      <c r="R831" s="4" t="s">
        <v>39</v>
      </c>
      <c r="S831" s="4" t="s">
        <v>8518</v>
      </c>
      <c r="T831" s="4" t="s">
        <v>8105</v>
      </c>
      <c r="U831" s="4" t="s">
        <v>8016</v>
      </c>
      <c r="V831" s="4" t="s">
        <v>8002</v>
      </c>
      <c r="W831" s="4" t="s">
        <v>8003</v>
      </c>
      <c r="X831" s="4"/>
      <c r="Y831" s="4"/>
      <c r="Z831" s="4" t="s">
        <v>46</v>
      </c>
      <c r="AA831" s="4" t="s">
        <v>8105</v>
      </c>
      <c r="AB831" s="4"/>
      <c r="AC831" s="9">
        <v>1</v>
      </c>
      <c r="AD831" t="str">
        <f>VLOOKUP($T831,[1]NhanSu!$C$5:$M$229,11,0)</f>
        <v>SM0000025</v>
      </c>
    </row>
    <row r="832" spans="1:30" x14ac:dyDescent="0.45">
      <c r="A832" s="6" t="s">
        <v>7995</v>
      </c>
      <c r="B832" s="5">
        <v>146</v>
      </c>
      <c r="C832" s="5" t="s">
        <v>8523</v>
      </c>
      <c r="D832" s="5" t="s">
        <v>8524</v>
      </c>
      <c r="E832" s="5" t="s">
        <v>69</v>
      </c>
      <c r="F832" s="5" t="s">
        <v>53</v>
      </c>
      <c r="G832" s="5" t="s">
        <v>34</v>
      </c>
      <c r="H832" s="5" t="s">
        <v>54</v>
      </c>
      <c r="I832" s="5" t="s">
        <v>8525</v>
      </c>
      <c r="J832" s="5" t="s">
        <v>56</v>
      </c>
      <c r="K832" s="5" t="s">
        <v>56</v>
      </c>
      <c r="L832" s="5" t="s">
        <v>40</v>
      </c>
      <c r="M832" s="5" t="s">
        <v>56</v>
      </c>
      <c r="N832" s="5" t="s">
        <v>56</v>
      </c>
      <c r="O832" s="5" t="s">
        <v>39</v>
      </c>
      <c r="P832" s="5" t="s">
        <v>37</v>
      </c>
      <c r="Q832" s="5" t="s">
        <v>56</v>
      </c>
      <c r="R832" s="5" t="s">
        <v>40</v>
      </c>
      <c r="S832" s="5" t="s">
        <v>41</v>
      </c>
      <c r="T832" s="5" t="s">
        <v>8000</v>
      </c>
      <c r="U832" s="5" t="s">
        <v>8001</v>
      </c>
      <c r="V832" s="5" t="s">
        <v>8002</v>
      </c>
      <c r="W832" s="5" t="s">
        <v>8003</v>
      </c>
      <c r="X832" s="5"/>
      <c r="Y832" s="5"/>
      <c r="Z832" s="5" t="s">
        <v>46</v>
      </c>
      <c r="AA832" s="5" t="s">
        <v>8000</v>
      </c>
      <c r="AB832" s="5"/>
      <c r="AC832" s="7">
        <v>1</v>
      </c>
      <c r="AD832" t="str">
        <f>VLOOKUP($T832,[1]NhanSu!$C$5:$M$229,11,0)</f>
        <v>SM0000022</v>
      </c>
    </row>
    <row r="833" spans="1:30" x14ac:dyDescent="0.45">
      <c r="A833" s="8" t="s">
        <v>7995</v>
      </c>
      <c r="B833" s="4">
        <v>148</v>
      </c>
      <c r="C833" s="4" t="s">
        <v>8529</v>
      </c>
      <c r="D833" s="4" t="s">
        <v>8530</v>
      </c>
      <c r="E833" s="4" t="s">
        <v>69</v>
      </c>
      <c r="F833" s="4" t="s">
        <v>53</v>
      </c>
      <c r="G833" s="4" t="s">
        <v>34</v>
      </c>
      <c r="H833" s="4" t="s">
        <v>54</v>
      </c>
      <c r="I833" s="4" t="s">
        <v>8531</v>
      </c>
      <c r="J833" s="4" t="s">
        <v>56</v>
      </c>
      <c r="K833" s="4" t="s">
        <v>56</v>
      </c>
      <c r="L833" s="4" t="s">
        <v>40</v>
      </c>
      <c r="M833" s="4" t="s">
        <v>56</v>
      </c>
      <c r="N833" s="4" t="s">
        <v>56</v>
      </c>
      <c r="O833" s="4" t="s">
        <v>40</v>
      </c>
      <c r="P833" s="4" t="s">
        <v>56</v>
      </c>
      <c r="Q833" s="4" t="s">
        <v>56</v>
      </c>
      <c r="R833" s="4" t="s">
        <v>40</v>
      </c>
      <c r="S833" s="4" t="s">
        <v>41</v>
      </c>
      <c r="T833" s="4" t="s">
        <v>8000</v>
      </c>
      <c r="U833" s="4" t="s">
        <v>8001</v>
      </c>
      <c r="V833" s="4" t="s">
        <v>8002</v>
      </c>
      <c r="W833" s="4" t="s">
        <v>8003</v>
      </c>
      <c r="X833" s="4"/>
      <c r="Y833" s="4"/>
      <c r="Z833" s="4" t="s">
        <v>46</v>
      </c>
      <c r="AA833" s="4" t="s">
        <v>8000</v>
      </c>
      <c r="AB833" s="4"/>
      <c r="AC833" s="9">
        <v>1</v>
      </c>
      <c r="AD833" t="str">
        <f>VLOOKUP($T833,[1]NhanSu!$C$5:$M$229,11,0)</f>
        <v>SM0000022</v>
      </c>
    </row>
    <row r="834" spans="1:30" x14ac:dyDescent="0.45">
      <c r="A834" s="6" t="s">
        <v>7995</v>
      </c>
      <c r="B834" s="5">
        <v>149</v>
      </c>
      <c r="C834" s="5" t="s">
        <v>8532</v>
      </c>
      <c r="D834" s="5" t="s">
        <v>8533</v>
      </c>
      <c r="E834" s="5" t="s">
        <v>157</v>
      </c>
      <c r="F834" s="5" t="s">
        <v>53</v>
      </c>
      <c r="G834" s="5" t="s">
        <v>34</v>
      </c>
      <c r="H834" s="5" t="s">
        <v>54</v>
      </c>
      <c r="I834" s="5" t="s">
        <v>6482</v>
      </c>
      <c r="J834" s="5" t="s">
        <v>56</v>
      </c>
      <c r="K834" s="5" t="s">
        <v>56</v>
      </c>
      <c r="L834" s="5" t="s">
        <v>40</v>
      </c>
      <c r="M834" s="5" t="s">
        <v>56</v>
      </c>
      <c r="N834" s="5" t="s">
        <v>56</v>
      </c>
      <c r="O834" s="5" t="s">
        <v>40</v>
      </c>
      <c r="P834" s="5" t="s">
        <v>37</v>
      </c>
      <c r="Q834" s="5" t="s">
        <v>37</v>
      </c>
      <c r="R834" s="5" t="s">
        <v>40</v>
      </c>
      <c r="S834" s="5" t="s">
        <v>7999</v>
      </c>
      <c r="T834" s="5" t="s">
        <v>8000</v>
      </c>
      <c r="U834" s="5" t="s">
        <v>8001</v>
      </c>
      <c r="V834" s="5" t="s">
        <v>8002</v>
      </c>
      <c r="W834" s="5" t="s">
        <v>8003</v>
      </c>
      <c r="X834" s="5"/>
      <c r="Y834" s="5"/>
      <c r="Z834" s="5" t="s">
        <v>46</v>
      </c>
      <c r="AA834" s="5" t="s">
        <v>8000</v>
      </c>
      <c r="AB834" s="5"/>
      <c r="AC834" s="7">
        <v>1</v>
      </c>
      <c r="AD834" t="str">
        <f>VLOOKUP($T834,[1]NhanSu!$C$5:$M$229,11,0)</f>
        <v>SM0000022</v>
      </c>
    </row>
    <row r="835" spans="1:30" x14ac:dyDescent="0.45">
      <c r="A835" s="8" t="s">
        <v>7995</v>
      </c>
      <c r="B835" s="4">
        <v>154</v>
      </c>
      <c r="C835" s="4" t="s">
        <v>8549</v>
      </c>
      <c r="D835" s="4" t="s">
        <v>8550</v>
      </c>
      <c r="E835" s="4" t="s">
        <v>206</v>
      </c>
      <c r="F835" s="4" t="s">
        <v>53</v>
      </c>
      <c r="G835" s="4" t="s">
        <v>34</v>
      </c>
      <c r="H835" s="4" t="s">
        <v>54</v>
      </c>
      <c r="I835" s="4" t="s">
        <v>8551</v>
      </c>
      <c r="J835" s="4" t="s">
        <v>56</v>
      </c>
      <c r="K835" s="4" t="s">
        <v>56</v>
      </c>
      <c r="L835" s="4" t="s">
        <v>40</v>
      </c>
      <c r="M835" s="4" t="s">
        <v>56</v>
      </c>
      <c r="N835" s="4" t="s">
        <v>56</v>
      </c>
      <c r="O835" s="4" t="s">
        <v>40</v>
      </c>
      <c r="P835" s="4" t="s">
        <v>56</v>
      </c>
      <c r="Q835" s="4" t="s">
        <v>56</v>
      </c>
      <c r="R835" s="4" t="s">
        <v>40</v>
      </c>
      <c r="S835" s="4" t="s">
        <v>8446</v>
      </c>
      <c r="T835" s="4" t="s">
        <v>8000</v>
      </c>
      <c r="U835" s="4" t="s">
        <v>8001</v>
      </c>
      <c r="V835" s="4" t="s">
        <v>8002</v>
      </c>
      <c r="W835" s="4" t="s">
        <v>8003</v>
      </c>
      <c r="X835" s="4"/>
      <c r="Y835" s="4"/>
      <c r="Z835" s="4" t="s">
        <v>46</v>
      </c>
      <c r="AA835" s="4" t="s">
        <v>8000</v>
      </c>
      <c r="AB835" s="4"/>
      <c r="AC835" s="9">
        <v>1</v>
      </c>
      <c r="AD835" t="str">
        <f>VLOOKUP($T835,[1]NhanSu!$C$5:$M$229,11,0)</f>
        <v>SM0000022</v>
      </c>
    </row>
    <row r="836" spans="1:30" x14ac:dyDescent="0.45">
      <c r="A836" s="6" t="s">
        <v>7995</v>
      </c>
      <c r="B836" s="5">
        <v>157</v>
      </c>
      <c r="C836" s="5" t="s">
        <v>8556</v>
      </c>
      <c r="D836" s="5" t="s">
        <v>8557</v>
      </c>
      <c r="E836" s="5" t="s">
        <v>297</v>
      </c>
      <c r="F836" s="5" t="s">
        <v>53</v>
      </c>
      <c r="G836" s="5" t="s">
        <v>34</v>
      </c>
      <c r="H836" s="5" t="s">
        <v>54</v>
      </c>
      <c r="I836" s="5" t="s">
        <v>8558</v>
      </c>
      <c r="J836" s="5" t="s">
        <v>37</v>
      </c>
      <c r="K836" s="5" t="s">
        <v>37</v>
      </c>
      <c r="L836" s="5" t="s">
        <v>39</v>
      </c>
      <c r="M836" s="5" t="s">
        <v>37</v>
      </c>
      <c r="N836" s="5" t="s">
        <v>37</v>
      </c>
      <c r="O836" s="5" t="s">
        <v>39</v>
      </c>
      <c r="P836" s="5" t="s">
        <v>37</v>
      </c>
      <c r="Q836" s="5" t="s">
        <v>37</v>
      </c>
      <c r="R836" s="5" t="s">
        <v>39</v>
      </c>
      <c r="S836" s="5" t="s">
        <v>41</v>
      </c>
      <c r="T836" s="5" t="s">
        <v>8105</v>
      </c>
      <c r="U836" s="5" t="s">
        <v>8016</v>
      </c>
      <c r="V836" s="5" t="s">
        <v>8002</v>
      </c>
      <c r="W836" s="5" t="s">
        <v>8003</v>
      </c>
      <c r="X836" s="5"/>
      <c r="Y836" s="5"/>
      <c r="Z836" s="5" t="s">
        <v>46</v>
      </c>
      <c r="AA836" s="5" t="s">
        <v>8105</v>
      </c>
      <c r="AB836" s="5"/>
      <c r="AC836" s="7">
        <v>1</v>
      </c>
      <c r="AD836" t="str">
        <f>VLOOKUP($T836,[1]NhanSu!$C$5:$M$229,11,0)</f>
        <v>SM0000025</v>
      </c>
    </row>
    <row r="837" spans="1:30" x14ac:dyDescent="0.45">
      <c r="A837" s="8" t="s">
        <v>7995</v>
      </c>
      <c r="B837" s="4">
        <v>158</v>
      </c>
      <c r="C837" s="4" t="s">
        <v>8559</v>
      </c>
      <c r="D837" s="4" t="s">
        <v>8560</v>
      </c>
      <c r="E837" s="4" t="s">
        <v>91</v>
      </c>
      <c r="F837" s="4" t="s">
        <v>53</v>
      </c>
      <c r="G837" s="4" t="s">
        <v>34</v>
      </c>
      <c r="H837" s="4" t="s">
        <v>54</v>
      </c>
      <c r="I837" s="4" t="s">
        <v>7998</v>
      </c>
      <c r="J837" s="4" t="s">
        <v>56</v>
      </c>
      <c r="K837" s="4" t="s">
        <v>56</v>
      </c>
      <c r="L837" s="4" t="s">
        <v>40</v>
      </c>
      <c r="M837" s="4" t="s">
        <v>37</v>
      </c>
      <c r="N837" s="4" t="s">
        <v>37</v>
      </c>
      <c r="O837" s="4" t="s">
        <v>40</v>
      </c>
      <c r="P837" s="4" t="s">
        <v>37</v>
      </c>
      <c r="Q837" s="4" t="s">
        <v>37</v>
      </c>
      <c r="R837" s="4" t="s">
        <v>40</v>
      </c>
      <c r="S837" s="4" t="s">
        <v>8446</v>
      </c>
      <c r="T837" s="4" t="s">
        <v>8000</v>
      </c>
      <c r="U837" s="4" t="s">
        <v>8001</v>
      </c>
      <c r="V837" s="4" t="s">
        <v>8002</v>
      </c>
      <c r="W837" s="4" t="s">
        <v>8003</v>
      </c>
      <c r="X837" s="4"/>
      <c r="Y837" s="4"/>
      <c r="Z837" s="4" t="s">
        <v>46</v>
      </c>
      <c r="AA837" s="4" t="s">
        <v>8000</v>
      </c>
      <c r="AB837" s="4"/>
      <c r="AC837" s="9">
        <v>1</v>
      </c>
      <c r="AD837" t="str">
        <f>VLOOKUP($T837,[1]NhanSu!$C$5:$M$229,11,0)</f>
        <v>SM0000022</v>
      </c>
    </row>
    <row r="838" spans="1:30" x14ac:dyDescent="0.45">
      <c r="A838" s="6" t="s">
        <v>7995</v>
      </c>
      <c r="B838" s="5">
        <v>161</v>
      </c>
      <c r="C838" s="5" t="s">
        <v>8568</v>
      </c>
      <c r="D838" s="5" t="s">
        <v>8569</v>
      </c>
      <c r="E838" s="5" t="s">
        <v>108</v>
      </c>
      <c r="F838" s="5" t="s">
        <v>53</v>
      </c>
      <c r="G838" s="5" t="s">
        <v>34</v>
      </c>
      <c r="H838" s="5" t="s">
        <v>54</v>
      </c>
      <c r="I838" s="5" t="s">
        <v>8570</v>
      </c>
      <c r="J838" s="5" t="s">
        <v>37</v>
      </c>
      <c r="K838" s="5" t="s">
        <v>37</v>
      </c>
      <c r="L838" s="5" t="s">
        <v>40</v>
      </c>
      <c r="M838" s="5" t="s">
        <v>56</v>
      </c>
      <c r="N838" s="5" t="s">
        <v>56</v>
      </c>
      <c r="O838" s="5" t="s">
        <v>40</v>
      </c>
      <c r="P838" s="5" t="s">
        <v>56</v>
      </c>
      <c r="Q838" s="5" t="s">
        <v>56</v>
      </c>
      <c r="R838" s="5" t="s">
        <v>40</v>
      </c>
      <c r="S838" s="5" t="s">
        <v>8446</v>
      </c>
      <c r="T838" s="5" t="s">
        <v>8000</v>
      </c>
      <c r="U838" s="5" t="s">
        <v>8001</v>
      </c>
      <c r="V838" s="5" t="s">
        <v>8002</v>
      </c>
      <c r="W838" s="5" t="s">
        <v>8003</v>
      </c>
      <c r="X838" s="5"/>
      <c r="Y838" s="5"/>
      <c r="Z838" s="5" t="s">
        <v>46</v>
      </c>
      <c r="AA838" s="5" t="s">
        <v>8000</v>
      </c>
      <c r="AB838" s="5"/>
      <c r="AC838" s="7">
        <v>1</v>
      </c>
      <c r="AD838" t="str">
        <f>VLOOKUP($T838,[1]NhanSu!$C$5:$M$229,11,0)</f>
        <v>SM0000022</v>
      </c>
    </row>
    <row r="839" spans="1:30" x14ac:dyDescent="0.45">
      <c r="A839" s="8" t="s">
        <v>7995</v>
      </c>
      <c r="B839" s="4">
        <v>165</v>
      </c>
      <c r="C839" s="4" t="s">
        <v>8581</v>
      </c>
      <c r="D839" s="4" t="s">
        <v>8582</v>
      </c>
      <c r="E839" s="4" t="s">
        <v>176</v>
      </c>
      <c r="F839" s="4" t="s">
        <v>53</v>
      </c>
      <c r="G839" s="4" t="s">
        <v>34</v>
      </c>
      <c r="H839" s="4" t="s">
        <v>54</v>
      </c>
      <c r="I839" s="4" t="s">
        <v>8583</v>
      </c>
      <c r="J839" s="4" t="s">
        <v>56</v>
      </c>
      <c r="K839" s="4" t="s">
        <v>56</v>
      </c>
      <c r="L839" s="4" t="s">
        <v>40</v>
      </c>
      <c r="M839" s="4" t="s">
        <v>56</v>
      </c>
      <c r="N839" s="4" t="s">
        <v>56</v>
      </c>
      <c r="O839" s="4" t="s">
        <v>40</v>
      </c>
      <c r="P839" s="4" t="s">
        <v>56</v>
      </c>
      <c r="Q839" s="4" t="s">
        <v>56</v>
      </c>
      <c r="R839" s="4" t="s">
        <v>40</v>
      </c>
      <c r="S839" s="4" t="s">
        <v>8446</v>
      </c>
      <c r="T839" s="4" t="s">
        <v>8000</v>
      </c>
      <c r="U839" s="4" t="s">
        <v>8001</v>
      </c>
      <c r="V839" s="4" t="s">
        <v>8002</v>
      </c>
      <c r="W839" s="4" t="s">
        <v>8003</v>
      </c>
      <c r="X839" s="4"/>
      <c r="Y839" s="4"/>
      <c r="Z839" s="4" t="s">
        <v>46</v>
      </c>
      <c r="AA839" s="4" t="s">
        <v>8000</v>
      </c>
      <c r="AB839" s="4"/>
      <c r="AC839" s="9">
        <v>1</v>
      </c>
      <c r="AD839" t="str">
        <f>VLOOKUP($T839,[1]NhanSu!$C$5:$M$229,11,0)</f>
        <v>SM0000022</v>
      </c>
    </row>
    <row r="840" spans="1:30" x14ac:dyDescent="0.45">
      <c r="A840" s="6" t="s">
        <v>7995</v>
      </c>
      <c r="B840" s="5">
        <v>167</v>
      </c>
      <c r="C840" s="5" t="s">
        <v>8588</v>
      </c>
      <c r="D840" s="5" t="s">
        <v>8589</v>
      </c>
      <c r="E840" s="5" t="s">
        <v>108</v>
      </c>
      <c r="F840" s="5" t="s">
        <v>53</v>
      </c>
      <c r="G840" s="5" t="s">
        <v>34</v>
      </c>
      <c r="H840" s="5" t="s">
        <v>54</v>
      </c>
      <c r="I840" s="5" t="s">
        <v>8590</v>
      </c>
      <c r="J840" s="5" t="s">
        <v>56</v>
      </c>
      <c r="K840" s="5" t="s">
        <v>56</v>
      </c>
      <c r="L840" s="5" t="s">
        <v>40</v>
      </c>
      <c r="M840" s="5" t="s">
        <v>56</v>
      </c>
      <c r="N840" s="5" t="s">
        <v>56</v>
      </c>
      <c r="O840" s="5" t="s">
        <v>40</v>
      </c>
      <c r="P840" s="5" t="s">
        <v>56</v>
      </c>
      <c r="Q840" s="5" t="s">
        <v>56</v>
      </c>
      <c r="R840" s="5" t="s">
        <v>40</v>
      </c>
      <c r="S840" s="5" t="s">
        <v>8446</v>
      </c>
      <c r="T840" s="5" t="s">
        <v>8000</v>
      </c>
      <c r="U840" s="5" t="s">
        <v>8001</v>
      </c>
      <c r="V840" s="5" t="s">
        <v>8002</v>
      </c>
      <c r="W840" s="5" t="s">
        <v>8003</v>
      </c>
      <c r="X840" s="5"/>
      <c r="Y840" s="5"/>
      <c r="Z840" s="5" t="s">
        <v>46</v>
      </c>
      <c r="AA840" s="5" t="s">
        <v>8000</v>
      </c>
      <c r="AB840" s="5"/>
      <c r="AC840" s="7">
        <v>1</v>
      </c>
      <c r="AD840" t="str">
        <f>VLOOKUP($T840,[1]NhanSu!$C$5:$M$229,11,0)</f>
        <v>SM0000022</v>
      </c>
    </row>
    <row r="841" spans="1:30" x14ac:dyDescent="0.45">
      <c r="A841" s="8" t="s">
        <v>7995</v>
      </c>
      <c r="B841" s="4">
        <v>168</v>
      </c>
      <c r="C841" s="4" t="s">
        <v>8591</v>
      </c>
      <c r="D841" s="4" t="s">
        <v>8592</v>
      </c>
      <c r="E841" s="4" t="s">
        <v>176</v>
      </c>
      <c r="F841" s="4" t="s">
        <v>53</v>
      </c>
      <c r="G841" s="4" t="s">
        <v>34</v>
      </c>
      <c r="H841" s="4" t="s">
        <v>54</v>
      </c>
      <c r="I841" s="4" t="s">
        <v>8593</v>
      </c>
      <c r="J841" s="4" t="s">
        <v>56</v>
      </c>
      <c r="K841" s="4" t="s">
        <v>56</v>
      </c>
      <c r="L841" s="4" t="s">
        <v>40</v>
      </c>
      <c r="M841" s="4" t="s">
        <v>37</v>
      </c>
      <c r="N841" s="4" t="s">
        <v>37</v>
      </c>
      <c r="O841" s="4" t="s">
        <v>40</v>
      </c>
      <c r="P841" s="4" t="s">
        <v>37</v>
      </c>
      <c r="Q841" s="4" t="s">
        <v>37</v>
      </c>
      <c r="R841" s="4" t="s">
        <v>40</v>
      </c>
      <c r="S841" s="4" t="s">
        <v>8446</v>
      </c>
      <c r="T841" s="4" t="s">
        <v>8000</v>
      </c>
      <c r="U841" s="4" t="s">
        <v>8001</v>
      </c>
      <c r="V841" s="4" t="s">
        <v>8002</v>
      </c>
      <c r="W841" s="4" t="s">
        <v>8003</v>
      </c>
      <c r="X841" s="4"/>
      <c r="Y841" s="4"/>
      <c r="Z841" s="4" t="s">
        <v>46</v>
      </c>
      <c r="AA841" s="4" t="s">
        <v>8000</v>
      </c>
      <c r="AB841" s="4"/>
      <c r="AC841" s="9">
        <v>1</v>
      </c>
      <c r="AD841" t="str">
        <f>VLOOKUP($T841,[1]NhanSu!$C$5:$M$229,11,0)</f>
        <v>SM0000022</v>
      </c>
    </row>
    <row r="842" spans="1:30" x14ac:dyDescent="0.45">
      <c r="A842" s="6" t="s">
        <v>7995</v>
      </c>
      <c r="B842" s="5">
        <v>169</v>
      </c>
      <c r="C842" s="5" t="s">
        <v>8594</v>
      </c>
      <c r="D842" s="5" t="s">
        <v>8595</v>
      </c>
      <c r="E842" s="5" t="s">
        <v>69</v>
      </c>
      <c r="F842" s="5" t="s">
        <v>53</v>
      </c>
      <c r="G842" s="5" t="s">
        <v>34</v>
      </c>
      <c r="H842" s="5" t="s">
        <v>54</v>
      </c>
      <c r="I842" s="5" t="s">
        <v>4000</v>
      </c>
      <c r="J842" s="5" t="s">
        <v>37</v>
      </c>
      <c r="K842" s="5" t="s">
        <v>56</v>
      </c>
      <c r="L842" s="5" t="s">
        <v>40</v>
      </c>
      <c r="M842" s="5" t="s">
        <v>37</v>
      </c>
      <c r="N842" s="5" t="s">
        <v>37</v>
      </c>
      <c r="O842" s="5" t="s">
        <v>40</v>
      </c>
      <c r="P842" s="5" t="s">
        <v>56</v>
      </c>
      <c r="Q842" s="5" t="s">
        <v>56</v>
      </c>
      <c r="R842" s="5" t="s">
        <v>40</v>
      </c>
      <c r="S842" s="5" t="s">
        <v>8446</v>
      </c>
      <c r="T842" s="5" t="s">
        <v>8000</v>
      </c>
      <c r="U842" s="5" t="s">
        <v>8001</v>
      </c>
      <c r="V842" s="5" t="s">
        <v>8002</v>
      </c>
      <c r="W842" s="5" t="s">
        <v>8003</v>
      </c>
      <c r="X842" s="5"/>
      <c r="Y842" s="5"/>
      <c r="Z842" s="5" t="s">
        <v>46</v>
      </c>
      <c r="AA842" s="5" t="s">
        <v>8000</v>
      </c>
      <c r="AB842" s="5"/>
      <c r="AC842" s="7">
        <v>1</v>
      </c>
      <c r="AD842" t="str">
        <f>VLOOKUP($T842,[1]NhanSu!$C$5:$M$229,11,0)</f>
        <v>SM0000022</v>
      </c>
    </row>
    <row r="843" spans="1:30" x14ac:dyDescent="0.45">
      <c r="A843" s="8" t="s">
        <v>7995</v>
      </c>
      <c r="B843" s="4">
        <v>171</v>
      </c>
      <c r="C843" s="4" t="s">
        <v>8598</v>
      </c>
      <c r="D843" s="4" t="s">
        <v>8599</v>
      </c>
      <c r="E843" s="4" t="s">
        <v>69</v>
      </c>
      <c r="F843" s="4" t="s">
        <v>53</v>
      </c>
      <c r="G843" s="4" t="s">
        <v>34</v>
      </c>
      <c r="H843" s="4" t="s">
        <v>54</v>
      </c>
      <c r="I843" s="4" t="s">
        <v>8600</v>
      </c>
      <c r="J843" s="4" t="s">
        <v>37</v>
      </c>
      <c r="K843" s="4" t="s">
        <v>37</v>
      </c>
      <c r="L843" s="4" t="s">
        <v>40</v>
      </c>
      <c r="M843" s="4" t="s">
        <v>37</v>
      </c>
      <c r="N843" s="4" t="s">
        <v>37</v>
      </c>
      <c r="O843" s="4" t="s">
        <v>40</v>
      </c>
      <c r="P843" s="4" t="s">
        <v>37</v>
      </c>
      <c r="Q843" s="4" t="s">
        <v>37</v>
      </c>
      <c r="R843" s="4" t="s">
        <v>40</v>
      </c>
      <c r="S843" s="4" t="s">
        <v>8446</v>
      </c>
      <c r="T843" s="4" t="s">
        <v>8000</v>
      </c>
      <c r="U843" s="4" t="s">
        <v>8001</v>
      </c>
      <c r="V843" s="4" t="s">
        <v>8002</v>
      </c>
      <c r="W843" s="4" t="s">
        <v>8003</v>
      </c>
      <c r="X843" s="4"/>
      <c r="Y843" s="4"/>
      <c r="Z843" s="4" t="s">
        <v>46</v>
      </c>
      <c r="AA843" s="4" t="s">
        <v>8000</v>
      </c>
      <c r="AB843" s="4"/>
      <c r="AC843" s="9">
        <v>1</v>
      </c>
      <c r="AD843" t="str">
        <f>VLOOKUP($T843,[1]NhanSu!$C$5:$M$229,11,0)</f>
        <v>SM0000022</v>
      </c>
    </row>
    <row r="844" spans="1:30" x14ac:dyDescent="0.45">
      <c r="A844" s="6" t="s">
        <v>7995</v>
      </c>
      <c r="B844" s="5">
        <v>182</v>
      </c>
      <c r="C844" s="5" t="s">
        <v>8631</v>
      </c>
      <c r="D844" s="5" t="s">
        <v>8632</v>
      </c>
      <c r="E844" s="5" t="s">
        <v>8633</v>
      </c>
      <c r="F844" s="5" t="s">
        <v>426</v>
      </c>
      <c r="G844" s="5" t="s">
        <v>34</v>
      </c>
      <c r="H844" s="5" t="s">
        <v>685</v>
      </c>
      <c r="I844" s="5" t="s">
        <v>8420</v>
      </c>
      <c r="J844" s="5" t="s">
        <v>56</v>
      </c>
      <c r="K844" s="5" t="s">
        <v>56</v>
      </c>
      <c r="L844" s="5" t="s">
        <v>39</v>
      </c>
      <c r="M844" s="5" t="s">
        <v>56</v>
      </c>
      <c r="N844" s="5" t="s">
        <v>56</v>
      </c>
      <c r="O844" s="5" t="s">
        <v>39</v>
      </c>
      <c r="P844" s="5" t="s">
        <v>56</v>
      </c>
      <c r="Q844" s="5" t="s">
        <v>56</v>
      </c>
      <c r="R844" s="5" t="s">
        <v>39</v>
      </c>
      <c r="S844" s="5" t="s">
        <v>41</v>
      </c>
      <c r="T844" s="5" t="s">
        <v>8238</v>
      </c>
      <c r="U844" s="5" t="s">
        <v>8239</v>
      </c>
      <c r="V844" s="5" t="s">
        <v>8002</v>
      </c>
      <c r="W844" s="5" t="s">
        <v>8010</v>
      </c>
      <c r="X844" s="5"/>
      <c r="Y844" s="5"/>
      <c r="Z844" s="5" t="s">
        <v>46</v>
      </c>
      <c r="AA844" s="5" t="s">
        <v>8238</v>
      </c>
      <c r="AB844" s="5"/>
      <c r="AC844" s="7">
        <v>1</v>
      </c>
      <c r="AD844" t="str">
        <f>VLOOKUP($T844,[1]NhanSu!$C$5:$M$229,11,0)</f>
        <v>SM0000032</v>
      </c>
    </row>
    <row r="845" spans="1:30" x14ac:dyDescent="0.45">
      <c r="A845" s="8" t="s">
        <v>7995</v>
      </c>
      <c r="B845" s="4">
        <v>187</v>
      </c>
      <c r="C845" s="4" t="s">
        <v>8651</v>
      </c>
      <c r="D845" s="4" t="s">
        <v>8652</v>
      </c>
      <c r="E845" s="4" t="s">
        <v>307</v>
      </c>
      <c r="F845" s="4" t="s">
        <v>325</v>
      </c>
      <c r="G845" s="4" t="s">
        <v>34</v>
      </c>
      <c r="H845" s="4" t="s">
        <v>54</v>
      </c>
      <c r="I845" s="4" t="s">
        <v>8653</v>
      </c>
      <c r="J845" s="4" t="s">
        <v>56</v>
      </c>
      <c r="K845" s="4" t="s">
        <v>56</v>
      </c>
      <c r="L845" s="4" t="s">
        <v>39</v>
      </c>
      <c r="M845" s="4" t="s">
        <v>37</v>
      </c>
      <c r="N845" s="4" t="s">
        <v>56</v>
      </c>
      <c r="O845" s="4" t="s">
        <v>39</v>
      </c>
      <c r="P845" s="4" t="s">
        <v>56</v>
      </c>
      <c r="Q845" s="4" t="s">
        <v>56</v>
      </c>
      <c r="R845" s="4" t="s">
        <v>39</v>
      </c>
      <c r="S845" s="4" t="s">
        <v>41</v>
      </c>
      <c r="T845" s="4" t="s">
        <v>8105</v>
      </c>
      <c r="U845" s="4" t="s">
        <v>8016</v>
      </c>
      <c r="V845" s="4" t="s">
        <v>8002</v>
      </c>
      <c r="W845" s="4" t="s">
        <v>8003</v>
      </c>
      <c r="X845" s="4"/>
      <c r="Y845" s="4"/>
      <c r="Z845" s="4" t="s">
        <v>46</v>
      </c>
      <c r="AA845" s="4" t="s">
        <v>8105</v>
      </c>
      <c r="AB845" s="4"/>
      <c r="AC845" s="9">
        <v>1</v>
      </c>
      <c r="AD845" t="str">
        <f>VLOOKUP($T845,[1]NhanSu!$C$5:$M$229,11,0)</f>
        <v>SM0000025</v>
      </c>
    </row>
    <row r="846" spans="1:30" x14ac:dyDescent="0.45">
      <c r="A846" s="6" t="s">
        <v>7995</v>
      </c>
      <c r="B846" s="5">
        <v>189</v>
      </c>
      <c r="C846" s="5" t="s">
        <v>8656</v>
      </c>
      <c r="D846" s="5" t="s">
        <v>8657</v>
      </c>
      <c r="E846" s="5" t="s">
        <v>219</v>
      </c>
      <c r="F846" s="5" t="s">
        <v>417</v>
      </c>
      <c r="G846" s="5" t="s">
        <v>34</v>
      </c>
      <c r="H846" s="5" t="s">
        <v>54</v>
      </c>
      <c r="I846" s="5" t="s">
        <v>5576</v>
      </c>
      <c r="J846" s="5" t="s">
        <v>38</v>
      </c>
      <c r="K846" s="5" t="s">
        <v>38</v>
      </c>
      <c r="L846" s="5" t="s">
        <v>39</v>
      </c>
      <c r="M846" s="5" t="s">
        <v>38</v>
      </c>
      <c r="N846" s="5" t="s">
        <v>38</v>
      </c>
      <c r="O846" s="5" t="s">
        <v>39</v>
      </c>
      <c r="P846" s="5" t="s">
        <v>38</v>
      </c>
      <c r="Q846" s="5" t="s">
        <v>38</v>
      </c>
      <c r="R846" s="5" t="s">
        <v>39</v>
      </c>
      <c r="S846" s="5" t="s">
        <v>41</v>
      </c>
      <c r="T846" s="5" t="s">
        <v>8060</v>
      </c>
      <c r="U846" s="5" t="s">
        <v>8016</v>
      </c>
      <c r="V846" s="5" t="s">
        <v>8002</v>
      </c>
      <c r="W846" s="5" t="s">
        <v>8003</v>
      </c>
      <c r="X846" s="5"/>
      <c r="Y846" s="5"/>
      <c r="Z846" s="5" t="s">
        <v>46</v>
      </c>
      <c r="AA846" s="5" t="s">
        <v>8060</v>
      </c>
      <c r="AB846" s="5"/>
      <c r="AC846" s="7">
        <v>1</v>
      </c>
      <c r="AD846" t="str">
        <f>VLOOKUP($T846,[1]NhanSu!$C$5:$M$229,11,0)</f>
        <v>SM0000026</v>
      </c>
    </row>
    <row r="847" spans="1:30" x14ac:dyDescent="0.45">
      <c r="A847" s="8" t="s">
        <v>7995</v>
      </c>
      <c r="B847" s="4">
        <v>191</v>
      </c>
      <c r="C847" s="4" t="s">
        <v>8662</v>
      </c>
      <c r="D847" s="4" t="s">
        <v>8663</v>
      </c>
      <c r="E847" s="4" t="s">
        <v>69</v>
      </c>
      <c r="F847" s="4" t="s">
        <v>53</v>
      </c>
      <c r="G847" s="4" t="s">
        <v>34</v>
      </c>
      <c r="H847" s="4" t="s">
        <v>54</v>
      </c>
      <c r="I847" s="4" t="s">
        <v>8664</v>
      </c>
      <c r="J847" s="4" t="s">
        <v>38</v>
      </c>
      <c r="K847" s="4" t="s">
        <v>38</v>
      </c>
      <c r="L847" s="4" t="s">
        <v>40</v>
      </c>
      <c r="M847" s="4" t="s">
        <v>38</v>
      </c>
      <c r="N847" s="4" t="s">
        <v>38</v>
      </c>
      <c r="O847" s="4" t="s">
        <v>40</v>
      </c>
      <c r="P847" s="4" t="s">
        <v>38</v>
      </c>
      <c r="Q847" s="4" t="s">
        <v>38</v>
      </c>
      <c r="R847" s="4" t="s">
        <v>40</v>
      </c>
      <c r="S847" s="4" t="s">
        <v>8665</v>
      </c>
      <c r="T847" s="4" t="s">
        <v>8000</v>
      </c>
      <c r="U847" s="4" t="s">
        <v>8001</v>
      </c>
      <c r="V847" s="4" t="s">
        <v>8002</v>
      </c>
      <c r="W847" s="4" t="s">
        <v>8003</v>
      </c>
      <c r="X847" s="4"/>
      <c r="Y847" s="4"/>
      <c r="Z847" s="4" t="s">
        <v>46</v>
      </c>
      <c r="AA847" s="4" t="s">
        <v>8000</v>
      </c>
      <c r="AB847" s="4"/>
      <c r="AC847" s="9">
        <v>1</v>
      </c>
      <c r="AD847" t="str">
        <f>VLOOKUP($T847,[1]NhanSu!$C$5:$M$229,11,0)</f>
        <v>SM0000022</v>
      </c>
    </row>
    <row r="848" spans="1:30" x14ac:dyDescent="0.45">
      <c r="A848" s="6" t="s">
        <v>7995</v>
      </c>
      <c r="B848" s="5">
        <v>192</v>
      </c>
      <c r="C848" s="5" t="s">
        <v>8666</v>
      </c>
      <c r="D848" s="5" t="s">
        <v>8667</v>
      </c>
      <c r="E848" s="5" t="s">
        <v>365</v>
      </c>
      <c r="F848" s="5" t="s">
        <v>53</v>
      </c>
      <c r="G848" s="5" t="s">
        <v>34</v>
      </c>
      <c r="H848" s="5" t="s">
        <v>54</v>
      </c>
      <c r="I848" s="5" t="s">
        <v>8668</v>
      </c>
      <c r="J848" s="5" t="s">
        <v>37</v>
      </c>
      <c r="K848" s="5" t="s">
        <v>37</v>
      </c>
      <c r="L848" s="5" t="s">
        <v>40</v>
      </c>
      <c r="M848" s="5" t="s">
        <v>37</v>
      </c>
      <c r="N848" s="5" t="s">
        <v>37</v>
      </c>
      <c r="O848" s="5" t="s">
        <v>40</v>
      </c>
      <c r="P848" s="5" t="s">
        <v>37</v>
      </c>
      <c r="Q848" s="5" t="s">
        <v>37</v>
      </c>
      <c r="R848" s="5" t="s">
        <v>40</v>
      </c>
      <c r="S848" s="5" t="s">
        <v>8446</v>
      </c>
      <c r="T848" s="5" t="s">
        <v>8000</v>
      </c>
      <c r="U848" s="5" t="s">
        <v>8001</v>
      </c>
      <c r="V848" s="5" t="s">
        <v>8002</v>
      </c>
      <c r="W848" s="5" t="s">
        <v>8003</v>
      </c>
      <c r="X848" s="5"/>
      <c r="Y848" s="5"/>
      <c r="Z848" s="5" t="s">
        <v>46</v>
      </c>
      <c r="AA848" s="5" t="s">
        <v>8000</v>
      </c>
      <c r="AB848" s="5"/>
      <c r="AC848" s="7">
        <v>1</v>
      </c>
      <c r="AD848" t="str">
        <f>VLOOKUP($T848,[1]NhanSu!$C$5:$M$229,11,0)</f>
        <v>SM0000022</v>
      </c>
    </row>
    <row r="849" spans="1:30" x14ac:dyDescent="0.45">
      <c r="A849" s="8" t="s">
        <v>7995</v>
      </c>
      <c r="B849" s="4">
        <v>196</v>
      </c>
      <c r="C849" s="4" t="s">
        <v>8677</v>
      </c>
      <c r="D849" s="4" t="s">
        <v>8678</v>
      </c>
      <c r="E849" s="4" t="s">
        <v>304</v>
      </c>
      <c r="F849" s="4" t="s">
        <v>53</v>
      </c>
      <c r="G849" s="4" t="s">
        <v>34</v>
      </c>
      <c r="H849" s="4" t="s">
        <v>54</v>
      </c>
      <c r="I849" s="4" t="s">
        <v>8679</v>
      </c>
      <c r="J849" s="4" t="s">
        <v>37</v>
      </c>
      <c r="K849" s="4" t="s">
        <v>37</v>
      </c>
      <c r="L849" s="4" t="s">
        <v>40</v>
      </c>
      <c r="M849" s="4" t="s">
        <v>37</v>
      </c>
      <c r="N849" s="4" t="s">
        <v>37</v>
      </c>
      <c r="O849" s="4" t="s">
        <v>40</v>
      </c>
      <c r="P849" s="4" t="s">
        <v>37</v>
      </c>
      <c r="Q849" s="4" t="s">
        <v>37</v>
      </c>
      <c r="R849" s="4" t="s">
        <v>40</v>
      </c>
      <c r="S849" s="4" t="s">
        <v>41</v>
      </c>
      <c r="T849" s="4" t="s">
        <v>8000</v>
      </c>
      <c r="U849" s="4" t="s">
        <v>8001</v>
      </c>
      <c r="V849" s="4" t="s">
        <v>8002</v>
      </c>
      <c r="W849" s="4" t="s">
        <v>8003</v>
      </c>
      <c r="X849" s="4"/>
      <c r="Y849" s="4"/>
      <c r="Z849" s="4" t="s">
        <v>46</v>
      </c>
      <c r="AA849" s="4" t="s">
        <v>8000</v>
      </c>
      <c r="AB849" s="4"/>
      <c r="AC849" s="9">
        <v>1</v>
      </c>
      <c r="AD849" t="str">
        <f>VLOOKUP($T849,[1]NhanSu!$C$5:$M$229,11,0)</f>
        <v>SM0000022</v>
      </c>
    </row>
    <row r="850" spans="1:30" x14ac:dyDescent="0.45">
      <c r="A850" s="6" t="s">
        <v>7995</v>
      </c>
      <c r="B850" s="5">
        <v>201</v>
      </c>
      <c r="C850" s="5" t="s">
        <v>8692</v>
      </c>
      <c r="D850" s="5" t="s">
        <v>8693</v>
      </c>
      <c r="E850" s="5" t="s">
        <v>338</v>
      </c>
      <c r="F850" s="5" t="s">
        <v>115</v>
      </c>
      <c r="G850" s="5" t="s">
        <v>34</v>
      </c>
      <c r="H850" s="5" t="s">
        <v>402</v>
      </c>
      <c r="I850" s="5" t="s">
        <v>8694</v>
      </c>
      <c r="J850" s="5" t="s">
        <v>56</v>
      </c>
      <c r="K850" s="5" t="s">
        <v>56</v>
      </c>
      <c r="L850" s="5" t="s">
        <v>39</v>
      </c>
      <c r="M850" s="5" t="s">
        <v>56</v>
      </c>
      <c r="N850" s="5" t="s">
        <v>56</v>
      </c>
      <c r="O850" s="5" t="s">
        <v>39</v>
      </c>
      <c r="P850" s="5" t="s">
        <v>38</v>
      </c>
      <c r="Q850" s="5" t="s">
        <v>38</v>
      </c>
      <c r="R850" s="5" t="s">
        <v>40</v>
      </c>
      <c r="S850" s="5" t="s">
        <v>8695</v>
      </c>
      <c r="T850" s="5" t="s">
        <v>8238</v>
      </c>
      <c r="U850" s="5" t="s">
        <v>8239</v>
      </c>
      <c r="V850" s="5" t="s">
        <v>8002</v>
      </c>
      <c r="W850" s="5" t="s">
        <v>8010</v>
      </c>
      <c r="X850" s="5"/>
      <c r="Y850" s="5"/>
      <c r="Z850" s="5" t="s">
        <v>46</v>
      </c>
      <c r="AA850" s="5" t="s">
        <v>8238</v>
      </c>
      <c r="AB850" s="5"/>
      <c r="AC850" s="7">
        <v>1</v>
      </c>
      <c r="AD850" t="str">
        <f>VLOOKUP($T850,[1]NhanSu!$C$5:$M$229,11,0)</f>
        <v>SM0000032</v>
      </c>
    </row>
    <row r="851" spans="1:30" x14ac:dyDescent="0.45">
      <c r="A851" s="8" t="s">
        <v>7995</v>
      </c>
      <c r="B851" s="4">
        <v>209</v>
      </c>
      <c r="C851" s="4" t="s">
        <v>8714</v>
      </c>
      <c r="D851" s="4" t="s">
        <v>8715</v>
      </c>
      <c r="E851" s="4" t="s">
        <v>69</v>
      </c>
      <c r="F851" s="4" t="s">
        <v>53</v>
      </c>
      <c r="G851" s="4" t="s">
        <v>34</v>
      </c>
      <c r="H851" s="4" t="s">
        <v>54</v>
      </c>
      <c r="I851" s="4" t="s">
        <v>8668</v>
      </c>
      <c r="J851" s="4" t="s">
        <v>37</v>
      </c>
      <c r="K851" s="4" t="s">
        <v>37</v>
      </c>
      <c r="L851" s="4" t="s">
        <v>40</v>
      </c>
      <c r="M851" s="4" t="s">
        <v>37</v>
      </c>
      <c r="N851" s="4" t="s">
        <v>37</v>
      </c>
      <c r="O851" s="4" t="s">
        <v>40</v>
      </c>
      <c r="P851" s="4" t="s">
        <v>37</v>
      </c>
      <c r="Q851" s="4" t="s">
        <v>37</v>
      </c>
      <c r="R851" s="4" t="s">
        <v>40</v>
      </c>
      <c r="S851" s="4" t="s">
        <v>41</v>
      </c>
      <c r="T851" s="4" t="s">
        <v>8000</v>
      </c>
      <c r="U851" s="4" t="s">
        <v>8001</v>
      </c>
      <c r="V851" s="4" t="s">
        <v>8002</v>
      </c>
      <c r="W851" s="4" t="s">
        <v>8003</v>
      </c>
      <c r="X851" s="4"/>
      <c r="Y851" s="4"/>
      <c r="Z851" s="4" t="s">
        <v>46</v>
      </c>
      <c r="AA851" s="4" t="s">
        <v>8000</v>
      </c>
      <c r="AB851" s="4"/>
      <c r="AC851" s="9">
        <v>1</v>
      </c>
      <c r="AD851" t="str">
        <f>VLOOKUP($T851,[1]NhanSu!$C$5:$M$229,11,0)</f>
        <v>SM0000022</v>
      </c>
    </row>
    <row r="852" spans="1:30" x14ac:dyDescent="0.45">
      <c r="A852" s="6" t="s">
        <v>7995</v>
      </c>
      <c r="B852" s="5">
        <v>214</v>
      </c>
      <c r="C852" s="5" t="s">
        <v>8727</v>
      </c>
      <c r="D852" s="5" t="s">
        <v>8728</v>
      </c>
      <c r="E852" s="5" t="s">
        <v>128</v>
      </c>
      <c r="F852" s="5" t="s">
        <v>325</v>
      </c>
      <c r="G852" s="5" t="s">
        <v>150</v>
      </c>
      <c r="H852" s="5" t="s">
        <v>546</v>
      </c>
      <c r="I852" s="5" t="s">
        <v>8729</v>
      </c>
      <c r="J852" s="5" t="s">
        <v>37</v>
      </c>
      <c r="K852" s="5" t="s">
        <v>37</v>
      </c>
      <c r="L852" s="5" t="s">
        <v>39</v>
      </c>
      <c r="M852" s="5" t="s">
        <v>37</v>
      </c>
      <c r="N852" s="5" t="s">
        <v>37</v>
      </c>
      <c r="O852" s="5" t="s">
        <v>39</v>
      </c>
      <c r="P852" s="5" t="s">
        <v>38</v>
      </c>
      <c r="Q852" s="5" t="s">
        <v>37</v>
      </c>
      <c r="R852" s="5" t="s">
        <v>39</v>
      </c>
      <c r="S852" s="5" t="s">
        <v>8191</v>
      </c>
      <c r="T852" s="5" t="s">
        <v>8192</v>
      </c>
      <c r="U852" s="5" t="s">
        <v>8137</v>
      </c>
      <c r="V852" s="5" t="s">
        <v>8002</v>
      </c>
      <c r="W852" s="5" t="s">
        <v>8085</v>
      </c>
      <c r="X852" s="5"/>
      <c r="Y852" s="5"/>
      <c r="Z852" s="5" t="s">
        <v>46</v>
      </c>
      <c r="AA852" s="5" t="s">
        <v>8192</v>
      </c>
      <c r="AB852" s="5"/>
      <c r="AC852" s="7">
        <v>1</v>
      </c>
      <c r="AD852" t="str">
        <f>VLOOKUP($T852,[1]NhanSu!$C$5:$M$229,11,0)</f>
        <v>SM0000021</v>
      </c>
    </row>
    <row r="853" spans="1:30" x14ac:dyDescent="0.45">
      <c r="A853" s="8" t="s">
        <v>7995</v>
      </c>
      <c r="B853" s="4">
        <v>217</v>
      </c>
      <c r="C853" s="4" t="s">
        <v>8736</v>
      </c>
      <c r="D853" s="4" t="s">
        <v>8737</v>
      </c>
      <c r="E853" s="4" t="s">
        <v>2789</v>
      </c>
      <c r="F853" s="4" t="s">
        <v>426</v>
      </c>
      <c r="G853" s="4" t="s">
        <v>34</v>
      </c>
      <c r="H853" s="4" t="s">
        <v>1188</v>
      </c>
      <c r="I853" s="4" t="s">
        <v>5956</v>
      </c>
      <c r="J853" s="4" t="s">
        <v>56</v>
      </c>
      <c r="K853" s="4" t="s">
        <v>56</v>
      </c>
      <c r="L853" s="4" t="s">
        <v>39</v>
      </c>
      <c r="M853" s="4" t="s">
        <v>56</v>
      </c>
      <c r="N853" s="4" t="s">
        <v>56</v>
      </c>
      <c r="O853" s="4" t="s">
        <v>39</v>
      </c>
      <c r="P853" s="4" t="s">
        <v>37</v>
      </c>
      <c r="Q853" s="4" t="s">
        <v>37</v>
      </c>
      <c r="R853" s="4" t="s">
        <v>39</v>
      </c>
      <c r="S853" s="4" t="s">
        <v>8738</v>
      </c>
      <c r="T853" s="4" t="s">
        <v>8238</v>
      </c>
      <c r="U853" s="4" t="s">
        <v>8239</v>
      </c>
      <c r="V853" s="4" t="s">
        <v>8002</v>
      </c>
      <c r="W853" s="4" t="s">
        <v>8010</v>
      </c>
      <c r="X853" s="4"/>
      <c r="Y853" s="4"/>
      <c r="Z853" s="4" t="s">
        <v>46</v>
      </c>
      <c r="AA853" s="4" t="s">
        <v>8238</v>
      </c>
      <c r="AB853" s="4"/>
      <c r="AC853" s="9">
        <v>1</v>
      </c>
      <c r="AD853" t="str">
        <f>VLOOKUP($T853,[1]NhanSu!$C$5:$M$229,11,0)</f>
        <v>SM0000032</v>
      </c>
    </row>
    <row r="854" spans="1:30" x14ac:dyDescent="0.45">
      <c r="A854" s="6" t="s">
        <v>7995</v>
      </c>
      <c r="B854" s="5">
        <v>229</v>
      </c>
      <c r="C854" s="5" t="s">
        <v>8779</v>
      </c>
      <c r="D854" s="5" t="s">
        <v>8780</v>
      </c>
      <c r="E854" s="5" t="s">
        <v>157</v>
      </c>
      <c r="F854" s="5" t="s">
        <v>417</v>
      </c>
      <c r="G854" s="5" t="s">
        <v>34</v>
      </c>
      <c r="H854" s="5" t="s">
        <v>345</v>
      </c>
      <c r="I854" s="5" t="s">
        <v>8781</v>
      </c>
      <c r="J854" s="5" t="s">
        <v>37</v>
      </c>
      <c r="K854" s="5" t="s">
        <v>38</v>
      </c>
      <c r="L854" s="5" t="s">
        <v>40</v>
      </c>
      <c r="M854" s="5" t="s">
        <v>775</v>
      </c>
      <c r="N854" s="5" t="s">
        <v>56</v>
      </c>
      <c r="O854" s="5" t="s">
        <v>39</v>
      </c>
      <c r="P854" s="5" t="s">
        <v>38</v>
      </c>
      <c r="Q854" s="5" t="s">
        <v>38</v>
      </c>
      <c r="R854" s="5" t="s">
        <v>40</v>
      </c>
      <c r="S854" s="5" t="s">
        <v>8782</v>
      </c>
      <c r="T854" s="5" t="s">
        <v>8015</v>
      </c>
      <c r="U854" s="5" t="s">
        <v>8016</v>
      </c>
      <c r="V854" s="5" t="s">
        <v>8002</v>
      </c>
      <c r="W854" s="5" t="s">
        <v>8003</v>
      </c>
      <c r="X854" s="5"/>
      <c r="Y854" s="5"/>
      <c r="Z854" s="5" t="s">
        <v>46</v>
      </c>
      <c r="AA854" s="5" t="s">
        <v>8015</v>
      </c>
      <c r="AB854" s="5"/>
      <c r="AC854" s="7">
        <v>1</v>
      </c>
      <c r="AD854" t="str">
        <f>VLOOKUP($T854,[1]NhanSu!$C$5:$M$229,11,0)</f>
        <v>SM0000024</v>
      </c>
    </row>
    <row r="855" spans="1:30" x14ac:dyDescent="0.45">
      <c r="A855" s="8" t="s">
        <v>7995</v>
      </c>
      <c r="B855" s="4">
        <v>232</v>
      </c>
      <c r="C855" s="4" t="s">
        <v>8789</v>
      </c>
      <c r="D855" s="4" t="s">
        <v>8790</v>
      </c>
      <c r="E855" s="4" t="s">
        <v>304</v>
      </c>
      <c r="F855" s="4" t="s">
        <v>53</v>
      </c>
      <c r="G855" s="4" t="s">
        <v>34</v>
      </c>
      <c r="H855" s="4" t="s">
        <v>54</v>
      </c>
      <c r="I855" s="4" t="s">
        <v>7623</v>
      </c>
      <c r="J855" s="4" t="s">
        <v>37</v>
      </c>
      <c r="K855" s="4" t="s">
        <v>37</v>
      </c>
      <c r="L855" s="4" t="s">
        <v>40</v>
      </c>
      <c r="M855" s="4" t="s">
        <v>37</v>
      </c>
      <c r="N855" s="4" t="s">
        <v>37</v>
      </c>
      <c r="O855" s="4" t="s">
        <v>40</v>
      </c>
      <c r="P855" s="4" t="s">
        <v>37</v>
      </c>
      <c r="Q855" s="4" t="s">
        <v>37</v>
      </c>
      <c r="R855" s="4" t="s">
        <v>40</v>
      </c>
      <c r="S855" s="4" t="s">
        <v>4783</v>
      </c>
      <c r="T855" s="4" t="s">
        <v>8000</v>
      </c>
      <c r="U855" s="4" t="s">
        <v>8001</v>
      </c>
      <c r="V855" s="4" t="s">
        <v>8002</v>
      </c>
      <c r="W855" s="4" t="s">
        <v>8003</v>
      </c>
      <c r="X855" s="4"/>
      <c r="Y855" s="4"/>
      <c r="Z855" s="4" t="s">
        <v>46</v>
      </c>
      <c r="AA855" s="4" t="s">
        <v>8000</v>
      </c>
      <c r="AB855" s="4"/>
      <c r="AC855" s="9">
        <v>1</v>
      </c>
      <c r="AD855" t="str">
        <f>VLOOKUP($T855,[1]NhanSu!$C$5:$M$229,11,0)</f>
        <v>SM0000022</v>
      </c>
    </row>
    <row r="856" spans="1:30" x14ac:dyDescent="0.45">
      <c r="A856" s="6" t="s">
        <v>7995</v>
      </c>
      <c r="B856" s="5">
        <v>239</v>
      </c>
      <c r="C856" s="5" t="s">
        <v>8810</v>
      </c>
      <c r="D856" s="5" t="s">
        <v>8811</v>
      </c>
      <c r="E856" s="5" t="s">
        <v>108</v>
      </c>
      <c r="F856" s="5" t="s">
        <v>53</v>
      </c>
      <c r="G856" s="5" t="s">
        <v>34</v>
      </c>
      <c r="H856" s="5" t="s">
        <v>54</v>
      </c>
      <c r="I856" s="5" t="s">
        <v>8812</v>
      </c>
      <c r="J856" s="5" t="s">
        <v>37</v>
      </c>
      <c r="K856" s="5" t="s">
        <v>37</v>
      </c>
      <c r="L856" s="5" t="s">
        <v>40</v>
      </c>
      <c r="M856" s="5" t="s">
        <v>37</v>
      </c>
      <c r="N856" s="5" t="s">
        <v>37</v>
      </c>
      <c r="O856" s="5" t="s">
        <v>40</v>
      </c>
      <c r="P856" s="5" t="s">
        <v>37</v>
      </c>
      <c r="Q856" s="5" t="s">
        <v>37</v>
      </c>
      <c r="R856" s="5" t="s">
        <v>40</v>
      </c>
      <c r="S856" s="5" t="s">
        <v>4783</v>
      </c>
      <c r="T856" s="5" t="s">
        <v>8000</v>
      </c>
      <c r="U856" s="5" t="s">
        <v>8001</v>
      </c>
      <c r="V856" s="5" t="s">
        <v>8002</v>
      </c>
      <c r="W856" s="5" t="s">
        <v>8003</v>
      </c>
      <c r="X856" s="5"/>
      <c r="Y856" s="5"/>
      <c r="Z856" s="5" t="s">
        <v>46</v>
      </c>
      <c r="AA856" s="5" t="s">
        <v>8000</v>
      </c>
      <c r="AB856" s="5"/>
      <c r="AC856" s="7">
        <v>1</v>
      </c>
      <c r="AD856" t="str">
        <f>VLOOKUP($T856,[1]NhanSu!$C$5:$M$229,11,0)</f>
        <v>SM0000022</v>
      </c>
    </row>
    <row r="857" spans="1:30" x14ac:dyDescent="0.45">
      <c r="A857" s="8" t="s">
        <v>7995</v>
      </c>
      <c r="B857" s="4">
        <v>247</v>
      </c>
      <c r="C857" s="4" t="s">
        <v>8837</v>
      </c>
      <c r="D857" s="4" t="s">
        <v>8838</v>
      </c>
      <c r="E857" s="4" t="s">
        <v>529</v>
      </c>
      <c r="F857" s="4" t="s">
        <v>53</v>
      </c>
      <c r="G857" s="4" t="s">
        <v>34</v>
      </c>
      <c r="H857" s="4" t="s">
        <v>54</v>
      </c>
      <c r="I857" s="4" t="s">
        <v>8839</v>
      </c>
      <c r="J857" s="4" t="s">
        <v>37</v>
      </c>
      <c r="K857" s="4" t="s">
        <v>37</v>
      </c>
      <c r="L857" s="4" t="s">
        <v>40</v>
      </c>
      <c r="M857" s="4" t="s">
        <v>37</v>
      </c>
      <c r="N857" s="4" t="s">
        <v>37</v>
      </c>
      <c r="O857" s="4" t="s">
        <v>40</v>
      </c>
      <c r="P857" s="4" t="s">
        <v>37</v>
      </c>
      <c r="Q857" s="4" t="s">
        <v>37</v>
      </c>
      <c r="R857" s="4" t="s">
        <v>40</v>
      </c>
      <c r="S857" s="4" t="s">
        <v>8840</v>
      </c>
      <c r="T857" s="4" t="s">
        <v>8000</v>
      </c>
      <c r="U857" s="4" t="s">
        <v>8001</v>
      </c>
      <c r="V857" s="4" t="s">
        <v>8002</v>
      </c>
      <c r="W857" s="4" t="s">
        <v>8003</v>
      </c>
      <c r="X857" s="4"/>
      <c r="Y857" s="4"/>
      <c r="Z857" s="4" t="s">
        <v>46</v>
      </c>
      <c r="AA857" s="4" t="s">
        <v>8000</v>
      </c>
      <c r="AB857" s="4"/>
      <c r="AC857" s="9">
        <v>1</v>
      </c>
      <c r="AD857" t="str">
        <f>VLOOKUP($T857,[1]NhanSu!$C$5:$M$229,11,0)</f>
        <v>SM0000022</v>
      </c>
    </row>
    <row r="858" spans="1:30" x14ac:dyDescent="0.45">
      <c r="A858" s="6" t="s">
        <v>7995</v>
      </c>
      <c r="B858" s="5">
        <v>248</v>
      </c>
      <c r="C858" s="5" t="s">
        <v>8841</v>
      </c>
      <c r="D858" s="5" t="s">
        <v>8842</v>
      </c>
      <c r="E858" s="5" t="s">
        <v>304</v>
      </c>
      <c r="F858" s="5" t="s">
        <v>53</v>
      </c>
      <c r="G858" s="5" t="s">
        <v>177</v>
      </c>
      <c r="H858" s="5" t="s">
        <v>54</v>
      </c>
      <c r="I858" s="5" t="s">
        <v>4597</v>
      </c>
      <c r="J858" s="5" t="s">
        <v>37</v>
      </c>
      <c r="K858" s="5" t="s">
        <v>37</v>
      </c>
      <c r="L858" s="5" t="s">
        <v>40</v>
      </c>
      <c r="M858" s="5" t="s">
        <v>37</v>
      </c>
      <c r="N858" s="5" t="s">
        <v>37</v>
      </c>
      <c r="O858" s="5" t="s">
        <v>40</v>
      </c>
      <c r="P858" s="5" t="s">
        <v>37</v>
      </c>
      <c r="Q858" s="5" t="s">
        <v>37</v>
      </c>
      <c r="R858" s="5" t="s">
        <v>40</v>
      </c>
      <c r="S858" s="5" t="s">
        <v>41</v>
      </c>
      <c r="T858" s="5" t="s">
        <v>8000</v>
      </c>
      <c r="U858" s="5" t="s">
        <v>8001</v>
      </c>
      <c r="V858" s="5" t="s">
        <v>8002</v>
      </c>
      <c r="W858" s="5" t="s">
        <v>8003</v>
      </c>
      <c r="X858" s="5"/>
      <c r="Y858" s="5"/>
      <c r="Z858" s="5" t="s">
        <v>46</v>
      </c>
      <c r="AA858" s="5" t="s">
        <v>8000</v>
      </c>
      <c r="AB858" s="5"/>
      <c r="AC858" s="7">
        <v>1</v>
      </c>
      <c r="AD858" t="str">
        <f>VLOOKUP($T858,[1]NhanSu!$C$5:$M$229,11,0)</f>
        <v>SM0000022</v>
      </c>
    </row>
    <row r="859" spans="1:30" x14ac:dyDescent="0.45">
      <c r="A859" s="8" t="s">
        <v>7995</v>
      </c>
      <c r="B859" s="4">
        <v>255</v>
      </c>
      <c r="C859" s="4" t="s">
        <v>8865</v>
      </c>
      <c r="D859" s="4" t="s">
        <v>8866</v>
      </c>
      <c r="E859" s="4" t="s">
        <v>108</v>
      </c>
      <c r="F859" s="4" t="s">
        <v>53</v>
      </c>
      <c r="G859" s="4" t="s">
        <v>34</v>
      </c>
      <c r="H859" s="4" t="s">
        <v>54</v>
      </c>
      <c r="I859" s="4" t="s">
        <v>8867</v>
      </c>
      <c r="J859" s="4" t="s">
        <v>37</v>
      </c>
      <c r="K859" s="4" t="s">
        <v>37</v>
      </c>
      <c r="L859" s="4" t="s">
        <v>40</v>
      </c>
      <c r="M859" s="4" t="s">
        <v>37</v>
      </c>
      <c r="N859" s="4" t="s">
        <v>37</v>
      </c>
      <c r="O859" s="4" t="s">
        <v>40</v>
      </c>
      <c r="P859" s="4" t="s">
        <v>37</v>
      </c>
      <c r="Q859" s="4" t="s">
        <v>37</v>
      </c>
      <c r="R859" s="4" t="s">
        <v>40</v>
      </c>
      <c r="S859" s="4" t="s">
        <v>4783</v>
      </c>
      <c r="T859" s="4" t="s">
        <v>8000</v>
      </c>
      <c r="U859" s="4" t="s">
        <v>8001</v>
      </c>
      <c r="V859" s="4" t="s">
        <v>8002</v>
      </c>
      <c r="W859" s="4" t="s">
        <v>8003</v>
      </c>
      <c r="X859" s="4"/>
      <c r="Y859" s="4"/>
      <c r="Z859" s="4" t="s">
        <v>46</v>
      </c>
      <c r="AA859" s="4" t="s">
        <v>8000</v>
      </c>
      <c r="AB859" s="4"/>
      <c r="AC859" s="9">
        <v>1</v>
      </c>
      <c r="AD859" t="str">
        <f>VLOOKUP($T859,[1]NhanSu!$C$5:$M$229,11,0)</f>
        <v>SM0000022</v>
      </c>
    </row>
    <row r="860" spans="1:30" x14ac:dyDescent="0.45">
      <c r="A860" s="6" t="s">
        <v>7995</v>
      </c>
      <c r="B860" s="5">
        <v>261</v>
      </c>
      <c r="C860" s="5" t="s">
        <v>8884</v>
      </c>
      <c r="D860" s="5" t="s">
        <v>8885</v>
      </c>
      <c r="E860" s="5" t="s">
        <v>109</v>
      </c>
      <c r="F860" s="5" t="s">
        <v>53</v>
      </c>
      <c r="G860" s="5" t="s">
        <v>34</v>
      </c>
      <c r="H860" s="5" t="s">
        <v>1188</v>
      </c>
      <c r="I860" s="5" t="s">
        <v>8886</v>
      </c>
      <c r="J860" s="5" t="s">
        <v>38</v>
      </c>
      <c r="K860" s="5" t="s">
        <v>38</v>
      </c>
      <c r="L860" s="5" t="s">
        <v>40</v>
      </c>
      <c r="M860" s="5" t="s">
        <v>38</v>
      </c>
      <c r="N860" s="5" t="s">
        <v>38</v>
      </c>
      <c r="O860" s="5" t="s">
        <v>40</v>
      </c>
      <c r="P860" s="5" t="s">
        <v>38</v>
      </c>
      <c r="Q860" s="5" t="s">
        <v>38</v>
      </c>
      <c r="R860" s="5" t="s">
        <v>40</v>
      </c>
      <c r="S860" s="5" t="s">
        <v>8295</v>
      </c>
      <c r="T860" s="5" t="s">
        <v>8008</v>
      </c>
      <c r="U860" s="5" t="s">
        <v>8009</v>
      </c>
      <c r="V860" s="5" t="s">
        <v>8002</v>
      </c>
      <c r="W860" s="5" t="s">
        <v>8010</v>
      </c>
      <c r="X860" s="5"/>
      <c r="Y860" s="5"/>
      <c r="Z860" s="5" t="s">
        <v>46</v>
      </c>
      <c r="AA860" s="5" t="s">
        <v>8008</v>
      </c>
      <c r="AB860" s="5"/>
      <c r="AC860" s="7">
        <v>1</v>
      </c>
      <c r="AD860" t="str">
        <f>VLOOKUP($T860,[1]NhanSu!$C$5:$M$229,11,0)</f>
        <v>SM0000027</v>
      </c>
    </row>
    <row r="861" spans="1:30" x14ac:dyDescent="0.45">
      <c r="A861" s="8" t="s">
        <v>7995</v>
      </c>
      <c r="B861" s="4">
        <v>271</v>
      </c>
      <c r="C861" s="4" t="s">
        <v>8918</v>
      </c>
      <c r="D861" s="4" t="s">
        <v>8189</v>
      </c>
      <c r="E861" s="4" t="s">
        <v>882</v>
      </c>
      <c r="F861" s="4" t="s">
        <v>115</v>
      </c>
      <c r="G861" s="4" t="s">
        <v>34</v>
      </c>
      <c r="H861" s="4" t="s">
        <v>54</v>
      </c>
      <c r="I861" s="4" t="s">
        <v>8919</v>
      </c>
      <c r="J861" s="4" t="s">
        <v>37</v>
      </c>
      <c r="K861" s="4" t="s">
        <v>37</v>
      </c>
      <c r="L861" s="4" t="s">
        <v>40</v>
      </c>
      <c r="M861" s="4" t="s">
        <v>37</v>
      </c>
      <c r="N861" s="4" t="s">
        <v>37</v>
      </c>
      <c r="O861" s="4" t="s">
        <v>40</v>
      </c>
      <c r="P861" s="4" t="s">
        <v>37</v>
      </c>
      <c r="Q861" s="4" t="s">
        <v>37</v>
      </c>
      <c r="R861" s="4" t="s">
        <v>40</v>
      </c>
      <c r="S861" s="4" t="s">
        <v>627</v>
      </c>
      <c r="T861" s="4" t="s">
        <v>8000</v>
      </c>
      <c r="U861" s="4" t="s">
        <v>8001</v>
      </c>
      <c r="V861" s="4" t="s">
        <v>8002</v>
      </c>
      <c r="W861" s="4" t="s">
        <v>8003</v>
      </c>
      <c r="X861" s="4"/>
      <c r="Y861" s="4"/>
      <c r="Z861" s="4" t="s">
        <v>46</v>
      </c>
      <c r="AA861" s="4" t="s">
        <v>8000</v>
      </c>
      <c r="AB861" s="4"/>
      <c r="AC861" s="9">
        <v>1</v>
      </c>
      <c r="AD861" t="str">
        <f>VLOOKUP($T861,[1]NhanSu!$C$5:$M$229,11,0)</f>
        <v>SM0000022</v>
      </c>
    </row>
    <row r="862" spans="1:30" x14ac:dyDescent="0.45">
      <c r="A862" s="6" t="s">
        <v>7995</v>
      </c>
      <c r="B862" s="5">
        <v>280</v>
      </c>
      <c r="C862" s="5" t="s">
        <v>8946</v>
      </c>
      <c r="D862" s="5" t="s">
        <v>8947</v>
      </c>
      <c r="E862" s="5" t="s">
        <v>219</v>
      </c>
      <c r="F862" s="5" t="s">
        <v>6570</v>
      </c>
      <c r="G862" s="5" t="s">
        <v>34</v>
      </c>
      <c r="H862" s="5" t="s">
        <v>54</v>
      </c>
      <c r="I862" s="5" t="s">
        <v>8948</v>
      </c>
      <c r="J862" s="5" t="s">
        <v>37</v>
      </c>
      <c r="K862" s="5" t="s">
        <v>37</v>
      </c>
      <c r="L862" s="5" t="s">
        <v>40</v>
      </c>
      <c r="M862" s="5" t="s">
        <v>37</v>
      </c>
      <c r="N862" s="5" t="s">
        <v>37</v>
      </c>
      <c r="O862" s="5" t="s">
        <v>40</v>
      </c>
      <c r="P862" s="5" t="s">
        <v>37</v>
      </c>
      <c r="Q862" s="5" t="s">
        <v>37</v>
      </c>
      <c r="R862" s="5" t="s">
        <v>40</v>
      </c>
      <c r="S862" s="5" t="s">
        <v>627</v>
      </c>
      <c r="T862" s="5" t="s">
        <v>8000</v>
      </c>
      <c r="U862" s="5" t="s">
        <v>8001</v>
      </c>
      <c r="V862" s="5" t="s">
        <v>8002</v>
      </c>
      <c r="W862" s="5" t="s">
        <v>8003</v>
      </c>
      <c r="X862" s="5"/>
      <c r="Y862" s="5"/>
      <c r="Z862" s="5" t="s">
        <v>46</v>
      </c>
      <c r="AA862" s="5" t="s">
        <v>8000</v>
      </c>
      <c r="AB862" s="5"/>
      <c r="AC862" s="7">
        <v>1</v>
      </c>
      <c r="AD862" t="str">
        <f>VLOOKUP($T862,[1]NhanSu!$C$5:$M$229,11,0)</f>
        <v>SM0000022</v>
      </c>
    </row>
    <row r="863" spans="1:30" x14ac:dyDescent="0.45">
      <c r="A863" s="8" t="s">
        <v>7995</v>
      </c>
      <c r="B863" s="4">
        <v>312</v>
      </c>
      <c r="C863" s="4" t="s">
        <v>9054</v>
      </c>
      <c r="D863" s="4" t="s">
        <v>9055</v>
      </c>
      <c r="E863" s="4" t="s">
        <v>9056</v>
      </c>
      <c r="F863" s="4" t="s">
        <v>9057</v>
      </c>
      <c r="G863" s="4" t="s">
        <v>34</v>
      </c>
      <c r="H863" s="4" t="s">
        <v>685</v>
      </c>
      <c r="I863" s="4" t="s">
        <v>4709</v>
      </c>
      <c r="J863" s="4" t="s">
        <v>38</v>
      </c>
      <c r="K863" s="4" t="s">
        <v>38</v>
      </c>
      <c r="L863" s="4" t="s">
        <v>40</v>
      </c>
      <c r="M863" s="4" t="s">
        <v>38</v>
      </c>
      <c r="N863" s="4" t="s">
        <v>38</v>
      </c>
      <c r="O863" s="4" t="s">
        <v>39</v>
      </c>
      <c r="P863" s="4" t="s">
        <v>38</v>
      </c>
      <c r="Q863" s="4" t="s">
        <v>38</v>
      </c>
      <c r="R863" s="4" t="s">
        <v>40</v>
      </c>
      <c r="S863" s="4" t="s">
        <v>41</v>
      </c>
      <c r="T863" s="4" t="s">
        <v>8060</v>
      </c>
      <c r="U863" s="4" t="s">
        <v>8016</v>
      </c>
      <c r="V863" s="4" t="s">
        <v>8002</v>
      </c>
      <c r="W863" s="4" t="s">
        <v>8003</v>
      </c>
      <c r="X863" s="4"/>
      <c r="Y863" s="4"/>
      <c r="Z863" s="4" t="s">
        <v>46</v>
      </c>
      <c r="AA863" s="4" t="s">
        <v>8060</v>
      </c>
      <c r="AB863" s="4"/>
      <c r="AC863" s="9">
        <v>1</v>
      </c>
      <c r="AD863" t="str">
        <f>VLOOKUP($T863,[1]NhanSu!$C$5:$M$229,11,0)</f>
        <v>SM0000026</v>
      </c>
    </row>
    <row r="864" spans="1:30" x14ac:dyDescent="0.45">
      <c r="A864" s="6" t="s">
        <v>9088</v>
      </c>
      <c r="B864" s="5">
        <v>36</v>
      </c>
      <c r="C864" s="5" t="s">
        <v>9089</v>
      </c>
      <c r="D864" s="5" t="s">
        <v>9090</v>
      </c>
      <c r="E864" s="5" t="s">
        <v>523</v>
      </c>
      <c r="F864" s="5" t="s">
        <v>401</v>
      </c>
      <c r="G864" s="5" t="s">
        <v>34</v>
      </c>
      <c r="H864" s="5" t="s">
        <v>54</v>
      </c>
      <c r="I864" s="5" t="s">
        <v>2516</v>
      </c>
      <c r="J864" s="5" t="s">
        <v>38</v>
      </c>
      <c r="K864" s="5" t="s">
        <v>38</v>
      </c>
      <c r="L864" s="5" t="s">
        <v>40</v>
      </c>
      <c r="M864" s="5" t="s">
        <v>1034</v>
      </c>
      <c r="N864" s="5" t="s">
        <v>56</v>
      </c>
      <c r="O864" s="5" t="s">
        <v>39</v>
      </c>
      <c r="P864" s="5" t="s">
        <v>38</v>
      </c>
      <c r="Q864" s="5" t="s">
        <v>38</v>
      </c>
      <c r="R864" s="5" t="s">
        <v>39</v>
      </c>
      <c r="S864" s="5" t="s">
        <v>41</v>
      </c>
      <c r="T864" s="5" t="s">
        <v>9091</v>
      </c>
      <c r="U864" s="5" t="s">
        <v>9092</v>
      </c>
      <c r="V864" s="5" t="s">
        <v>9093</v>
      </c>
      <c r="W864" s="5" t="s">
        <v>9094</v>
      </c>
      <c r="X864" s="5"/>
      <c r="Y864" s="5"/>
      <c r="Z864" s="5" t="s">
        <v>46</v>
      </c>
      <c r="AA864" s="5" t="s">
        <v>9095</v>
      </c>
      <c r="AB864" s="5"/>
      <c r="AC864" s="7">
        <v>1</v>
      </c>
      <c r="AD864" t="str">
        <f>VLOOKUP($T864,[1]NhanSu!$C$5:$M$229,11,0)</f>
        <v>SM0000162</v>
      </c>
    </row>
    <row r="865" spans="1:30" x14ac:dyDescent="0.45">
      <c r="A865" s="8" t="s">
        <v>9088</v>
      </c>
      <c r="B865" s="4">
        <v>64</v>
      </c>
      <c r="C865" s="4" t="s">
        <v>9106</v>
      </c>
      <c r="D865" s="4" t="s">
        <v>9107</v>
      </c>
      <c r="E865" s="4" t="s">
        <v>1360</v>
      </c>
      <c r="F865" s="4" t="s">
        <v>401</v>
      </c>
      <c r="G865" s="4" t="s">
        <v>34</v>
      </c>
      <c r="H865" s="4" t="s">
        <v>1542</v>
      </c>
      <c r="I865" s="4" t="s">
        <v>9109</v>
      </c>
      <c r="J865" s="4" t="s">
        <v>38</v>
      </c>
      <c r="K865" s="4" t="s">
        <v>38</v>
      </c>
      <c r="L865" s="4" t="s">
        <v>40</v>
      </c>
      <c r="M865" s="4" t="s">
        <v>38</v>
      </c>
      <c r="N865" s="4" t="s">
        <v>38</v>
      </c>
      <c r="O865" s="4" t="s">
        <v>40</v>
      </c>
      <c r="P865" s="4" t="s">
        <v>38</v>
      </c>
      <c r="Q865" s="4" t="s">
        <v>38</v>
      </c>
      <c r="R865" s="4" t="s">
        <v>40</v>
      </c>
      <c r="S865" s="4" t="s">
        <v>41</v>
      </c>
      <c r="T865" s="4" t="s">
        <v>9099</v>
      </c>
      <c r="U865" s="4" t="s">
        <v>9100</v>
      </c>
      <c r="V865" s="4" t="s">
        <v>9093</v>
      </c>
      <c r="W865" s="4" t="s">
        <v>9101</v>
      </c>
      <c r="X865" s="4"/>
      <c r="Y865" s="4"/>
      <c r="Z865" s="4" t="s">
        <v>46</v>
      </c>
      <c r="AA865" s="4" t="s">
        <v>9095</v>
      </c>
      <c r="AB865" s="4"/>
      <c r="AC865" s="9">
        <v>1</v>
      </c>
      <c r="AD865" t="str">
        <f>VLOOKUP($T865,[1]NhanSu!$C$5:$M$229,11,0)</f>
        <v>SM0000048</v>
      </c>
    </row>
    <row r="866" spans="1:30" x14ac:dyDescent="0.45">
      <c r="A866" s="6" t="s">
        <v>9088</v>
      </c>
      <c r="B866" s="5">
        <v>88</v>
      </c>
      <c r="C866" s="5" t="s">
        <v>9116</v>
      </c>
      <c r="D866" s="5" t="s">
        <v>9117</v>
      </c>
      <c r="E866" s="5" t="s">
        <v>9118</v>
      </c>
      <c r="F866" s="5" t="s">
        <v>401</v>
      </c>
      <c r="G866" s="5" t="s">
        <v>34</v>
      </c>
      <c r="H866" s="5" t="s">
        <v>834</v>
      </c>
      <c r="I866" s="5" t="s">
        <v>9098</v>
      </c>
      <c r="J866" s="5" t="s">
        <v>38</v>
      </c>
      <c r="K866" s="5" t="s">
        <v>38</v>
      </c>
      <c r="L866" s="5" t="s">
        <v>40</v>
      </c>
      <c r="M866" s="5" t="s">
        <v>38</v>
      </c>
      <c r="N866" s="5" t="s">
        <v>38</v>
      </c>
      <c r="O866" s="5" t="s">
        <v>40</v>
      </c>
      <c r="P866" s="5" t="s">
        <v>38</v>
      </c>
      <c r="Q866" s="5" t="s">
        <v>38</v>
      </c>
      <c r="R866" s="5" t="s">
        <v>40</v>
      </c>
      <c r="S866" s="5" t="s">
        <v>41</v>
      </c>
      <c r="T866" s="5" t="s">
        <v>9099</v>
      </c>
      <c r="U866" s="5" t="s">
        <v>9100</v>
      </c>
      <c r="V866" s="5" t="s">
        <v>9093</v>
      </c>
      <c r="W866" s="5" t="s">
        <v>9101</v>
      </c>
      <c r="X866" s="5"/>
      <c r="Y866" s="5"/>
      <c r="Z866" s="5" t="s">
        <v>46</v>
      </c>
      <c r="AA866" s="5" t="s">
        <v>9119</v>
      </c>
      <c r="AB866" s="5"/>
      <c r="AC866" s="7">
        <v>1</v>
      </c>
      <c r="AD866" t="str">
        <f>VLOOKUP($T866,[1]NhanSu!$C$5:$M$229,11,0)</f>
        <v>SM0000048</v>
      </c>
    </row>
    <row r="867" spans="1:30" x14ac:dyDescent="0.45">
      <c r="A867" s="8" t="s">
        <v>9088</v>
      </c>
      <c r="B867" s="4">
        <v>90</v>
      </c>
      <c r="C867" s="4" t="s">
        <v>9120</v>
      </c>
      <c r="D867" s="4" t="s">
        <v>9121</v>
      </c>
      <c r="E867" s="4" t="s">
        <v>324</v>
      </c>
      <c r="F867" s="4" t="s">
        <v>53</v>
      </c>
      <c r="G867" s="4" t="s">
        <v>34</v>
      </c>
      <c r="H867" s="4" t="s">
        <v>620</v>
      </c>
      <c r="I867" s="4" t="s">
        <v>2049</v>
      </c>
      <c r="J867" s="4" t="s">
        <v>38</v>
      </c>
      <c r="K867" s="4" t="s">
        <v>38</v>
      </c>
      <c r="L867" s="4" t="s">
        <v>40</v>
      </c>
      <c r="M867" s="4" t="s">
        <v>38</v>
      </c>
      <c r="N867" s="4" t="s">
        <v>38</v>
      </c>
      <c r="O867" s="4" t="s">
        <v>40</v>
      </c>
      <c r="P867" s="4" t="s">
        <v>38</v>
      </c>
      <c r="Q867" s="4" t="s">
        <v>38</v>
      </c>
      <c r="R867" s="4" t="s">
        <v>40</v>
      </c>
      <c r="S867" s="4" t="s">
        <v>41</v>
      </c>
      <c r="T867" s="4" t="s">
        <v>9099</v>
      </c>
      <c r="U867" s="4" t="s">
        <v>9100</v>
      </c>
      <c r="V867" s="4" t="s">
        <v>9093</v>
      </c>
      <c r="W867" s="4" t="s">
        <v>9101</v>
      </c>
      <c r="X867" s="4"/>
      <c r="Y867" s="4"/>
      <c r="Z867" s="4" t="s">
        <v>46</v>
      </c>
      <c r="AA867" s="4" t="s">
        <v>9095</v>
      </c>
      <c r="AB867" s="4"/>
      <c r="AC867" s="9">
        <v>1</v>
      </c>
      <c r="AD867" t="str">
        <f>VLOOKUP($T867,[1]NhanSu!$C$5:$M$229,11,0)</f>
        <v>SM0000048</v>
      </c>
    </row>
    <row r="868" spans="1:30" x14ac:dyDescent="0.45">
      <c r="A868" s="6" t="s">
        <v>9088</v>
      </c>
      <c r="B868" s="5">
        <v>253</v>
      </c>
      <c r="C868" s="5" t="s">
        <v>9138</v>
      </c>
      <c r="D868" s="5" t="s">
        <v>3520</v>
      </c>
      <c r="E868" s="5" t="s">
        <v>9139</v>
      </c>
      <c r="F868" s="5" t="s">
        <v>9140</v>
      </c>
      <c r="G868" s="5" t="s">
        <v>34</v>
      </c>
      <c r="H868" s="5" t="s">
        <v>214</v>
      </c>
      <c r="I868" s="5" t="s">
        <v>9141</v>
      </c>
      <c r="J868" s="5" t="s">
        <v>38</v>
      </c>
      <c r="K868" s="5" t="s">
        <v>38</v>
      </c>
      <c r="L868" s="5" t="s">
        <v>40</v>
      </c>
      <c r="M868" s="5" t="s">
        <v>56</v>
      </c>
      <c r="N868" s="5" t="s">
        <v>56</v>
      </c>
      <c r="O868" s="5" t="s">
        <v>39</v>
      </c>
      <c r="P868" s="5" t="s">
        <v>38</v>
      </c>
      <c r="Q868" s="5" t="s">
        <v>37</v>
      </c>
      <c r="R868" s="5" t="s">
        <v>39</v>
      </c>
      <c r="S868" s="5" t="s">
        <v>41</v>
      </c>
      <c r="T868" s="5" t="s">
        <v>9142</v>
      </c>
      <c r="U868" s="5" t="s">
        <v>9143</v>
      </c>
      <c r="V868" s="5" t="s">
        <v>9093</v>
      </c>
      <c r="W868" s="5" t="s">
        <v>2978</v>
      </c>
      <c r="X868" s="5"/>
      <c r="Y868" s="5"/>
      <c r="Z868" s="5" t="s">
        <v>46</v>
      </c>
      <c r="AA868" s="5" t="s">
        <v>9095</v>
      </c>
      <c r="AB868" s="5"/>
      <c r="AC868" s="7">
        <v>1</v>
      </c>
      <c r="AD868" t="str">
        <f>VLOOKUP($T868,[1]NhanSu!$C$5:$M$229,11,0)</f>
        <v>SM0000051</v>
      </c>
    </row>
    <row r="869" spans="1:30" x14ac:dyDescent="0.45">
      <c r="A869" s="8" t="s">
        <v>9088</v>
      </c>
      <c r="B869" s="4">
        <v>296</v>
      </c>
      <c r="C869" s="4" t="s">
        <v>9152</v>
      </c>
      <c r="D869" s="4" t="s">
        <v>9153</v>
      </c>
      <c r="E869" s="4" t="s">
        <v>5628</v>
      </c>
      <c r="F869" s="4" t="s">
        <v>115</v>
      </c>
      <c r="G869" s="4" t="s">
        <v>34</v>
      </c>
      <c r="H869" s="4" t="s">
        <v>214</v>
      </c>
      <c r="I869" s="4" t="s">
        <v>4989</v>
      </c>
      <c r="J869" s="4" t="s">
        <v>38</v>
      </c>
      <c r="K869" s="4" t="s">
        <v>38</v>
      </c>
      <c r="L869" s="4" t="s">
        <v>39</v>
      </c>
      <c r="M869" s="4" t="s">
        <v>1034</v>
      </c>
      <c r="N869" s="4" t="s">
        <v>37</v>
      </c>
      <c r="O869" s="4" t="s">
        <v>39</v>
      </c>
      <c r="P869" s="4" t="s">
        <v>38</v>
      </c>
      <c r="Q869" s="4" t="s">
        <v>38</v>
      </c>
      <c r="R869" s="4" t="s">
        <v>39</v>
      </c>
      <c r="S869" s="4" t="s">
        <v>41</v>
      </c>
      <c r="T869" s="4" t="s">
        <v>9091</v>
      </c>
      <c r="U869" s="4" t="s">
        <v>9092</v>
      </c>
      <c r="V869" s="4" t="s">
        <v>9093</v>
      </c>
      <c r="W869" s="4" t="s">
        <v>9094</v>
      </c>
      <c r="X869" s="4"/>
      <c r="Y869" s="4"/>
      <c r="Z869" s="4" t="s">
        <v>46</v>
      </c>
      <c r="AA869" s="4" t="s">
        <v>9095</v>
      </c>
      <c r="AB869" s="4"/>
      <c r="AC869" s="9">
        <v>1</v>
      </c>
      <c r="AD869" t="str">
        <f>VLOOKUP($T869,[1]NhanSu!$C$5:$M$229,11,0)</f>
        <v>SM0000162</v>
      </c>
    </row>
    <row r="870" spans="1:30" x14ac:dyDescent="0.45">
      <c r="A870" s="6" t="s">
        <v>9088</v>
      </c>
      <c r="B870" s="5">
        <v>340</v>
      </c>
      <c r="C870" s="5" t="s">
        <v>9154</v>
      </c>
      <c r="D870" s="5" t="s">
        <v>9155</v>
      </c>
      <c r="E870" s="5" t="s">
        <v>6418</v>
      </c>
      <c r="F870" s="5" t="s">
        <v>9156</v>
      </c>
      <c r="G870" s="5" t="s">
        <v>177</v>
      </c>
      <c r="H870" s="5" t="s">
        <v>54</v>
      </c>
      <c r="I870" s="5" t="s">
        <v>9157</v>
      </c>
      <c r="J870" s="5" t="s">
        <v>38</v>
      </c>
      <c r="K870" s="5" t="s">
        <v>38</v>
      </c>
      <c r="L870" s="5" t="s">
        <v>39</v>
      </c>
      <c r="M870" s="5" t="s">
        <v>38</v>
      </c>
      <c r="N870" s="5" t="s">
        <v>38</v>
      </c>
      <c r="O870" s="5" t="s">
        <v>39</v>
      </c>
      <c r="P870" s="5" t="s">
        <v>38</v>
      </c>
      <c r="Q870" s="5" t="s">
        <v>38</v>
      </c>
      <c r="R870" s="5" t="s">
        <v>39</v>
      </c>
      <c r="S870" s="5" t="s">
        <v>5662</v>
      </c>
      <c r="T870" s="5" t="s">
        <v>9158</v>
      </c>
      <c r="U870" s="5" t="s">
        <v>9159</v>
      </c>
      <c r="V870" s="5" t="s">
        <v>9093</v>
      </c>
      <c r="W870" s="5" t="s">
        <v>2978</v>
      </c>
      <c r="X870" s="5"/>
      <c r="Y870" s="5"/>
      <c r="Z870" s="5" t="s">
        <v>46</v>
      </c>
      <c r="AA870" s="5" t="s">
        <v>9160</v>
      </c>
      <c r="AB870" s="5"/>
      <c r="AC870" s="7">
        <v>1</v>
      </c>
      <c r="AD870" t="str">
        <f>VLOOKUP($T870,[1]NhanSu!$C$5:$M$229,11,0)</f>
        <v>SM0000050</v>
      </c>
    </row>
    <row r="871" spans="1:30" x14ac:dyDescent="0.45">
      <c r="A871" s="8" t="s">
        <v>9088</v>
      </c>
      <c r="B871" s="4">
        <v>364</v>
      </c>
      <c r="C871" s="4" t="s">
        <v>9163</v>
      </c>
      <c r="D871" s="4" t="s">
        <v>9164</v>
      </c>
      <c r="E871" s="4" t="s">
        <v>9165</v>
      </c>
      <c r="F871" s="4" t="s">
        <v>4655</v>
      </c>
      <c r="G871" s="4" t="s">
        <v>34</v>
      </c>
      <c r="H871" s="4" t="s">
        <v>54</v>
      </c>
      <c r="I871" s="4" t="s">
        <v>9166</v>
      </c>
      <c r="J871" s="4" t="s">
        <v>38</v>
      </c>
      <c r="K871" s="4" t="s">
        <v>38</v>
      </c>
      <c r="L871" s="4" t="s">
        <v>39</v>
      </c>
      <c r="M871" s="4" t="s">
        <v>38</v>
      </c>
      <c r="N871" s="4" t="s">
        <v>38</v>
      </c>
      <c r="O871" s="4" t="s">
        <v>39</v>
      </c>
      <c r="P871" s="4" t="s">
        <v>38</v>
      </c>
      <c r="Q871" s="4" t="s">
        <v>38</v>
      </c>
      <c r="R871" s="4" t="s">
        <v>39</v>
      </c>
      <c r="S871" s="4" t="s">
        <v>41</v>
      </c>
      <c r="T871" s="4" t="s">
        <v>9158</v>
      </c>
      <c r="U871" s="4" t="s">
        <v>9159</v>
      </c>
      <c r="V871" s="4" t="s">
        <v>9093</v>
      </c>
      <c r="W871" s="4" t="s">
        <v>2978</v>
      </c>
      <c r="X871" s="4"/>
      <c r="Y871" s="4"/>
      <c r="Z871" s="4" t="s">
        <v>46</v>
      </c>
      <c r="AA871" s="4" t="s">
        <v>9160</v>
      </c>
      <c r="AB871" s="4"/>
      <c r="AC871" s="9">
        <v>1</v>
      </c>
      <c r="AD871" t="str">
        <f>VLOOKUP($T871,[1]NhanSu!$C$5:$M$229,11,0)</f>
        <v>SM0000050</v>
      </c>
    </row>
    <row r="872" spans="1:30" x14ac:dyDescent="0.45">
      <c r="A872" s="6" t="s">
        <v>9088</v>
      </c>
      <c r="B872" s="5">
        <v>452</v>
      </c>
      <c r="C872" s="5" t="s">
        <v>9203</v>
      </c>
      <c r="D872" s="5" t="s">
        <v>9204</v>
      </c>
      <c r="E872" s="5" t="s">
        <v>1695</v>
      </c>
      <c r="F872" s="5" t="s">
        <v>53</v>
      </c>
      <c r="G872" s="5" t="s">
        <v>34</v>
      </c>
      <c r="H872" s="5" t="s">
        <v>54</v>
      </c>
      <c r="I872" s="5" t="s">
        <v>2061</v>
      </c>
      <c r="J872" s="5" t="s">
        <v>38</v>
      </c>
      <c r="K872" s="5" t="s">
        <v>38</v>
      </c>
      <c r="L872" s="5" t="s">
        <v>39</v>
      </c>
      <c r="M872" s="5" t="s">
        <v>1034</v>
      </c>
      <c r="N872" s="5" t="s">
        <v>37</v>
      </c>
      <c r="O872" s="5" t="s">
        <v>39</v>
      </c>
      <c r="P872" s="5" t="s">
        <v>38</v>
      </c>
      <c r="Q872" s="5" t="s">
        <v>38</v>
      </c>
      <c r="R872" s="5" t="s">
        <v>39</v>
      </c>
      <c r="S872" s="5" t="s">
        <v>41</v>
      </c>
      <c r="T872" s="5" t="s">
        <v>9091</v>
      </c>
      <c r="U872" s="5" t="s">
        <v>9205</v>
      </c>
      <c r="V872" s="5" t="s">
        <v>9093</v>
      </c>
      <c r="W872" s="5" t="s">
        <v>9094</v>
      </c>
      <c r="X872" s="5"/>
      <c r="Y872" s="5"/>
      <c r="Z872" s="5" t="s">
        <v>46</v>
      </c>
      <c r="AA872" s="5" t="s">
        <v>9095</v>
      </c>
      <c r="AB872" s="5"/>
      <c r="AC872" s="7">
        <v>1</v>
      </c>
      <c r="AD872" t="str">
        <f>VLOOKUP($T872,[1]NhanSu!$C$5:$M$229,11,0)</f>
        <v>SM0000162</v>
      </c>
    </row>
    <row r="873" spans="1:30" x14ac:dyDescent="0.45">
      <c r="A873" s="8" t="s">
        <v>9088</v>
      </c>
      <c r="B873" s="4">
        <v>458</v>
      </c>
      <c r="C873" s="4" t="s">
        <v>9206</v>
      </c>
      <c r="D873" s="4" t="s">
        <v>7480</v>
      </c>
      <c r="E873" s="4" t="s">
        <v>176</v>
      </c>
      <c r="F873" s="4" t="s">
        <v>53</v>
      </c>
      <c r="G873" s="4" t="s">
        <v>177</v>
      </c>
      <c r="H873" s="4" t="s">
        <v>1177</v>
      </c>
      <c r="I873" s="4" t="s">
        <v>9198</v>
      </c>
      <c r="J873" s="4" t="s">
        <v>38</v>
      </c>
      <c r="K873" s="4" t="s">
        <v>38</v>
      </c>
      <c r="L873" s="4" t="s">
        <v>40</v>
      </c>
      <c r="M873" s="4" t="s">
        <v>37</v>
      </c>
      <c r="N873" s="4" t="s">
        <v>37</v>
      </c>
      <c r="O873" s="4" t="s">
        <v>39</v>
      </c>
      <c r="P873" s="4" t="s">
        <v>38</v>
      </c>
      <c r="Q873" s="4" t="s">
        <v>38</v>
      </c>
      <c r="R873" s="4" t="s">
        <v>40</v>
      </c>
      <c r="S873" s="4" t="s">
        <v>41</v>
      </c>
      <c r="T873" s="4" t="s">
        <v>9199</v>
      </c>
      <c r="U873" s="4" t="s">
        <v>9200</v>
      </c>
      <c r="V873" s="4" t="s">
        <v>9093</v>
      </c>
      <c r="W873" s="4" t="s">
        <v>9180</v>
      </c>
      <c r="X873" s="4"/>
      <c r="Y873" s="4"/>
      <c r="Z873" s="4" t="s">
        <v>46</v>
      </c>
      <c r="AA873" s="4" t="s">
        <v>9119</v>
      </c>
      <c r="AB873" s="4"/>
      <c r="AC873" s="9">
        <v>1</v>
      </c>
      <c r="AD873" t="str">
        <f>VLOOKUP($T873,[1]NhanSu!$C$5:$M$229,11,0)</f>
        <v>SM0000047</v>
      </c>
    </row>
    <row r="874" spans="1:30" x14ac:dyDescent="0.45">
      <c r="A874" s="6" t="s">
        <v>9088</v>
      </c>
      <c r="B874" s="5">
        <v>460</v>
      </c>
      <c r="C874" s="5" t="s">
        <v>9207</v>
      </c>
      <c r="D874" s="5" t="s">
        <v>9208</v>
      </c>
      <c r="E874" s="5" t="s">
        <v>69</v>
      </c>
      <c r="F874" s="5" t="s">
        <v>53</v>
      </c>
      <c r="G874" s="5" t="s">
        <v>34</v>
      </c>
      <c r="H874" s="5" t="s">
        <v>2593</v>
      </c>
      <c r="I874" s="5" t="s">
        <v>9198</v>
      </c>
      <c r="J874" s="5" t="s">
        <v>38</v>
      </c>
      <c r="K874" s="5" t="s">
        <v>38</v>
      </c>
      <c r="L874" s="5" t="s">
        <v>40</v>
      </c>
      <c r="M874" s="5" t="s">
        <v>56</v>
      </c>
      <c r="N874" s="5" t="s">
        <v>56</v>
      </c>
      <c r="O874" s="5" t="s">
        <v>39</v>
      </c>
      <c r="P874" s="5" t="s">
        <v>38</v>
      </c>
      <c r="Q874" s="5" t="s">
        <v>38</v>
      </c>
      <c r="R874" s="5" t="s">
        <v>40</v>
      </c>
      <c r="S874" s="5" t="s">
        <v>41</v>
      </c>
      <c r="T874" s="5" t="s">
        <v>9199</v>
      </c>
      <c r="U874" s="5" t="s">
        <v>9200</v>
      </c>
      <c r="V874" s="5" t="s">
        <v>9093</v>
      </c>
      <c r="W874" s="5" t="s">
        <v>9180</v>
      </c>
      <c r="X874" s="5"/>
      <c r="Y874" s="5"/>
      <c r="Z874" s="5" t="s">
        <v>46</v>
      </c>
      <c r="AA874" s="5" t="s">
        <v>9119</v>
      </c>
      <c r="AB874" s="5"/>
      <c r="AC874" s="7">
        <v>1</v>
      </c>
      <c r="AD874" t="str">
        <f>VLOOKUP($T874,[1]NhanSu!$C$5:$M$229,11,0)</f>
        <v>SM0000047</v>
      </c>
    </row>
    <row r="875" spans="1:30" x14ac:dyDescent="0.45">
      <c r="A875" s="8" t="s">
        <v>9088</v>
      </c>
      <c r="B875" s="4">
        <v>468</v>
      </c>
      <c r="C875" s="4" t="s">
        <v>9209</v>
      </c>
      <c r="D875" s="4" t="s">
        <v>9210</v>
      </c>
      <c r="E875" s="4" t="s">
        <v>1492</v>
      </c>
      <c r="F875" s="4" t="s">
        <v>9211</v>
      </c>
      <c r="G875" s="4" t="s">
        <v>34</v>
      </c>
      <c r="H875" s="4" t="s">
        <v>171</v>
      </c>
      <c r="I875" s="4" t="s">
        <v>9212</v>
      </c>
      <c r="J875" s="4" t="s">
        <v>38</v>
      </c>
      <c r="K875" s="4" t="s">
        <v>38</v>
      </c>
      <c r="L875" s="4" t="s">
        <v>40</v>
      </c>
      <c r="M875" s="4" t="s">
        <v>1034</v>
      </c>
      <c r="N875" s="4" t="s">
        <v>56</v>
      </c>
      <c r="O875" s="4" t="s">
        <v>39</v>
      </c>
      <c r="P875" s="4" t="s">
        <v>38</v>
      </c>
      <c r="Q875" s="4" t="s">
        <v>38</v>
      </c>
      <c r="R875" s="4" t="s">
        <v>39</v>
      </c>
      <c r="S875" s="4" t="s">
        <v>9213</v>
      </c>
      <c r="T875" s="4" t="s">
        <v>9091</v>
      </c>
      <c r="U875" s="4" t="s">
        <v>9092</v>
      </c>
      <c r="V875" s="4" t="s">
        <v>9093</v>
      </c>
      <c r="W875" s="4" t="s">
        <v>9094</v>
      </c>
      <c r="X875" s="4"/>
      <c r="Y875" s="4"/>
      <c r="Z875" s="4" t="s">
        <v>46</v>
      </c>
      <c r="AA875" s="4" t="s">
        <v>9095</v>
      </c>
      <c r="AB875" s="4"/>
      <c r="AC875" s="9">
        <v>1</v>
      </c>
      <c r="AD875" t="str">
        <f>VLOOKUP($T875,[1]NhanSu!$C$5:$M$229,11,0)</f>
        <v>SM0000162</v>
      </c>
    </row>
    <row r="876" spans="1:30" x14ac:dyDescent="0.45">
      <c r="A876" s="6" t="s">
        <v>9088</v>
      </c>
      <c r="B876" s="5">
        <v>539</v>
      </c>
      <c r="C876" s="5" t="s">
        <v>9232</v>
      </c>
      <c r="D876" s="5" t="s">
        <v>9233</v>
      </c>
      <c r="E876" s="5" t="s">
        <v>9234</v>
      </c>
      <c r="F876" s="5" t="s">
        <v>325</v>
      </c>
      <c r="G876" s="5" t="s">
        <v>34</v>
      </c>
      <c r="H876" s="5" t="s">
        <v>214</v>
      </c>
      <c r="I876" s="5" t="s">
        <v>9224</v>
      </c>
      <c r="J876" s="5" t="s">
        <v>38</v>
      </c>
      <c r="K876" s="5" t="s">
        <v>38</v>
      </c>
      <c r="L876" s="5" t="s">
        <v>39</v>
      </c>
      <c r="M876" s="5" t="s">
        <v>37</v>
      </c>
      <c r="N876" s="5" t="s">
        <v>37</v>
      </c>
      <c r="O876" s="5" t="s">
        <v>39</v>
      </c>
      <c r="P876" s="5" t="s">
        <v>38</v>
      </c>
      <c r="Q876" s="5" t="s">
        <v>38</v>
      </c>
      <c r="R876" s="5" t="s">
        <v>39</v>
      </c>
      <c r="S876" s="5" t="s">
        <v>41</v>
      </c>
      <c r="T876" s="5" t="s">
        <v>9225</v>
      </c>
      <c r="U876" s="5" t="s">
        <v>9226</v>
      </c>
      <c r="V876" s="5" t="s">
        <v>9093</v>
      </c>
      <c r="W876" s="5" t="s">
        <v>9227</v>
      </c>
      <c r="X876" s="5"/>
      <c r="Y876" s="5"/>
      <c r="Z876" s="5" t="s">
        <v>46</v>
      </c>
      <c r="AA876" s="5" t="s">
        <v>9235</v>
      </c>
      <c r="AB876" s="5"/>
      <c r="AC876" s="7">
        <v>1</v>
      </c>
      <c r="AD876" t="str">
        <f>VLOOKUP($T876,[1]NhanSu!$C$5:$M$229,11,0)</f>
        <v>SM0000042</v>
      </c>
    </row>
    <row r="877" spans="1:30" x14ac:dyDescent="0.45">
      <c r="A877" s="8" t="s">
        <v>9088</v>
      </c>
      <c r="B877" s="4">
        <v>540</v>
      </c>
      <c r="C877" s="4" t="s">
        <v>9236</v>
      </c>
      <c r="D877" s="4" t="s">
        <v>9237</v>
      </c>
      <c r="E877" s="4" t="s">
        <v>9238</v>
      </c>
      <c r="F877" s="4" t="s">
        <v>2425</v>
      </c>
      <c r="G877" s="4" t="s">
        <v>177</v>
      </c>
      <c r="H877" s="4" t="s">
        <v>1263</v>
      </c>
      <c r="I877" s="4" t="s">
        <v>9239</v>
      </c>
      <c r="J877" s="4" t="s">
        <v>37</v>
      </c>
      <c r="K877" s="4" t="s">
        <v>37</v>
      </c>
      <c r="L877" s="4" t="s">
        <v>39</v>
      </c>
      <c r="M877" s="4" t="s">
        <v>37</v>
      </c>
      <c r="N877" s="4" t="s">
        <v>37</v>
      </c>
      <c r="O877" s="4" t="s">
        <v>39</v>
      </c>
      <c r="P877" s="4" t="s">
        <v>38</v>
      </c>
      <c r="Q877" s="4" t="s">
        <v>38</v>
      </c>
      <c r="R877" s="4" t="s">
        <v>39</v>
      </c>
      <c r="S877" s="4" t="s">
        <v>41</v>
      </c>
      <c r="T877" s="4" t="s">
        <v>9240</v>
      </c>
      <c r="U877" s="4" t="s">
        <v>9205</v>
      </c>
      <c r="V877" s="4" t="s">
        <v>9093</v>
      </c>
      <c r="W877" s="4" t="s">
        <v>9227</v>
      </c>
      <c r="X877" s="4"/>
      <c r="Y877" s="4"/>
      <c r="Z877" s="4" t="s">
        <v>46</v>
      </c>
      <c r="AA877" s="4" t="s">
        <v>9095</v>
      </c>
      <c r="AB877" s="4"/>
      <c r="AC877" s="9">
        <v>1</v>
      </c>
      <c r="AD877" t="str">
        <f>VLOOKUP($T877,[1]NhanSu!$C$5:$M$229,11,0)</f>
        <v>SM0000044</v>
      </c>
    </row>
    <row r="878" spans="1:30" x14ac:dyDescent="0.45">
      <c r="A878" s="6" t="s">
        <v>9088</v>
      </c>
      <c r="B878" s="5">
        <v>553</v>
      </c>
      <c r="C878" s="5" t="s">
        <v>9252</v>
      </c>
      <c r="D878" s="5" t="s">
        <v>9253</v>
      </c>
      <c r="E878" s="5" t="s">
        <v>176</v>
      </c>
      <c r="F878" s="5" t="s">
        <v>53</v>
      </c>
      <c r="G878" s="5" t="s">
        <v>177</v>
      </c>
      <c r="H878" s="5" t="s">
        <v>4335</v>
      </c>
      <c r="I878" s="5" t="s">
        <v>9198</v>
      </c>
      <c r="J878" s="5" t="s">
        <v>38</v>
      </c>
      <c r="K878" s="5" t="s">
        <v>38</v>
      </c>
      <c r="L878" s="5" t="s">
        <v>40</v>
      </c>
      <c r="M878" s="5" t="s">
        <v>37</v>
      </c>
      <c r="N878" s="5" t="s">
        <v>37</v>
      </c>
      <c r="O878" s="5" t="s">
        <v>39</v>
      </c>
      <c r="P878" s="5" t="s">
        <v>38</v>
      </c>
      <c r="Q878" s="5" t="s">
        <v>38</v>
      </c>
      <c r="R878" s="5" t="s">
        <v>40</v>
      </c>
      <c r="S878" s="5" t="s">
        <v>41</v>
      </c>
      <c r="T878" s="5" t="s">
        <v>9199</v>
      </c>
      <c r="U878" s="5" t="s">
        <v>9200</v>
      </c>
      <c r="V878" s="5" t="s">
        <v>9093</v>
      </c>
      <c r="W878" s="5" t="s">
        <v>9180</v>
      </c>
      <c r="X878" s="5"/>
      <c r="Y878" s="5"/>
      <c r="Z878" s="5" t="s">
        <v>46</v>
      </c>
      <c r="AA878" s="5" t="s">
        <v>9119</v>
      </c>
      <c r="AB878" s="5"/>
      <c r="AC878" s="7">
        <v>1</v>
      </c>
      <c r="AD878" t="str">
        <f>VLOOKUP($T878,[1]NhanSu!$C$5:$M$229,11,0)</f>
        <v>SM0000047</v>
      </c>
    </row>
    <row r="879" spans="1:30" x14ac:dyDescent="0.45">
      <c r="A879" s="8" t="s">
        <v>9088</v>
      </c>
      <c r="B879" s="4">
        <v>555</v>
      </c>
      <c r="C879" s="4" t="s">
        <v>9254</v>
      </c>
      <c r="D879" s="4" t="s">
        <v>9255</v>
      </c>
      <c r="E879" s="4" t="s">
        <v>9256</v>
      </c>
      <c r="F879" s="4" t="s">
        <v>53</v>
      </c>
      <c r="G879" s="4" t="s">
        <v>177</v>
      </c>
      <c r="H879" s="4" t="s">
        <v>433</v>
      </c>
      <c r="I879" s="4" t="s">
        <v>9257</v>
      </c>
      <c r="J879" s="4" t="s">
        <v>41</v>
      </c>
      <c r="K879" s="4" t="s">
        <v>41</v>
      </c>
      <c r="L879" s="4" t="s">
        <v>41</v>
      </c>
      <c r="M879" s="4" t="s">
        <v>41</v>
      </c>
      <c r="N879" s="4" t="s">
        <v>41</v>
      </c>
      <c r="O879" s="4" t="s">
        <v>41</v>
      </c>
      <c r="P879" s="4" t="s">
        <v>41</v>
      </c>
      <c r="Q879" s="4" t="s">
        <v>41</v>
      </c>
      <c r="R879" s="4" t="s">
        <v>41</v>
      </c>
      <c r="S879" s="4" t="s">
        <v>41</v>
      </c>
      <c r="T879" s="4" t="s">
        <v>9199</v>
      </c>
      <c r="U879" s="4" t="s">
        <v>9200</v>
      </c>
      <c r="V879" s="4" t="s">
        <v>9093</v>
      </c>
      <c r="W879" s="4" t="s">
        <v>9180</v>
      </c>
      <c r="X879" s="4"/>
      <c r="Y879" s="4"/>
      <c r="Z879" s="4" t="s">
        <v>46</v>
      </c>
      <c r="AA879" s="4" t="s">
        <v>9119</v>
      </c>
      <c r="AB879" s="4"/>
      <c r="AC879" s="9">
        <v>1</v>
      </c>
      <c r="AD879" t="str">
        <f>VLOOKUP($T879,[1]NhanSu!$C$5:$M$229,11,0)</f>
        <v>SM0000047</v>
      </c>
    </row>
    <row r="880" spans="1:30" x14ac:dyDescent="0.45">
      <c r="A880" s="6" t="s">
        <v>9088</v>
      </c>
      <c r="B880" s="5">
        <v>556</v>
      </c>
      <c r="C880" s="5" t="s">
        <v>9258</v>
      </c>
      <c r="D880" s="5" t="s">
        <v>9259</v>
      </c>
      <c r="E880" s="5" t="s">
        <v>9260</v>
      </c>
      <c r="F880" s="5" t="s">
        <v>9261</v>
      </c>
      <c r="G880" s="5" t="s">
        <v>177</v>
      </c>
      <c r="H880" s="5" t="s">
        <v>2643</v>
      </c>
      <c r="I880" s="5" t="s">
        <v>9262</v>
      </c>
      <c r="J880" s="5" t="s">
        <v>37</v>
      </c>
      <c r="K880" s="5" t="s">
        <v>37</v>
      </c>
      <c r="L880" s="5" t="s">
        <v>39</v>
      </c>
      <c r="M880" s="5" t="s">
        <v>37</v>
      </c>
      <c r="N880" s="5" t="s">
        <v>37</v>
      </c>
      <c r="O880" s="5" t="s">
        <v>39</v>
      </c>
      <c r="P880" s="5" t="s">
        <v>38</v>
      </c>
      <c r="Q880" s="5" t="s">
        <v>38</v>
      </c>
      <c r="R880" s="5" t="s">
        <v>39</v>
      </c>
      <c r="S880" s="5" t="s">
        <v>41</v>
      </c>
      <c r="T880" s="5" t="s">
        <v>9240</v>
      </c>
      <c r="U880" s="5" t="s">
        <v>9205</v>
      </c>
      <c r="V880" s="5" t="s">
        <v>9093</v>
      </c>
      <c r="W880" s="5" t="s">
        <v>9227</v>
      </c>
      <c r="X880" s="5"/>
      <c r="Y880" s="5"/>
      <c r="Z880" s="5" t="s">
        <v>46</v>
      </c>
      <c r="AA880" s="5" t="s">
        <v>9263</v>
      </c>
      <c r="AB880" s="5"/>
      <c r="AC880" s="7">
        <v>1</v>
      </c>
      <c r="AD880" t="str">
        <f>VLOOKUP($T880,[1]NhanSu!$C$5:$M$229,11,0)</f>
        <v>SM0000044</v>
      </c>
    </row>
    <row r="881" spans="1:30" x14ac:dyDescent="0.45">
      <c r="A881" s="8" t="s">
        <v>9088</v>
      </c>
      <c r="B881" s="4">
        <v>557</v>
      </c>
      <c r="C881" s="4" t="s">
        <v>9264</v>
      </c>
      <c r="D881" s="4" t="s">
        <v>9265</v>
      </c>
      <c r="E881" s="4" t="s">
        <v>9266</v>
      </c>
      <c r="F881" s="4" t="s">
        <v>53</v>
      </c>
      <c r="G881" s="4" t="s">
        <v>177</v>
      </c>
      <c r="H881" s="4" t="s">
        <v>319</v>
      </c>
      <c r="I881" s="4" t="s">
        <v>9267</v>
      </c>
      <c r="J881" s="4" t="s">
        <v>38</v>
      </c>
      <c r="K881" s="4" t="s">
        <v>38</v>
      </c>
      <c r="L881" s="4" t="s">
        <v>40</v>
      </c>
      <c r="M881" s="4" t="s">
        <v>775</v>
      </c>
      <c r="N881" s="4" t="s">
        <v>775</v>
      </c>
      <c r="O881" s="4" t="s">
        <v>121</v>
      </c>
      <c r="P881" s="4" t="s">
        <v>38</v>
      </c>
      <c r="Q881" s="4" t="s">
        <v>38</v>
      </c>
      <c r="R881" s="4" t="s">
        <v>40</v>
      </c>
      <c r="S881" s="4" t="s">
        <v>41</v>
      </c>
      <c r="T881" s="4" t="s">
        <v>9199</v>
      </c>
      <c r="U881" s="4" t="s">
        <v>9200</v>
      </c>
      <c r="V881" s="4" t="s">
        <v>9093</v>
      </c>
      <c r="W881" s="4" t="s">
        <v>9180</v>
      </c>
      <c r="X881" s="4"/>
      <c r="Y881" s="4"/>
      <c r="Z881" s="4" t="s">
        <v>46</v>
      </c>
      <c r="AA881" s="4" t="s">
        <v>9119</v>
      </c>
      <c r="AB881" s="4"/>
      <c r="AC881" s="9">
        <v>1</v>
      </c>
      <c r="AD881" t="str">
        <f>VLOOKUP($T881,[1]NhanSu!$C$5:$M$229,11,0)</f>
        <v>SM0000047</v>
      </c>
    </row>
    <row r="882" spans="1:30" x14ac:dyDescent="0.45">
      <c r="A882" s="6" t="s">
        <v>9088</v>
      </c>
      <c r="B882" s="5">
        <v>559</v>
      </c>
      <c r="C882" s="5" t="s">
        <v>9271</v>
      </c>
      <c r="D882" s="5" t="s">
        <v>9272</v>
      </c>
      <c r="E882" s="5" t="s">
        <v>9273</v>
      </c>
      <c r="F882" s="5" t="s">
        <v>53</v>
      </c>
      <c r="G882" s="5" t="s">
        <v>177</v>
      </c>
      <c r="H882" s="5" t="s">
        <v>1658</v>
      </c>
      <c r="I882" s="5" t="s">
        <v>9198</v>
      </c>
      <c r="J882" s="5" t="s">
        <v>38</v>
      </c>
      <c r="K882" s="5" t="s">
        <v>38</v>
      </c>
      <c r="L882" s="5" t="s">
        <v>40</v>
      </c>
      <c r="M882" s="5" t="s">
        <v>775</v>
      </c>
      <c r="N882" s="5" t="s">
        <v>775</v>
      </c>
      <c r="O882" s="5" t="s">
        <v>121</v>
      </c>
      <c r="P882" s="5" t="s">
        <v>38</v>
      </c>
      <c r="Q882" s="5" t="s">
        <v>38</v>
      </c>
      <c r="R882" s="5" t="s">
        <v>40</v>
      </c>
      <c r="S882" s="5" t="s">
        <v>9274</v>
      </c>
      <c r="T882" s="5" t="s">
        <v>9199</v>
      </c>
      <c r="U882" s="5" t="s">
        <v>9200</v>
      </c>
      <c r="V882" s="5" t="s">
        <v>9093</v>
      </c>
      <c r="W882" s="5" t="s">
        <v>9180</v>
      </c>
      <c r="X882" s="5"/>
      <c r="Y882" s="5"/>
      <c r="Z882" s="5" t="s">
        <v>46</v>
      </c>
      <c r="AA882" s="5" t="s">
        <v>9119</v>
      </c>
      <c r="AB882" s="5"/>
      <c r="AC882" s="7">
        <v>1</v>
      </c>
      <c r="AD882" t="str">
        <f>VLOOKUP($T882,[1]NhanSu!$C$5:$M$229,11,0)</f>
        <v>SM0000047</v>
      </c>
    </row>
    <row r="883" spans="1:30" x14ac:dyDescent="0.45">
      <c r="A883" s="8" t="s">
        <v>9088</v>
      </c>
      <c r="B883" s="4">
        <v>561</v>
      </c>
      <c r="C883" s="4" t="s">
        <v>9275</v>
      </c>
      <c r="D883" s="4" t="s">
        <v>9276</v>
      </c>
      <c r="E883" s="4" t="s">
        <v>91</v>
      </c>
      <c r="F883" s="4" t="s">
        <v>53</v>
      </c>
      <c r="G883" s="4" t="s">
        <v>177</v>
      </c>
      <c r="H883" s="4" t="s">
        <v>2426</v>
      </c>
      <c r="I883" s="4" t="s">
        <v>9198</v>
      </c>
      <c r="J883" s="4" t="s">
        <v>38</v>
      </c>
      <c r="K883" s="4" t="s">
        <v>38</v>
      </c>
      <c r="L883" s="4" t="s">
        <v>40</v>
      </c>
      <c r="M883" s="4" t="s">
        <v>56</v>
      </c>
      <c r="N883" s="4" t="s">
        <v>56</v>
      </c>
      <c r="O883" s="4" t="s">
        <v>39</v>
      </c>
      <c r="P883" s="4" t="s">
        <v>38</v>
      </c>
      <c r="Q883" s="4" t="s">
        <v>38</v>
      </c>
      <c r="R883" s="4" t="s">
        <v>40</v>
      </c>
      <c r="S883" s="4" t="s">
        <v>41</v>
      </c>
      <c r="T883" s="4" t="s">
        <v>9199</v>
      </c>
      <c r="U883" s="4" t="s">
        <v>9200</v>
      </c>
      <c r="V883" s="4" t="s">
        <v>9093</v>
      </c>
      <c r="W883" s="4" t="s">
        <v>9180</v>
      </c>
      <c r="X883" s="4"/>
      <c r="Y883" s="4"/>
      <c r="Z883" s="4" t="s">
        <v>46</v>
      </c>
      <c r="AA883" s="4" t="s">
        <v>9095</v>
      </c>
      <c r="AB883" s="4"/>
      <c r="AC883" s="9">
        <v>1</v>
      </c>
      <c r="AD883" t="str">
        <f>VLOOKUP($T883,[1]NhanSu!$C$5:$M$229,11,0)</f>
        <v>SM0000047</v>
      </c>
    </row>
    <row r="884" spans="1:30" x14ac:dyDescent="0.45">
      <c r="A884" s="6" t="s">
        <v>9088</v>
      </c>
      <c r="B884" s="5">
        <v>563</v>
      </c>
      <c r="C884" s="5" t="s">
        <v>9280</v>
      </c>
      <c r="D884" s="5" t="s">
        <v>9281</v>
      </c>
      <c r="E884" s="5" t="s">
        <v>9251</v>
      </c>
      <c r="F884" s="5" t="s">
        <v>325</v>
      </c>
      <c r="G884" s="5" t="s">
        <v>34</v>
      </c>
      <c r="H884" s="5" t="s">
        <v>214</v>
      </c>
      <c r="I884" s="5" t="s">
        <v>9224</v>
      </c>
      <c r="J884" s="5" t="s">
        <v>38</v>
      </c>
      <c r="K884" s="5" t="s">
        <v>38</v>
      </c>
      <c r="L884" s="5" t="s">
        <v>39</v>
      </c>
      <c r="M884" s="5" t="s">
        <v>37</v>
      </c>
      <c r="N884" s="5" t="s">
        <v>37</v>
      </c>
      <c r="O884" s="5" t="s">
        <v>39</v>
      </c>
      <c r="P884" s="5" t="s">
        <v>38</v>
      </c>
      <c r="Q884" s="5" t="s">
        <v>38</v>
      </c>
      <c r="R884" s="5" t="s">
        <v>39</v>
      </c>
      <c r="S884" s="5" t="s">
        <v>41</v>
      </c>
      <c r="T884" s="5" t="s">
        <v>9225</v>
      </c>
      <c r="U884" s="5" t="s">
        <v>9226</v>
      </c>
      <c r="V884" s="5" t="s">
        <v>9093</v>
      </c>
      <c r="W884" s="5" t="s">
        <v>9227</v>
      </c>
      <c r="X884" s="5"/>
      <c r="Y884" s="5"/>
      <c r="Z884" s="5" t="s">
        <v>46</v>
      </c>
      <c r="AA884" s="5" t="s">
        <v>9235</v>
      </c>
      <c r="AB884" s="5"/>
      <c r="AC884" s="7">
        <v>1</v>
      </c>
      <c r="AD884" t="str">
        <f>VLOOKUP($T884,[1]NhanSu!$C$5:$M$229,11,0)</f>
        <v>SM0000042</v>
      </c>
    </row>
    <row r="885" spans="1:30" x14ac:dyDescent="0.45">
      <c r="A885" s="8" t="s">
        <v>9088</v>
      </c>
      <c r="B885" s="4">
        <v>570</v>
      </c>
      <c r="C885" s="4" t="s">
        <v>9300</v>
      </c>
      <c r="D885" s="4" t="s">
        <v>9301</v>
      </c>
      <c r="E885" s="4" t="s">
        <v>304</v>
      </c>
      <c r="F885" s="4" t="s">
        <v>53</v>
      </c>
      <c r="G885" s="4" t="s">
        <v>177</v>
      </c>
      <c r="H885" s="4" t="s">
        <v>1639</v>
      </c>
      <c r="I885" s="4" t="s">
        <v>9302</v>
      </c>
      <c r="J885" s="4" t="s">
        <v>38</v>
      </c>
      <c r="K885" s="4" t="s">
        <v>38</v>
      </c>
      <c r="L885" s="4" t="s">
        <v>40</v>
      </c>
      <c r="M885" s="4" t="s">
        <v>775</v>
      </c>
      <c r="N885" s="4" t="s">
        <v>775</v>
      </c>
      <c r="O885" s="4" t="s">
        <v>121</v>
      </c>
      <c r="P885" s="4" t="s">
        <v>38</v>
      </c>
      <c r="Q885" s="4" t="s">
        <v>38</v>
      </c>
      <c r="R885" s="4" t="s">
        <v>40</v>
      </c>
      <c r="S885" s="4" t="s">
        <v>41</v>
      </c>
      <c r="T885" s="4" t="s">
        <v>9199</v>
      </c>
      <c r="U885" s="4" t="s">
        <v>9200</v>
      </c>
      <c r="V885" s="4" t="s">
        <v>9093</v>
      </c>
      <c r="W885" s="4" t="s">
        <v>9180</v>
      </c>
      <c r="X885" s="4"/>
      <c r="Y885" s="4"/>
      <c r="Z885" s="4" t="s">
        <v>46</v>
      </c>
      <c r="AA885" s="4" t="s">
        <v>9119</v>
      </c>
      <c r="AB885" s="4"/>
      <c r="AC885" s="9">
        <v>1</v>
      </c>
      <c r="AD885" t="str">
        <f>VLOOKUP($T885,[1]NhanSu!$C$5:$M$229,11,0)</f>
        <v>SM0000047</v>
      </c>
    </row>
    <row r="886" spans="1:30" x14ac:dyDescent="0.45">
      <c r="A886" s="6" t="s">
        <v>9088</v>
      </c>
      <c r="B886" s="5">
        <v>571</v>
      </c>
      <c r="C886" s="5" t="s">
        <v>9303</v>
      </c>
      <c r="D886" s="5" t="s">
        <v>9304</v>
      </c>
      <c r="E886" s="5" t="s">
        <v>9256</v>
      </c>
      <c r="F886" s="5" t="s">
        <v>53</v>
      </c>
      <c r="G886" s="5" t="s">
        <v>177</v>
      </c>
      <c r="H886" s="5" t="s">
        <v>2643</v>
      </c>
      <c r="I886" s="5" t="s">
        <v>9198</v>
      </c>
      <c r="J886" s="5" t="s">
        <v>38</v>
      </c>
      <c r="K886" s="5" t="s">
        <v>38</v>
      </c>
      <c r="L886" s="5" t="s">
        <v>40</v>
      </c>
      <c r="M886" s="5" t="s">
        <v>775</v>
      </c>
      <c r="N886" s="5" t="s">
        <v>775</v>
      </c>
      <c r="O886" s="5" t="s">
        <v>121</v>
      </c>
      <c r="P886" s="5" t="s">
        <v>38</v>
      </c>
      <c r="Q886" s="5" t="s">
        <v>38</v>
      </c>
      <c r="R886" s="5" t="s">
        <v>40</v>
      </c>
      <c r="S886" s="5" t="s">
        <v>9305</v>
      </c>
      <c r="T886" s="5" t="s">
        <v>9199</v>
      </c>
      <c r="U886" s="5" t="s">
        <v>9200</v>
      </c>
      <c r="V886" s="5" t="s">
        <v>9093</v>
      </c>
      <c r="W886" s="5" t="s">
        <v>9180</v>
      </c>
      <c r="X886" s="5"/>
      <c r="Y886" s="5"/>
      <c r="Z886" s="5" t="s">
        <v>46</v>
      </c>
      <c r="AA886" s="5" t="s">
        <v>9119</v>
      </c>
      <c r="AB886" s="5"/>
      <c r="AC886" s="7">
        <v>1</v>
      </c>
      <c r="AD886" t="str">
        <f>VLOOKUP($T886,[1]NhanSu!$C$5:$M$229,11,0)</f>
        <v>SM0000047</v>
      </c>
    </row>
    <row r="887" spans="1:30" x14ac:dyDescent="0.45">
      <c r="A887" s="8" t="s">
        <v>9088</v>
      </c>
      <c r="B887" s="4">
        <v>574</v>
      </c>
      <c r="C887" s="4" t="s">
        <v>9309</v>
      </c>
      <c r="D887" s="4" t="s">
        <v>9310</v>
      </c>
      <c r="E887" s="4" t="s">
        <v>1812</v>
      </c>
      <c r="F887" s="4" t="s">
        <v>4655</v>
      </c>
      <c r="G887" s="4" t="s">
        <v>34</v>
      </c>
      <c r="H887" s="4" t="s">
        <v>54</v>
      </c>
      <c r="I887" s="4" t="s">
        <v>9311</v>
      </c>
      <c r="J887" s="4" t="s">
        <v>38</v>
      </c>
      <c r="K887" s="4" t="s">
        <v>38</v>
      </c>
      <c r="L887" s="4" t="s">
        <v>40</v>
      </c>
      <c r="M887" s="4" t="s">
        <v>38</v>
      </c>
      <c r="N887" s="4" t="s">
        <v>38</v>
      </c>
      <c r="O887" s="4" t="s">
        <v>40</v>
      </c>
      <c r="P887" s="4" t="s">
        <v>38</v>
      </c>
      <c r="Q887" s="4" t="s">
        <v>38</v>
      </c>
      <c r="R887" s="4" t="s">
        <v>40</v>
      </c>
      <c r="S887" s="4" t="s">
        <v>41</v>
      </c>
      <c r="T887" s="4" t="s">
        <v>9312</v>
      </c>
      <c r="U887" s="4" t="s">
        <v>9313</v>
      </c>
      <c r="V887" s="4" t="s">
        <v>9093</v>
      </c>
      <c r="W887" s="4" t="s">
        <v>9131</v>
      </c>
      <c r="X887" s="4"/>
      <c r="Y887" s="4"/>
      <c r="Z887" s="4" t="s">
        <v>46</v>
      </c>
      <c r="AA887" s="4" t="s">
        <v>9160</v>
      </c>
      <c r="AB887" s="4"/>
      <c r="AC887" s="9">
        <v>1</v>
      </c>
      <c r="AD887" t="str">
        <f>VLOOKUP($T887,[1]NhanSu!$C$5:$M$229,11,0)</f>
        <v>SM0000039</v>
      </c>
    </row>
    <row r="888" spans="1:30" x14ac:dyDescent="0.45">
      <c r="A888" s="6" t="s">
        <v>9088</v>
      </c>
      <c r="B888" s="5">
        <v>575</v>
      </c>
      <c r="C888" s="5" t="s">
        <v>9314</v>
      </c>
      <c r="D888" s="5" t="s">
        <v>9315</v>
      </c>
      <c r="E888" s="5" t="s">
        <v>9316</v>
      </c>
      <c r="F888" s="5" t="s">
        <v>325</v>
      </c>
      <c r="G888" s="5" t="s">
        <v>34</v>
      </c>
      <c r="H888" s="5" t="s">
        <v>214</v>
      </c>
      <c r="I888" s="5" t="s">
        <v>9224</v>
      </c>
      <c r="J888" s="5" t="s">
        <v>38</v>
      </c>
      <c r="K888" s="5" t="s">
        <v>38</v>
      </c>
      <c r="L888" s="5" t="s">
        <v>39</v>
      </c>
      <c r="M888" s="5" t="s">
        <v>37</v>
      </c>
      <c r="N888" s="5" t="s">
        <v>37</v>
      </c>
      <c r="O888" s="5" t="s">
        <v>39</v>
      </c>
      <c r="P888" s="5" t="s">
        <v>38</v>
      </c>
      <c r="Q888" s="5" t="s">
        <v>38</v>
      </c>
      <c r="R888" s="5" t="s">
        <v>39</v>
      </c>
      <c r="S888" s="5" t="s">
        <v>41</v>
      </c>
      <c r="T888" s="5" t="s">
        <v>9225</v>
      </c>
      <c r="U888" s="5" t="s">
        <v>9226</v>
      </c>
      <c r="V888" s="5" t="s">
        <v>9093</v>
      </c>
      <c r="W888" s="5" t="s">
        <v>9227</v>
      </c>
      <c r="X888" s="5"/>
      <c r="Y888" s="5"/>
      <c r="Z888" s="5" t="s">
        <v>46</v>
      </c>
      <c r="AA888" s="5" t="s">
        <v>9235</v>
      </c>
      <c r="AB888" s="5"/>
      <c r="AC888" s="7">
        <v>1</v>
      </c>
      <c r="AD888" t="str">
        <f>VLOOKUP($T888,[1]NhanSu!$C$5:$M$229,11,0)</f>
        <v>SM0000042</v>
      </c>
    </row>
    <row r="889" spans="1:30" x14ac:dyDescent="0.45">
      <c r="A889" s="8" t="s">
        <v>9088</v>
      </c>
      <c r="B889" s="4">
        <v>576</v>
      </c>
      <c r="C889" s="4" t="s">
        <v>9317</v>
      </c>
      <c r="D889" s="4" t="s">
        <v>9318</v>
      </c>
      <c r="E889" s="4" t="s">
        <v>304</v>
      </c>
      <c r="F889" s="4" t="s">
        <v>53</v>
      </c>
      <c r="G889" s="4" t="s">
        <v>177</v>
      </c>
      <c r="H889" s="4" t="s">
        <v>2643</v>
      </c>
      <c r="I889" s="4" t="s">
        <v>9198</v>
      </c>
      <c r="J889" s="4" t="s">
        <v>38</v>
      </c>
      <c r="K889" s="4" t="s">
        <v>38</v>
      </c>
      <c r="L889" s="4" t="s">
        <v>40</v>
      </c>
      <c r="M889" s="4" t="s">
        <v>56</v>
      </c>
      <c r="N889" s="4" t="s">
        <v>56</v>
      </c>
      <c r="O889" s="4" t="s">
        <v>39</v>
      </c>
      <c r="P889" s="4" t="s">
        <v>38</v>
      </c>
      <c r="Q889" s="4" t="s">
        <v>38</v>
      </c>
      <c r="R889" s="4" t="s">
        <v>40</v>
      </c>
      <c r="S889" s="4" t="s">
        <v>41</v>
      </c>
      <c r="T889" s="4" t="s">
        <v>9199</v>
      </c>
      <c r="U889" s="4" t="s">
        <v>9200</v>
      </c>
      <c r="V889" s="4" t="s">
        <v>9093</v>
      </c>
      <c r="W889" s="4" t="s">
        <v>9180</v>
      </c>
      <c r="X889" s="4"/>
      <c r="Y889" s="4"/>
      <c r="Z889" s="4" t="s">
        <v>46</v>
      </c>
      <c r="AA889" s="4" t="s">
        <v>9119</v>
      </c>
      <c r="AB889" s="4"/>
      <c r="AC889" s="9">
        <v>1</v>
      </c>
      <c r="AD889" t="str">
        <f>VLOOKUP($T889,[1]NhanSu!$C$5:$M$229,11,0)</f>
        <v>SM0000047</v>
      </c>
    </row>
    <row r="890" spans="1:30" x14ac:dyDescent="0.45">
      <c r="A890" s="6" t="s">
        <v>9088</v>
      </c>
      <c r="B890" s="5">
        <v>577</v>
      </c>
      <c r="C890" s="5" t="s">
        <v>9319</v>
      </c>
      <c r="D890" s="5" t="s">
        <v>9320</v>
      </c>
      <c r="E890" s="5" t="s">
        <v>9321</v>
      </c>
      <c r="F890" s="5" t="s">
        <v>325</v>
      </c>
      <c r="G890" s="5" t="s">
        <v>34</v>
      </c>
      <c r="H890" s="5" t="s">
        <v>214</v>
      </c>
      <c r="I890" s="5" t="s">
        <v>9224</v>
      </c>
      <c r="J890" s="5" t="s">
        <v>38</v>
      </c>
      <c r="K890" s="5" t="s">
        <v>38</v>
      </c>
      <c r="L890" s="5" t="s">
        <v>39</v>
      </c>
      <c r="M890" s="5" t="s">
        <v>38</v>
      </c>
      <c r="N890" s="5" t="s">
        <v>38</v>
      </c>
      <c r="O890" s="5" t="s">
        <v>39</v>
      </c>
      <c r="P890" s="5" t="s">
        <v>38</v>
      </c>
      <c r="Q890" s="5" t="s">
        <v>38</v>
      </c>
      <c r="R890" s="5" t="s">
        <v>39</v>
      </c>
      <c r="S890" s="5" t="s">
        <v>41</v>
      </c>
      <c r="T890" s="5" t="s">
        <v>9225</v>
      </c>
      <c r="U890" s="5" t="s">
        <v>9226</v>
      </c>
      <c r="V890" s="5" t="s">
        <v>9093</v>
      </c>
      <c r="W890" s="5" t="s">
        <v>9227</v>
      </c>
      <c r="X890" s="5"/>
      <c r="Y890" s="5"/>
      <c r="Z890" s="5" t="s">
        <v>46</v>
      </c>
      <c r="AA890" s="5" t="s">
        <v>9235</v>
      </c>
      <c r="AB890" s="5"/>
      <c r="AC890" s="7">
        <v>1</v>
      </c>
      <c r="AD890" t="str">
        <f>VLOOKUP($T890,[1]NhanSu!$C$5:$M$229,11,0)</f>
        <v>SM0000042</v>
      </c>
    </row>
    <row r="891" spans="1:30" x14ac:dyDescent="0.45">
      <c r="A891" s="8" t="s">
        <v>9088</v>
      </c>
      <c r="B891" s="4">
        <v>587</v>
      </c>
      <c r="C891" s="4" t="s">
        <v>9322</v>
      </c>
      <c r="D891" s="4" t="s">
        <v>9323</v>
      </c>
      <c r="E891" s="4" t="s">
        <v>9324</v>
      </c>
      <c r="F891" s="4" t="s">
        <v>325</v>
      </c>
      <c r="G891" s="4" t="s">
        <v>34</v>
      </c>
      <c r="H891" s="4" t="s">
        <v>214</v>
      </c>
      <c r="I891" s="4" t="s">
        <v>9224</v>
      </c>
      <c r="J891" s="4" t="s">
        <v>38</v>
      </c>
      <c r="K891" s="4" t="s">
        <v>38</v>
      </c>
      <c r="L891" s="4" t="s">
        <v>39</v>
      </c>
      <c r="M891" s="4" t="s">
        <v>38</v>
      </c>
      <c r="N891" s="4" t="s">
        <v>38</v>
      </c>
      <c r="O891" s="4" t="s">
        <v>39</v>
      </c>
      <c r="P891" s="4" t="s">
        <v>38</v>
      </c>
      <c r="Q891" s="4" t="s">
        <v>38</v>
      </c>
      <c r="R891" s="4" t="s">
        <v>39</v>
      </c>
      <c r="S891" s="4" t="s">
        <v>41</v>
      </c>
      <c r="T891" s="4" t="s">
        <v>9225</v>
      </c>
      <c r="U891" s="4" t="s">
        <v>9226</v>
      </c>
      <c r="V891" s="4" t="s">
        <v>9093</v>
      </c>
      <c r="W891" s="4" t="s">
        <v>9227</v>
      </c>
      <c r="X891" s="4"/>
      <c r="Y891" s="4"/>
      <c r="Z891" s="4" t="s">
        <v>46</v>
      </c>
      <c r="AA891" s="4" t="s">
        <v>9235</v>
      </c>
      <c r="AB891" s="4"/>
      <c r="AC891" s="9">
        <v>1</v>
      </c>
      <c r="AD891" t="str">
        <f>VLOOKUP($T891,[1]NhanSu!$C$5:$M$229,11,0)</f>
        <v>SM0000042</v>
      </c>
    </row>
    <row r="892" spans="1:30" x14ac:dyDescent="0.45">
      <c r="A892" s="6" t="s">
        <v>9088</v>
      </c>
      <c r="B892" s="5">
        <v>596</v>
      </c>
      <c r="C892" s="5" t="s">
        <v>9328</v>
      </c>
      <c r="D892" s="5" t="s">
        <v>9329</v>
      </c>
      <c r="E892" s="5" t="s">
        <v>9330</v>
      </c>
      <c r="F892" s="5" t="s">
        <v>325</v>
      </c>
      <c r="G892" s="5" t="s">
        <v>34</v>
      </c>
      <c r="H892" s="5" t="s">
        <v>214</v>
      </c>
      <c r="I892" s="5" t="s">
        <v>9224</v>
      </c>
      <c r="J892" s="5" t="s">
        <v>38</v>
      </c>
      <c r="K892" s="5" t="s">
        <v>38</v>
      </c>
      <c r="L892" s="5" t="s">
        <v>39</v>
      </c>
      <c r="M892" s="5" t="s">
        <v>37</v>
      </c>
      <c r="N892" s="5" t="s">
        <v>37</v>
      </c>
      <c r="O892" s="5" t="s">
        <v>39</v>
      </c>
      <c r="P892" s="5" t="s">
        <v>38</v>
      </c>
      <c r="Q892" s="5" t="s">
        <v>38</v>
      </c>
      <c r="R892" s="5" t="s">
        <v>39</v>
      </c>
      <c r="S892" s="5" t="s">
        <v>41</v>
      </c>
      <c r="T892" s="5" t="s">
        <v>9225</v>
      </c>
      <c r="U892" s="5" t="s">
        <v>9226</v>
      </c>
      <c r="V892" s="5" t="s">
        <v>9093</v>
      </c>
      <c r="W892" s="5" t="s">
        <v>9227</v>
      </c>
      <c r="X892" s="5"/>
      <c r="Y892" s="5"/>
      <c r="Z892" s="5" t="s">
        <v>46</v>
      </c>
      <c r="AA892" s="5" t="s">
        <v>9235</v>
      </c>
      <c r="AB892" s="5"/>
      <c r="AC892" s="7">
        <v>1</v>
      </c>
      <c r="AD892" t="str">
        <f>VLOOKUP($T892,[1]NhanSu!$C$5:$M$229,11,0)</f>
        <v>SM0000042</v>
      </c>
    </row>
    <row r="893" spans="1:30" x14ac:dyDescent="0.45">
      <c r="A893" s="8" t="s">
        <v>9088</v>
      </c>
      <c r="B893" s="4">
        <v>603</v>
      </c>
      <c r="C893" s="4" t="s">
        <v>9337</v>
      </c>
      <c r="D893" s="4" t="s">
        <v>9338</v>
      </c>
      <c r="E893" s="4" t="s">
        <v>108</v>
      </c>
      <c r="F893" s="4" t="s">
        <v>53</v>
      </c>
      <c r="G893" s="4" t="s">
        <v>177</v>
      </c>
      <c r="H893" s="4" t="s">
        <v>4689</v>
      </c>
      <c r="I893" s="4" t="s">
        <v>9198</v>
      </c>
      <c r="J893" s="4" t="s">
        <v>38</v>
      </c>
      <c r="K893" s="4" t="s">
        <v>38</v>
      </c>
      <c r="L893" s="4" t="s">
        <v>40</v>
      </c>
      <c r="M893" s="4" t="s">
        <v>56</v>
      </c>
      <c r="N893" s="4" t="s">
        <v>56</v>
      </c>
      <c r="O893" s="4" t="s">
        <v>39</v>
      </c>
      <c r="P893" s="4" t="s">
        <v>38</v>
      </c>
      <c r="Q893" s="4" t="s">
        <v>38</v>
      </c>
      <c r="R893" s="4" t="s">
        <v>40</v>
      </c>
      <c r="S893" s="4" t="s">
        <v>41</v>
      </c>
      <c r="T893" s="4" t="s">
        <v>9199</v>
      </c>
      <c r="U893" s="4" t="s">
        <v>9200</v>
      </c>
      <c r="V893" s="4" t="s">
        <v>9093</v>
      </c>
      <c r="W893" s="4" t="s">
        <v>9180</v>
      </c>
      <c r="X893" s="4"/>
      <c r="Y893" s="4"/>
      <c r="Z893" s="4" t="s">
        <v>46</v>
      </c>
      <c r="AA893" s="4" t="s">
        <v>9095</v>
      </c>
      <c r="AB893" s="4"/>
      <c r="AC893" s="9">
        <v>1</v>
      </c>
      <c r="AD893" t="str">
        <f>VLOOKUP($T893,[1]NhanSu!$C$5:$M$229,11,0)</f>
        <v>SM0000047</v>
      </c>
    </row>
    <row r="894" spans="1:30" x14ac:dyDescent="0.45">
      <c r="A894" s="6" t="s">
        <v>9088</v>
      </c>
      <c r="B894" s="5">
        <v>606</v>
      </c>
      <c r="C894" s="5" t="s">
        <v>9339</v>
      </c>
      <c r="D894" s="5" t="s">
        <v>9340</v>
      </c>
      <c r="E894" s="5" t="s">
        <v>69</v>
      </c>
      <c r="F894" s="5" t="s">
        <v>53</v>
      </c>
      <c r="G894" s="5" t="s">
        <v>34</v>
      </c>
      <c r="H894" s="5" t="s">
        <v>507</v>
      </c>
      <c r="I894" s="5" t="s">
        <v>9198</v>
      </c>
      <c r="J894" s="5" t="s">
        <v>38</v>
      </c>
      <c r="K894" s="5" t="s">
        <v>38</v>
      </c>
      <c r="L894" s="5" t="s">
        <v>40</v>
      </c>
      <c r="M894" s="5" t="s">
        <v>56</v>
      </c>
      <c r="N894" s="5" t="s">
        <v>56</v>
      </c>
      <c r="O894" s="5" t="s">
        <v>39</v>
      </c>
      <c r="P894" s="5" t="s">
        <v>38</v>
      </c>
      <c r="Q894" s="5" t="s">
        <v>38</v>
      </c>
      <c r="R894" s="5" t="s">
        <v>40</v>
      </c>
      <c r="S894" s="5" t="s">
        <v>41</v>
      </c>
      <c r="T894" s="5" t="s">
        <v>9199</v>
      </c>
      <c r="U894" s="5" t="s">
        <v>9200</v>
      </c>
      <c r="V894" s="5" t="s">
        <v>9093</v>
      </c>
      <c r="W894" s="5" t="s">
        <v>9180</v>
      </c>
      <c r="X894" s="5"/>
      <c r="Y894" s="5"/>
      <c r="Z894" s="5" t="s">
        <v>46</v>
      </c>
      <c r="AA894" s="5" t="s">
        <v>9119</v>
      </c>
      <c r="AB894" s="5"/>
      <c r="AC894" s="7">
        <v>1</v>
      </c>
      <c r="AD894" t="str">
        <f>VLOOKUP($T894,[1]NhanSu!$C$5:$M$229,11,0)</f>
        <v>SM0000047</v>
      </c>
    </row>
    <row r="895" spans="1:30" x14ac:dyDescent="0.45">
      <c r="A895" s="8" t="s">
        <v>9088</v>
      </c>
      <c r="B895" s="4">
        <v>607</v>
      </c>
      <c r="C895" s="4" t="s">
        <v>9341</v>
      </c>
      <c r="D895" s="4" t="s">
        <v>9342</v>
      </c>
      <c r="E895" s="4" t="s">
        <v>9308</v>
      </c>
      <c r="F895" s="4" t="s">
        <v>325</v>
      </c>
      <c r="G895" s="4" t="s">
        <v>34</v>
      </c>
      <c r="H895" s="4" t="s">
        <v>214</v>
      </c>
      <c r="I895" s="4" t="s">
        <v>9224</v>
      </c>
      <c r="J895" s="4" t="s">
        <v>38</v>
      </c>
      <c r="K895" s="4" t="s">
        <v>38</v>
      </c>
      <c r="L895" s="4" t="s">
        <v>39</v>
      </c>
      <c r="M895" s="4" t="s">
        <v>37</v>
      </c>
      <c r="N895" s="4" t="s">
        <v>37</v>
      </c>
      <c r="O895" s="4" t="s">
        <v>39</v>
      </c>
      <c r="P895" s="4" t="s">
        <v>38</v>
      </c>
      <c r="Q895" s="4" t="s">
        <v>38</v>
      </c>
      <c r="R895" s="4" t="s">
        <v>39</v>
      </c>
      <c r="S895" s="4" t="s">
        <v>41</v>
      </c>
      <c r="T895" s="4" t="s">
        <v>9225</v>
      </c>
      <c r="U895" s="4" t="s">
        <v>9226</v>
      </c>
      <c r="V895" s="4" t="s">
        <v>9093</v>
      </c>
      <c r="W895" s="4" t="s">
        <v>9227</v>
      </c>
      <c r="X895" s="4"/>
      <c r="Y895" s="4"/>
      <c r="Z895" s="4" t="s">
        <v>46</v>
      </c>
      <c r="AA895" s="4" t="s">
        <v>9235</v>
      </c>
      <c r="AB895" s="4"/>
      <c r="AC895" s="9">
        <v>1</v>
      </c>
      <c r="AD895" t="str">
        <f>VLOOKUP($T895,[1]NhanSu!$C$5:$M$229,11,0)</f>
        <v>SM0000042</v>
      </c>
    </row>
    <row r="896" spans="1:30" x14ac:dyDescent="0.45">
      <c r="A896" s="6" t="s">
        <v>9088</v>
      </c>
      <c r="B896" s="5">
        <v>608</v>
      </c>
      <c r="C896" s="5" t="s">
        <v>9343</v>
      </c>
      <c r="D896" s="5" t="s">
        <v>9344</v>
      </c>
      <c r="E896" s="5" t="s">
        <v>9345</v>
      </c>
      <c r="F896" s="5" t="s">
        <v>331</v>
      </c>
      <c r="G896" s="5" t="s">
        <v>177</v>
      </c>
      <c r="H896" s="5" t="s">
        <v>2952</v>
      </c>
      <c r="I896" s="5" t="s">
        <v>9346</v>
      </c>
      <c r="J896" s="5" t="s">
        <v>37</v>
      </c>
      <c r="K896" s="5" t="s">
        <v>37</v>
      </c>
      <c r="L896" s="5" t="s">
        <v>39</v>
      </c>
      <c r="M896" s="5" t="s">
        <v>37</v>
      </c>
      <c r="N896" s="5" t="s">
        <v>37</v>
      </c>
      <c r="O896" s="5" t="s">
        <v>39</v>
      </c>
      <c r="P896" s="5" t="s">
        <v>38</v>
      </c>
      <c r="Q896" s="5" t="s">
        <v>38</v>
      </c>
      <c r="R896" s="5" t="s">
        <v>39</v>
      </c>
      <c r="S896" s="5" t="s">
        <v>41</v>
      </c>
      <c r="T896" s="5" t="s">
        <v>9240</v>
      </c>
      <c r="U896" s="5" t="s">
        <v>9205</v>
      </c>
      <c r="V896" s="5" t="s">
        <v>9093</v>
      </c>
      <c r="W896" s="5" t="s">
        <v>9227</v>
      </c>
      <c r="X896" s="5"/>
      <c r="Y896" s="5"/>
      <c r="Z896" s="5" t="s">
        <v>46</v>
      </c>
      <c r="AA896" s="5" t="s">
        <v>9095</v>
      </c>
      <c r="AB896" s="5"/>
      <c r="AC896" s="7">
        <v>1</v>
      </c>
      <c r="AD896" t="str">
        <f>VLOOKUP($T896,[1]NhanSu!$C$5:$M$229,11,0)</f>
        <v>SM0000044</v>
      </c>
    </row>
    <row r="897" spans="1:30" x14ac:dyDescent="0.45">
      <c r="A897" s="8" t="s">
        <v>9088</v>
      </c>
      <c r="B897" s="4">
        <v>612</v>
      </c>
      <c r="C897" s="4" t="s">
        <v>9350</v>
      </c>
      <c r="D897" s="4" t="s">
        <v>9351</v>
      </c>
      <c r="E897" s="4" t="s">
        <v>9352</v>
      </c>
      <c r="F897" s="4" t="s">
        <v>9353</v>
      </c>
      <c r="G897" s="4" t="s">
        <v>177</v>
      </c>
      <c r="H897" s="4" t="s">
        <v>2044</v>
      </c>
      <c r="I897" s="4" t="s">
        <v>9354</v>
      </c>
      <c r="J897" s="4" t="s">
        <v>37</v>
      </c>
      <c r="K897" s="4" t="s">
        <v>37</v>
      </c>
      <c r="L897" s="4" t="s">
        <v>39</v>
      </c>
      <c r="M897" s="4" t="s">
        <v>37</v>
      </c>
      <c r="N897" s="4" t="s">
        <v>37</v>
      </c>
      <c r="O897" s="4" t="s">
        <v>39</v>
      </c>
      <c r="P897" s="4" t="s">
        <v>38</v>
      </c>
      <c r="Q897" s="4" t="s">
        <v>38</v>
      </c>
      <c r="R897" s="4" t="s">
        <v>39</v>
      </c>
      <c r="S897" s="4" t="s">
        <v>41</v>
      </c>
      <c r="T897" s="4" t="s">
        <v>9240</v>
      </c>
      <c r="U897" s="4" t="s">
        <v>9226</v>
      </c>
      <c r="V897" s="4" t="s">
        <v>9093</v>
      </c>
      <c r="W897" s="4" t="s">
        <v>9227</v>
      </c>
      <c r="X897" s="4"/>
      <c r="Y897" s="4"/>
      <c r="Z897" s="4" t="s">
        <v>46</v>
      </c>
      <c r="AA897" s="4" t="s">
        <v>9095</v>
      </c>
      <c r="AB897" s="4"/>
      <c r="AC897" s="9">
        <v>1</v>
      </c>
      <c r="AD897" t="str">
        <f>VLOOKUP($T897,[1]NhanSu!$C$5:$M$229,11,0)</f>
        <v>SM0000044</v>
      </c>
    </row>
    <row r="898" spans="1:30" x14ac:dyDescent="0.45">
      <c r="A898" s="6" t="s">
        <v>9088</v>
      </c>
      <c r="B898" s="5">
        <v>613</v>
      </c>
      <c r="C898" s="5" t="s">
        <v>9355</v>
      </c>
      <c r="D898" s="5" t="s">
        <v>9356</v>
      </c>
      <c r="E898" s="5" t="s">
        <v>1881</v>
      </c>
      <c r="F898" s="5" t="s">
        <v>2911</v>
      </c>
      <c r="G898" s="5" t="s">
        <v>34</v>
      </c>
      <c r="H898" s="5" t="s">
        <v>54</v>
      </c>
      <c r="I898" s="5" t="s">
        <v>9357</v>
      </c>
      <c r="J898" s="5" t="s">
        <v>38</v>
      </c>
      <c r="K898" s="5" t="s">
        <v>38</v>
      </c>
      <c r="L898" s="5" t="s">
        <v>40</v>
      </c>
      <c r="M898" s="5" t="s">
        <v>1034</v>
      </c>
      <c r="N898" s="5" t="s">
        <v>37</v>
      </c>
      <c r="O898" s="5" t="s">
        <v>39</v>
      </c>
      <c r="P898" s="5" t="s">
        <v>38</v>
      </c>
      <c r="Q898" s="5" t="s">
        <v>38</v>
      </c>
      <c r="R898" s="5" t="s">
        <v>39</v>
      </c>
      <c r="S898" s="5" t="s">
        <v>41</v>
      </c>
      <c r="T898" s="5" t="s">
        <v>9091</v>
      </c>
      <c r="U898" s="5" t="s">
        <v>9092</v>
      </c>
      <c r="V898" s="5" t="s">
        <v>9093</v>
      </c>
      <c r="W898" s="5" t="s">
        <v>9094</v>
      </c>
      <c r="X898" s="5"/>
      <c r="Y898" s="5"/>
      <c r="Z898" s="5" t="s">
        <v>46</v>
      </c>
      <c r="AA898" s="5" t="s">
        <v>9095</v>
      </c>
      <c r="AB898" s="5"/>
      <c r="AC898" s="7">
        <v>1</v>
      </c>
      <c r="AD898" t="str">
        <f>VLOOKUP($T898,[1]NhanSu!$C$5:$M$229,11,0)</f>
        <v>SM0000162</v>
      </c>
    </row>
    <row r="899" spans="1:30" x14ac:dyDescent="0.45">
      <c r="A899" s="8" t="s">
        <v>9088</v>
      </c>
      <c r="B899" s="4">
        <v>615</v>
      </c>
      <c r="C899" s="4" t="s">
        <v>9363</v>
      </c>
      <c r="D899" s="4" t="s">
        <v>9364</v>
      </c>
      <c r="E899" s="4" t="s">
        <v>9365</v>
      </c>
      <c r="F899" s="4" t="s">
        <v>115</v>
      </c>
      <c r="G899" s="4" t="s">
        <v>177</v>
      </c>
      <c r="H899" s="4" t="s">
        <v>332</v>
      </c>
      <c r="I899" s="4" t="s">
        <v>9366</v>
      </c>
      <c r="J899" s="4" t="s">
        <v>37</v>
      </c>
      <c r="K899" s="4" t="s">
        <v>37</v>
      </c>
      <c r="L899" s="4" t="s">
        <v>39</v>
      </c>
      <c r="M899" s="4" t="s">
        <v>37</v>
      </c>
      <c r="N899" s="4" t="s">
        <v>37</v>
      </c>
      <c r="O899" s="4" t="s">
        <v>39</v>
      </c>
      <c r="P899" s="4" t="s">
        <v>38</v>
      </c>
      <c r="Q899" s="4" t="s">
        <v>38</v>
      </c>
      <c r="R899" s="4" t="s">
        <v>39</v>
      </c>
      <c r="S899" s="4" t="s">
        <v>41</v>
      </c>
      <c r="T899" s="4" t="s">
        <v>9240</v>
      </c>
      <c r="U899" s="4" t="s">
        <v>9226</v>
      </c>
      <c r="V899" s="4" t="s">
        <v>9093</v>
      </c>
      <c r="W899" s="4" t="s">
        <v>9227</v>
      </c>
      <c r="X899" s="4"/>
      <c r="Y899" s="4"/>
      <c r="Z899" s="4" t="s">
        <v>46</v>
      </c>
      <c r="AA899" s="4" t="s">
        <v>9235</v>
      </c>
      <c r="AB899" s="4"/>
      <c r="AC899" s="9">
        <v>1</v>
      </c>
      <c r="AD899" t="str">
        <f>VLOOKUP($T899,[1]NhanSu!$C$5:$M$229,11,0)</f>
        <v>SM0000044</v>
      </c>
    </row>
    <row r="900" spans="1:30" x14ac:dyDescent="0.45">
      <c r="A900" s="6" t="s">
        <v>9088</v>
      </c>
      <c r="B900" s="5">
        <v>617</v>
      </c>
      <c r="C900" s="5" t="s">
        <v>9367</v>
      </c>
      <c r="D900" s="5" t="s">
        <v>9368</v>
      </c>
      <c r="E900" s="5" t="s">
        <v>1837</v>
      </c>
      <c r="F900" s="5" t="s">
        <v>426</v>
      </c>
      <c r="G900" s="5" t="s">
        <v>34</v>
      </c>
      <c r="H900" s="5" t="s">
        <v>54</v>
      </c>
      <c r="I900" s="5" t="s">
        <v>9369</v>
      </c>
      <c r="J900" s="5" t="s">
        <v>38</v>
      </c>
      <c r="K900" s="5" t="s">
        <v>38</v>
      </c>
      <c r="L900" s="5" t="s">
        <v>40</v>
      </c>
      <c r="M900" s="5" t="s">
        <v>1034</v>
      </c>
      <c r="N900" s="5" t="s">
        <v>37</v>
      </c>
      <c r="O900" s="5" t="s">
        <v>39</v>
      </c>
      <c r="P900" s="5" t="s">
        <v>38</v>
      </c>
      <c r="Q900" s="5" t="s">
        <v>38</v>
      </c>
      <c r="R900" s="5" t="s">
        <v>39</v>
      </c>
      <c r="S900" s="5" t="s">
        <v>41</v>
      </c>
      <c r="T900" s="5" t="s">
        <v>9091</v>
      </c>
      <c r="U900" s="5" t="s">
        <v>9092</v>
      </c>
      <c r="V900" s="5" t="s">
        <v>9093</v>
      </c>
      <c r="W900" s="5" t="s">
        <v>9094</v>
      </c>
      <c r="X900" s="5"/>
      <c r="Y900" s="5"/>
      <c r="Z900" s="5" t="s">
        <v>46</v>
      </c>
      <c r="AA900" s="5" t="s">
        <v>9095</v>
      </c>
      <c r="AB900" s="5"/>
      <c r="AC900" s="7">
        <v>1</v>
      </c>
      <c r="AD900" t="str">
        <f>VLOOKUP($T900,[1]NhanSu!$C$5:$M$229,11,0)</f>
        <v>SM0000162</v>
      </c>
    </row>
    <row r="901" spans="1:30" x14ac:dyDescent="0.45">
      <c r="A901" s="8" t="s">
        <v>9088</v>
      </c>
      <c r="B901" s="4">
        <v>620</v>
      </c>
      <c r="C901" s="4" t="s">
        <v>9372</v>
      </c>
      <c r="D901" s="4" t="s">
        <v>9373</v>
      </c>
      <c r="E901" s="4" t="s">
        <v>9374</v>
      </c>
      <c r="F901" s="4" t="s">
        <v>115</v>
      </c>
      <c r="G901" s="4" t="s">
        <v>177</v>
      </c>
      <c r="H901" s="4" t="s">
        <v>917</v>
      </c>
      <c r="I901" s="4" t="s">
        <v>9366</v>
      </c>
      <c r="J901" s="4" t="s">
        <v>37</v>
      </c>
      <c r="K901" s="4" t="s">
        <v>37</v>
      </c>
      <c r="L901" s="4" t="s">
        <v>39</v>
      </c>
      <c r="M901" s="4" t="s">
        <v>37</v>
      </c>
      <c r="N901" s="4" t="s">
        <v>37</v>
      </c>
      <c r="O901" s="4" t="s">
        <v>39</v>
      </c>
      <c r="P901" s="4" t="s">
        <v>38</v>
      </c>
      <c r="Q901" s="4" t="s">
        <v>38</v>
      </c>
      <c r="R901" s="4" t="s">
        <v>39</v>
      </c>
      <c r="S901" s="4" t="s">
        <v>41</v>
      </c>
      <c r="T901" s="4" t="s">
        <v>9240</v>
      </c>
      <c r="U901" s="4" t="s">
        <v>9226</v>
      </c>
      <c r="V901" s="4" t="s">
        <v>9093</v>
      </c>
      <c r="W901" s="4" t="s">
        <v>9227</v>
      </c>
      <c r="X901" s="4"/>
      <c r="Y901" s="4"/>
      <c r="Z901" s="4" t="s">
        <v>46</v>
      </c>
      <c r="AA901" s="4" t="s">
        <v>9095</v>
      </c>
      <c r="AB901" s="4"/>
      <c r="AC901" s="9">
        <v>1</v>
      </c>
      <c r="AD901" t="str">
        <f>VLOOKUP($T901,[1]NhanSu!$C$5:$M$229,11,0)</f>
        <v>SM0000044</v>
      </c>
    </row>
    <row r="902" spans="1:30" x14ac:dyDescent="0.45">
      <c r="A902" s="6" t="s">
        <v>9088</v>
      </c>
      <c r="B902" s="5">
        <v>622</v>
      </c>
      <c r="C902" s="5" t="s">
        <v>9375</v>
      </c>
      <c r="D902" s="5" t="s">
        <v>9376</v>
      </c>
      <c r="E902" s="5" t="s">
        <v>9234</v>
      </c>
      <c r="F902" s="5" t="s">
        <v>325</v>
      </c>
      <c r="G902" s="5" t="s">
        <v>34</v>
      </c>
      <c r="H902" s="5" t="s">
        <v>214</v>
      </c>
      <c r="I902" s="5" t="s">
        <v>9224</v>
      </c>
      <c r="J902" s="5" t="s">
        <v>38</v>
      </c>
      <c r="K902" s="5" t="s">
        <v>38</v>
      </c>
      <c r="L902" s="5" t="s">
        <v>39</v>
      </c>
      <c r="M902" s="5" t="s">
        <v>37</v>
      </c>
      <c r="N902" s="5" t="s">
        <v>37</v>
      </c>
      <c r="O902" s="5" t="s">
        <v>39</v>
      </c>
      <c r="P902" s="5" t="s">
        <v>38</v>
      </c>
      <c r="Q902" s="5" t="s">
        <v>38</v>
      </c>
      <c r="R902" s="5" t="s">
        <v>39</v>
      </c>
      <c r="S902" s="5" t="s">
        <v>41</v>
      </c>
      <c r="T902" s="5" t="s">
        <v>9225</v>
      </c>
      <c r="U902" s="5" t="s">
        <v>9226</v>
      </c>
      <c r="V902" s="5" t="s">
        <v>9093</v>
      </c>
      <c r="W902" s="5" t="s">
        <v>9227</v>
      </c>
      <c r="X902" s="5"/>
      <c r="Y902" s="5"/>
      <c r="Z902" s="5" t="s">
        <v>46</v>
      </c>
      <c r="AA902" s="5" t="s">
        <v>9235</v>
      </c>
      <c r="AB902" s="5"/>
      <c r="AC902" s="7">
        <v>1</v>
      </c>
      <c r="AD902" t="str">
        <f>VLOOKUP($T902,[1]NhanSu!$C$5:$M$229,11,0)</f>
        <v>SM0000042</v>
      </c>
    </row>
    <row r="903" spans="1:30" x14ac:dyDescent="0.45">
      <c r="A903" s="8" t="s">
        <v>9088</v>
      </c>
      <c r="B903" s="4">
        <v>624</v>
      </c>
      <c r="C903" s="4" t="s">
        <v>9377</v>
      </c>
      <c r="D903" s="4" t="s">
        <v>9378</v>
      </c>
      <c r="E903" s="4" t="s">
        <v>682</v>
      </c>
      <c r="F903" s="4" t="s">
        <v>3693</v>
      </c>
      <c r="G903" s="4" t="s">
        <v>34</v>
      </c>
      <c r="H903" s="4" t="s">
        <v>54</v>
      </c>
      <c r="I903" s="4" t="s">
        <v>9379</v>
      </c>
      <c r="J903" s="4" t="s">
        <v>38</v>
      </c>
      <c r="K903" s="4" t="s">
        <v>38</v>
      </c>
      <c r="L903" s="4" t="s">
        <v>39</v>
      </c>
      <c r="M903" s="4" t="s">
        <v>38</v>
      </c>
      <c r="N903" s="4" t="s">
        <v>775</v>
      </c>
      <c r="O903" s="4" t="s">
        <v>39</v>
      </c>
      <c r="P903" s="4" t="s">
        <v>38</v>
      </c>
      <c r="Q903" s="4" t="s">
        <v>38</v>
      </c>
      <c r="R903" s="4" t="s">
        <v>40</v>
      </c>
      <c r="S903" s="4" t="s">
        <v>41</v>
      </c>
      <c r="T903" s="4" t="s">
        <v>9142</v>
      </c>
      <c r="U903" s="4" t="s">
        <v>9143</v>
      </c>
      <c r="V903" s="4" t="s">
        <v>9093</v>
      </c>
      <c r="W903" s="4" t="s">
        <v>2978</v>
      </c>
      <c r="X903" s="4"/>
      <c r="Y903" s="4"/>
      <c r="Z903" s="4" t="s">
        <v>46</v>
      </c>
      <c r="AA903" s="4" t="s">
        <v>9160</v>
      </c>
      <c r="AB903" s="4"/>
      <c r="AC903" s="9">
        <v>1</v>
      </c>
      <c r="AD903" t="str">
        <f>VLOOKUP($T903,[1]NhanSu!$C$5:$M$229,11,0)</f>
        <v>SM0000051</v>
      </c>
    </row>
    <row r="904" spans="1:30" x14ac:dyDescent="0.45">
      <c r="A904" s="6" t="s">
        <v>9088</v>
      </c>
      <c r="B904" s="5">
        <v>627</v>
      </c>
      <c r="C904" s="5" t="s">
        <v>9380</v>
      </c>
      <c r="D904" s="5" t="s">
        <v>9381</v>
      </c>
      <c r="E904" s="5" t="s">
        <v>9382</v>
      </c>
      <c r="F904" s="5" t="s">
        <v>166</v>
      </c>
      <c r="G904" s="5" t="s">
        <v>177</v>
      </c>
      <c r="H904" s="5" t="s">
        <v>2459</v>
      </c>
      <c r="I904" s="5" t="s">
        <v>9383</v>
      </c>
      <c r="J904" s="5" t="s">
        <v>37</v>
      </c>
      <c r="K904" s="5" t="s">
        <v>37</v>
      </c>
      <c r="L904" s="5" t="s">
        <v>39</v>
      </c>
      <c r="M904" s="5" t="s">
        <v>37</v>
      </c>
      <c r="N904" s="5" t="s">
        <v>37</v>
      </c>
      <c r="O904" s="5" t="s">
        <v>39</v>
      </c>
      <c r="P904" s="5" t="s">
        <v>38</v>
      </c>
      <c r="Q904" s="5" t="s">
        <v>38</v>
      </c>
      <c r="R904" s="5" t="s">
        <v>39</v>
      </c>
      <c r="S904" s="5" t="s">
        <v>41</v>
      </c>
      <c r="T904" s="5" t="s">
        <v>9240</v>
      </c>
      <c r="U904" s="5" t="s">
        <v>9205</v>
      </c>
      <c r="V904" s="5" t="s">
        <v>9093</v>
      </c>
      <c r="W904" s="5" t="s">
        <v>9227</v>
      </c>
      <c r="X904" s="5"/>
      <c r="Y904" s="5"/>
      <c r="Z904" s="5" t="s">
        <v>46</v>
      </c>
      <c r="AA904" s="5" t="s">
        <v>9235</v>
      </c>
      <c r="AB904" s="5"/>
      <c r="AC904" s="7">
        <v>1</v>
      </c>
      <c r="AD904" t="str">
        <f>VLOOKUP($T904,[1]NhanSu!$C$5:$M$229,11,0)</f>
        <v>SM0000044</v>
      </c>
    </row>
    <row r="905" spans="1:30" x14ac:dyDescent="0.45">
      <c r="A905" s="8" t="s">
        <v>9088</v>
      </c>
      <c r="B905" s="4">
        <v>629</v>
      </c>
      <c r="C905" s="4" t="s">
        <v>9387</v>
      </c>
      <c r="D905" s="4" t="s">
        <v>9388</v>
      </c>
      <c r="E905" s="4" t="s">
        <v>1908</v>
      </c>
      <c r="F905" s="4" t="s">
        <v>2343</v>
      </c>
      <c r="G905" s="4" t="s">
        <v>34</v>
      </c>
      <c r="H905" s="4" t="s">
        <v>565</v>
      </c>
      <c r="I905" s="4" t="s">
        <v>9389</v>
      </c>
      <c r="J905" s="4" t="s">
        <v>38</v>
      </c>
      <c r="K905" s="4" t="s">
        <v>38</v>
      </c>
      <c r="L905" s="4" t="s">
        <v>40</v>
      </c>
      <c r="M905" s="4" t="s">
        <v>1034</v>
      </c>
      <c r="N905" s="4" t="s">
        <v>56</v>
      </c>
      <c r="O905" s="4" t="s">
        <v>39</v>
      </c>
      <c r="P905" s="4" t="s">
        <v>38</v>
      </c>
      <c r="Q905" s="4" t="s">
        <v>38</v>
      </c>
      <c r="R905" s="4" t="s">
        <v>39</v>
      </c>
      <c r="S905" s="4" t="s">
        <v>41</v>
      </c>
      <c r="T905" s="4" t="s">
        <v>9091</v>
      </c>
      <c r="U905" s="4" t="s">
        <v>9205</v>
      </c>
      <c r="V905" s="4" t="s">
        <v>9093</v>
      </c>
      <c r="W905" s="4" t="s">
        <v>9094</v>
      </c>
      <c r="X905" s="4"/>
      <c r="Y905" s="4"/>
      <c r="Z905" s="4" t="s">
        <v>46</v>
      </c>
      <c r="AA905" s="4" t="s">
        <v>9095</v>
      </c>
      <c r="AB905" s="4"/>
      <c r="AC905" s="9">
        <v>1</v>
      </c>
      <c r="AD905" t="str">
        <f>VLOOKUP($T905,[1]NhanSu!$C$5:$M$229,11,0)</f>
        <v>SM0000162</v>
      </c>
    </row>
    <row r="906" spans="1:30" x14ac:dyDescent="0.45">
      <c r="A906" s="6" t="s">
        <v>9088</v>
      </c>
      <c r="B906" s="5">
        <v>633</v>
      </c>
      <c r="C906" s="5" t="s">
        <v>9393</v>
      </c>
      <c r="D906" s="5" t="s">
        <v>9394</v>
      </c>
      <c r="E906" s="5" t="s">
        <v>9395</v>
      </c>
      <c r="F906" s="5" t="s">
        <v>115</v>
      </c>
      <c r="G906" s="5" t="s">
        <v>177</v>
      </c>
      <c r="H906" s="5" t="s">
        <v>4115</v>
      </c>
      <c r="I906" s="5" t="s">
        <v>9396</v>
      </c>
      <c r="J906" s="5" t="s">
        <v>37</v>
      </c>
      <c r="K906" s="5" t="s">
        <v>37</v>
      </c>
      <c r="L906" s="5" t="s">
        <v>39</v>
      </c>
      <c r="M906" s="5" t="s">
        <v>37</v>
      </c>
      <c r="N906" s="5" t="s">
        <v>37</v>
      </c>
      <c r="O906" s="5" t="s">
        <v>39</v>
      </c>
      <c r="P906" s="5" t="s">
        <v>38</v>
      </c>
      <c r="Q906" s="5" t="s">
        <v>38</v>
      </c>
      <c r="R906" s="5" t="s">
        <v>39</v>
      </c>
      <c r="S906" s="5" t="s">
        <v>41</v>
      </c>
      <c r="T906" s="5" t="s">
        <v>9240</v>
      </c>
      <c r="U906" s="5" t="s">
        <v>9226</v>
      </c>
      <c r="V906" s="5" t="s">
        <v>9093</v>
      </c>
      <c r="W906" s="5" t="s">
        <v>9227</v>
      </c>
      <c r="X906" s="5"/>
      <c r="Y906" s="5"/>
      <c r="Z906" s="5" t="s">
        <v>46</v>
      </c>
      <c r="AA906" s="5" t="s">
        <v>9235</v>
      </c>
      <c r="AB906" s="5"/>
      <c r="AC906" s="7">
        <v>1</v>
      </c>
      <c r="AD906" t="str">
        <f>VLOOKUP($T906,[1]NhanSu!$C$5:$M$229,11,0)</f>
        <v>SM0000044</v>
      </c>
    </row>
    <row r="907" spans="1:30" x14ac:dyDescent="0.45">
      <c r="A907" s="8" t="s">
        <v>9088</v>
      </c>
      <c r="B907" s="4">
        <v>634</v>
      </c>
      <c r="C907" s="4" t="s">
        <v>9397</v>
      </c>
      <c r="D907" s="4" t="s">
        <v>9398</v>
      </c>
      <c r="E907" s="4" t="s">
        <v>113</v>
      </c>
      <c r="F907" s="4" t="s">
        <v>559</v>
      </c>
      <c r="G907" s="4" t="s">
        <v>34</v>
      </c>
      <c r="H907" s="4" t="s">
        <v>54</v>
      </c>
      <c r="I907" s="4" t="s">
        <v>9399</v>
      </c>
      <c r="J907" s="4" t="s">
        <v>37</v>
      </c>
      <c r="K907" s="4" t="s">
        <v>37</v>
      </c>
      <c r="L907" s="4" t="s">
        <v>39</v>
      </c>
      <c r="M907" s="4" t="s">
        <v>37</v>
      </c>
      <c r="N907" s="4" t="s">
        <v>37</v>
      </c>
      <c r="O907" s="4" t="s">
        <v>39</v>
      </c>
      <c r="P907" s="4" t="s">
        <v>38</v>
      </c>
      <c r="Q907" s="4" t="s">
        <v>38</v>
      </c>
      <c r="R907" s="4" t="s">
        <v>40</v>
      </c>
      <c r="S907" s="4" t="s">
        <v>41</v>
      </c>
      <c r="T907" s="4" t="s">
        <v>9147</v>
      </c>
      <c r="U907" s="4" t="s">
        <v>9148</v>
      </c>
      <c r="V907" s="4" t="s">
        <v>9093</v>
      </c>
      <c r="W907" s="4" t="s">
        <v>9094</v>
      </c>
      <c r="X907" s="4"/>
      <c r="Y907" s="4"/>
      <c r="Z907" s="4" t="s">
        <v>46</v>
      </c>
      <c r="AA907" s="4" t="s">
        <v>9235</v>
      </c>
      <c r="AB907" s="4"/>
      <c r="AC907" s="9">
        <v>1</v>
      </c>
      <c r="AD907" t="str">
        <f>VLOOKUP($T907,[1]NhanSu!$C$5:$M$229,11,0)</f>
        <v>SM0000040</v>
      </c>
    </row>
    <row r="908" spans="1:30" x14ac:dyDescent="0.45">
      <c r="A908" s="6" t="s">
        <v>9088</v>
      </c>
      <c r="B908" s="5">
        <v>636</v>
      </c>
      <c r="C908" s="5" t="s">
        <v>9400</v>
      </c>
      <c r="D908" s="5" t="s">
        <v>9401</v>
      </c>
      <c r="E908" s="5" t="s">
        <v>69</v>
      </c>
      <c r="F908" s="5" t="s">
        <v>53</v>
      </c>
      <c r="G908" s="5" t="s">
        <v>177</v>
      </c>
      <c r="H908" s="5" t="s">
        <v>1736</v>
      </c>
      <c r="I908" s="5" t="s">
        <v>9198</v>
      </c>
      <c r="J908" s="5" t="s">
        <v>38</v>
      </c>
      <c r="K908" s="5" t="s">
        <v>38</v>
      </c>
      <c r="L908" s="5" t="s">
        <v>40</v>
      </c>
      <c r="M908" s="5" t="s">
        <v>56</v>
      </c>
      <c r="N908" s="5" t="s">
        <v>56</v>
      </c>
      <c r="O908" s="5" t="s">
        <v>39</v>
      </c>
      <c r="P908" s="5" t="s">
        <v>38</v>
      </c>
      <c r="Q908" s="5" t="s">
        <v>38</v>
      </c>
      <c r="R908" s="5" t="s">
        <v>40</v>
      </c>
      <c r="S908" s="5" t="s">
        <v>41</v>
      </c>
      <c r="T908" s="5" t="s">
        <v>9199</v>
      </c>
      <c r="U908" s="5" t="s">
        <v>9200</v>
      </c>
      <c r="V908" s="5" t="s">
        <v>9093</v>
      </c>
      <c r="W908" s="5" t="s">
        <v>9180</v>
      </c>
      <c r="X908" s="5"/>
      <c r="Y908" s="5"/>
      <c r="Z908" s="5" t="s">
        <v>46</v>
      </c>
      <c r="AA908" s="5" t="s">
        <v>9119</v>
      </c>
      <c r="AB908" s="5"/>
      <c r="AC908" s="7">
        <v>1</v>
      </c>
      <c r="AD908" t="str">
        <f>VLOOKUP($T908,[1]NhanSu!$C$5:$M$229,11,0)</f>
        <v>SM0000047</v>
      </c>
    </row>
    <row r="909" spans="1:30" x14ac:dyDescent="0.45">
      <c r="A909" s="8" t="s">
        <v>9088</v>
      </c>
      <c r="B909" s="4">
        <v>637</v>
      </c>
      <c r="C909" s="4" t="s">
        <v>9402</v>
      </c>
      <c r="D909" s="4" t="s">
        <v>9403</v>
      </c>
      <c r="E909" s="4" t="s">
        <v>9404</v>
      </c>
      <c r="F909" s="4" t="s">
        <v>4472</v>
      </c>
      <c r="G909" s="4" t="s">
        <v>177</v>
      </c>
      <c r="H909" s="4" t="s">
        <v>1788</v>
      </c>
      <c r="I909" s="4" t="s">
        <v>9405</v>
      </c>
      <c r="J909" s="4" t="s">
        <v>37</v>
      </c>
      <c r="K909" s="4" t="s">
        <v>37</v>
      </c>
      <c r="L909" s="4" t="s">
        <v>39</v>
      </c>
      <c r="M909" s="4" t="s">
        <v>37</v>
      </c>
      <c r="N909" s="4" t="s">
        <v>37</v>
      </c>
      <c r="O909" s="4" t="s">
        <v>39</v>
      </c>
      <c r="P909" s="4" t="s">
        <v>38</v>
      </c>
      <c r="Q909" s="4" t="s">
        <v>38</v>
      </c>
      <c r="R909" s="4" t="s">
        <v>39</v>
      </c>
      <c r="S909" s="4" t="s">
        <v>41</v>
      </c>
      <c r="T909" s="4" t="s">
        <v>9240</v>
      </c>
      <c r="U909" s="4" t="s">
        <v>9205</v>
      </c>
      <c r="V909" s="4" t="s">
        <v>9093</v>
      </c>
      <c r="W909" s="4" t="s">
        <v>9227</v>
      </c>
      <c r="X909" s="4"/>
      <c r="Y909" s="4"/>
      <c r="Z909" s="4" t="s">
        <v>46</v>
      </c>
      <c r="AA909" s="4" t="s">
        <v>9235</v>
      </c>
      <c r="AB909" s="4"/>
      <c r="AC909" s="9">
        <v>1</v>
      </c>
      <c r="AD909" t="str">
        <f>VLOOKUP($T909,[1]NhanSu!$C$5:$M$229,11,0)</f>
        <v>SM0000044</v>
      </c>
    </row>
    <row r="910" spans="1:30" x14ac:dyDescent="0.45">
      <c r="A910" s="6" t="s">
        <v>9088</v>
      </c>
      <c r="B910" s="5">
        <v>640</v>
      </c>
      <c r="C910" s="5" t="s">
        <v>9406</v>
      </c>
      <c r="D910" s="5" t="s">
        <v>9407</v>
      </c>
      <c r="E910" s="5" t="s">
        <v>9408</v>
      </c>
      <c r="F910" s="5" t="s">
        <v>53</v>
      </c>
      <c r="G910" s="5" t="s">
        <v>177</v>
      </c>
      <c r="H910" s="5" t="s">
        <v>402</v>
      </c>
      <c r="I910" s="5" t="s">
        <v>9409</v>
      </c>
      <c r="J910" s="5" t="s">
        <v>37</v>
      </c>
      <c r="K910" s="5" t="s">
        <v>37</v>
      </c>
      <c r="L910" s="5" t="s">
        <v>39</v>
      </c>
      <c r="M910" s="5" t="s">
        <v>37</v>
      </c>
      <c r="N910" s="5" t="s">
        <v>37</v>
      </c>
      <c r="O910" s="5" t="s">
        <v>39</v>
      </c>
      <c r="P910" s="5" t="s">
        <v>38</v>
      </c>
      <c r="Q910" s="5" t="s">
        <v>38</v>
      </c>
      <c r="R910" s="5" t="s">
        <v>39</v>
      </c>
      <c r="S910" s="5" t="s">
        <v>41</v>
      </c>
      <c r="T910" s="5" t="s">
        <v>9240</v>
      </c>
      <c r="U910" s="5" t="s">
        <v>9205</v>
      </c>
      <c r="V910" s="5" t="s">
        <v>9093</v>
      </c>
      <c r="W910" s="5" t="s">
        <v>9227</v>
      </c>
      <c r="X910" s="5"/>
      <c r="Y910" s="5"/>
      <c r="Z910" s="5" t="s">
        <v>46</v>
      </c>
      <c r="AA910" s="5" t="s">
        <v>9095</v>
      </c>
      <c r="AB910" s="5"/>
      <c r="AC910" s="7">
        <v>1</v>
      </c>
      <c r="AD910" t="str">
        <f>VLOOKUP($T910,[1]NhanSu!$C$5:$M$229,11,0)</f>
        <v>SM0000044</v>
      </c>
    </row>
    <row r="911" spans="1:30" x14ac:dyDescent="0.45">
      <c r="A911" s="8" t="s">
        <v>9088</v>
      </c>
      <c r="B911" s="4">
        <v>643</v>
      </c>
      <c r="C911" s="4" t="s">
        <v>9410</v>
      </c>
      <c r="D911" s="4" t="s">
        <v>9411</v>
      </c>
      <c r="E911" s="4" t="s">
        <v>9412</v>
      </c>
      <c r="F911" s="4" t="s">
        <v>115</v>
      </c>
      <c r="G911" s="4" t="s">
        <v>177</v>
      </c>
      <c r="H911" s="4" t="s">
        <v>2044</v>
      </c>
      <c r="I911" s="4" t="s">
        <v>9396</v>
      </c>
      <c r="J911" s="4" t="s">
        <v>37</v>
      </c>
      <c r="K911" s="4" t="s">
        <v>37</v>
      </c>
      <c r="L911" s="4" t="s">
        <v>39</v>
      </c>
      <c r="M911" s="4" t="s">
        <v>37</v>
      </c>
      <c r="N911" s="4" t="s">
        <v>37</v>
      </c>
      <c r="O911" s="4" t="s">
        <v>39</v>
      </c>
      <c r="P911" s="4" t="s">
        <v>38</v>
      </c>
      <c r="Q911" s="4" t="s">
        <v>38</v>
      </c>
      <c r="R911" s="4" t="s">
        <v>39</v>
      </c>
      <c r="S911" s="4" t="s">
        <v>41</v>
      </c>
      <c r="T911" s="4" t="s">
        <v>9240</v>
      </c>
      <c r="U911" s="4" t="s">
        <v>9226</v>
      </c>
      <c r="V911" s="4" t="s">
        <v>9093</v>
      </c>
      <c r="W911" s="4" t="s">
        <v>9227</v>
      </c>
      <c r="X911" s="4"/>
      <c r="Y911" s="4"/>
      <c r="Z911" s="4" t="s">
        <v>46</v>
      </c>
      <c r="AA911" s="4" t="s">
        <v>9095</v>
      </c>
      <c r="AB911" s="4"/>
      <c r="AC911" s="9">
        <v>1</v>
      </c>
      <c r="AD911" t="str">
        <f>VLOOKUP($T911,[1]NhanSu!$C$5:$M$229,11,0)</f>
        <v>SM0000044</v>
      </c>
    </row>
    <row r="912" spans="1:30" x14ac:dyDescent="0.45">
      <c r="A912" s="6" t="s">
        <v>9088</v>
      </c>
      <c r="B912" s="5">
        <v>655</v>
      </c>
      <c r="C912" s="5" t="s">
        <v>9416</v>
      </c>
      <c r="D912" s="5" t="s">
        <v>9417</v>
      </c>
      <c r="E912" s="5" t="s">
        <v>64</v>
      </c>
      <c r="F912" s="5" t="s">
        <v>53</v>
      </c>
      <c r="G912" s="5" t="s">
        <v>177</v>
      </c>
      <c r="H912" s="5" t="s">
        <v>8400</v>
      </c>
      <c r="I912" s="5" t="s">
        <v>9302</v>
      </c>
      <c r="J912" s="5" t="s">
        <v>38</v>
      </c>
      <c r="K912" s="5" t="s">
        <v>38</v>
      </c>
      <c r="L912" s="5" t="s">
        <v>40</v>
      </c>
      <c r="M912" s="5" t="s">
        <v>56</v>
      </c>
      <c r="N912" s="5" t="s">
        <v>56</v>
      </c>
      <c r="O912" s="5" t="s">
        <v>39</v>
      </c>
      <c r="P912" s="5" t="s">
        <v>38</v>
      </c>
      <c r="Q912" s="5" t="s">
        <v>38</v>
      </c>
      <c r="R912" s="5" t="s">
        <v>40</v>
      </c>
      <c r="S912" s="5" t="s">
        <v>41</v>
      </c>
      <c r="T912" s="5" t="s">
        <v>9199</v>
      </c>
      <c r="U912" s="5" t="s">
        <v>9200</v>
      </c>
      <c r="V912" s="5" t="s">
        <v>9093</v>
      </c>
      <c r="W912" s="5" t="s">
        <v>9180</v>
      </c>
      <c r="X912" s="5"/>
      <c r="Y912" s="5"/>
      <c r="Z912" s="5" t="s">
        <v>46</v>
      </c>
      <c r="AA912" s="5" t="s">
        <v>9119</v>
      </c>
      <c r="AB912" s="5"/>
      <c r="AC912" s="7">
        <v>1</v>
      </c>
      <c r="AD912" t="str">
        <f>VLOOKUP($T912,[1]NhanSu!$C$5:$M$229,11,0)</f>
        <v>SM0000047</v>
      </c>
    </row>
    <row r="913" spans="1:30" x14ac:dyDescent="0.45">
      <c r="A913" s="8" t="s">
        <v>9088</v>
      </c>
      <c r="B913" s="4">
        <v>660</v>
      </c>
      <c r="C913" s="4" t="s">
        <v>9418</v>
      </c>
      <c r="D913" s="4" t="s">
        <v>9419</v>
      </c>
      <c r="E913" s="4" t="s">
        <v>69</v>
      </c>
      <c r="F913" s="4" t="s">
        <v>53</v>
      </c>
      <c r="G913" s="4" t="s">
        <v>177</v>
      </c>
      <c r="H913" s="4" t="s">
        <v>525</v>
      </c>
      <c r="I913" s="4" t="s">
        <v>9198</v>
      </c>
      <c r="J913" s="4" t="s">
        <v>38</v>
      </c>
      <c r="K913" s="4" t="s">
        <v>38</v>
      </c>
      <c r="L913" s="4" t="s">
        <v>40</v>
      </c>
      <c r="M913" s="4" t="s">
        <v>56</v>
      </c>
      <c r="N913" s="4" t="s">
        <v>56</v>
      </c>
      <c r="O913" s="4" t="s">
        <v>39</v>
      </c>
      <c r="P913" s="4" t="s">
        <v>38</v>
      </c>
      <c r="Q913" s="4" t="s">
        <v>38</v>
      </c>
      <c r="R913" s="4" t="s">
        <v>40</v>
      </c>
      <c r="S913" s="4" t="s">
        <v>9420</v>
      </c>
      <c r="T913" s="4" t="s">
        <v>9199</v>
      </c>
      <c r="U913" s="4" t="s">
        <v>9200</v>
      </c>
      <c r="V913" s="4" t="s">
        <v>9093</v>
      </c>
      <c r="W913" s="4" t="s">
        <v>9180</v>
      </c>
      <c r="X913" s="4"/>
      <c r="Y913" s="4"/>
      <c r="Z913" s="4" t="s">
        <v>46</v>
      </c>
      <c r="AA913" s="4" t="s">
        <v>9119</v>
      </c>
      <c r="AB913" s="4"/>
      <c r="AC913" s="9">
        <v>1</v>
      </c>
      <c r="AD913" t="str">
        <f>VLOOKUP($T913,[1]NhanSu!$C$5:$M$229,11,0)</f>
        <v>SM0000047</v>
      </c>
    </row>
    <row r="914" spans="1:30" x14ac:dyDescent="0.45">
      <c r="A914" s="6" t="s">
        <v>9088</v>
      </c>
      <c r="B914" s="5">
        <v>666</v>
      </c>
      <c r="C914" s="5" t="s">
        <v>9425</v>
      </c>
      <c r="D914" s="5" t="s">
        <v>9426</v>
      </c>
      <c r="E914" s="5" t="s">
        <v>857</v>
      </c>
      <c r="F914" s="5" t="s">
        <v>53</v>
      </c>
      <c r="G914" s="5" t="s">
        <v>34</v>
      </c>
      <c r="H914" s="5" t="s">
        <v>319</v>
      </c>
      <c r="I914" s="5" t="s">
        <v>5213</v>
      </c>
      <c r="J914" s="5" t="s">
        <v>38</v>
      </c>
      <c r="K914" s="5" t="s">
        <v>38</v>
      </c>
      <c r="L914" s="5" t="s">
        <v>40</v>
      </c>
      <c r="M914" s="5" t="s">
        <v>38</v>
      </c>
      <c r="N914" s="5" t="s">
        <v>38</v>
      </c>
      <c r="O914" s="5" t="s">
        <v>40</v>
      </c>
      <c r="P914" s="5" t="s">
        <v>38</v>
      </c>
      <c r="Q914" s="5" t="s">
        <v>38</v>
      </c>
      <c r="R914" s="5" t="s">
        <v>40</v>
      </c>
      <c r="S914" s="5" t="s">
        <v>41</v>
      </c>
      <c r="T914" s="5" t="s">
        <v>9427</v>
      </c>
      <c r="U914" s="5" t="s">
        <v>9148</v>
      </c>
      <c r="V914" s="5" t="s">
        <v>9093</v>
      </c>
      <c r="W914" s="5" t="s">
        <v>9094</v>
      </c>
      <c r="X914" s="5"/>
      <c r="Y914" s="5"/>
      <c r="Z914" s="5" t="s">
        <v>46</v>
      </c>
      <c r="AA914" s="5" t="s">
        <v>9235</v>
      </c>
      <c r="AB914" s="5"/>
      <c r="AC914" s="7">
        <v>1</v>
      </c>
      <c r="AD914" t="str">
        <f>VLOOKUP($T914,[1]NhanSu!$C$5:$M$229,11,0)</f>
        <v>SM0000171</v>
      </c>
    </row>
    <row r="915" spans="1:30" x14ac:dyDescent="0.45">
      <c r="A915" s="8" t="s">
        <v>9088</v>
      </c>
      <c r="B915" s="4">
        <v>670</v>
      </c>
      <c r="C915" s="4" t="s">
        <v>9432</v>
      </c>
      <c r="D915" s="4" t="s">
        <v>9433</v>
      </c>
      <c r="E915" s="4" t="s">
        <v>176</v>
      </c>
      <c r="F915" s="4" t="s">
        <v>53</v>
      </c>
      <c r="G915" s="4" t="s">
        <v>34</v>
      </c>
      <c r="H915" s="4" t="s">
        <v>4335</v>
      </c>
      <c r="I915" s="4" t="s">
        <v>9434</v>
      </c>
      <c r="J915" s="4" t="s">
        <v>38</v>
      </c>
      <c r="K915" s="4" t="s">
        <v>38</v>
      </c>
      <c r="L915" s="4" t="s">
        <v>40</v>
      </c>
      <c r="M915" s="4" t="s">
        <v>37</v>
      </c>
      <c r="N915" s="4" t="s">
        <v>37</v>
      </c>
      <c r="O915" s="4" t="s">
        <v>39</v>
      </c>
      <c r="P915" s="4" t="s">
        <v>38</v>
      </c>
      <c r="Q915" s="4" t="s">
        <v>38</v>
      </c>
      <c r="R915" s="4" t="s">
        <v>40</v>
      </c>
      <c r="S915" s="4" t="s">
        <v>41</v>
      </c>
      <c r="T915" s="4" t="s">
        <v>9199</v>
      </c>
      <c r="U915" s="4" t="s">
        <v>9200</v>
      </c>
      <c r="V915" s="4" t="s">
        <v>9093</v>
      </c>
      <c r="W915" s="4" t="s">
        <v>9180</v>
      </c>
      <c r="X915" s="4"/>
      <c r="Y915" s="4"/>
      <c r="Z915" s="4" t="s">
        <v>46</v>
      </c>
      <c r="AA915" s="4" t="s">
        <v>9119</v>
      </c>
      <c r="AB915" s="4"/>
      <c r="AC915" s="9">
        <v>1</v>
      </c>
      <c r="AD915" t="str">
        <f>VLOOKUP($T915,[1]NhanSu!$C$5:$M$229,11,0)</f>
        <v>SM0000047</v>
      </c>
    </row>
    <row r="916" spans="1:30" x14ac:dyDescent="0.45">
      <c r="A916" s="6" t="s">
        <v>9088</v>
      </c>
      <c r="B916" s="5">
        <v>676</v>
      </c>
      <c r="C916" s="5" t="s">
        <v>9441</v>
      </c>
      <c r="D916" s="5" t="s">
        <v>9442</v>
      </c>
      <c r="E916" s="5" t="s">
        <v>2606</v>
      </c>
      <c r="F916" s="5" t="s">
        <v>9443</v>
      </c>
      <c r="G916" s="5" t="s">
        <v>177</v>
      </c>
      <c r="H916" s="5" t="s">
        <v>2426</v>
      </c>
      <c r="I916" s="5" t="s">
        <v>9444</v>
      </c>
      <c r="J916" s="5" t="s">
        <v>38</v>
      </c>
      <c r="K916" s="5" t="s">
        <v>38</v>
      </c>
      <c r="L916" s="5" t="s">
        <v>39</v>
      </c>
      <c r="M916" s="5" t="s">
        <v>37</v>
      </c>
      <c r="N916" s="5" t="s">
        <v>37</v>
      </c>
      <c r="O916" s="5" t="s">
        <v>39</v>
      </c>
      <c r="P916" s="5" t="s">
        <v>38</v>
      </c>
      <c r="Q916" s="5" t="s">
        <v>38</v>
      </c>
      <c r="R916" s="5" t="s">
        <v>39</v>
      </c>
      <c r="S916" s="5" t="s">
        <v>41</v>
      </c>
      <c r="T916" s="5" t="s">
        <v>9312</v>
      </c>
      <c r="U916" s="5" t="s">
        <v>9313</v>
      </c>
      <c r="V916" s="5" t="s">
        <v>9093</v>
      </c>
      <c r="W916" s="5" t="s">
        <v>9131</v>
      </c>
      <c r="X916" s="5"/>
      <c r="Y916" s="5"/>
      <c r="Z916" s="5" t="s">
        <v>46</v>
      </c>
      <c r="AA916" s="5" t="s">
        <v>9160</v>
      </c>
      <c r="AB916" s="5"/>
      <c r="AC916" s="7">
        <v>1</v>
      </c>
      <c r="AD916" t="str">
        <f>VLOOKUP($T916,[1]NhanSu!$C$5:$M$229,11,0)</f>
        <v>SM0000039</v>
      </c>
    </row>
    <row r="917" spans="1:30" x14ac:dyDescent="0.45">
      <c r="A917" s="8" t="s">
        <v>9088</v>
      </c>
      <c r="B917" s="4">
        <v>698</v>
      </c>
      <c r="C917" s="4" t="s">
        <v>9452</v>
      </c>
      <c r="D917" s="4" t="s">
        <v>9453</v>
      </c>
      <c r="E917" s="4" t="s">
        <v>9454</v>
      </c>
      <c r="F917" s="4" t="s">
        <v>166</v>
      </c>
      <c r="G917" s="4" t="s">
        <v>177</v>
      </c>
      <c r="H917" s="4" t="s">
        <v>708</v>
      </c>
      <c r="I917" s="4" t="s">
        <v>9455</v>
      </c>
      <c r="J917" s="4" t="s">
        <v>37</v>
      </c>
      <c r="K917" s="4" t="s">
        <v>37</v>
      </c>
      <c r="L917" s="4" t="s">
        <v>39</v>
      </c>
      <c r="M917" s="4" t="s">
        <v>37</v>
      </c>
      <c r="N917" s="4" t="s">
        <v>37</v>
      </c>
      <c r="O917" s="4" t="s">
        <v>39</v>
      </c>
      <c r="P917" s="4" t="s">
        <v>38</v>
      </c>
      <c r="Q917" s="4" t="s">
        <v>38</v>
      </c>
      <c r="R917" s="4" t="s">
        <v>39</v>
      </c>
      <c r="S917" s="4" t="s">
        <v>41</v>
      </c>
      <c r="T917" s="4" t="s">
        <v>9240</v>
      </c>
      <c r="U917" s="4" t="s">
        <v>9226</v>
      </c>
      <c r="V917" s="4" t="s">
        <v>9093</v>
      </c>
      <c r="W917" s="4" t="s">
        <v>9227</v>
      </c>
      <c r="X917" s="4"/>
      <c r="Y917" s="4"/>
      <c r="Z917" s="4" t="s">
        <v>46</v>
      </c>
      <c r="AA917" s="4" t="s">
        <v>9235</v>
      </c>
      <c r="AB917" s="4"/>
      <c r="AC917" s="9">
        <v>1</v>
      </c>
      <c r="AD917" t="str">
        <f>VLOOKUP($T917,[1]NhanSu!$C$5:$M$229,11,0)</f>
        <v>SM0000044</v>
      </c>
    </row>
    <row r="918" spans="1:30" x14ac:dyDescent="0.45">
      <c r="A918" s="6" t="s">
        <v>9088</v>
      </c>
      <c r="B918" s="5">
        <v>710</v>
      </c>
      <c r="C918" s="5" t="s">
        <v>9460</v>
      </c>
      <c r="D918" s="5" t="s">
        <v>9461</v>
      </c>
      <c r="E918" s="5" t="s">
        <v>9462</v>
      </c>
      <c r="F918" s="5" t="s">
        <v>115</v>
      </c>
      <c r="G918" s="5" t="s">
        <v>177</v>
      </c>
      <c r="H918" s="5" t="s">
        <v>917</v>
      </c>
      <c r="I918" s="5" t="s">
        <v>9366</v>
      </c>
      <c r="J918" s="5" t="s">
        <v>37</v>
      </c>
      <c r="K918" s="5" t="s">
        <v>37</v>
      </c>
      <c r="L918" s="5" t="s">
        <v>39</v>
      </c>
      <c r="M918" s="5" t="s">
        <v>37</v>
      </c>
      <c r="N918" s="5" t="s">
        <v>37</v>
      </c>
      <c r="O918" s="5" t="s">
        <v>39</v>
      </c>
      <c r="P918" s="5" t="s">
        <v>38</v>
      </c>
      <c r="Q918" s="5" t="s">
        <v>38</v>
      </c>
      <c r="R918" s="5" t="s">
        <v>39</v>
      </c>
      <c r="S918" s="5" t="s">
        <v>41</v>
      </c>
      <c r="T918" s="5" t="s">
        <v>9240</v>
      </c>
      <c r="U918" s="5" t="s">
        <v>9226</v>
      </c>
      <c r="V918" s="5" t="s">
        <v>9093</v>
      </c>
      <c r="W918" s="5" t="s">
        <v>9227</v>
      </c>
      <c r="X918" s="5"/>
      <c r="Y918" s="5"/>
      <c r="Z918" s="5" t="s">
        <v>46</v>
      </c>
      <c r="AA918" s="5" t="s">
        <v>9095</v>
      </c>
      <c r="AB918" s="5"/>
      <c r="AC918" s="7">
        <v>1</v>
      </c>
      <c r="AD918" t="str">
        <f>VLOOKUP($T918,[1]NhanSu!$C$5:$M$229,11,0)</f>
        <v>SM0000044</v>
      </c>
    </row>
    <row r="919" spans="1:30" x14ac:dyDescent="0.45">
      <c r="A919" s="8" t="s">
        <v>9088</v>
      </c>
      <c r="B919" s="4">
        <v>711</v>
      </c>
      <c r="C919" s="4" t="s">
        <v>9463</v>
      </c>
      <c r="D919" s="4" t="s">
        <v>9464</v>
      </c>
      <c r="E919" s="4" t="s">
        <v>6480</v>
      </c>
      <c r="F919" s="4" t="s">
        <v>53</v>
      </c>
      <c r="G919" s="4" t="s">
        <v>34</v>
      </c>
      <c r="H919" s="4" t="s">
        <v>54</v>
      </c>
      <c r="I919" s="4" t="s">
        <v>9465</v>
      </c>
      <c r="J919" s="4" t="s">
        <v>38</v>
      </c>
      <c r="K919" s="4" t="s">
        <v>38</v>
      </c>
      <c r="L919" s="4" t="s">
        <v>40</v>
      </c>
      <c r="M919" s="4" t="s">
        <v>38</v>
      </c>
      <c r="N919" s="4" t="s">
        <v>38</v>
      </c>
      <c r="O919" s="4" t="s">
        <v>40</v>
      </c>
      <c r="P919" s="4" t="s">
        <v>38</v>
      </c>
      <c r="Q919" s="4" t="s">
        <v>38</v>
      </c>
      <c r="R919" s="4" t="s">
        <v>40</v>
      </c>
      <c r="S919" s="4" t="s">
        <v>41</v>
      </c>
      <c r="T919" s="4" t="s">
        <v>9427</v>
      </c>
      <c r="U919" s="4" t="s">
        <v>9148</v>
      </c>
      <c r="V919" s="4" t="s">
        <v>9093</v>
      </c>
      <c r="W919" s="4" t="s">
        <v>9094</v>
      </c>
      <c r="X919" s="4"/>
      <c r="Y919" s="4"/>
      <c r="Z919" s="4" t="s">
        <v>46</v>
      </c>
      <c r="AA919" s="4" t="s">
        <v>9235</v>
      </c>
      <c r="AB919" s="4"/>
      <c r="AC919" s="9">
        <v>1</v>
      </c>
      <c r="AD919" t="str">
        <f>VLOOKUP($T919,[1]NhanSu!$C$5:$M$229,11,0)</f>
        <v>SM0000171</v>
      </c>
    </row>
    <row r="920" spans="1:30" x14ac:dyDescent="0.45">
      <c r="A920" s="6" t="s">
        <v>9088</v>
      </c>
      <c r="B920" s="5">
        <v>714</v>
      </c>
      <c r="C920" s="5" t="s">
        <v>9466</v>
      </c>
      <c r="D920" s="5" t="s">
        <v>9467</v>
      </c>
      <c r="E920" s="5" t="s">
        <v>32</v>
      </c>
      <c r="F920" s="5" t="s">
        <v>53</v>
      </c>
      <c r="G920" s="5" t="s">
        <v>34</v>
      </c>
      <c r="H920" s="5" t="s">
        <v>54</v>
      </c>
      <c r="I920" s="5" t="s">
        <v>9468</v>
      </c>
      <c r="J920" s="5" t="s">
        <v>38</v>
      </c>
      <c r="K920" s="5" t="s">
        <v>38</v>
      </c>
      <c r="L920" s="5" t="s">
        <v>40</v>
      </c>
      <c r="M920" s="5" t="s">
        <v>38</v>
      </c>
      <c r="N920" s="5" t="s">
        <v>38</v>
      </c>
      <c r="O920" s="5" t="s">
        <v>40</v>
      </c>
      <c r="P920" s="5" t="s">
        <v>38</v>
      </c>
      <c r="Q920" s="5" t="s">
        <v>38</v>
      </c>
      <c r="R920" s="5" t="s">
        <v>40</v>
      </c>
      <c r="S920" s="5" t="s">
        <v>41</v>
      </c>
      <c r="T920" s="5" t="s">
        <v>9427</v>
      </c>
      <c r="U920" s="5" t="s">
        <v>9469</v>
      </c>
      <c r="V920" s="5" t="s">
        <v>9093</v>
      </c>
      <c r="W920" s="5" t="s">
        <v>9094</v>
      </c>
      <c r="X920" s="5"/>
      <c r="Y920" s="5"/>
      <c r="Z920" s="5" t="s">
        <v>46</v>
      </c>
      <c r="AA920" s="5" t="s">
        <v>9095</v>
      </c>
      <c r="AB920" s="5"/>
      <c r="AC920" s="7">
        <v>1</v>
      </c>
      <c r="AD920" t="str">
        <f>VLOOKUP($T920,[1]NhanSu!$C$5:$M$229,11,0)</f>
        <v>SM0000171</v>
      </c>
    </row>
    <row r="921" spans="1:30" x14ac:dyDescent="0.45">
      <c r="A921" s="8" t="s">
        <v>9088</v>
      </c>
      <c r="B921" s="4">
        <v>725</v>
      </c>
      <c r="C921" s="4" t="s">
        <v>9470</v>
      </c>
      <c r="D921" s="4" t="s">
        <v>9471</v>
      </c>
      <c r="E921" s="4" t="s">
        <v>219</v>
      </c>
      <c r="F921" s="4" t="s">
        <v>53</v>
      </c>
      <c r="G921" s="4" t="s">
        <v>1458</v>
      </c>
      <c r="H921" s="4" t="s">
        <v>54</v>
      </c>
      <c r="I921" s="4" t="s">
        <v>9472</v>
      </c>
      <c r="J921" s="4" t="s">
        <v>38</v>
      </c>
      <c r="K921" s="4" t="s">
        <v>38</v>
      </c>
      <c r="L921" s="4" t="s">
        <v>40</v>
      </c>
      <c r="M921" s="4" t="s">
        <v>38</v>
      </c>
      <c r="N921" s="4" t="s">
        <v>38</v>
      </c>
      <c r="O921" s="4" t="s">
        <v>40</v>
      </c>
      <c r="P921" s="4" t="s">
        <v>38</v>
      </c>
      <c r="Q921" s="4" t="s">
        <v>38</v>
      </c>
      <c r="R921" s="4" t="s">
        <v>40</v>
      </c>
      <c r="S921" s="4" t="s">
        <v>41</v>
      </c>
      <c r="T921" s="4" t="s">
        <v>9427</v>
      </c>
      <c r="U921" s="4" t="s">
        <v>9469</v>
      </c>
      <c r="V921" s="4" t="s">
        <v>9093</v>
      </c>
      <c r="W921" s="4" t="s">
        <v>9094</v>
      </c>
      <c r="X921" s="4"/>
      <c r="Y921" s="4"/>
      <c r="Z921" s="4" t="s">
        <v>46</v>
      </c>
      <c r="AA921" s="4" t="s">
        <v>9235</v>
      </c>
      <c r="AB921" s="4"/>
      <c r="AC921" s="9">
        <v>1</v>
      </c>
      <c r="AD921" t="str">
        <f>VLOOKUP($T921,[1]NhanSu!$C$5:$M$229,11,0)</f>
        <v>SM0000171</v>
      </c>
    </row>
    <row r="922" spans="1:30" x14ac:dyDescent="0.45">
      <c r="A922" s="6" t="s">
        <v>9088</v>
      </c>
      <c r="B922" s="5">
        <v>726</v>
      </c>
      <c r="C922" s="5" t="s">
        <v>9473</v>
      </c>
      <c r="D922" s="5" t="s">
        <v>9474</v>
      </c>
      <c r="E922" s="5" t="s">
        <v>9475</v>
      </c>
      <c r="F922" s="5" t="s">
        <v>1914</v>
      </c>
      <c r="G922" s="5" t="s">
        <v>177</v>
      </c>
      <c r="H922" s="5" t="s">
        <v>1184</v>
      </c>
      <c r="I922" s="5" t="s">
        <v>9476</v>
      </c>
      <c r="J922" s="5" t="s">
        <v>37</v>
      </c>
      <c r="K922" s="5" t="s">
        <v>37</v>
      </c>
      <c r="L922" s="5" t="s">
        <v>39</v>
      </c>
      <c r="M922" s="5" t="s">
        <v>37</v>
      </c>
      <c r="N922" s="5" t="s">
        <v>37</v>
      </c>
      <c r="O922" s="5" t="s">
        <v>39</v>
      </c>
      <c r="P922" s="5" t="s">
        <v>38</v>
      </c>
      <c r="Q922" s="5" t="s">
        <v>38</v>
      </c>
      <c r="R922" s="5" t="s">
        <v>39</v>
      </c>
      <c r="S922" s="5" t="s">
        <v>41</v>
      </c>
      <c r="T922" s="5" t="s">
        <v>9240</v>
      </c>
      <c r="U922" s="5" t="s">
        <v>9205</v>
      </c>
      <c r="V922" s="5" t="s">
        <v>9093</v>
      </c>
      <c r="W922" s="5" t="s">
        <v>9227</v>
      </c>
      <c r="X922" s="5"/>
      <c r="Y922" s="5"/>
      <c r="Z922" s="5" t="s">
        <v>46</v>
      </c>
      <c r="AA922" s="5" t="s">
        <v>9095</v>
      </c>
      <c r="AB922" s="5"/>
      <c r="AC922" s="7">
        <v>1</v>
      </c>
      <c r="AD922" t="str">
        <f>VLOOKUP($T922,[1]NhanSu!$C$5:$M$229,11,0)</f>
        <v>SM0000044</v>
      </c>
    </row>
    <row r="923" spans="1:30" x14ac:dyDescent="0.45">
      <c r="A923" s="8" t="s">
        <v>9088</v>
      </c>
      <c r="B923" s="4">
        <v>731</v>
      </c>
      <c r="C923" s="4" t="s">
        <v>9477</v>
      </c>
      <c r="D923" s="4" t="s">
        <v>9478</v>
      </c>
      <c r="E923" s="4" t="s">
        <v>9479</v>
      </c>
      <c r="F923" s="4" t="s">
        <v>325</v>
      </c>
      <c r="G923" s="4" t="s">
        <v>34</v>
      </c>
      <c r="H923" s="4" t="s">
        <v>54</v>
      </c>
      <c r="I923" s="4" t="s">
        <v>9224</v>
      </c>
      <c r="J923" s="4" t="s">
        <v>38</v>
      </c>
      <c r="K923" s="4" t="s">
        <v>38</v>
      </c>
      <c r="L923" s="4" t="s">
        <v>39</v>
      </c>
      <c r="M923" s="4" t="s">
        <v>37</v>
      </c>
      <c r="N923" s="4" t="s">
        <v>37</v>
      </c>
      <c r="O923" s="4" t="s">
        <v>39</v>
      </c>
      <c r="P923" s="4" t="s">
        <v>38</v>
      </c>
      <c r="Q923" s="4" t="s">
        <v>38</v>
      </c>
      <c r="R923" s="4" t="s">
        <v>39</v>
      </c>
      <c r="S923" s="4" t="s">
        <v>41</v>
      </c>
      <c r="T923" s="4" t="s">
        <v>9225</v>
      </c>
      <c r="U923" s="4" t="s">
        <v>9226</v>
      </c>
      <c r="V923" s="4" t="s">
        <v>9093</v>
      </c>
      <c r="W923" s="4" t="s">
        <v>9227</v>
      </c>
      <c r="X923" s="4"/>
      <c r="Y923" s="4"/>
      <c r="Z923" s="4" t="s">
        <v>46</v>
      </c>
      <c r="AA923" s="4" t="s">
        <v>9235</v>
      </c>
      <c r="AB923" s="4"/>
      <c r="AC923" s="9">
        <v>1</v>
      </c>
      <c r="AD923" t="str">
        <f>VLOOKUP($T923,[1]NhanSu!$C$5:$M$229,11,0)</f>
        <v>SM0000042</v>
      </c>
    </row>
    <row r="924" spans="1:30" x14ac:dyDescent="0.45">
      <c r="A924" s="6" t="s">
        <v>9088</v>
      </c>
      <c r="B924" s="5">
        <v>732</v>
      </c>
      <c r="C924" s="5" t="s">
        <v>9480</v>
      </c>
      <c r="D924" s="5" t="s">
        <v>9481</v>
      </c>
      <c r="E924" s="5" t="s">
        <v>1848</v>
      </c>
      <c r="F924" s="5" t="s">
        <v>426</v>
      </c>
      <c r="G924" s="5" t="s">
        <v>34</v>
      </c>
      <c r="H924" s="5" t="s">
        <v>54</v>
      </c>
      <c r="I924" s="5" t="s">
        <v>4227</v>
      </c>
      <c r="J924" s="5" t="s">
        <v>38</v>
      </c>
      <c r="K924" s="5" t="s">
        <v>38</v>
      </c>
      <c r="L924" s="5" t="s">
        <v>39</v>
      </c>
      <c r="M924" s="5" t="s">
        <v>37</v>
      </c>
      <c r="N924" s="5" t="s">
        <v>37</v>
      </c>
      <c r="O924" s="5" t="s">
        <v>39</v>
      </c>
      <c r="P924" s="5" t="s">
        <v>38</v>
      </c>
      <c r="Q924" s="5" t="s">
        <v>38</v>
      </c>
      <c r="R924" s="5" t="s">
        <v>39</v>
      </c>
      <c r="S924" s="5" t="s">
        <v>41</v>
      </c>
      <c r="T924" s="5" t="s">
        <v>9312</v>
      </c>
      <c r="U924" s="5" t="s">
        <v>9313</v>
      </c>
      <c r="V924" s="5" t="s">
        <v>9093</v>
      </c>
      <c r="W924" s="5" t="s">
        <v>9131</v>
      </c>
      <c r="X924" s="5"/>
      <c r="Y924" s="5"/>
      <c r="Z924" s="5" t="s">
        <v>46</v>
      </c>
      <c r="AA924" s="5" t="s">
        <v>9160</v>
      </c>
      <c r="AB924" s="5"/>
      <c r="AC924" s="7">
        <v>1</v>
      </c>
      <c r="AD924" t="str">
        <f>VLOOKUP($T924,[1]NhanSu!$C$5:$M$229,11,0)</f>
        <v>SM0000039</v>
      </c>
    </row>
    <row r="925" spans="1:30" x14ac:dyDescent="0.45">
      <c r="A925" s="8" t="s">
        <v>9088</v>
      </c>
      <c r="B925" s="4">
        <v>744</v>
      </c>
      <c r="C925" s="4" t="s">
        <v>9485</v>
      </c>
      <c r="D925" s="4" t="s">
        <v>9486</v>
      </c>
      <c r="E925" s="4" t="s">
        <v>157</v>
      </c>
      <c r="F925" s="4" t="s">
        <v>224</v>
      </c>
      <c r="G925" s="4" t="s">
        <v>34</v>
      </c>
      <c r="H925" s="4" t="s">
        <v>319</v>
      </c>
      <c r="I925" s="4" t="s">
        <v>9487</v>
      </c>
      <c r="J925" s="4" t="s">
        <v>38</v>
      </c>
      <c r="K925" s="4" t="s">
        <v>38</v>
      </c>
      <c r="L925" s="4" t="s">
        <v>40</v>
      </c>
      <c r="M925" s="4" t="s">
        <v>38</v>
      </c>
      <c r="N925" s="4" t="s">
        <v>38</v>
      </c>
      <c r="O925" s="4" t="s">
        <v>40</v>
      </c>
      <c r="P925" s="4" t="s">
        <v>37</v>
      </c>
      <c r="Q925" s="4" t="s">
        <v>38</v>
      </c>
      <c r="R925" s="4" t="s">
        <v>40</v>
      </c>
      <c r="S925" s="4" t="s">
        <v>41</v>
      </c>
      <c r="T925" s="4" t="s">
        <v>9427</v>
      </c>
      <c r="U925" s="4" t="s">
        <v>9148</v>
      </c>
      <c r="V925" s="4" t="s">
        <v>9093</v>
      </c>
      <c r="W925" s="4" t="s">
        <v>9094</v>
      </c>
      <c r="X925" s="4"/>
      <c r="Y925" s="4"/>
      <c r="Z925" s="4" t="s">
        <v>46</v>
      </c>
      <c r="AA925" s="4" t="s">
        <v>9095</v>
      </c>
      <c r="AB925" s="4"/>
      <c r="AC925" s="9">
        <v>1</v>
      </c>
      <c r="AD925" t="str">
        <f>VLOOKUP($T925,[1]NhanSu!$C$5:$M$229,11,0)</f>
        <v>SM0000171</v>
      </c>
    </row>
    <row r="926" spans="1:30" x14ac:dyDescent="0.45">
      <c r="A926" s="6" t="s">
        <v>9088</v>
      </c>
      <c r="B926" s="5">
        <v>792</v>
      </c>
      <c r="C926" s="5" t="s">
        <v>9501</v>
      </c>
      <c r="D926" s="5" t="s">
        <v>9502</v>
      </c>
      <c r="E926" s="5" t="s">
        <v>176</v>
      </c>
      <c r="F926" s="5" t="s">
        <v>930</v>
      </c>
      <c r="G926" s="5" t="s">
        <v>177</v>
      </c>
      <c r="H926" s="5" t="s">
        <v>332</v>
      </c>
      <c r="I926" s="5" t="s">
        <v>9503</v>
      </c>
      <c r="J926" s="5" t="s">
        <v>37</v>
      </c>
      <c r="K926" s="5" t="s">
        <v>37</v>
      </c>
      <c r="L926" s="5" t="s">
        <v>39</v>
      </c>
      <c r="M926" s="5" t="s">
        <v>37</v>
      </c>
      <c r="N926" s="5" t="s">
        <v>37</v>
      </c>
      <c r="O926" s="5" t="s">
        <v>39</v>
      </c>
      <c r="P926" s="5" t="s">
        <v>38</v>
      </c>
      <c r="Q926" s="5" t="s">
        <v>38</v>
      </c>
      <c r="R926" s="5" t="s">
        <v>39</v>
      </c>
      <c r="S926" s="5" t="s">
        <v>41</v>
      </c>
      <c r="T926" s="5" t="s">
        <v>9240</v>
      </c>
      <c r="U926" s="5" t="s">
        <v>9226</v>
      </c>
      <c r="V926" s="5" t="s">
        <v>9093</v>
      </c>
      <c r="W926" s="5" t="s">
        <v>9227</v>
      </c>
      <c r="X926" s="5"/>
      <c r="Y926" s="5"/>
      <c r="Z926" s="5" t="s">
        <v>46</v>
      </c>
      <c r="AA926" s="5" t="s">
        <v>9235</v>
      </c>
      <c r="AB926" s="5"/>
      <c r="AC926" s="7">
        <v>1</v>
      </c>
      <c r="AD926" t="str">
        <f>VLOOKUP($T926,[1]NhanSu!$C$5:$M$229,11,0)</f>
        <v>SM0000044</v>
      </c>
    </row>
    <row r="927" spans="1:30" x14ac:dyDescent="0.45">
      <c r="A927" s="8" t="s">
        <v>9088</v>
      </c>
      <c r="B927" s="4">
        <v>794</v>
      </c>
      <c r="C927" s="4" t="s">
        <v>9504</v>
      </c>
      <c r="D927" s="4" t="s">
        <v>9505</v>
      </c>
      <c r="E927" s="4" t="s">
        <v>148</v>
      </c>
      <c r="F927" s="4" t="s">
        <v>53</v>
      </c>
      <c r="G927" s="4" t="s">
        <v>177</v>
      </c>
      <c r="H927" s="4" t="s">
        <v>1574</v>
      </c>
      <c r="I927" s="4" t="s">
        <v>9198</v>
      </c>
      <c r="J927" s="4" t="s">
        <v>38</v>
      </c>
      <c r="K927" s="4" t="s">
        <v>38</v>
      </c>
      <c r="L927" s="4" t="s">
        <v>40</v>
      </c>
      <c r="M927" s="4" t="s">
        <v>37</v>
      </c>
      <c r="N927" s="4" t="s">
        <v>37</v>
      </c>
      <c r="O927" s="4" t="s">
        <v>39</v>
      </c>
      <c r="P927" s="4" t="s">
        <v>38</v>
      </c>
      <c r="Q927" s="4" t="s">
        <v>38</v>
      </c>
      <c r="R927" s="4" t="s">
        <v>40</v>
      </c>
      <c r="S927" s="4" t="s">
        <v>41</v>
      </c>
      <c r="T927" s="4" t="s">
        <v>9199</v>
      </c>
      <c r="U927" s="4" t="s">
        <v>9200</v>
      </c>
      <c r="V927" s="4" t="s">
        <v>9093</v>
      </c>
      <c r="W927" s="4" t="s">
        <v>9180</v>
      </c>
      <c r="X927" s="4"/>
      <c r="Y927" s="4"/>
      <c r="Z927" s="4" t="s">
        <v>46</v>
      </c>
      <c r="AA927" s="4" t="s">
        <v>9119</v>
      </c>
      <c r="AB927" s="4"/>
      <c r="AC927" s="9">
        <v>1</v>
      </c>
      <c r="AD927" t="str">
        <f>VLOOKUP($T927,[1]NhanSu!$C$5:$M$229,11,0)</f>
        <v>SM0000047</v>
      </c>
    </row>
    <row r="928" spans="1:30" x14ac:dyDescent="0.45">
      <c r="A928" s="6" t="s">
        <v>9088</v>
      </c>
      <c r="B928" s="5">
        <v>799</v>
      </c>
      <c r="C928" s="5" t="s">
        <v>9515</v>
      </c>
      <c r="D928" s="5" t="s">
        <v>9516</v>
      </c>
      <c r="E928" s="5" t="s">
        <v>304</v>
      </c>
      <c r="F928" s="5" t="s">
        <v>53</v>
      </c>
      <c r="G928" s="5" t="s">
        <v>34</v>
      </c>
      <c r="H928" s="5" t="s">
        <v>54</v>
      </c>
      <c r="I928" s="5" t="s">
        <v>9517</v>
      </c>
      <c r="J928" s="5" t="s">
        <v>38</v>
      </c>
      <c r="K928" s="5" t="s">
        <v>38</v>
      </c>
      <c r="L928" s="5" t="s">
        <v>40</v>
      </c>
      <c r="M928" s="5" t="s">
        <v>38</v>
      </c>
      <c r="N928" s="5" t="s">
        <v>38</v>
      </c>
      <c r="O928" s="5" t="s">
        <v>40</v>
      </c>
      <c r="P928" s="5" t="s">
        <v>38</v>
      </c>
      <c r="Q928" s="5" t="s">
        <v>38</v>
      </c>
      <c r="R928" s="5" t="s">
        <v>40</v>
      </c>
      <c r="S928" s="5" t="s">
        <v>41</v>
      </c>
      <c r="T928" s="5" t="s">
        <v>9427</v>
      </c>
      <c r="U928" s="5" t="s">
        <v>9148</v>
      </c>
      <c r="V928" s="5" t="s">
        <v>9093</v>
      </c>
      <c r="W928" s="5" t="s">
        <v>9094</v>
      </c>
      <c r="X928" s="5"/>
      <c r="Y928" s="5"/>
      <c r="Z928" s="5" t="s">
        <v>46</v>
      </c>
      <c r="AA928" s="5" t="s">
        <v>9235</v>
      </c>
      <c r="AB928" s="5"/>
      <c r="AC928" s="7">
        <v>1</v>
      </c>
      <c r="AD928" t="str">
        <f>VLOOKUP($T928,[1]NhanSu!$C$5:$M$229,11,0)</f>
        <v>SM0000171</v>
      </c>
    </row>
    <row r="929" spans="1:30" x14ac:dyDescent="0.45">
      <c r="A929" s="8" t="s">
        <v>9088</v>
      </c>
      <c r="B929" s="4">
        <v>801</v>
      </c>
      <c r="C929" s="4" t="s">
        <v>9518</v>
      </c>
      <c r="D929" s="4" t="s">
        <v>9519</v>
      </c>
      <c r="E929" s="4" t="s">
        <v>9520</v>
      </c>
      <c r="F929" s="4" t="s">
        <v>325</v>
      </c>
      <c r="G929" s="4" t="s">
        <v>34</v>
      </c>
      <c r="H929" s="4" t="s">
        <v>214</v>
      </c>
      <c r="I929" s="4" t="s">
        <v>9224</v>
      </c>
      <c r="J929" s="4" t="s">
        <v>38</v>
      </c>
      <c r="K929" s="4" t="s">
        <v>38</v>
      </c>
      <c r="L929" s="4" t="s">
        <v>39</v>
      </c>
      <c r="M929" s="4" t="s">
        <v>37</v>
      </c>
      <c r="N929" s="4" t="s">
        <v>37</v>
      </c>
      <c r="O929" s="4" t="s">
        <v>39</v>
      </c>
      <c r="P929" s="4" t="s">
        <v>38</v>
      </c>
      <c r="Q929" s="4" t="s">
        <v>38</v>
      </c>
      <c r="R929" s="4" t="s">
        <v>39</v>
      </c>
      <c r="S929" s="4" t="s">
        <v>41</v>
      </c>
      <c r="T929" s="4" t="s">
        <v>9225</v>
      </c>
      <c r="U929" s="4" t="s">
        <v>9226</v>
      </c>
      <c r="V929" s="4" t="s">
        <v>9093</v>
      </c>
      <c r="W929" s="4" t="s">
        <v>9227</v>
      </c>
      <c r="X929" s="4"/>
      <c r="Y929" s="4"/>
      <c r="Z929" s="4" t="s">
        <v>46</v>
      </c>
      <c r="AA929" s="4" t="s">
        <v>9235</v>
      </c>
      <c r="AB929" s="4"/>
      <c r="AC929" s="9">
        <v>1</v>
      </c>
      <c r="AD929" t="str">
        <f>VLOOKUP($T929,[1]NhanSu!$C$5:$M$229,11,0)</f>
        <v>SM0000042</v>
      </c>
    </row>
    <row r="930" spans="1:30" x14ac:dyDescent="0.45">
      <c r="A930" s="6" t="s">
        <v>9088</v>
      </c>
      <c r="B930" s="5">
        <v>804</v>
      </c>
      <c r="C930" s="5" t="s">
        <v>9521</v>
      </c>
      <c r="D930" s="5" t="s">
        <v>9281</v>
      </c>
      <c r="E930" s="5" t="s">
        <v>9522</v>
      </c>
      <c r="F930" s="5" t="s">
        <v>884</v>
      </c>
      <c r="G930" s="5" t="s">
        <v>177</v>
      </c>
      <c r="H930" s="5" t="s">
        <v>2952</v>
      </c>
      <c r="I930" s="5" t="s">
        <v>9523</v>
      </c>
      <c r="J930" s="5" t="s">
        <v>37</v>
      </c>
      <c r="K930" s="5" t="s">
        <v>37</v>
      </c>
      <c r="L930" s="5" t="s">
        <v>39</v>
      </c>
      <c r="M930" s="5" t="s">
        <v>37</v>
      </c>
      <c r="N930" s="5" t="s">
        <v>37</v>
      </c>
      <c r="O930" s="5" t="s">
        <v>39</v>
      </c>
      <c r="P930" s="5" t="s">
        <v>38</v>
      </c>
      <c r="Q930" s="5" t="s">
        <v>38</v>
      </c>
      <c r="R930" s="5" t="s">
        <v>39</v>
      </c>
      <c r="S930" s="5" t="s">
        <v>41</v>
      </c>
      <c r="T930" s="5" t="s">
        <v>9240</v>
      </c>
      <c r="U930" s="5" t="s">
        <v>9226</v>
      </c>
      <c r="V930" s="5" t="s">
        <v>9093</v>
      </c>
      <c r="W930" s="5" t="s">
        <v>9227</v>
      </c>
      <c r="X930" s="5"/>
      <c r="Y930" s="5"/>
      <c r="Z930" s="5" t="s">
        <v>46</v>
      </c>
      <c r="AA930" s="5" t="s">
        <v>9095</v>
      </c>
      <c r="AB930" s="5"/>
      <c r="AC930" s="7">
        <v>1</v>
      </c>
      <c r="AD930" t="str">
        <f>VLOOKUP($T930,[1]NhanSu!$C$5:$M$229,11,0)</f>
        <v>SM0000044</v>
      </c>
    </row>
    <row r="931" spans="1:30" x14ac:dyDescent="0.45">
      <c r="A931" s="8" t="s">
        <v>9088</v>
      </c>
      <c r="B931" s="4">
        <v>805</v>
      </c>
      <c r="C931" s="4" t="s">
        <v>9524</v>
      </c>
      <c r="D931" s="4" t="s">
        <v>9525</v>
      </c>
      <c r="E931" s="4" t="s">
        <v>9526</v>
      </c>
      <c r="F931" s="4" t="s">
        <v>325</v>
      </c>
      <c r="G931" s="4" t="s">
        <v>34</v>
      </c>
      <c r="H931" s="4" t="s">
        <v>214</v>
      </c>
      <c r="I931" s="4" t="s">
        <v>9224</v>
      </c>
      <c r="J931" s="4" t="s">
        <v>38</v>
      </c>
      <c r="K931" s="4" t="s">
        <v>38</v>
      </c>
      <c r="L931" s="4" t="s">
        <v>39</v>
      </c>
      <c r="M931" s="4" t="s">
        <v>37</v>
      </c>
      <c r="N931" s="4" t="s">
        <v>37</v>
      </c>
      <c r="O931" s="4" t="s">
        <v>39</v>
      </c>
      <c r="P931" s="4" t="s">
        <v>38</v>
      </c>
      <c r="Q931" s="4" t="s">
        <v>38</v>
      </c>
      <c r="R931" s="4" t="s">
        <v>39</v>
      </c>
      <c r="S931" s="4" t="s">
        <v>41</v>
      </c>
      <c r="T931" s="4" t="s">
        <v>9225</v>
      </c>
      <c r="U931" s="4" t="s">
        <v>9226</v>
      </c>
      <c r="V931" s="4" t="s">
        <v>9093</v>
      </c>
      <c r="W931" s="4" t="s">
        <v>9227</v>
      </c>
      <c r="X931" s="4"/>
      <c r="Y931" s="4"/>
      <c r="Z931" s="4" t="s">
        <v>46</v>
      </c>
      <c r="AA931" s="4" t="s">
        <v>9095</v>
      </c>
      <c r="AB931" s="4"/>
      <c r="AC931" s="9">
        <v>1</v>
      </c>
      <c r="AD931" t="str">
        <f>VLOOKUP($T931,[1]NhanSu!$C$5:$M$229,11,0)</f>
        <v>SM0000042</v>
      </c>
    </row>
    <row r="932" spans="1:30" x14ac:dyDescent="0.45">
      <c r="A932" s="6" t="s">
        <v>9088</v>
      </c>
      <c r="B932" s="5">
        <v>809</v>
      </c>
      <c r="C932" s="5" t="s">
        <v>9527</v>
      </c>
      <c r="D932" s="5" t="s">
        <v>9528</v>
      </c>
      <c r="E932" s="5" t="s">
        <v>9529</v>
      </c>
      <c r="F932" s="5" t="s">
        <v>53</v>
      </c>
      <c r="G932" s="5" t="s">
        <v>34</v>
      </c>
      <c r="H932" s="5" t="s">
        <v>54</v>
      </c>
      <c r="I932" s="5" t="s">
        <v>5213</v>
      </c>
      <c r="J932" s="5" t="s">
        <v>38</v>
      </c>
      <c r="K932" s="5" t="s">
        <v>38</v>
      </c>
      <c r="L932" s="5" t="s">
        <v>40</v>
      </c>
      <c r="M932" s="5" t="s">
        <v>38</v>
      </c>
      <c r="N932" s="5" t="s">
        <v>38</v>
      </c>
      <c r="O932" s="5" t="s">
        <v>40</v>
      </c>
      <c r="P932" s="5" t="s">
        <v>38</v>
      </c>
      <c r="Q932" s="5" t="s">
        <v>38</v>
      </c>
      <c r="R932" s="5" t="s">
        <v>40</v>
      </c>
      <c r="S932" s="5" t="s">
        <v>41</v>
      </c>
      <c r="T932" s="5" t="s">
        <v>9427</v>
      </c>
      <c r="U932" s="5" t="s">
        <v>9148</v>
      </c>
      <c r="V932" s="5" t="s">
        <v>9093</v>
      </c>
      <c r="W932" s="5" t="s">
        <v>9094</v>
      </c>
      <c r="X932" s="5"/>
      <c r="Y932" s="5"/>
      <c r="Z932" s="5" t="s">
        <v>46</v>
      </c>
      <c r="AA932" s="5" t="s">
        <v>9235</v>
      </c>
      <c r="AB932" s="5"/>
      <c r="AC932" s="7">
        <v>1</v>
      </c>
      <c r="AD932" t="str">
        <f>VLOOKUP($T932,[1]NhanSu!$C$5:$M$229,11,0)</f>
        <v>SM0000171</v>
      </c>
    </row>
    <row r="933" spans="1:30" x14ac:dyDescent="0.45">
      <c r="A933" s="8" t="s">
        <v>9088</v>
      </c>
      <c r="B933" s="4">
        <v>821</v>
      </c>
      <c r="C933" s="4" t="s">
        <v>9530</v>
      </c>
      <c r="D933" s="4" t="s">
        <v>9531</v>
      </c>
      <c r="E933" s="4" t="s">
        <v>97</v>
      </c>
      <c r="F933" s="4" t="s">
        <v>9361</v>
      </c>
      <c r="G933" s="4" t="s">
        <v>34</v>
      </c>
      <c r="H933" s="4" t="s">
        <v>54</v>
      </c>
      <c r="I933" s="4" t="s">
        <v>9532</v>
      </c>
      <c r="J933" s="4" t="s">
        <v>38</v>
      </c>
      <c r="K933" s="4" t="s">
        <v>38</v>
      </c>
      <c r="L933" s="4" t="s">
        <v>40</v>
      </c>
      <c r="M933" s="4" t="s">
        <v>38</v>
      </c>
      <c r="N933" s="4" t="s">
        <v>38</v>
      </c>
      <c r="O933" s="4" t="s">
        <v>40</v>
      </c>
      <c r="P933" s="4" t="s">
        <v>38</v>
      </c>
      <c r="Q933" s="4" t="s">
        <v>38</v>
      </c>
      <c r="R933" s="4" t="s">
        <v>40</v>
      </c>
      <c r="S933" s="4" t="s">
        <v>41</v>
      </c>
      <c r="T933" s="4" t="s">
        <v>9427</v>
      </c>
      <c r="U933" s="4" t="s">
        <v>9469</v>
      </c>
      <c r="V933" s="4" t="s">
        <v>9093</v>
      </c>
      <c r="W933" s="4" t="s">
        <v>9094</v>
      </c>
      <c r="X933" s="4"/>
      <c r="Y933" s="4"/>
      <c r="Z933" s="4" t="s">
        <v>46</v>
      </c>
      <c r="AA933" s="4" t="s">
        <v>9095</v>
      </c>
      <c r="AB933" s="4"/>
      <c r="AC933" s="9">
        <v>1</v>
      </c>
      <c r="AD933" t="str">
        <f>VLOOKUP($T933,[1]NhanSu!$C$5:$M$229,11,0)</f>
        <v>SM0000171</v>
      </c>
    </row>
    <row r="934" spans="1:30" x14ac:dyDescent="0.45">
      <c r="A934" s="6" t="s">
        <v>9088</v>
      </c>
      <c r="B934" s="5">
        <v>823</v>
      </c>
      <c r="C934" s="5" t="s">
        <v>9533</v>
      </c>
      <c r="D934" s="5" t="s">
        <v>9534</v>
      </c>
      <c r="E934" s="5" t="s">
        <v>255</v>
      </c>
      <c r="F934" s="5" t="s">
        <v>884</v>
      </c>
      <c r="G934" s="5" t="s">
        <v>34</v>
      </c>
      <c r="H934" s="5" t="s">
        <v>319</v>
      </c>
      <c r="I934" s="5" t="s">
        <v>9535</v>
      </c>
      <c r="J934" s="5" t="s">
        <v>38</v>
      </c>
      <c r="K934" s="5" t="s">
        <v>38</v>
      </c>
      <c r="L934" s="5" t="s">
        <v>40</v>
      </c>
      <c r="M934" s="5" t="s">
        <v>38</v>
      </c>
      <c r="N934" s="5" t="s">
        <v>38</v>
      </c>
      <c r="O934" s="5" t="s">
        <v>40</v>
      </c>
      <c r="P934" s="5" t="s">
        <v>38</v>
      </c>
      <c r="Q934" s="5" t="s">
        <v>38</v>
      </c>
      <c r="R934" s="5" t="s">
        <v>40</v>
      </c>
      <c r="S934" s="5" t="s">
        <v>41</v>
      </c>
      <c r="T934" s="5" t="s">
        <v>9427</v>
      </c>
      <c r="U934" s="5" t="s">
        <v>9148</v>
      </c>
      <c r="V934" s="5" t="s">
        <v>9093</v>
      </c>
      <c r="W934" s="5" t="s">
        <v>9094</v>
      </c>
      <c r="X934" s="5"/>
      <c r="Y934" s="5"/>
      <c r="Z934" s="5" t="s">
        <v>46</v>
      </c>
      <c r="AA934" s="5" t="s">
        <v>9235</v>
      </c>
      <c r="AB934" s="5"/>
      <c r="AC934" s="7">
        <v>1</v>
      </c>
      <c r="AD934" t="str">
        <f>VLOOKUP($T934,[1]NhanSu!$C$5:$M$229,11,0)</f>
        <v>SM0000171</v>
      </c>
    </row>
    <row r="935" spans="1:30" x14ac:dyDescent="0.45">
      <c r="A935" s="8" t="s">
        <v>9088</v>
      </c>
      <c r="B935" s="4">
        <v>825</v>
      </c>
      <c r="C935" s="4" t="s">
        <v>9536</v>
      </c>
      <c r="D935" s="4" t="s">
        <v>9537</v>
      </c>
      <c r="E935" s="4" t="s">
        <v>9538</v>
      </c>
      <c r="F935" s="4" t="s">
        <v>53</v>
      </c>
      <c r="G935" s="4" t="s">
        <v>34</v>
      </c>
      <c r="H935" s="4" t="s">
        <v>54</v>
      </c>
      <c r="I935" s="4" t="s">
        <v>9539</v>
      </c>
      <c r="J935" s="4" t="s">
        <v>38</v>
      </c>
      <c r="K935" s="4" t="s">
        <v>38</v>
      </c>
      <c r="L935" s="4" t="s">
        <v>40</v>
      </c>
      <c r="M935" s="4" t="s">
        <v>38</v>
      </c>
      <c r="N935" s="4" t="s">
        <v>38</v>
      </c>
      <c r="O935" s="4" t="s">
        <v>40</v>
      </c>
      <c r="P935" s="4" t="s">
        <v>38</v>
      </c>
      <c r="Q935" s="4" t="s">
        <v>38</v>
      </c>
      <c r="R935" s="4" t="s">
        <v>40</v>
      </c>
      <c r="S935" s="4" t="s">
        <v>41</v>
      </c>
      <c r="T935" s="4" t="s">
        <v>9099</v>
      </c>
      <c r="U935" s="4" t="s">
        <v>9100</v>
      </c>
      <c r="V935" s="4" t="s">
        <v>9093</v>
      </c>
      <c r="W935" s="4" t="s">
        <v>9101</v>
      </c>
      <c r="X935" s="4"/>
      <c r="Y935" s="4"/>
      <c r="Z935" s="4" t="s">
        <v>46</v>
      </c>
      <c r="AA935" s="4" t="s">
        <v>9119</v>
      </c>
      <c r="AB935" s="4"/>
      <c r="AC935" s="9">
        <v>1</v>
      </c>
      <c r="AD935" t="str">
        <f>VLOOKUP($T935,[1]NhanSu!$C$5:$M$229,11,0)</f>
        <v>SM0000048</v>
      </c>
    </row>
    <row r="936" spans="1:30" x14ac:dyDescent="0.45">
      <c r="A936" s="6" t="s">
        <v>9088</v>
      </c>
      <c r="B936" s="5">
        <v>828</v>
      </c>
      <c r="C936" s="5" t="s">
        <v>9540</v>
      </c>
      <c r="D936" s="5" t="s">
        <v>9541</v>
      </c>
      <c r="E936" s="5" t="s">
        <v>304</v>
      </c>
      <c r="F936" s="5" t="s">
        <v>53</v>
      </c>
      <c r="G936" s="5" t="s">
        <v>34</v>
      </c>
      <c r="H936" s="5" t="s">
        <v>54</v>
      </c>
      <c r="I936" s="5" t="s">
        <v>9542</v>
      </c>
      <c r="J936" s="5" t="s">
        <v>38</v>
      </c>
      <c r="K936" s="5" t="s">
        <v>38</v>
      </c>
      <c r="L936" s="5" t="s">
        <v>40</v>
      </c>
      <c r="M936" s="5" t="s">
        <v>38</v>
      </c>
      <c r="N936" s="5" t="s">
        <v>38</v>
      </c>
      <c r="O936" s="5" t="s">
        <v>40</v>
      </c>
      <c r="P936" s="5" t="s">
        <v>38</v>
      </c>
      <c r="Q936" s="5" t="s">
        <v>38</v>
      </c>
      <c r="R936" s="5" t="s">
        <v>40</v>
      </c>
      <c r="S936" s="5" t="s">
        <v>41</v>
      </c>
      <c r="T936" s="5" t="s">
        <v>9427</v>
      </c>
      <c r="U936" s="5" t="s">
        <v>9148</v>
      </c>
      <c r="V936" s="5" t="s">
        <v>9093</v>
      </c>
      <c r="W936" s="5" t="s">
        <v>9094</v>
      </c>
      <c r="X936" s="5"/>
      <c r="Y936" s="5"/>
      <c r="Z936" s="5" t="s">
        <v>46</v>
      </c>
      <c r="AA936" s="5" t="s">
        <v>9235</v>
      </c>
      <c r="AB936" s="5"/>
      <c r="AC936" s="7">
        <v>1</v>
      </c>
      <c r="AD936" t="str">
        <f>VLOOKUP($T936,[1]NhanSu!$C$5:$M$229,11,0)</f>
        <v>SM0000171</v>
      </c>
    </row>
    <row r="937" spans="1:30" x14ac:dyDescent="0.45">
      <c r="A937" s="8" t="s">
        <v>9088</v>
      </c>
      <c r="B937" s="4">
        <v>839</v>
      </c>
      <c r="C937" s="4" t="s">
        <v>9553</v>
      </c>
      <c r="D937" s="4" t="s">
        <v>9554</v>
      </c>
      <c r="E937" s="4" t="s">
        <v>9555</v>
      </c>
      <c r="F937" s="4" t="s">
        <v>53</v>
      </c>
      <c r="G937" s="4" t="s">
        <v>34</v>
      </c>
      <c r="H937" s="4" t="s">
        <v>507</v>
      </c>
      <c r="I937" s="4" t="s">
        <v>9556</v>
      </c>
      <c r="J937" s="4" t="s">
        <v>38</v>
      </c>
      <c r="K937" s="4" t="s">
        <v>38</v>
      </c>
      <c r="L937" s="4" t="s">
        <v>40</v>
      </c>
      <c r="M937" s="4" t="s">
        <v>38</v>
      </c>
      <c r="N937" s="4" t="s">
        <v>38</v>
      </c>
      <c r="O937" s="4" t="s">
        <v>40</v>
      </c>
      <c r="P937" s="4" t="s">
        <v>38</v>
      </c>
      <c r="Q937" s="4" t="s">
        <v>38</v>
      </c>
      <c r="R937" s="4" t="s">
        <v>40</v>
      </c>
      <c r="S937" s="4" t="s">
        <v>41</v>
      </c>
      <c r="T937" s="4" t="s">
        <v>9099</v>
      </c>
      <c r="U937" s="4" t="s">
        <v>9100</v>
      </c>
      <c r="V937" s="4" t="s">
        <v>9093</v>
      </c>
      <c r="W937" s="4" t="s">
        <v>9101</v>
      </c>
      <c r="X937" s="4"/>
      <c r="Y937" s="4"/>
      <c r="Z937" s="4" t="s">
        <v>46</v>
      </c>
      <c r="AA937" s="4" t="s">
        <v>9119</v>
      </c>
      <c r="AB937" s="4"/>
      <c r="AC937" s="9">
        <v>1</v>
      </c>
      <c r="AD937" t="str">
        <f>VLOOKUP($T937,[1]NhanSu!$C$5:$M$229,11,0)</f>
        <v>SM0000048</v>
      </c>
    </row>
    <row r="938" spans="1:30" x14ac:dyDescent="0.45">
      <c r="A938" s="6" t="s">
        <v>9088</v>
      </c>
      <c r="B938" s="5">
        <v>840</v>
      </c>
      <c r="C938" s="5" t="s">
        <v>9557</v>
      </c>
      <c r="D938" s="5" t="s">
        <v>9558</v>
      </c>
      <c r="E938" s="5" t="s">
        <v>75</v>
      </c>
      <c r="F938" s="5" t="s">
        <v>53</v>
      </c>
      <c r="G938" s="5" t="s">
        <v>34</v>
      </c>
      <c r="H938" s="5" t="s">
        <v>54</v>
      </c>
      <c r="I938" s="5" t="s">
        <v>9559</v>
      </c>
      <c r="J938" s="5" t="s">
        <v>38</v>
      </c>
      <c r="K938" s="5" t="s">
        <v>38</v>
      </c>
      <c r="L938" s="5" t="s">
        <v>40</v>
      </c>
      <c r="M938" s="5" t="s">
        <v>38</v>
      </c>
      <c r="N938" s="5" t="s">
        <v>38</v>
      </c>
      <c r="O938" s="5" t="s">
        <v>40</v>
      </c>
      <c r="P938" s="5" t="s">
        <v>38</v>
      </c>
      <c r="Q938" s="5" t="s">
        <v>38</v>
      </c>
      <c r="R938" s="5" t="s">
        <v>40</v>
      </c>
      <c r="S938" s="5" t="s">
        <v>41</v>
      </c>
      <c r="T938" s="5" t="s">
        <v>9427</v>
      </c>
      <c r="U938" s="5" t="s">
        <v>9469</v>
      </c>
      <c r="V938" s="5" t="s">
        <v>9093</v>
      </c>
      <c r="W938" s="5" t="s">
        <v>9094</v>
      </c>
      <c r="X938" s="5"/>
      <c r="Y938" s="5"/>
      <c r="Z938" s="5" t="s">
        <v>46</v>
      </c>
      <c r="AA938" s="5" t="s">
        <v>9095</v>
      </c>
      <c r="AB938" s="5"/>
      <c r="AC938" s="7">
        <v>1</v>
      </c>
      <c r="AD938" t="str">
        <f>VLOOKUP($T938,[1]NhanSu!$C$5:$M$229,11,0)</f>
        <v>SM0000171</v>
      </c>
    </row>
    <row r="939" spans="1:30" x14ac:dyDescent="0.45">
      <c r="A939" s="8" t="s">
        <v>9088</v>
      </c>
      <c r="B939" s="4">
        <v>843</v>
      </c>
      <c r="C939" s="4" t="s">
        <v>9563</v>
      </c>
      <c r="D939" s="4" t="s">
        <v>9564</v>
      </c>
      <c r="E939" s="4" t="s">
        <v>68</v>
      </c>
      <c r="F939" s="4" t="s">
        <v>884</v>
      </c>
      <c r="G939" s="4" t="s">
        <v>34</v>
      </c>
      <c r="H939" s="4" t="s">
        <v>319</v>
      </c>
      <c r="I939" s="4" t="s">
        <v>9565</v>
      </c>
      <c r="J939" s="4" t="s">
        <v>38</v>
      </c>
      <c r="K939" s="4" t="s">
        <v>38</v>
      </c>
      <c r="L939" s="4" t="s">
        <v>40</v>
      </c>
      <c r="M939" s="4" t="s">
        <v>38</v>
      </c>
      <c r="N939" s="4" t="s">
        <v>38</v>
      </c>
      <c r="O939" s="4" t="s">
        <v>40</v>
      </c>
      <c r="P939" s="4" t="s">
        <v>38</v>
      </c>
      <c r="Q939" s="4" t="s">
        <v>38</v>
      </c>
      <c r="R939" s="4" t="s">
        <v>40</v>
      </c>
      <c r="S939" s="4" t="s">
        <v>41</v>
      </c>
      <c r="T939" s="4" t="s">
        <v>9427</v>
      </c>
      <c r="U939" s="4" t="s">
        <v>9148</v>
      </c>
      <c r="V939" s="4" t="s">
        <v>9093</v>
      </c>
      <c r="W939" s="4" t="s">
        <v>9094</v>
      </c>
      <c r="X939" s="4"/>
      <c r="Y939" s="4"/>
      <c r="Z939" s="4" t="s">
        <v>46</v>
      </c>
      <c r="AA939" s="4" t="s">
        <v>9235</v>
      </c>
      <c r="AB939" s="4"/>
      <c r="AC939" s="9">
        <v>1</v>
      </c>
      <c r="AD939" t="str">
        <f>VLOOKUP($T939,[1]NhanSu!$C$5:$M$229,11,0)</f>
        <v>SM0000171</v>
      </c>
    </row>
    <row r="940" spans="1:30" x14ac:dyDescent="0.45">
      <c r="A940" s="6" t="s">
        <v>9088</v>
      </c>
      <c r="B940" s="5">
        <v>845</v>
      </c>
      <c r="C940" s="5" t="s">
        <v>9569</v>
      </c>
      <c r="D940" s="5" t="s">
        <v>9570</v>
      </c>
      <c r="E940" s="5" t="s">
        <v>9571</v>
      </c>
      <c r="F940" s="5" t="s">
        <v>53</v>
      </c>
      <c r="G940" s="5" t="s">
        <v>34</v>
      </c>
      <c r="H940" s="5" t="s">
        <v>54</v>
      </c>
      <c r="I940" s="5" t="s">
        <v>9572</v>
      </c>
      <c r="J940" s="5" t="s">
        <v>38</v>
      </c>
      <c r="K940" s="5" t="s">
        <v>38</v>
      </c>
      <c r="L940" s="5" t="s">
        <v>40</v>
      </c>
      <c r="M940" s="5" t="s">
        <v>38</v>
      </c>
      <c r="N940" s="5" t="s">
        <v>38</v>
      </c>
      <c r="O940" s="5" t="s">
        <v>40</v>
      </c>
      <c r="P940" s="5" t="s">
        <v>38</v>
      </c>
      <c r="Q940" s="5" t="s">
        <v>38</v>
      </c>
      <c r="R940" s="5" t="s">
        <v>40</v>
      </c>
      <c r="S940" s="5" t="s">
        <v>41</v>
      </c>
      <c r="T940" s="5" t="s">
        <v>9427</v>
      </c>
      <c r="U940" s="5" t="s">
        <v>9148</v>
      </c>
      <c r="V940" s="5" t="s">
        <v>9093</v>
      </c>
      <c r="W940" s="5" t="s">
        <v>9094</v>
      </c>
      <c r="X940" s="5"/>
      <c r="Y940" s="5"/>
      <c r="Z940" s="5" t="s">
        <v>46</v>
      </c>
      <c r="AA940" s="5" t="s">
        <v>9235</v>
      </c>
      <c r="AB940" s="5"/>
      <c r="AC940" s="7">
        <v>1</v>
      </c>
      <c r="AD940" t="str">
        <f>VLOOKUP($T940,[1]NhanSu!$C$5:$M$229,11,0)</f>
        <v>SM0000171</v>
      </c>
    </row>
    <row r="941" spans="1:30" x14ac:dyDescent="0.45">
      <c r="A941" s="8" t="s">
        <v>9088</v>
      </c>
      <c r="B941" s="4">
        <v>853</v>
      </c>
      <c r="C941" s="4" t="s">
        <v>9581</v>
      </c>
      <c r="D941" s="4" t="s">
        <v>9582</v>
      </c>
      <c r="E941" s="4" t="s">
        <v>9583</v>
      </c>
      <c r="F941" s="4" t="s">
        <v>930</v>
      </c>
      <c r="G941" s="4" t="s">
        <v>34</v>
      </c>
      <c r="H941" s="4" t="s">
        <v>54</v>
      </c>
      <c r="I941" s="4" t="s">
        <v>9584</v>
      </c>
      <c r="J941" s="4" t="s">
        <v>38</v>
      </c>
      <c r="K941" s="4" t="s">
        <v>38</v>
      </c>
      <c r="L941" s="4" t="s">
        <v>40</v>
      </c>
      <c r="M941" s="4" t="s">
        <v>38</v>
      </c>
      <c r="N941" s="4" t="s">
        <v>38</v>
      </c>
      <c r="O941" s="4" t="s">
        <v>40</v>
      </c>
      <c r="P941" s="4" t="s">
        <v>38</v>
      </c>
      <c r="Q941" s="4" t="s">
        <v>38</v>
      </c>
      <c r="R941" s="4" t="s">
        <v>40</v>
      </c>
      <c r="S941" s="4" t="s">
        <v>41</v>
      </c>
      <c r="T941" s="4" t="s">
        <v>9427</v>
      </c>
      <c r="U941" s="4" t="s">
        <v>9148</v>
      </c>
      <c r="V941" s="4" t="s">
        <v>9093</v>
      </c>
      <c r="W941" s="4" t="s">
        <v>9094</v>
      </c>
      <c r="X941" s="4"/>
      <c r="Y941" s="4"/>
      <c r="Z941" s="4" t="s">
        <v>46</v>
      </c>
      <c r="AA941" s="4" t="s">
        <v>9235</v>
      </c>
      <c r="AB941" s="4"/>
      <c r="AC941" s="9">
        <v>1</v>
      </c>
      <c r="AD941" t="str">
        <f>VLOOKUP($T941,[1]NhanSu!$C$5:$M$229,11,0)</f>
        <v>SM0000171</v>
      </c>
    </row>
    <row r="942" spans="1:30" x14ac:dyDescent="0.45">
      <c r="A942" s="6" t="s">
        <v>9088</v>
      </c>
      <c r="B942" s="5">
        <v>865</v>
      </c>
      <c r="C942" s="5" t="s">
        <v>9585</v>
      </c>
      <c r="D942" s="5" t="s">
        <v>9586</v>
      </c>
      <c r="E942" s="5" t="s">
        <v>304</v>
      </c>
      <c r="F942" s="5" t="s">
        <v>53</v>
      </c>
      <c r="G942" s="5" t="s">
        <v>34</v>
      </c>
      <c r="H942" s="5" t="s">
        <v>54</v>
      </c>
      <c r="I942" s="5" t="s">
        <v>9587</v>
      </c>
      <c r="J942" s="5" t="s">
        <v>38</v>
      </c>
      <c r="K942" s="5" t="s">
        <v>38</v>
      </c>
      <c r="L942" s="5" t="s">
        <v>40</v>
      </c>
      <c r="M942" s="5" t="s">
        <v>38</v>
      </c>
      <c r="N942" s="5" t="s">
        <v>38</v>
      </c>
      <c r="O942" s="5" t="s">
        <v>40</v>
      </c>
      <c r="P942" s="5" t="s">
        <v>38</v>
      </c>
      <c r="Q942" s="5" t="s">
        <v>38</v>
      </c>
      <c r="R942" s="5" t="s">
        <v>40</v>
      </c>
      <c r="S942" s="5" t="s">
        <v>41</v>
      </c>
      <c r="T942" s="5" t="s">
        <v>9427</v>
      </c>
      <c r="U942" s="5" t="s">
        <v>9148</v>
      </c>
      <c r="V942" s="5" t="s">
        <v>9093</v>
      </c>
      <c r="W942" s="5" t="s">
        <v>9094</v>
      </c>
      <c r="X942" s="5"/>
      <c r="Y942" s="5"/>
      <c r="Z942" s="5" t="s">
        <v>46</v>
      </c>
      <c r="AA942" s="5" t="s">
        <v>9235</v>
      </c>
      <c r="AB942" s="5"/>
      <c r="AC942" s="7">
        <v>1</v>
      </c>
      <c r="AD942" t="str">
        <f>VLOOKUP($T942,[1]NhanSu!$C$5:$M$229,11,0)</f>
        <v>SM0000171</v>
      </c>
    </row>
    <row r="943" spans="1:30" x14ac:dyDescent="0.45">
      <c r="A943" s="8" t="s">
        <v>9088</v>
      </c>
      <c r="B943" s="4">
        <v>866</v>
      </c>
      <c r="C943" s="4" t="s">
        <v>9588</v>
      </c>
      <c r="D943" s="4" t="s">
        <v>9589</v>
      </c>
      <c r="E943" s="4" t="s">
        <v>1043</v>
      </c>
      <c r="F943" s="4" t="s">
        <v>339</v>
      </c>
      <c r="G943" s="4" t="s">
        <v>34</v>
      </c>
      <c r="H943" s="4" t="s">
        <v>1199</v>
      </c>
      <c r="I943" s="4" t="s">
        <v>9590</v>
      </c>
      <c r="J943" s="4" t="s">
        <v>38</v>
      </c>
      <c r="K943" s="4" t="s">
        <v>38</v>
      </c>
      <c r="L943" s="4" t="s">
        <v>40</v>
      </c>
      <c r="M943" s="4" t="s">
        <v>38</v>
      </c>
      <c r="N943" s="4" t="s">
        <v>38</v>
      </c>
      <c r="O943" s="4" t="s">
        <v>40</v>
      </c>
      <c r="P943" s="4" t="s">
        <v>38</v>
      </c>
      <c r="Q943" s="4" t="s">
        <v>38</v>
      </c>
      <c r="R943" s="4" t="s">
        <v>40</v>
      </c>
      <c r="S943" s="4" t="s">
        <v>41</v>
      </c>
      <c r="T943" s="4" t="s">
        <v>9427</v>
      </c>
      <c r="U943" s="4" t="s">
        <v>9148</v>
      </c>
      <c r="V943" s="4" t="s">
        <v>9093</v>
      </c>
      <c r="W943" s="4" t="s">
        <v>9094</v>
      </c>
      <c r="X943" s="4"/>
      <c r="Y943" s="4"/>
      <c r="Z943" s="4" t="s">
        <v>46</v>
      </c>
      <c r="AA943" s="4" t="s">
        <v>9235</v>
      </c>
      <c r="AB943" s="4"/>
      <c r="AC943" s="9">
        <v>1</v>
      </c>
      <c r="AD943" t="str">
        <f>VLOOKUP($T943,[1]NhanSu!$C$5:$M$229,11,0)</f>
        <v>SM0000171</v>
      </c>
    </row>
    <row r="944" spans="1:30" x14ac:dyDescent="0.45">
      <c r="A944" s="6" t="s">
        <v>9088</v>
      </c>
      <c r="B944" s="5">
        <v>867</v>
      </c>
      <c r="C944" s="5" t="s">
        <v>9591</v>
      </c>
      <c r="D944" s="5" t="s">
        <v>9592</v>
      </c>
      <c r="E944" s="5" t="s">
        <v>9593</v>
      </c>
      <c r="F944" s="5" t="s">
        <v>53</v>
      </c>
      <c r="G944" s="5" t="s">
        <v>34</v>
      </c>
      <c r="H944" s="5" t="s">
        <v>54</v>
      </c>
      <c r="I944" s="5" t="s">
        <v>9594</v>
      </c>
      <c r="J944" s="5" t="s">
        <v>38</v>
      </c>
      <c r="K944" s="5" t="s">
        <v>38</v>
      </c>
      <c r="L944" s="5" t="s">
        <v>40</v>
      </c>
      <c r="M944" s="5" t="s">
        <v>38</v>
      </c>
      <c r="N944" s="5" t="s">
        <v>38</v>
      </c>
      <c r="O944" s="5" t="s">
        <v>40</v>
      </c>
      <c r="P944" s="5" t="s">
        <v>38</v>
      </c>
      <c r="Q944" s="5" t="s">
        <v>38</v>
      </c>
      <c r="R944" s="5" t="s">
        <v>40</v>
      </c>
      <c r="S944" s="5" t="s">
        <v>41</v>
      </c>
      <c r="T944" s="5" t="s">
        <v>9427</v>
      </c>
      <c r="U944" s="5" t="s">
        <v>9148</v>
      </c>
      <c r="V944" s="5" t="s">
        <v>9093</v>
      </c>
      <c r="W944" s="5" t="s">
        <v>9094</v>
      </c>
      <c r="X944" s="5"/>
      <c r="Y944" s="5"/>
      <c r="Z944" s="5" t="s">
        <v>46</v>
      </c>
      <c r="AA944" s="5" t="s">
        <v>9235</v>
      </c>
      <c r="AB944" s="5"/>
      <c r="AC944" s="7">
        <v>1</v>
      </c>
      <c r="AD944" t="str">
        <f>VLOOKUP($T944,[1]NhanSu!$C$5:$M$229,11,0)</f>
        <v>SM0000171</v>
      </c>
    </row>
    <row r="945" spans="1:30" x14ac:dyDescent="0.45">
      <c r="A945" s="8" t="s">
        <v>9088</v>
      </c>
      <c r="B945" s="4">
        <v>906</v>
      </c>
      <c r="C945" s="4" t="s">
        <v>9599</v>
      </c>
      <c r="D945" s="4" t="s">
        <v>9600</v>
      </c>
      <c r="E945" s="4" t="s">
        <v>9601</v>
      </c>
      <c r="F945" s="4" t="s">
        <v>426</v>
      </c>
      <c r="G945" s="4" t="s">
        <v>34</v>
      </c>
      <c r="H945" s="4" t="s">
        <v>54</v>
      </c>
      <c r="I945" s="4" t="s">
        <v>6675</v>
      </c>
      <c r="J945" s="4" t="s">
        <v>38</v>
      </c>
      <c r="K945" s="4" t="s">
        <v>38</v>
      </c>
      <c r="L945" s="4" t="s">
        <v>40</v>
      </c>
      <c r="M945" s="4" t="s">
        <v>38</v>
      </c>
      <c r="N945" s="4" t="s">
        <v>38</v>
      </c>
      <c r="O945" s="4" t="s">
        <v>40</v>
      </c>
      <c r="P945" s="4" t="s">
        <v>38</v>
      </c>
      <c r="Q945" s="4" t="s">
        <v>38</v>
      </c>
      <c r="R945" s="4" t="s">
        <v>40</v>
      </c>
      <c r="S945" s="4" t="s">
        <v>4197</v>
      </c>
      <c r="T945" s="4" t="s">
        <v>9427</v>
      </c>
      <c r="U945" s="4" t="s">
        <v>9148</v>
      </c>
      <c r="V945" s="4" t="s">
        <v>9093</v>
      </c>
      <c r="W945" s="4" t="s">
        <v>9094</v>
      </c>
      <c r="X945" s="4"/>
      <c r="Y945" s="4"/>
      <c r="Z945" s="4" t="s">
        <v>46</v>
      </c>
      <c r="AA945" s="4" t="s">
        <v>9235</v>
      </c>
      <c r="AB945" s="4"/>
      <c r="AC945" s="9">
        <v>1</v>
      </c>
      <c r="AD945" t="str">
        <f>VLOOKUP($T945,[1]NhanSu!$C$5:$M$229,11,0)</f>
        <v>SM0000171</v>
      </c>
    </row>
    <row r="946" spans="1:30" x14ac:dyDescent="0.45">
      <c r="A946" s="6" t="s">
        <v>9088</v>
      </c>
      <c r="B946" s="5">
        <v>916</v>
      </c>
      <c r="C946" s="5" t="s">
        <v>9605</v>
      </c>
      <c r="D946" s="5" t="s">
        <v>9606</v>
      </c>
      <c r="E946" s="5" t="s">
        <v>9607</v>
      </c>
      <c r="F946" s="5" t="s">
        <v>325</v>
      </c>
      <c r="G946" s="5" t="s">
        <v>34</v>
      </c>
      <c r="H946" s="5" t="s">
        <v>214</v>
      </c>
      <c r="I946" s="5" t="s">
        <v>9224</v>
      </c>
      <c r="J946" s="5" t="s">
        <v>38</v>
      </c>
      <c r="K946" s="5" t="s">
        <v>38</v>
      </c>
      <c r="L946" s="5" t="s">
        <v>39</v>
      </c>
      <c r="M946" s="5" t="s">
        <v>37</v>
      </c>
      <c r="N946" s="5" t="s">
        <v>37</v>
      </c>
      <c r="O946" s="5" t="s">
        <v>39</v>
      </c>
      <c r="P946" s="5" t="s">
        <v>38</v>
      </c>
      <c r="Q946" s="5" t="s">
        <v>38</v>
      </c>
      <c r="R946" s="5" t="s">
        <v>39</v>
      </c>
      <c r="S946" s="5" t="s">
        <v>41</v>
      </c>
      <c r="T946" s="5" t="s">
        <v>9225</v>
      </c>
      <c r="U946" s="5" t="s">
        <v>9226</v>
      </c>
      <c r="V946" s="5" t="s">
        <v>9093</v>
      </c>
      <c r="W946" s="5" t="s">
        <v>9227</v>
      </c>
      <c r="X946" s="5"/>
      <c r="Y946" s="5"/>
      <c r="Z946" s="5" t="s">
        <v>46</v>
      </c>
      <c r="AA946" s="5" t="s">
        <v>9235</v>
      </c>
      <c r="AB946" s="5"/>
      <c r="AC946" s="7">
        <v>1</v>
      </c>
      <c r="AD946" t="str">
        <f>VLOOKUP($T946,[1]NhanSu!$C$5:$M$229,11,0)</f>
        <v>SM0000042</v>
      </c>
    </row>
    <row r="947" spans="1:30" x14ac:dyDescent="0.45">
      <c r="A947" s="8" t="s">
        <v>9088</v>
      </c>
      <c r="B947" s="4">
        <v>927</v>
      </c>
      <c r="C947" s="4" t="s">
        <v>9608</v>
      </c>
      <c r="D947" s="4" t="s">
        <v>9609</v>
      </c>
      <c r="E947" s="4" t="s">
        <v>9610</v>
      </c>
      <c r="F947" s="4" t="s">
        <v>53</v>
      </c>
      <c r="G947" s="4" t="s">
        <v>34</v>
      </c>
      <c r="H947" s="4" t="s">
        <v>54</v>
      </c>
      <c r="I947" s="4" t="s">
        <v>9611</v>
      </c>
      <c r="J947" s="4" t="s">
        <v>38</v>
      </c>
      <c r="K947" s="4" t="s">
        <v>38</v>
      </c>
      <c r="L947" s="4" t="s">
        <v>40</v>
      </c>
      <c r="M947" s="4" t="s">
        <v>38</v>
      </c>
      <c r="N947" s="4" t="s">
        <v>38</v>
      </c>
      <c r="O947" s="4" t="s">
        <v>40</v>
      </c>
      <c r="P947" s="4" t="s">
        <v>38</v>
      </c>
      <c r="Q947" s="4" t="s">
        <v>38</v>
      </c>
      <c r="R947" s="4" t="s">
        <v>40</v>
      </c>
      <c r="S947" s="4" t="s">
        <v>4197</v>
      </c>
      <c r="T947" s="4" t="s">
        <v>9427</v>
      </c>
      <c r="U947" s="4" t="s">
        <v>9469</v>
      </c>
      <c r="V947" s="4" t="s">
        <v>9093</v>
      </c>
      <c r="W947" s="4" t="s">
        <v>9094</v>
      </c>
      <c r="X947" s="4"/>
      <c r="Y947" s="4"/>
      <c r="Z947" s="4" t="s">
        <v>46</v>
      </c>
      <c r="AA947" s="4" t="s">
        <v>9235</v>
      </c>
      <c r="AB947" s="4"/>
      <c r="AC947" s="9">
        <v>1</v>
      </c>
      <c r="AD947" t="str">
        <f>VLOOKUP($T947,[1]NhanSu!$C$5:$M$229,11,0)</f>
        <v>SM0000171</v>
      </c>
    </row>
    <row r="948" spans="1:30" x14ac:dyDescent="0.45">
      <c r="A948" s="6" t="s">
        <v>9088</v>
      </c>
      <c r="B948" s="5">
        <v>928</v>
      </c>
      <c r="C948" s="5" t="s">
        <v>9612</v>
      </c>
      <c r="D948" s="5" t="s">
        <v>9613</v>
      </c>
      <c r="E948" s="5" t="s">
        <v>9614</v>
      </c>
      <c r="F948" s="5" t="s">
        <v>325</v>
      </c>
      <c r="G948" s="5" t="s">
        <v>34</v>
      </c>
      <c r="H948" s="5" t="s">
        <v>214</v>
      </c>
      <c r="I948" s="5" t="s">
        <v>9224</v>
      </c>
      <c r="J948" s="5" t="s">
        <v>38</v>
      </c>
      <c r="K948" s="5" t="s">
        <v>38</v>
      </c>
      <c r="L948" s="5" t="s">
        <v>39</v>
      </c>
      <c r="M948" s="5" t="s">
        <v>37</v>
      </c>
      <c r="N948" s="5" t="s">
        <v>37</v>
      </c>
      <c r="O948" s="5" t="s">
        <v>39</v>
      </c>
      <c r="P948" s="5" t="s">
        <v>38</v>
      </c>
      <c r="Q948" s="5" t="s">
        <v>38</v>
      </c>
      <c r="R948" s="5" t="s">
        <v>39</v>
      </c>
      <c r="S948" s="5" t="s">
        <v>41</v>
      </c>
      <c r="T948" s="5" t="s">
        <v>9225</v>
      </c>
      <c r="U948" s="5" t="s">
        <v>9226</v>
      </c>
      <c r="V948" s="5" t="s">
        <v>9093</v>
      </c>
      <c r="W948" s="5" t="s">
        <v>9227</v>
      </c>
      <c r="X948" s="5"/>
      <c r="Y948" s="5"/>
      <c r="Z948" s="5" t="s">
        <v>46</v>
      </c>
      <c r="AA948" s="5" t="s">
        <v>9095</v>
      </c>
      <c r="AB948" s="5"/>
      <c r="AC948" s="7">
        <v>1</v>
      </c>
      <c r="AD948" t="str">
        <f>VLOOKUP($T948,[1]NhanSu!$C$5:$M$229,11,0)</f>
        <v>SM0000042</v>
      </c>
    </row>
    <row r="949" spans="1:30" x14ac:dyDescent="0.45">
      <c r="A949" s="8" t="s">
        <v>9088</v>
      </c>
      <c r="B949" s="4">
        <v>932</v>
      </c>
      <c r="C949" s="4" t="s">
        <v>9615</v>
      </c>
      <c r="D949" s="4" t="s">
        <v>9616</v>
      </c>
      <c r="E949" s="4" t="s">
        <v>9571</v>
      </c>
      <c r="F949" s="4" t="s">
        <v>53</v>
      </c>
      <c r="G949" s="4" t="s">
        <v>34</v>
      </c>
      <c r="H949" s="4" t="s">
        <v>54</v>
      </c>
      <c r="I949" s="4" t="s">
        <v>9618</v>
      </c>
      <c r="J949" s="4" t="s">
        <v>38</v>
      </c>
      <c r="K949" s="4" t="s">
        <v>38</v>
      </c>
      <c r="L949" s="4" t="s">
        <v>40</v>
      </c>
      <c r="M949" s="4" t="s">
        <v>38</v>
      </c>
      <c r="N949" s="4" t="s">
        <v>38</v>
      </c>
      <c r="O949" s="4" t="s">
        <v>40</v>
      </c>
      <c r="P949" s="4" t="s">
        <v>38</v>
      </c>
      <c r="Q949" s="4" t="s">
        <v>38</v>
      </c>
      <c r="R949" s="4" t="s">
        <v>40</v>
      </c>
      <c r="S949" s="4" t="s">
        <v>9619</v>
      </c>
      <c r="T949" s="4" t="s">
        <v>9427</v>
      </c>
      <c r="U949" s="4" t="s">
        <v>9148</v>
      </c>
      <c r="V949" s="4" t="s">
        <v>9093</v>
      </c>
      <c r="W949" s="4" t="s">
        <v>9094</v>
      </c>
      <c r="X949" s="4"/>
      <c r="Y949" s="4"/>
      <c r="Z949" s="4" t="s">
        <v>46</v>
      </c>
      <c r="AA949" s="4" t="s">
        <v>9235</v>
      </c>
      <c r="AB949" s="4"/>
      <c r="AC949" s="9">
        <v>1</v>
      </c>
      <c r="AD949" t="str">
        <f>VLOOKUP($T949,[1]NhanSu!$C$5:$M$229,11,0)</f>
        <v>SM0000171</v>
      </c>
    </row>
    <row r="950" spans="1:30" x14ac:dyDescent="0.45">
      <c r="A950" s="6" t="s">
        <v>9088</v>
      </c>
      <c r="B950" s="5">
        <v>934</v>
      </c>
      <c r="C950" s="5" t="s">
        <v>9620</v>
      </c>
      <c r="D950" s="5" t="s">
        <v>9621</v>
      </c>
      <c r="E950" s="5" t="s">
        <v>9622</v>
      </c>
      <c r="F950" s="5" t="s">
        <v>115</v>
      </c>
      <c r="G950" s="5" t="s">
        <v>34</v>
      </c>
      <c r="H950" s="5" t="s">
        <v>54</v>
      </c>
      <c r="I950" s="5" t="s">
        <v>9623</v>
      </c>
      <c r="J950" s="5" t="s">
        <v>38</v>
      </c>
      <c r="K950" s="5" t="s">
        <v>38</v>
      </c>
      <c r="L950" s="5" t="s">
        <v>40</v>
      </c>
      <c r="M950" s="5" t="s">
        <v>38</v>
      </c>
      <c r="N950" s="5" t="s">
        <v>38</v>
      </c>
      <c r="O950" s="5" t="s">
        <v>40</v>
      </c>
      <c r="P950" s="5" t="s">
        <v>38</v>
      </c>
      <c r="Q950" s="5" t="s">
        <v>38</v>
      </c>
      <c r="R950" s="5" t="s">
        <v>40</v>
      </c>
      <c r="S950" s="5" t="s">
        <v>4197</v>
      </c>
      <c r="T950" s="5" t="s">
        <v>9427</v>
      </c>
      <c r="U950" s="5" t="s">
        <v>9148</v>
      </c>
      <c r="V950" s="5" t="s">
        <v>9093</v>
      </c>
      <c r="W950" s="5" t="s">
        <v>9094</v>
      </c>
      <c r="X950" s="5"/>
      <c r="Y950" s="5"/>
      <c r="Z950" s="5" t="s">
        <v>46</v>
      </c>
      <c r="AA950" s="5" t="s">
        <v>9235</v>
      </c>
      <c r="AB950" s="5"/>
      <c r="AC950" s="7">
        <v>1</v>
      </c>
      <c r="AD950" t="str">
        <f>VLOOKUP($T950,[1]NhanSu!$C$5:$M$229,11,0)</f>
        <v>SM0000171</v>
      </c>
    </row>
    <row r="951" spans="1:30" x14ac:dyDescent="0.45">
      <c r="A951" s="8" t="s">
        <v>9088</v>
      </c>
      <c r="B951" s="4">
        <v>938</v>
      </c>
      <c r="C951" s="4" t="s">
        <v>9624</v>
      </c>
      <c r="D951" s="4" t="s">
        <v>9625</v>
      </c>
      <c r="E951" s="4" t="s">
        <v>9626</v>
      </c>
      <c r="F951" s="4" t="s">
        <v>115</v>
      </c>
      <c r="G951" s="4" t="s">
        <v>34</v>
      </c>
      <c r="H951" s="4" t="s">
        <v>171</v>
      </c>
      <c r="I951" s="4" t="s">
        <v>2049</v>
      </c>
      <c r="J951" s="4" t="s">
        <v>38</v>
      </c>
      <c r="K951" s="4" t="s">
        <v>38</v>
      </c>
      <c r="L951" s="4" t="s">
        <v>40</v>
      </c>
      <c r="M951" s="4" t="s">
        <v>38</v>
      </c>
      <c r="N951" s="4" t="s">
        <v>38</v>
      </c>
      <c r="O951" s="4" t="s">
        <v>40</v>
      </c>
      <c r="P951" s="4" t="s">
        <v>38</v>
      </c>
      <c r="Q951" s="4" t="s">
        <v>38</v>
      </c>
      <c r="R951" s="4" t="s">
        <v>40</v>
      </c>
      <c r="S951" s="4" t="s">
        <v>41</v>
      </c>
      <c r="T951" s="4" t="s">
        <v>9099</v>
      </c>
      <c r="U951" s="4" t="s">
        <v>9100</v>
      </c>
      <c r="V951" s="4" t="s">
        <v>9093</v>
      </c>
      <c r="W951" s="4" t="s">
        <v>9101</v>
      </c>
      <c r="X951" s="4"/>
      <c r="Y951" s="4"/>
      <c r="Z951" s="4" t="s">
        <v>46</v>
      </c>
      <c r="AA951" s="4" t="s">
        <v>9119</v>
      </c>
      <c r="AB951" s="4"/>
      <c r="AC951" s="9">
        <v>1</v>
      </c>
      <c r="AD951" t="str">
        <f>VLOOKUP($T951,[1]NhanSu!$C$5:$M$229,11,0)</f>
        <v>SM0000048</v>
      </c>
    </row>
    <row r="952" spans="1:30" x14ac:dyDescent="0.45">
      <c r="A952" s="6" t="s">
        <v>9088</v>
      </c>
      <c r="B952" s="5">
        <v>943</v>
      </c>
      <c r="C952" s="5" t="s">
        <v>9627</v>
      </c>
      <c r="D952" s="5" t="s">
        <v>9628</v>
      </c>
      <c r="E952" s="5" t="s">
        <v>9256</v>
      </c>
      <c r="F952" s="5" t="s">
        <v>53</v>
      </c>
      <c r="G952" s="5" t="s">
        <v>34</v>
      </c>
      <c r="H952" s="5" t="s">
        <v>54</v>
      </c>
      <c r="I952" s="5" t="s">
        <v>9629</v>
      </c>
      <c r="J952" s="5" t="s">
        <v>38</v>
      </c>
      <c r="K952" s="5" t="s">
        <v>38</v>
      </c>
      <c r="L952" s="5" t="s">
        <v>40</v>
      </c>
      <c r="M952" s="5" t="s">
        <v>38</v>
      </c>
      <c r="N952" s="5" t="s">
        <v>38</v>
      </c>
      <c r="O952" s="5" t="s">
        <v>40</v>
      </c>
      <c r="P952" s="5" t="s">
        <v>38</v>
      </c>
      <c r="Q952" s="5" t="s">
        <v>38</v>
      </c>
      <c r="R952" s="5" t="s">
        <v>40</v>
      </c>
      <c r="S952" s="5" t="s">
        <v>4197</v>
      </c>
      <c r="T952" s="5" t="s">
        <v>9427</v>
      </c>
      <c r="U952" s="5" t="s">
        <v>9148</v>
      </c>
      <c r="V952" s="5" t="s">
        <v>9093</v>
      </c>
      <c r="W952" s="5" t="s">
        <v>9094</v>
      </c>
      <c r="X952" s="5"/>
      <c r="Y952" s="5"/>
      <c r="Z952" s="5" t="s">
        <v>46</v>
      </c>
      <c r="AA952" s="5" t="s">
        <v>9235</v>
      </c>
      <c r="AB952" s="5"/>
      <c r="AC952" s="7">
        <v>1</v>
      </c>
      <c r="AD952" t="str">
        <f>VLOOKUP($T952,[1]NhanSu!$C$5:$M$229,11,0)</f>
        <v>SM0000171</v>
      </c>
    </row>
    <row r="953" spans="1:30" x14ac:dyDescent="0.45">
      <c r="A953" s="8" t="s">
        <v>9088</v>
      </c>
      <c r="B953" s="4">
        <v>958</v>
      </c>
      <c r="C953" s="4" t="s">
        <v>9630</v>
      </c>
      <c r="D953" s="4" t="s">
        <v>9631</v>
      </c>
      <c r="E953" s="4" t="s">
        <v>9632</v>
      </c>
      <c r="F953" s="4" t="s">
        <v>9361</v>
      </c>
      <c r="G953" s="4" t="s">
        <v>34</v>
      </c>
      <c r="H953" s="4" t="s">
        <v>54</v>
      </c>
      <c r="I953" s="4" t="s">
        <v>9633</v>
      </c>
      <c r="J953" s="4" t="s">
        <v>38</v>
      </c>
      <c r="K953" s="4" t="s">
        <v>38</v>
      </c>
      <c r="L953" s="4" t="s">
        <v>40</v>
      </c>
      <c r="M953" s="4" t="s">
        <v>38</v>
      </c>
      <c r="N953" s="4" t="s">
        <v>38</v>
      </c>
      <c r="O953" s="4" t="s">
        <v>40</v>
      </c>
      <c r="P953" s="4" t="s">
        <v>38</v>
      </c>
      <c r="Q953" s="4" t="s">
        <v>38</v>
      </c>
      <c r="R953" s="4" t="s">
        <v>40</v>
      </c>
      <c r="S953" s="4" t="s">
        <v>4197</v>
      </c>
      <c r="T953" s="4" t="s">
        <v>9427</v>
      </c>
      <c r="U953" s="4" t="s">
        <v>9469</v>
      </c>
      <c r="V953" s="4" t="s">
        <v>9093</v>
      </c>
      <c r="W953" s="4" t="s">
        <v>9094</v>
      </c>
      <c r="X953" s="4"/>
      <c r="Y953" s="4"/>
      <c r="Z953" s="4" t="s">
        <v>46</v>
      </c>
      <c r="AA953" s="4" t="s">
        <v>9235</v>
      </c>
      <c r="AB953" s="4"/>
      <c r="AC953" s="9">
        <v>1</v>
      </c>
      <c r="AD953" t="str">
        <f>VLOOKUP($T953,[1]NhanSu!$C$5:$M$229,11,0)</f>
        <v>SM0000171</v>
      </c>
    </row>
    <row r="954" spans="1:30" x14ac:dyDescent="0.45">
      <c r="A954" s="6" t="s">
        <v>9088</v>
      </c>
      <c r="B954" s="5">
        <v>982</v>
      </c>
      <c r="C954" s="5" t="s">
        <v>9634</v>
      </c>
      <c r="D954" s="5" t="s">
        <v>9635</v>
      </c>
      <c r="E954" s="5" t="s">
        <v>9636</v>
      </c>
      <c r="F954" s="5" t="s">
        <v>9637</v>
      </c>
      <c r="G954" s="5" t="s">
        <v>34</v>
      </c>
      <c r="H954" s="5" t="s">
        <v>863</v>
      </c>
      <c r="I954" s="5" t="s">
        <v>9638</v>
      </c>
      <c r="J954" s="5" t="s">
        <v>38</v>
      </c>
      <c r="K954" s="5" t="s">
        <v>38</v>
      </c>
      <c r="L954" s="5" t="s">
        <v>39</v>
      </c>
      <c r="M954" s="5" t="s">
        <v>37</v>
      </c>
      <c r="N954" s="5" t="s">
        <v>37</v>
      </c>
      <c r="O954" s="5" t="s">
        <v>39</v>
      </c>
      <c r="P954" s="5" t="s">
        <v>38</v>
      </c>
      <c r="Q954" s="5" t="s">
        <v>37</v>
      </c>
      <c r="R954" s="5" t="s">
        <v>39</v>
      </c>
      <c r="S954" s="5" t="s">
        <v>41</v>
      </c>
      <c r="T954" s="5" t="s">
        <v>9312</v>
      </c>
      <c r="U954" s="5" t="s">
        <v>9313</v>
      </c>
      <c r="V954" s="5" t="s">
        <v>9093</v>
      </c>
      <c r="W954" s="5" t="s">
        <v>9131</v>
      </c>
      <c r="X954" s="5"/>
      <c r="Y954" s="5"/>
      <c r="Z954" s="5" t="s">
        <v>46</v>
      </c>
      <c r="AA954" s="5" t="s">
        <v>9160</v>
      </c>
      <c r="AB954" s="5"/>
      <c r="AC954" s="7">
        <v>1</v>
      </c>
      <c r="AD954" t="str">
        <f>VLOOKUP($T954,[1]NhanSu!$C$5:$M$229,11,0)</f>
        <v>SM0000039</v>
      </c>
    </row>
    <row r="955" spans="1:30" x14ac:dyDescent="0.45">
      <c r="A955" s="8" t="s">
        <v>9088</v>
      </c>
      <c r="B955" s="4">
        <v>998</v>
      </c>
      <c r="C955" s="4" t="s">
        <v>9642</v>
      </c>
      <c r="D955" s="4" t="s">
        <v>9643</v>
      </c>
      <c r="E955" s="4" t="s">
        <v>157</v>
      </c>
      <c r="F955" s="4" t="s">
        <v>53</v>
      </c>
      <c r="G955" s="4" t="s">
        <v>177</v>
      </c>
      <c r="H955" s="4" t="s">
        <v>8400</v>
      </c>
      <c r="I955" s="4" t="s">
        <v>9434</v>
      </c>
      <c r="J955" s="4" t="s">
        <v>38</v>
      </c>
      <c r="K955" s="4" t="s">
        <v>38</v>
      </c>
      <c r="L955" s="4" t="s">
        <v>40</v>
      </c>
      <c r="M955" s="4" t="s">
        <v>37</v>
      </c>
      <c r="N955" s="4" t="s">
        <v>37</v>
      </c>
      <c r="O955" s="4" t="s">
        <v>39</v>
      </c>
      <c r="P955" s="4" t="s">
        <v>38</v>
      </c>
      <c r="Q955" s="4" t="s">
        <v>38</v>
      </c>
      <c r="R955" s="4" t="s">
        <v>40</v>
      </c>
      <c r="S955" s="4" t="s">
        <v>41</v>
      </c>
      <c r="T955" s="4" t="s">
        <v>9199</v>
      </c>
      <c r="U955" s="4" t="s">
        <v>9200</v>
      </c>
      <c r="V955" s="4" t="s">
        <v>9093</v>
      </c>
      <c r="W955" s="4" t="s">
        <v>9180</v>
      </c>
      <c r="X955" s="4"/>
      <c r="Y955" s="4"/>
      <c r="Z955" s="4" t="s">
        <v>46</v>
      </c>
      <c r="AA955" s="4" t="s">
        <v>9119</v>
      </c>
      <c r="AB955" s="4"/>
      <c r="AC955" s="9">
        <v>1</v>
      </c>
      <c r="AD955" t="str">
        <f>VLOOKUP($T955,[1]NhanSu!$C$5:$M$229,11,0)</f>
        <v>SM0000047</v>
      </c>
    </row>
    <row r="956" spans="1:30" x14ac:dyDescent="0.45">
      <c r="A956" s="6" t="s">
        <v>9088</v>
      </c>
      <c r="B956" s="5">
        <v>1032</v>
      </c>
      <c r="C956" s="5" t="s">
        <v>9644</v>
      </c>
      <c r="D956" s="5" t="s">
        <v>9645</v>
      </c>
      <c r="E956" s="5" t="s">
        <v>9646</v>
      </c>
      <c r="F956" s="5" t="s">
        <v>53</v>
      </c>
      <c r="G956" s="5" t="s">
        <v>177</v>
      </c>
      <c r="H956" s="5" t="s">
        <v>192</v>
      </c>
      <c r="I956" s="5" t="s">
        <v>1838</v>
      </c>
      <c r="J956" s="5" t="s">
        <v>38</v>
      </c>
      <c r="K956" s="5" t="s">
        <v>38</v>
      </c>
      <c r="L956" s="5" t="s">
        <v>40</v>
      </c>
      <c r="M956" s="5" t="s">
        <v>38</v>
      </c>
      <c r="N956" s="5" t="s">
        <v>38</v>
      </c>
      <c r="O956" s="5" t="s">
        <v>39</v>
      </c>
      <c r="P956" s="5" t="s">
        <v>38</v>
      </c>
      <c r="Q956" s="5" t="s">
        <v>38</v>
      </c>
      <c r="R956" s="5" t="s">
        <v>39</v>
      </c>
      <c r="S956" s="5" t="s">
        <v>9647</v>
      </c>
      <c r="T956" s="5" t="s">
        <v>9648</v>
      </c>
      <c r="U956" s="5" t="s">
        <v>9649</v>
      </c>
      <c r="V956" s="5" t="s">
        <v>9093</v>
      </c>
      <c r="W956" s="5" t="s">
        <v>9101</v>
      </c>
      <c r="X956" s="5"/>
      <c r="Y956" s="5"/>
      <c r="Z956" s="5" t="s">
        <v>46</v>
      </c>
      <c r="AA956" s="5" t="s">
        <v>9119</v>
      </c>
      <c r="AB956" s="5"/>
      <c r="AC956" s="7">
        <v>1</v>
      </c>
      <c r="AD956" t="str">
        <f>VLOOKUP($T956,[1]NhanSu!$C$5:$M$229,11,0)</f>
        <v>SM0000049</v>
      </c>
    </row>
    <row r="957" spans="1:30" x14ac:dyDescent="0.45">
      <c r="A957" s="8" t="s">
        <v>9088</v>
      </c>
      <c r="B957" s="4">
        <v>1033</v>
      </c>
      <c r="C957" s="4" t="s">
        <v>9650</v>
      </c>
      <c r="D957" s="4" t="s">
        <v>9651</v>
      </c>
      <c r="E957" s="4" t="s">
        <v>431</v>
      </c>
      <c r="F957" s="4" t="s">
        <v>53</v>
      </c>
      <c r="G957" s="4" t="s">
        <v>177</v>
      </c>
      <c r="H957" s="4" t="s">
        <v>54</v>
      </c>
      <c r="I957" s="4" t="s">
        <v>9652</v>
      </c>
      <c r="J957" s="4" t="s">
        <v>38</v>
      </c>
      <c r="K957" s="4" t="s">
        <v>38</v>
      </c>
      <c r="L957" s="4" t="s">
        <v>40</v>
      </c>
      <c r="M957" s="4" t="s">
        <v>38</v>
      </c>
      <c r="N957" s="4" t="s">
        <v>38</v>
      </c>
      <c r="O957" s="4" t="s">
        <v>40</v>
      </c>
      <c r="P957" s="4" t="s">
        <v>38</v>
      </c>
      <c r="Q957" s="4" t="s">
        <v>38</v>
      </c>
      <c r="R957" s="4" t="s">
        <v>39</v>
      </c>
      <c r="S957" s="4" t="s">
        <v>9653</v>
      </c>
      <c r="T957" s="4" t="s">
        <v>9648</v>
      </c>
      <c r="U957" s="4" t="s">
        <v>9649</v>
      </c>
      <c r="V957" s="4" t="s">
        <v>9093</v>
      </c>
      <c r="W957" s="4" t="s">
        <v>9101</v>
      </c>
      <c r="X957" s="4"/>
      <c r="Y957" s="4"/>
      <c r="Z957" s="4" t="s">
        <v>46</v>
      </c>
      <c r="AA957" s="4" t="s">
        <v>9119</v>
      </c>
      <c r="AB957" s="4"/>
      <c r="AC957" s="9">
        <v>1</v>
      </c>
      <c r="AD957" t="str">
        <f>VLOOKUP($T957,[1]NhanSu!$C$5:$M$229,11,0)</f>
        <v>SM0000049</v>
      </c>
    </row>
    <row r="958" spans="1:30" x14ac:dyDescent="0.45">
      <c r="A958" s="6" t="s">
        <v>9088</v>
      </c>
      <c r="B958" s="5">
        <v>1132</v>
      </c>
      <c r="C958" s="5" t="s">
        <v>9668</v>
      </c>
      <c r="D958" s="5" t="s">
        <v>9669</v>
      </c>
      <c r="E958" s="5" t="s">
        <v>9670</v>
      </c>
      <c r="F958" s="5" t="s">
        <v>53</v>
      </c>
      <c r="G958" s="5" t="s">
        <v>34</v>
      </c>
      <c r="H958" s="5" t="s">
        <v>834</v>
      </c>
      <c r="I958" s="5" t="s">
        <v>9671</v>
      </c>
      <c r="J958" s="5" t="s">
        <v>38</v>
      </c>
      <c r="K958" s="5" t="s">
        <v>38</v>
      </c>
      <c r="L958" s="5" t="s">
        <v>40</v>
      </c>
      <c r="M958" s="5" t="s">
        <v>38</v>
      </c>
      <c r="N958" s="5" t="s">
        <v>38</v>
      </c>
      <c r="O958" s="5" t="s">
        <v>40</v>
      </c>
      <c r="P958" s="5" t="s">
        <v>38</v>
      </c>
      <c r="Q958" s="5" t="s">
        <v>38</v>
      </c>
      <c r="R958" s="5" t="s">
        <v>40</v>
      </c>
      <c r="S958" s="5" t="s">
        <v>41</v>
      </c>
      <c r="T958" s="5" t="s">
        <v>9099</v>
      </c>
      <c r="U958" s="5" t="s">
        <v>9100</v>
      </c>
      <c r="V958" s="5" t="s">
        <v>9093</v>
      </c>
      <c r="W958" s="5" t="s">
        <v>9101</v>
      </c>
      <c r="X958" s="5"/>
      <c r="Y958" s="5"/>
      <c r="Z958" s="5" t="s">
        <v>46</v>
      </c>
      <c r="AA958" s="5" t="s">
        <v>9119</v>
      </c>
      <c r="AB958" s="5"/>
      <c r="AC958" s="7">
        <v>1</v>
      </c>
      <c r="AD958" t="str">
        <f>VLOOKUP($T958,[1]NhanSu!$C$5:$M$229,11,0)</f>
        <v>SM0000048</v>
      </c>
    </row>
    <row r="959" spans="1:30" x14ac:dyDescent="0.45">
      <c r="A959" s="8" t="s">
        <v>9088</v>
      </c>
      <c r="B959" s="4">
        <v>1338</v>
      </c>
      <c r="C959" s="4" t="s">
        <v>9702</v>
      </c>
      <c r="D959" s="4" t="s">
        <v>4478</v>
      </c>
      <c r="E959" s="4" t="s">
        <v>9703</v>
      </c>
      <c r="F959" s="4" t="s">
        <v>1804</v>
      </c>
      <c r="G959" s="4" t="s">
        <v>34</v>
      </c>
      <c r="H959" s="4" t="s">
        <v>54</v>
      </c>
      <c r="I959" s="4" t="s">
        <v>9704</v>
      </c>
      <c r="J959" s="4" t="s">
        <v>38</v>
      </c>
      <c r="K959" s="4" t="s">
        <v>38</v>
      </c>
      <c r="L959" s="4" t="s">
        <v>40</v>
      </c>
      <c r="M959" s="4" t="s">
        <v>56</v>
      </c>
      <c r="N959" s="4" t="s">
        <v>56</v>
      </c>
      <c r="O959" s="4" t="s">
        <v>40</v>
      </c>
      <c r="P959" s="4" t="s">
        <v>38</v>
      </c>
      <c r="Q959" s="4" t="s">
        <v>38</v>
      </c>
      <c r="R959" s="4" t="s">
        <v>40</v>
      </c>
      <c r="S959" s="4" t="s">
        <v>41</v>
      </c>
      <c r="T959" s="4" t="s">
        <v>9142</v>
      </c>
      <c r="U959" s="4" t="s">
        <v>9143</v>
      </c>
      <c r="V959" s="4" t="s">
        <v>9093</v>
      </c>
      <c r="W959" s="4" t="s">
        <v>2978</v>
      </c>
      <c r="X959" s="4"/>
      <c r="Y959" s="4"/>
      <c r="Z959" s="4" t="s">
        <v>46</v>
      </c>
      <c r="AA959" s="4" t="s">
        <v>9160</v>
      </c>
      <c r="AB959" s="4" t="s">
        <v>117</v>
      </c>
      <c r="AC959" s="9">
        <v>1</v>
      </c>
      <c r="AD959" t="str">
        <f>VLOOKUP($T959,[1]NhanSu!$C$5:$M$229,11,0)</f>
        <v>SM0000051</v>
      </c>
    </row>
    <row r="960" spans="1:30" x14ac:dyDescent="0.45">
      <c r="A960" s="6" t="s">
        <v>9088</v>
      </c>
      <c r="B960" s="5">
        <v>1364</v>
      </c>
      <c r="C960" s="5" t="s">
        <v>9705</v>
      </c>
      <c r="D960" s="5" t="s">
        <v>9706</v>
      </c>
      <c r="E960" s="5" t="s">
        <v>9256</v>
      </c>
      <c r="F960" s="5" t="s">
        <v>53</v>
      </c>
      <c r="G960" s="5" t="s">
        <v>177</v>
      </c>
      <c r="H960" s="5" t="s">
        <v>565</v>
      </c>
      <c r="I960" s="5" t="s">
        <v>9198</v>
      </c>
      <c r="J960" s="5" t="s">
        <v>38</v>
      </c>
      <c r="K960" s="5" t="s">
        <v>38</v>
      </c>
      <c r="L960" s="5" t="s">
        <v>40</v>
      </c>
      <c r="M960" s="5" t="s">
        <v>56</v>
      </c>
      <c r="N960" s="5" t="s">
        <v>56</v>
      </c>
      <c r="O960" s="5" t="s">
        <v>39</v>
      </c>
      <c r="P960" s="5" t="s">
        <v>38</v>
      </c>
      <c r="Q960" s="5" t="s">
        <v>38</v>
      </c>
      <c r="R960" s="5" t="s">
        <v>40</v>
      </c>
      <c r="S960" s="5" t="s">
        <v>41</v>
      </c>
      <c r="T960" s="5" t="s">
        <v>9199</v>
      </c>
      <c r="U960" s="5" t="s">
        <v>9200</v>
      </c>
      <c r="V960" s="5" t="s">
        <v>9093</v>
      </c>
      <c r="W960" s="5" t="s">
        <v>9180</v>
      </c>
      <c r="X960" s="5"/>
      <c r="Y960" s="5"/>
      <c r="Z960" s="5" t="s">
        <v>46</v>
      </c>
      <c r="AA960" s="5" t="s">
        <v>9119</v>
      </c>
      <c r="AB960" s="5"/>
      <c r="AC960" s="7">
        <v>1</v>
      </c>
      <c r="AD960" t="str">
        <f>VLOOKUP($T960,[1]NhanSu!$C$5:$M$229,11,0)</f>
        <v>SM0000047</v>
      </c>
    </row>
    <row r="961" spans="1:30" x14ac:dyDescent="0.45">
      <c r="A961" s="8" t="s">
        <v>9088</v>
      </c>
      <c r="B961" s="4">
        <v>1367</v>
      </c>
      <c r="C961" s="4" t="s">
        <v>9707</v>
      </c>
      <c r="D961" s="4" t="s">
        <v>9708</v>
      </c>
      <c r="E961" s="4" t="s">
        <v>9709</v>
      </c>
      <c r="F961" s="4" t="s">
        <v>325</v>
      </c>
      <c r="G961" s="4" t="s">
        <v>34</v>
      </c>
      <c r="H961" s="4" t="s">
        <v>214</v>
      </c>
      <c r="I961" s="4" t="s">
        <v>9224</v>
      </c>
      <c r="J961" s="4" t="s">
        <v>38</v>
      </c>
      <c r="K961" s="4" t="s">
        <v>38</v>
      </c>
      <c r="L961" s="4" t="s">
        <v>39</v>
      </c>
      <c r="M961" s="4" t="s">
        <v>37</v>
      </c>
      <c r="N961" s="4" t="s">
        <v>37</v>
      </c>
      <c r="O961" s="4" t="s">
        <v>39</v>
      </c>
      <c r="P961" s="4" t="s">
        <v>38</v>
      </c>
      <c r="Q961" s="4" t="s">
        <v>38</v>
      </c>
      <c r="R961" s="4" t="s">
        <v>39</v>
      </c>
      <c r="S961" s="4" t="s">
        <v>41</v>
      </c>
      <c r="T961" s="4" t="s">
        <v>9225</v>
      </c>
      <c r="U961" s="4" t="s">
        <v>9226</v>
      </c>
      <c r="V961" s="4" t="s">
        <v>9093</v>
      </c>
      <c r="W961" s="4" t="s">
        <v>9227</v>
      </c>
      <c r="X961" s="4"/>
      <c r="Y961" s="4"/>
      <c r="Z961" s="4" t="s">
        <v>46</v>
      </c>
      <c r="AA961" s="4" t="s">
        <v>9095</v>
      </c>
      <c r="AB961" s="4"/>
      <c r="AC961" s="9">
        <v>1</v>
      </c>
      <c r="AD961" t="str">
        <f>VLOOKUP($T961,[1]NhanSu!$C$5:$M$229,11,0)</f>
        <v>SM0000042</v>
      </c>
    </row>
    <row r="962" spans="1:30" x14ac:dyDescent="0.45">
      <c r="A962" s="6" t="s">
        <v>9088</v>
      </c>
      <c r="B962" s="5">
        <v>1404</v>
      </c>
      <c r="C962" s="5" t="s">
        <v>9719</v>
      </c>
      <c r="D962" s="5" t="s">
        <v>9720</v>
      </c>
      <c r="E962" s="5" t="s">
        <v>1203</v>
      </c>
      <c r="F962" s="5" t="s">
        <v>401</v>
      </c>
      <c r="G962" s="5" t="s">
        <v>1458</v>
      </c>
      <c r="H962" s="5" t="s">
        <v>530</v>
      </c>
      <c r="I962" s="5" t="s">
        <v>2049</v>
      </c>
      <c r="J962" s="5" t="s">
        <v>38</v>
      </c>
      <c r="K962" s="5" t="s">
        <v>38</v>
      </c>
      <c r="L962" s="5" t="s">
        <v>40</v>
      </c>
      <c r="M962" s="5" t="s">
        <v>38</v>
      </c>
      <c r="N962" s="5" t="s">
        <v>38</v>
      </c>
      <c r="O962" s="5" t="s">
        <v>40</v>
      </c>
      <c r="P962" s="5" t="s">
        <v>38</v>
      </c>
      <c r="Q962" s="5" t="s">
        <v>38</v>
      </c>
      <c r="R962" s="5" t="s">
        <v>40</v>
      </c>
      <c r="S962" s="5" t="s">
        <v>41</v>
      </c>
      <c r="T962" s="5" t="s">
        <v>9099</v>
      </c>
      <c r="U962" s="5" t="s">
        <v>9100</v>
      </c>
      <c r="V962" s="5" t="s">
        <v>9093</v>
      </c>
      <c r="W962" s="5" t="s">
        <v>9101</v>
      </c>
      <c r="X962" s="5"/>
      <c r="Y962" s="5"/>
      <c r="Z962" s="5" t="s">
        <v>46</v>
      </c>
      <c r="AA962" s="5" t="s">
        <v>9119</v>
      </c>
      <c r="AB962" s="5"/>
      <c r="AC962" s="7">
        <v>1</v>
      </c>
      <c r="AD962" t="str">
        <f>VLOOKUP($T962,[1]NhanSu!$C$5:$M$229,11,0)</f>
        <v>SM0000048</v>
      </c>
    </row>
    <row r="963" spans="1:30" x14ac:dyDescent="0.45">
      <c r="A963" s="8" t="s">
        <v>9088</v>
      </c>
      <c r="B963" s="4">
        <v>1407</v>
      </c>
      <c r="C963" s="4" t="s">
        <v>9721</v>
      </c>
      <c r="D963" s="4" t="s">
        <v>9722</v>
      </c>
      <c r="E963" s="4" t="s">
        <v>3425</v>
      </c>
      <c r="F963" s="4" t="s">
        <v>115</v>
      </c>
      <c r="G963" s="4" t="s">
        <v>34</v>
      </c>
      <c r="H963" s="4" t="s">
        <v>2952</v>
      </c>
      <c r="I963" s="4" t="s">
        <v>9723</v>
      </c>
      <c r="J963" s="4" t="s">
        <v>38</v>
      </c>
      <c r="K963" s="4" t="s">
        <v>38</v>
      </c>
      <c r="L963" s="4" t="s">
        <v>40</v>
      </c>
      <c r="M963" s="4" t="s">
        <v>38</v>
      </c>
      <c r="N963" s="4" t="s">
        <v>38</v>
      </c>
      <c r="O963" s="4" t="s">
        <v>40</v>
      </c>
      <c r="P963" s="4" t="s">
        <v>38</v>
      </c>
      <c r="Q963" s="4" t="s">
        <v>38</v>
      </c>
      <c r="R963" s="4" t="s">
        <v>40</v>
      </c>
      <c r="S963" s="4" t="s">
        <v>41</v>
      </c>
      <c r="T963" s="4" t="s">
        <v>9099</v>
      </c>
      <c r="U963" s="4" t="s">
        <v>9100</v>
      </c>
      <c r="V963" s="4" t="s">
        <v>9093</v>
      </c>
      <c r="W963" s="4" t="s">
        <v>9101</v>
      </c>
      <c r="X963" s="4"/>
      <c r="Y963" s="4"/>
      <c r="Z963" s="4" t="s">
        <v>46</v>
      </c>
      <c r="AA963" s="4" t="s">
        <v>9119</v>
      </c>
      <c r="AB963" s="4"/>
      <c r="AC963" s="9">
        <v>1</v>
      </c>
      <c r="AD963" t="str">
        <f>VLOOKUP($T963,[1]NhanSu!$C$5:$M$229,11,0)</f>
        <v>SM0000048</v>
      </c>
    </row>
    <row r="964" spans="1:30" x14ac:dyDescent="0.45">
      <c r="A964" s="6" t="s">
        <v>9088</v>
      </c>
      <c r="B964" s="5">
        <v>1441</v>
      </c>
      <c r="C964" s="5" t="s">
        <v>9743</v>
      </c>
      <c r="D964" s="5" t="s">
        <v>9744</v>
      </c>
      <c r="E964" s="5" t="s">
        <v>9256</v>
      </c>
      <c r="F964" s="5" t="s">
        <v>53</v>
      </c>
      <c r="G964" s="5" t="s">
        <v>177</v>
      </c>
      <c r="H964" s="5" t="s">
        <v>565</v>
      </c>
      <c r="I964" s="5" t="s">
        <v>9745</v>
      </c>
      <c r="J964" s="5" t="s">
        <v>38</v>
      </c>
      <c r="K964" s="5" t="s">
        <v>38</v>
      </c>
      <c r="L964" s="5" t="s">
        <v>39</v>
      </c>
      <c r="M964" s="5" t="s">
        <v>56</v>
      </c>
      <c r="N964" s="5" t="s">
        <v>56</v>
      </c>
      <c r="O964" s="5" t="s">
        <v>39</v>
      </c>
      <c r="P964" s="5" t="s">
        <v>38</v>
      </c>
      <c r="Q964" s="5" t="s">
        <v>38</v>
      </c>
      <c r="R964" s="5" t="s">
        <v>39</v>
      </c>
      <c r="S964" s="5" t="s">
        <v>41</v>
      </c>
      <c r="T964" s="5" t="s">
        <v>9199</v>
      </c>
      <c r="U964" s="5" t="s">
        <v>9200</v>
      </c>
      <c r="V964" s="5" t="s">
        <v>9093</v>
      </c>
      <c r="W964" s="5" t="s">
        <v>9180</v>
      </c>
      <c r="X964" s="5"/>
      <c r="Y964" s="5"/>
      <c r="Z964" s="5" t="s">
        <v>46</v>
      </c>
      <c r="AA964" s="5" t="s">
        <v>9119</v>
      </c>
      <c r="AB964" s="5"/>
      <c r="AC964" s="7">
        <v>1</v>
      </c>
      <c r="AD964" t="str">
        <f>VLOOKUP($T964,[1]NhanSu!$C$5:$M$229,11,0)</f>
        <v>SM0000047</v>
      </c>
    </row>
    <row r="965" spans="1:30" x14ac:dyDescent="0.45">
      <c r="A965" s="8" t="s">
        <v>9088</v>
      </c>
      <c r="B965" s="4">
        <v>1449</v>
      </c>
      <c r="C965" s="4" t="s">
        <v>9747</v>
      </c>
      <c r="D965" s="4" t="s">
        <v>9748</v>
      </c>
      <c r="E965" s="4" t="s">
        <v>157</v>
      </c>
      <c r="F965" s="4" t="s">
        <v>53</v>
      </c>
      <c r="G965" s="4" t="s">
        <v>177</v>
      </c>
      <c r="H965" s="4" t="s">
        <v>1177</v>
      </c>
      <c r="I965" s="4" t="s">
        <v>9198</v>
      </c>
      <c r="J965" s="4" t="s">
        <v>38</v>
      </c>
      <c r="K965" s="4" t="s">
        <v>38</v>
      </c>
      <c r="L965" s="4" t="s">
        <v>40</v>
      </c>
      <c r="M965" s="4" t="s">
        <v>37</v>
      </c>
      <c r="N965" s="4" t="s">
        <v>37</v>
      </c>
      <c r="O965" s="4" t="s">
        <v>39</v>
      </c>
      <c r="P965" s="4" t="s">
        <v>38</v>
      </c>
      <c r="Q965" s="4" t="s">
        <v>38</v>
      </c>
      <c r="R965" s="4" t="s">
        <v>40</v>
      </c>
      <c r="S965" s="4" t="s">
        <v>41</v>
      </c>
      <c r="T965" s="4" t="s">
        <v>9199</v>
      </c>
      <c r="U965" s="4" t="s">
        <v>9200</v>
      </c>
      <c r="V965" s="4" t="s">
        <v>9093</v>
      </c>
      <c r="W965" s="4" t="s">
        <v>9180</v>
      </c>
      <c r="X965" s="4"/>
      <c r="Y965" s="4"/>
      <c r="Z965" s="4" t="s">
        <v>46</v>
      </c>
      <c r="AA965" s="4" t="s">
        <v>9119</v>
      </c>
      <c r="AB965" s="4"/>
      <c r="AC965" s="9">
        <v>1</v>
      </c>
      <c r="AD965" t="str">
        <f>VLOOKUP($T965,[1]NhanSu!$C$5:$M$229,11,0)</f>
        <v>SM0000047</v>
      </c>
    </row>
    <row r="966" spans="1:30" x14ac:dyDescent="0.45">
      <c r="A966" s="6" t="s">
        <v>9088</v>
      </c>
      <c r="B966" s="5">
        <v>1450</v>
      </c>
      <c r="C966" s="5" t="s">
        <v>9749</v>
      </c>
      <c r="D966" s="5" t="s">
        <v>9750</v>
      </c>
      <c r="E966" s="5" t="s">
        <v>9751</v>
      </c>
      <c r="F966" s="5" t="s">
        <v>53</v>
      </c>
      <c r="G966" s="5" t="s">
        <v>177</v>
      </c>
      <c r="H966" s="5" t="s">
        <v>133</v>
      </c>
      <c r="I966" s="5" t="s">
        <v>9752</v>
      </c>
      <c r="J966" s="5" t="s">
        <v>37</v>
      </c>
      <c r="K966" s="5" t="s">
        <v>37</v>
      </c>
      <c r="L966" s="5" t="s">
        <v>39</v>
      </c>
      <c r="M966" s="5" t="s">
        <v>37</v>
      </c>
      <c r="N966" s="5" t="s">
        <v>37</v>
      </c>
      <c r="O966" s="5" t="s">
        <v>39</v>
      </c>
      <c r="P966" s="5" t="s">
        <v>38</v>
      </c>
      <c r="Q966" s="5" t="s">
        <v>38</v>
      </c>
      <c r="R966" s="5" t="s">
        <v>39</v>
      </c>
      <c r="S966" s="5" t="s">
        <v>41</v>
      </c>
      <c r="T966" s="5" t="s">
        <v>9240</v>
      </c>
      <c r="U966" s="5" t="s">
        <v>9205</v>
      </c>
      <c r="V966" s="5" t="s">
        <v>9093</v>
      </c>
      <c r="W966" s="5" t="s">
        <v>9227</v>
      </c>
      <c r="X966" s="5"/>
      <c r="Y966" s="5"/>
      <c r="Z966" s="5" t="s">
        <v>46</v>
      </c>
      <c r="AA966" s="5" t="s">
        <v>9235</v>
      </c>
      <c r="AB966" s="5"/>
      <c r="AC966" s="7">
        <v>1</v>
      </c>
      <c r="AD966" t="str">
        <f>VLOOKUP($T966,[1]NhanSu!$C$5:$M$229,11,0)</f>
        <v>SM0000044</v>
      </c>
    </row>
    <row r="967" spans="1:30" x14ac:dyDescent="0.45">
      <c r="A967" s="8" t="s">
        <v>9088</v>
      </c>
      <c r="B967" s="4">
        <v>1536</v>
      </c>
      <c r="C967" s="4" t="s">
        <v>9765</v>
      </c>
      <c r="D967" s="4" t="s">
        <v>9766</v>
      </c>
      <c r="E967" s="4" t="s">
        <v>9767</v>
      </c>
      <c r="F967" s="4" t="s">
        <v>53</v>
      </c>
      <c r="G967" s="4" t="s">
        <v>34</v>
      </c>
      <c r="H967" s="4" t="s">
        <v>525</v>
      </c>
      <c r="I967" s="4" t="s">
        <v>9768</v>
      </c>
      <c r="J967" s="4" t="s">
        <v>38</v>
      </c>
      <c r="K967" s="4" t="s">
        <v>38</v>
      </c>
      <c r="L967" s="4" t="s">
        <v>40</v>
      </c>
      <c r="M967" s="4" t="s">
        <v>38</v>
      </c>
      <c r="N967" s="4" t="s">
        <v>38</v>
      </c>
      <c r="O967" s="4" t="s">
        <v>40</v>
      </c>
      <c r="P967" s="4" t="s">
        <v>38</v>
      </c>
      <c r="Q967" s="4" t="s">
        <v>38</v>
      </c>
      <c r="R967" s="4" t="s">
        <v>40</v>
      </c>
      <c r="S967" s="4" t="s">
        <v>41</v>
      </c>
      <c r="T967" s="4" t="s">
        <v>9099</v>
      </c>
      <c r="U967" s="4" t="s">
        <v>9100</v>
      </c>
      <c r="V967" s="4" t="s">
        <v>9093</v>
      </c>
      <c r="W967" s="4" t="s">
        <v>9101</v>
      </c>
      <c r="X967" s="4"/>
      <c r="Y967" s="4"/>
      <c r="Z967" s="4" t="s">
        <v>46</v>
      </c>
      <c r="AA967" s="4" t="s">
        <v>9119</v>
      </c>
      <c r="AB967" s="4"/>
      <c r="AC967" s="9">
        <v>1</v>
      </c>
      <c r="AD967" t="str">
        <f>VLOOKUP($T967,[1]NhanSu!$C$5:$M$229,11,0)</f>
        <v>SM0000048</v>
      </c>
    </row>
    <row r="968" spans="1:30" x14ac:dyDescent="0.45">
      <c r="A968" s="6" t="s">
        <v>9088</v>
      </c>
      <c r="B968" s="5">
        <v>1540</v>
      </c>
      <c r="C968" s="5" t="s">
        <v>9769</v>
      </c>
      <c r="D968" s="5" t="s">
        <v>9770</v>
      </c>
      <c r="E968" s="5" t="s">
        <v>108</v>
      </c>
      <c r="F968" s="5" t="s">
        <v>426</v>
      </c>
      <c r="G968" s="5" t="s">
        <v>177</v>
      </c>
      <c r="H968" s="5" t="s">
        <v>1877</v>
      </c>
      <c r="I968" s="5" t="s">
        <v>9198</v>
      </c>
      <c r="J968" s="5" t="s">
        <v>38</v>
      </c>
      <c r="K968" s="5" t="s">
        <v>38</v>
      </c>
      <c r="L968" s="5" t="s">
        <v>40</v>
      </c>
      <c r="M968" s="5" t="s">
        <v>56</v>
      </c>
      <c r="N968" s="5" t="s">
        <v>56</v>
      </c>
      <c r="O968" s="5" t="s">
        <v>39</v>
      </c>
      <c r="P968" s="5" t="s">
        <v>38</v>
      </c>
      <c r="Q968" s="5" t="s">
        <v>38</v>
      </c>
      <c r="R968" s="5" t="s">
        <v>40</v>
      </c>
      <c r="S968" s="5" t="s">
        <v>9771</v>
      </c>
      <c r="T968" s="5" t="s">
        <v>9199</v>
      </c>
      <c r="U968" s="5" t="s">
        <v>9200</v>
      </c>
      <c r="V968" s="5" t="s">
        <v>9093</v>
      </c>
      <c r="W968" s="5" t="s">
        <v>9180</v>
      </c>
      <c r="X968" s="5"/>
      <c r="Y968" s="5"/>
      <c r="Z968" s="5" t="s">
        <v>46</v>
      </c>
      <c r="AA968" s="5" t="s">
        <v>9119</v>
      </c>
      <c r="AB968" s="5"/>
      <c r="AC968" s="7">
        <v>1</v>
      </c>
      <c r="AD968" t="str">
        <f>VLOOKUP($T968,[1]NhanSu!$C$5:$M$229,11,0)</f>
        <v>SM0000047</v>
      </c>
    </row>
    <row r="969" spans="1:30" x14ac:dyDescent="0.45">
      <c r="A969" s="8" t="s">
        <v>9088</v>
      </c>
      <c r="B969" s="4">
        <v>1632</v>
      </c>
      <c r="C969" s="4" t="s">
        <v>9783</v>
      </c>
      <c r="D969" s="4" t="s">
        <v>9784</v>
      </c>
      <c r="E969" s="4" t="s">
        <v>9785</v>
      </c>
      <c r="F969" s="4" t="s">
        <v>53</v>
      </c>
      <c r="G969" s="4" t="s">
        <v>177</v>
      </c>
      <c r="H969" s="4" t="s">
        <v>54</v>
      </c>
      <c r="I969" s="4" t="s">
        <v>9786</v>
      </c>
      <c r="J969" s="4" t="s">
        <v>37</v>
      </c>
      <c r="K969" s="4" t="s">
        <v>37</v>
      </c>
      <c r="L969" s="4" t="s">
        <v>39</v>
      </c>
      <c r="M969" s="4" t="s">
        <v>37</v>
      </c>
      <c r="N969" s="4" t="s">
        <v>37</v>
      </c>
      <c r="O969" s="4" t="s">
        <v>39</v>
      </c>
      <c r="P969" s="4" t="s">
        <v>38</v>
      </c>
      <c r="Q969" s="4" t="s">
        <v>38</v>
      </c>
      <c r="R969" s="4" t="s">
        <v>39</v>
      </c>
      <c r="S969" s="4" t="s">
        <v>41</v>
      </c>
      <c r="T969" s="4" t="s">
        <v>9240</v>
      </c>
      <c r="U969" s="4" t="s">
        <v>9226</v>
      </c>
      <c r="V969" s="4" t="s">
        <v>9093</v>
      </c>
      <c r="W969" s="4" t="s">
        <v>9227</v>
      </c>
      <c r="X969" s="4"/>
      <c r="Y969" s="4"/>
      <c r="Z969" s="4" t="s">
        <v>46</v>
      </c>
      <c r="AA969" s="4" t="s">
        <v>9235</v>
      </c>
      <c r="AB969" s="4"/>
      <c r="AC969" s="9">
        <v>1</v>
      </c>
      <c r="AD969" t="str">
        <f>VLOOKUP($T969,[1]NhanSu!$C$5:$M$229,11,0)</f>
        <v>SM0000044</v>
      </c>
    </row>
    <row r="970" spans="1:30" x14ac:dyDescent="0.45">
      <c r="A970" s="6" t="s">
        <v>9088</v>
      </c>
      <c r="B970" s="5">
        <v>1669</v>
      </c>
      <c r="C970" s="5" t="s">
        <v>9797</v>
      </c>
      <c r="D970" s="5" t="s">
        <v>9798</v>
      </c>
      <c r="E970" s="5" t="s">
        <v>9799</v>
      </c>
      <c r="F970" s="5" t="s">
        <v>401</v>
      </c>
      <c r="G970" s="5" t="s">
        <v>34</v>
      </c>
      <c r="H970" s="5" t="s">
        <v>917</v>
      </c>
      <c r="I970" s="5" t="s">
        <v>9800</v>
      </c>
      <c r="J970" s="5" t="s">
        <v>38</v>
      </c>
      <c r="K970" s="5" t="s">
        <v>38</v>
      </c>
      <c r="L970" s="5" t="s">
        <v>40</v>
      </c>
      <c r="M970" s="5" t="s">
        <v>38</v>
      </c>
      <c r="N970" s="5" t="s">
        <v>38</v>
      </c>
      <c r="O970" s="5" t="s">
        <v>40</v>
      </c>
      <c r="P970" s="5" t="s">
        <v>38</v>
      </c>
      <c r="Q970" s="5" t="s">
        <v>38</v>
      </c>
      <c r="R970" s="5" t="s">
        <v>40</v>
      </c>
      <c r="S970" s="5" t="s">
        <v>41</v>
      </c>
      <c r="T970" s="5" t="s">
        <v>9099</v>
      </c>
      <c r="U970" s="5" t="s">
        <v>9100</v>
      </c>
      <c r="V970" s="5" t="s">
        <v>9093</v>
      </c>
      <c r="W970" s="5" t="s">
        <v>9101</v>
      </c>
      <c r="X970" s="5"/>
      <c r="Y970" s="5"/>
      <c r="Z970" s="5" t="s">
        <v>46</v>
      </c>
      <c r="AA970" s="5" t="s">
        <v>9119</v>
      </c>
      <c r="AB970" s="5"/>
      <c r="AC970" s="7">
        <v>1</v>
      </c>
      <c r="AD970" t="str">
        <f>VLOOKUP($T970,[1]NhanSu!$C$5:$M$229,11,0)</f>
        <v>SM0000048</v>
      </c>
    </row>
    <row r="971" spans="1:30" x14ac:dyDescent="0.45">
      <c r="A971" s="8" t="s">
        <v>9088</v>
      </c>
      <c r="B971" s="4">
        <v>1672</v>
      </c>
      <c r="C971" s="4" t="s">
        <v>9801</v>
      </c>
      <c r="D971" s="4" t="s">
        <v>5664</v>
      </c>
      <c r="E971" s="4" t="s">
        <v>91</v>
      </c>
      <c r="F971" s="4" t="s">
        <v>115</v>
      </c>
      <c r="G971" s="4" t="s">
        <v>177</v>
      </c>
      <c r="H971" s="4" t="s">
        <v>4182</v>
      </c>
      <c r="I971" s="4" t="s">
        <v>9198</v>
      </c>
      <c r="J971" s="4" t="s">
        <v>38</v>
      </c>
      <c r="K971" s="4" t="s">
        <v>38</v>
      </c>
      <c r="L971" s="4" t="s">
        <v>40</v>
      </c>
      <c r="M971" s="4" t="s">
        <v>56</v>
      </c>
      <c r="N971" s="4" t="s">
        <v>56</v>
      </c>
      <c r="O971" s="4" t="s">
        <v>39</v>
      </c>
      <c r="P971" s="4" t="s">
        <v>38</v>
      </c>
      <c r="Q971" s="4" t="s">
        <v>38</v>
      </c>
      <c r="R971" s="4" t="s">
        <v>40</v>
      </c>
      <c r="S971" s="4" t="s">
        <v>41</v>
      </c>
      <c r="T971" s="4" t="s">
        <v>9199</v>
      </c>
      <c r="U971" s="4" t="s">
        <v>9200</v>
      </c>
      <c r="V971" s="4" t="s">
        <v>9093</v>
      </c>
      <c r="W971" s="4" t="s">
        <v>9180</v>
      </c>
      <c r="X971" s="4"/>
      <c r="Y971" s="4"/>
      <c r="Z971" s="4" t="s">
        <v>46</v>
      </c>
      <c r="AA971" s="4" t="s">
        <v>9119</v>
      </c>
      <c r="AB971" s="4" t="s">
        <v>117</v>
      </c>
      <c r="AC971" s="9">
        <v>1</v>
      </c>
      <c r="AD971" t="str">
        <f>VLOOKUP($T971,[1]NhanSu!$C$5:$M$229,11,0)</f>
        <v>SM0000047</v>
      </c>
    </row>
    <row r="972" spans="1:30" x14ac:dyDescent="0.45">
      <c r="A972" s="6" t="s">
        <v>9088</v>
      </c>
      <c r="B972" s="5">
        <v>1692</v>
      </c>
      <c r="C972" s="5" t="s">
        <v>9807</v>
      </c>
      <c r="D972" s="5" t="s">
        <v>9808</v>
      </c>
      <c r="E972" s="5" t="s">
        <v>9809</v>
      </c>
      <c r="F972" s="5" t="s">
        <v>53</v>
      </c>
      <c r="G972" s="5" t="s">
        <v>34</v>
      </c>
      <c r="H972" s="5" t="s">
        <v>685</v>
      </c>
      <c r="I972" s="5" t="s">
        <v>8348</v>
      </c>
      <c r="J972" s="5" t="s">
        <v>38</v>
      </c>
      <c r="K972" s="5" t="s">
        <v>38</v>
      </c>
      <c r="L972" s="5" t="s">
        <v>40</v>
      </c>
      <c r="M972" s="5" t="s">
        <v>38</v>
      </c>
      <c r="N972" s="5" t="s">
        <v>38</v>
      </c>
      <c r="O972" s="5" t="s">
        <v>40</v>
      </c>
      <c r="P972" s="5" t="s">
        <v>38</v>
      </c>
      <c r="Q972" s="5" t="s">
        <v>38</v>
      </c>
      <c r="R972" s="5" t="s">
        <v>40</v>
      </c>
      <c r="S972" s="5" t="s">
        <v>41</v>
      </c>
      <c r="T972" s="5" t="s">
        <v>9099</v>
      </c>
      <c r="U972" s="5" t="s">
        <v>9100</v>
      </c>
      <c r="V972" s="5" t="s">
        <v>9093</v>
      </c>
      <c r="W972" s="5" t="s">
        <v>9101</v>
      </c>
      <c r="X972" s="5"/>
      <c r="Y972" s="5"/>
      <c r="Z972" s="5" t="s">
        <v>46</v>
      </c>
      <c r="AA972" s="5" t="s">
        <v>9119</v>
      </c>
      <c r="AB972" s="5" t="s">
        <v>117</v>
      </c>
      <c r="AC972" s="7">
        <v>1</v>
      </c>
      <c r="AD972" t="str">
        <f>VLOOKUP($T972,[1]NhanSu!$C$5:$M$229,11,0)</f>
        <v>SM0000048</v>
      </c>
    </row>
    <row r="973" spans="1:30" x14ac:dyDescent="0.45">
      <c r="A973" s="8" t="s">
        <v>9088</v>
      </c>
      <c r="B973" s="4">
        <v>1737</v>
      </c>
      <c r="C973" s="4" t="s">
        <v>9810</v>
      </c>
      <c r="D973" s="4" t="s">
        <v>9811</v>
      </c>
      <c r="E973" s="4" t="s">
        <v>148</v>
      </c>
      <c r="F973" s="4" t="s">
        <v>53</v>
      </c>
      <c r="G973" s="4" t="s">
        <v>34</v>
      </c>
      <c r="H973" s="4" t="s">
        <v>54</v>
      </c>
      <c r="I973" s="4" t="s">
        <v>9812</v>
      </c>
      <c r="J973" s="4" t="s">
        <v>38</v>
      </c>
      <c r="K973" s="4" t="s">
        <v>38</v>
      </c>
      <c r="L973" s="4" t="s">
        <v>40</v>
      </c>
      <c r="M973" s="4" t="s">
        <v>38</v>
      </c>
      <c r="N973" s="4" t="s">
        <v>38</v>
      </c>
      <c r="O973" s="4" t="s">
        <v>40</v>
      </c>
      <c r="P973" s="4" t="s">
        <v>38</v>
      </c>
      <c r="Q973" s="4" t="s">
        <v>38</v>
      </c>
      <c r="R973" s="4" t="s">
        <v>40</v>
      </c>
      <c r="S973" s="4" t="s">
        <v>41</v>
      </c>
      <c r="T973" s="4" t="s">
        <v>9427</v>
      </c>
      <c r="U973" s="4" t="s">
        <v>9469</v>
      </c>
      <c r="V973" s="4" t="s">
        <v>9093</v>
      </c>
      <c r="W973" s="4" t="s">
        <v>9094</v>
      </c>
      <c r="X973" s="4"/>
      <c r="Y973" s="4"/>
      <c r="Z973" s="4" t="s">
        <v>46</v>
      </c>
      <c r="AA973" s="4" t="s">
        <v>9235</v>
      </c>
      <c r="AB973" s="4"/>
      <c r="AC973" s="9">
        <v>1</v>
      </c>
      <c r="AD973" t="str">
        <f>VLOOKUP($T973,[1]NhanSu!$C$5:$M$229,11,0)</f>
        <v>SM0000171</v>
      </c>
    </row>
    <row r="974" spans="1:30" x14ac:dyDescent="0.45">
      <c r="A974" s="6" t="s">
        <v>9088</v>
      </c>
      <c r="B974" s="5">
        <v>1789</v>
      </c>
      <c r="C974" s="5" t="s">
        <v>9816</v>
      </c>
      <c r="D974" s="5" t="s">
        <v>9817</v>
      </c>
      <c r="E974" s="5" t="s">
        <v>9818</v>
      </c>
      <c r="F974" s="5" t="s">
        <v>9819</v>
      </c>
      <c r="G974" s="5" t="s">
        <v>177</v>
      </c>
      <c r="H974" s="5" t="s">
        <v>834</v>
      </c>
      <c r="I974" s="5" t="s">
        <v>9820</v>
      </c>
      <c r="J974" s="5" t="s">
        <v>37</v>
      </c>
      <c r="K974" s="5" t="s">
        <v>37</v>
      </c>
      <c r="L974" s="5" t="s">
        <v>39</v>
      </c>
      <c r="M974" s="5" t="s">
        <v>37</v>
      </c>
      <c r="N974" s="5" t="s">
        <v>37</v>
      </c>
      <c r="O974" s="5" t="s">
        <v>39</v>
      </c>
      <c r="P974" s="5" t="s">
        <v>38</v>
      </c>
      <c r="Q974" s="5" t="s">
        <v>38</v>
      </c>
      <c r="R974" s="5" t="s">
        <v>39</v>
      </c>
      <c r="S974" s="5" t="s">
        <v>41</v>
      </c>
      <c r="T974" s="5" t="s">
        <v>9240</v>
      </c>
      <c r="U974" s="5" t="s">
        <v>9226</v>
      </c>
      <c r="V974" s="5" t="s">
        <v>9093</v>
      </c>
      <c r="W974" s="5" t="s">
        <v>9227</v>
      </c>
      <c r="X974" s="5"/>
      <c r="Y974" s="5"/>
      <c r="Z974" s="5" t="s">
        <v>46</v>
      </c>
      <c r="AA974" s="5" t="s">
        <v>9235</v>
      </c>
      <c r="AB974" s="5"/>
      <c r="AC974" s="7">
        <v>1</v>
      </c>
      <c r="AD974" t="str">
        <f>VLOOKUP($T974,[1]NhanSu!$C$5:$M$229,11,0)</f>
        <v>SM0000044</v>
      </c>
    </row>
    <row r="975" spans="1:30" x14ac:dyDescent="0.45">
      <c r="A975" s="8" t="s">
        <v>9088</v>
      </c>
      <c r="B975" s="4">
        <v>1805</v>
      </c>
      <c r="C975" s="4" t="s">
        <v>9823</v>
      </c>
      <c r="D975" s="4" t="s">
        <v>9824</v>
      </c>
      <c r="E975" s="4" t="s">
        <v>9825</v>
      </c>
      <c r="F975" s="4" t="s">
        <v>166</v>
      </c>
      <c r="G975" s="4" t="s">
        <v>177</v>
      </c>
      <c r="H975" s="4" t="s">
        <v>1750</v>
      </c>
      <c r="I975" s="4" t="s">
        <v>6268</v>
      </c>
      <c r="J975" s="4" t="s">
        <v>37</v>
      </c>
      <c r="K975" s="4" t="s">
        <v>37</v>
      </c>
      <c r="L975" s="4" t="s">
        <v>39</v>
      </c>
      <c r="M975" s="4" t="s">
        <v>37</v>
      </c>
      <c r="N975" s="4" t="s">
        <v>37</v>
      </c>
      <c r="O975" s="4" t="s">
        <v>39</v>
      </c>
      <c r="P975" s="4" t="s">
        <v>38</v>
      </c>
      <c r="Q975" s="4" t="s">
        <v>38</v>
      </c>
      <c r="R975" s="4" t="s">
        <v>39</v>
      </c>
      <c r="S975" s="4" t="s">
        <v>41</v>
      </c>
      <c r="T975" s="4" t="s">
        <v>9240</v>
      </c>
      <c r="U975" s="4" t="s">
        <v>9226</v>
      </c>
      <c r="V975" s="4" t="s">
        <v>9093</v>
      </c>
      <c r="W975" s="4" t="s">
        <v>9227</v>
      </c>
      <c r="X975" s="4"/>
      <c r="Y975" s="4"/>
      <c r="Z975" s="4" t="s">
        <v>46</v>
      </c>
      <c r="AA975" s="4" t="s">
        <v>9095</v>
      </c>
      <c r="AB975" s="4"/>
      <c r="AC975" s="9">
        <v>1</v>
      </c>
      <c r="AD975" t="str">
        <f>VLOOKUP($T975,[1]NhanSu!$C$5:$M$229,11,0)</f>
        <v>SM0000044</v>
      </c>
    </row>
    <row r="976" spans="1:30" x14ac:dyDescent="0.45">
      <c r="A976" s="6" t="s">
        <v>9088</v>
      </c>
      <c r="B976" s="5">
        <v>1827</v>
      </c>
      <c r="C976" s="5" t="s">
        <v>9831</v>
      </c>
      <c r="D976" s="5" t="s">
        <v>9832</v>
      </c>
      <c r="E976" s="5" t="s">
        <v>113</v>
      </c>
      <c r="F976" s="5" t="s">
        <v>53</v>
      </c>
      <c r="G976" s="5" t="s">
        <v>177</v>
      </c>
      <c r="H976" s="5" t="s">
        <v>1904</v>
      </c>
      <c r="I976" s="5" t="s">
        <v>9833</v>
      </c>
      <c r="J976" s="5" t="s">
        <v>38</v>
      </c>
      <c r="K976" s="5" t="s">
        <v>38</v>
      </c>
      <c r="L976" s="5" t="s">
        <v>40</v>
      </c>
      <c r="M976" s="5" t="s">
        <v>37</v>
      </c>
      <c r="N976" s="5" t="s">
        <v>37</v>
      </c>
      <c r="O976" s="5" t="s">
        <v>39</v>
      </c>
      <c r="P976" s="5" t="s">
        <v>38</v>
      </c>
      <c r="Q976" s="5" t="s">
        <v>38</v>
      </c>
      <c r="R976" s="5" t="s">
        <v>40</v>
      </c>
      <c r="S976" s="5" t="s">
        <v>41</v>
      </c>
      <c r="T976" s="5" t="s">
        <v>9199</v>
      </c>
      <c r="U976" s="5" t="s">
        <v>9200</v>
      </c>
      <c r="V976" s="5" t="s">
        <v>9093</v>
      </c>
      <c r="W976" s="5" t="s">
        <v>9180</v>
      </c>
      <c r="X976" s="5"/>
      <c r="Y976" s="5"/>
      <c r="Z976" s="5" t="s">
        <v>46</v>
      </c>
      <c r="AA976" s="5" t="s">
        <v>9095</v>
      </c>
      <c r="AB976" s="5"/>
      <c r="AC976" s="7">
        <v>1</v>
      </c>
      <c r="AD976" t="str">
        <f>VLOOKUP($T976,[1]NhanSu!$C$5:$M$229,11,0)</f>
        <v>SM0000047</v>
      </c>
    </row>
    <row r="977" spans="1:30" x14ac:dyDescent="0.45">
      <c r="A977" s="8" t="s">
        <v>9088</v>
      </c>
      <c r="B977" s="4">
        <v>1853</v>
      </c>
      <c r="C977" s="4" t="s">
        <v>9844</v>
      </c>
      <c r="D977" s="4" t="s">
        <v>9845</v>
      </c>
      <c r="E977" s="4" t="s">
        <v>32</v>
      </c>
      <c r="F977" s="4" t="s">
        <v>53</v>
      </c>
      <c r="G977" s="4" t="s">
        <v>177</v>
      </c>
      <c r="H977" s="4" t="s">
        <v>685</v>
      </c>
      <c r="I977" s="4" t="s">
        <v>9846</v>
      </c>
      <c r="J977" s="4" t="s">
        <v>38</v>
      </c>
      <c r="K977" s="4" t="s">
        <v>38</v>
      </c>
      <c r="L977" s="4" t="s">
        <v>40</v>
      </c>
      <c r="M977" s="4" t="s">
        <v>38</v>
      </c>
      <c r="N977" s="4" t="s">
        <v>38</v>
      </c>
      <c r="O977" s="4" t="s">
        <v>40</v>
      </c>
      <c r="P977" s="4" t="s">
        <v>38</v>
      </c>
      <c r="Q977" s="4" t="s">
        <v>38</v>
      </c>
      <c r="R977" s="4" t="s">
        <v>40</v>
      </c>
      <c r="S977" s="4" t="s">
        <v>41</v>
      </c>
      <c r="T977" s="4" t="s">
        <v>9199</v>
      </c>
      <c r="U977" s="4" t="s">
        <v>9200</v>
      </c>
      <c r="V977" s="4" t="s">
        <v>9093</v>
      </c>
      <c r="W977" s="4" t="s">
        <v>9180</v>
      </c>
      <c r="X977" s="4"/>
      <c r="Y977" s="4"/>
      <c r="Z977" s="4" t="s">
        <v>46</v>
      </c>
      <c r="AA977" s="4" t="s">
        <v>9263</v>
      </c>
      <c r="AB977" s="4"/>
      <c r="AC977" s="9">
        <v>1</v>
      </c>
      <c r="AD977" t="str">
        <f>VLOOKUP($T977,[1]NhanSu!$C$5:$M$229,11,0)</f>
        <v>SM0000047</v>
      </c>
    </row>
    <row r="978" spans="1:30" x14ac:dyDescent="0.45">
      <c r="A978" s="6" t="s">
        <v>9088</v>
      </c>
      <c r="B978" s="5">
        <v>1911</v>
      </c>
      <c r="C978" s="5" t="s">
        <v>9859</v>
      </c>
      <c r="D978" s="5" t="s">
        <v>9860</v>
      </c>
      <c r="E978" s="5" t="s">
        <v>4186</v>
      </c>
      <c r="F978" s="5" t="s">
        <v>166</v>
      </c>
      <c r="G978" s="5" t="s">
        <v>34</v>
      </c>
      <c r="H978" s="5" t="s">
        <v>345</v>
      </c>
      <c r="I978" s="5" t="s">
        <v>2049</v>
      </c>
      <c r="J978" s="5" t="s">
        <v>38</v>
      </c>
      <c r="K978" s="5" t="s">
        <v>38</v>
      </c>
      <c r="L978" s="5" t="s">
        <v>40</v>
      </c>
      <c r="M978" s="5" t="s">
        <v>38</v>
      </c>
      <c r="N978" s="5" t="s">
        <v>38</v>
      </c>
      <c r="O978" s="5" t="s">
        <v>40</v>
      </c>
      <c r="P978" s="5" t="s">
        <v>38</v>
      </c>
      <c r="Q978" s="5" t="s">
        <v>38</v>
      </c>
      <c r="R978" s="5" t="s">
        <v>40</v>
      </c>
      <c r="S978" s="5" t="s">
        <v>41</v>
      </c>
      <c r="T978" s="5" t="s">
        <v>9099</v>
      </c>
      <c r="U978" s="5" t="s">
        <v>9100</v>
      </c>
      <c r="V978" s="5" t="s">
        <v>9093</v>
      </c>
      <c r="W978" s="5" t="s">
        <v>9101</v>
      </c>
      <c r="X978" s="5"/>
      <c r="Y978" s="5"/>
      <c r="Z978" s="5" t="s">
        <v>46</v>
      </c>
      <c r="AA978" s="5" t="s">
        <v>9119</v>
      </c>
      <c r="AB978" s="5"/>
      <c r="AC978" s="7">
        <v>1</v>
      </c>
      <c r="AD978" t="str">
        <f>VLOOKUP($T978,[1]NhanSu!$C$5:$M$229,11,0)</f>
        <v>SM0000048</v>
      </c>
    </row>
    <row r="979" spans="1:30" x14ac:dyDescent="0.45">
      <c r="A979" s="8" t="s">
        <v>9088</v>
      </c>
      <c r="B979" s="4">
        <v>1927</v>
      </c>
      <c r="C979" s="4" t="s">
        <v>9872</v>
      </c>
      <c r="D979" s="4" t="s">
        <v>3798</v>
      </c>
      <c r="E979" s="4" t="s">
        <v>9873</v>
      </c>
      <c r="F979" s="4" t="s">
        <v>53</v>
      </c>
      <c r="G979" s="4" t="s">
        <v>177</v>
      </c>
      <c r="H979" s="4" t="s">
        <v>2426</v>
      </c>
      <c r="I979" s="4" t="s">
        <v>9874</v>
      </c>
      <c r="J979" s="4" t="s">
        <v>38</v>
      </c>
      <c r="K979" s="4" t="s">
        <v>38</v>
      </c>
      <c r="L979" s="4" t="s">
        <v>40</v>
      </c>
      <c r="M979" s="4" t="s">
        <v>38</v>
      </c>
      <c r="N979" s="4" t="s">
        <v>38</v>
      </c>
      <c r="O979" s="4" t="s">
        <v>40</v>
      </c>
      <c r="P979" s="4" t="s">
        <v>38</v>
      </c>
      <c r="Q979" s="4" t="s">
        <v>38</v>
      </c>
      <c r="R979" s="4" t="s">
        <v>40</v>
      </c>
      <c r="S979" s="4" t="s">
        <v>9738</v>
      </c>
      <c r="T979" s="4" t="s">
        <v>9648</v>
      </c>
      <c r="U979" s="4" t="s">
        <v>9649</v>
      </c>
      <c r="V979" s="4" t="s">
        <v>9093</v>
      </c>
      <c r="W979" s="4" t="s">
        <v>9101</v>
      </c>
      <c r="X979" s="4"/>
      <c r="Y979" s="4"/>
      <c r="Z979" s="4" t="s">
        <v>46</v>
      </c>
      <c r="AA979" s="4" t="s">
        <v>9095</v>
      </c>
      <c r="AB979" s="4"/>
      <c r="AC979" s="9">
        <v>1</v>
      </c>
      <c r="AD979" t="str">
        <f>VLOOKUP($T979,[1]NhanSu!$C$5:$M$229,11,0)</f>
        <v>SM0000049</v>
      </c>
    </row>
    <row r="980" spans="1:30" x14ac:dyDescent="0.45">
      <c r="A980" s="6" t="s">
        <v>9088</v>
      </c>
      <c r="B980" s="5">
        <v>1928</v>
      </c>
      <c r="C980" s="5" t="s">
        <v>9875</v>
      </c>
      <c r="D980" s="5" t="s">
        <v>9876</v>
      </c>
      <c r="E980" s="5" t="s">
        <v>1941</v>
      </c>
      <c r="F980" s="5" t="s">
        <v>9211</v>
      </c>
      <c r="G980" s="5" t="s">
        <v>34</v>
      </c>
      <c r="H980" s="5" t="s">
        <v>54</v>
      </c>
      <c r="I980" s="5" t="s">
        <v>9877</v>
      </c>
      <c r="J980" s="5" t="s">
        <v>38</v>
      </c>
      <c r="K980" s="5" t="s">
        <v>38</v>
      </c>
      <c r="L980" s="5" t="s">
        <v>40</v>
      </c>
      <c r="M980" s="5" t="s">
        <v>775</v>
      </c>
      <c r="N980" s="5" t="s">
        <v>775</v>
      </c>
      <c r="O980" s="5" t="s">
        <v>39</v>
      </c>
      <c r="P980" s="5" t="s">
        <v>38</v>
      </c>
      <c r="Q980" s="5" t="s">
        <v>38</v>
      </c>
      <c r="R980" s="5" t="s">
        <v>40</v>
      </c>
      <c r="S980" s="5" t="s">
        <v>9878</v>
      </c>
      <c r="T980" s="5" t="s">
        <v>9142</v>
      </c>
      <c r="U980" s="5" t="s">
        <v>9143</v>
      </c>
      <c r="V980" s="5" t="s">
        <v>9093</v>
      </c>
      <c r="W980" s="5" t="s">
        <v>2978</v>
      </c>
      <c r="X980" s="5"/>
      <c r="Y980" s="5"/>
      <c r="Z980" s="5" t="s">
        <v>46</v>
      </c>
      <c r="AA980" s="5" t="s">
        <v>9095</v>
      </c>
      <c r="AB980" s="5"/>
      <c r="AC980" s="7">
        <v>1</v>
      </c>
      <c r="AD980" t="str">
        <f>VLOOKUP($T980,[1]NhanSu!$C$5:$M$229,11,0)</f>
        <v>SM0000051</v>
      </c>
    </row>
    <row r="981" spans="1:30" x14ac:dyDescent="0.45">
      <c r="A981" s="8" t="s">
        <v>9088</v>
      </c>
      <c r="B981" s="4">
        <v>1932</v>
      </c>
      <c r="C981" s="4" t="s">
        <v>9879</v>
      </c>
      <c r="D981" s="4" t="s">
        <v>9880</v>
      </c>
      <c r="E981" s="4" t="s">
        <v>9881</v>
      </c>
      <c r="F981" s="4" t="s">
        <v>401</v>
      </c>
      <c r="G981" s="4" t="s">
        <v>150</v>
      </c>
      <c r="H981" s="4" t="s">
        <v>525</v>
      </c>
      <c r="I981" s="4" t="s">
        <v>4578</v>
      </c>
      <c r="J981" s="4" t="s">
        <v>38</v>
      </c>
      <c r="K981" s="4" t="s">
        <v>38</v>
      </c>
      <c r="L981" s="4" t="s">
        <v>40</v>
      </c>
      <c r="M981" s="4" t="s">
        <v>38</v>
      </c>
      <c r="N981" s="4" t="s">
        <v>38</v>
      </c>
      <c r="O981" s="4" t="s">
        <v>40</v>
      </c>
      <c r="P981" s="4" t="s">
        <v>38</v>
      </c>
      <c r="Q981" s="4" t="s">
        <v>38</v>
      </c>
      <c r="R981" s="4" t="s">
        <v>40</v>
      </c>
      <c r="S981" s="4" t="s">
        <v>41</v>
      </c>
      <c r="T981" s="4" t="s">
        <v>9099</v>
      </c>
      <c r="U981" s="4" t="s">
        <v>9100</v>
      </c>
      <c r="V981" s="4" t="s">
        <v>9093</v>
      </c>
      <c r="W981" s="4" t="s">
        <v>9101</v>
      </c>
      <c r="X981" s="4"/>
      <c r="Y981" s="4"/>
      <c r="Z981" s="4" t="s">
        <v>46</v>
      </c>
      <c r="AA981" s="4" t="s">
        <v>9119</v>
      </c>
      <c r="AB981" s="4"/>
      <c r="AC981" s="9">
        <v>1</v>
      </c>
      <c r="AD981" t="str">
        <f>VLOOKUP($T981,[1]NhanSu!$C$5:$M$229,11,0)</f>
        <v>SM0000048</v>
      </c>
    </row>
    <row r="982" spans="1:30" x14ac:dyDescent="0.45">
      <c r="A982" s="6" t="s">
        <v>9088</v>
      </c>
      <c r="B982" s="5">
        <v>1970</v>
      </c>
      <c r="C982" s="5" t="s">
        <v>9886</v>
      </c>
      <c r="D982" s="5" t="s">
        <v>9887</v>
      </c>
      <c r="E982" s="5" t="s">
        <v>69</v>
      </c>
      <c r="F982" s="5" t="s">
        <v>53</v>
      </c>
      <c r="G982" s="5" t="s">
        <v>177</v>
      </c>
      <c r="H982" s="5" t="s">
        <v>1658</v>
      </c>
      <c r="I982" s="5" t="s">
        <v>9434</v>
      </c>
      <c r="J982" s="5" t="s">
        <v>38</v>
      </c>
      <c r="K982" s="5" t="s">
        <v>38</v>
      </c>
      <c r="L982" s="5" t="s">
        <v>40</v>
      </c>
      <c r="M982" s="5" t="s">
        <v>56</v>
      </c>
      <c r="N982" s="5" t="s">
        <v>56</v>
      </c>
      <c r="O982" s="5" t="s">
        <v>39</v>
      </c>
      <c r="P982" s="5" t="s">
        <v>38</v>
      </c>
      <c r="Q982" s="5" t="s">
        <v>38</v>
      </c>
      <c r="R982" s="5" t="s">
        <v>40</v>
      </c>
      <c r="S982" s="5" t="s">
        <v>9888</v>
      </c>
      <c r="T982" s="5" t="s">
        <v>9199</v>
      </c>
      <c r="U982" s="5" t="s">
        <v>9200</v>
      </c>
      <c r="V982" s="5" t="s">
        <v>9093</v>
      </c>
      <c r="W982" s="5" t="s">
        <v>9180</v>
      </c>
      <c r="X982" s="5"/>
      <c r="Y982" s="5"/>
      <c r="Z982" s="5" t="s">
        <v>46</v>
      </c>
      <c r="AA982" s="5" t="s">
        <v>9119</v>
      </c>
      <c r="AB982" s="5"/>
      <c r="AC982" s="7">
        <v>1</v>
      </c>
      <c r="AD982" t="str">
        <f>VLOOKUP($T982,[1]NhanSu!$C$5:$M$229,11,0)</f>
        <v>SM0000047</v>
      </c>
    </row>
    <row r="983" spans="1:30" x14ac:dyDescent="0.45">
      <c r="A983" s="8" t="s">
        <v>9088</v>
      </c>
      <c r="B983" s="4">
        <v>2029</v>
      </c>
      <c r="C983" s="4" t="s">
        <v>9902</v>
      </c>
      <c r="D983" s="4" t="s">
        <v>9903</v>
      </c>
      <c r="E983" s="4" t="s">
        <v>9593</v>
      </c>
      <c r="F983" s="4" t="s">
        <v>53</v>
      </c>
      <c r="G983" s="4" t="s">
        <v>34</v>
      </c>
      <c r="H983" s="4" t="s">
        <v>54</v>
      </c>
      <c r="I983" s="4" t="s">
        <v>9904</v>
      </c>
      <c r="J983" s="4" t="s">
        <v>38</v>
      </c>
      <c r="K983" s="4" t="s">
        <v>38</v>
      </c>
      <c r="L983" s="4" t="s">
        <v>40</v>
      </c>
      <c r="M983" s="4" t="s">
        <v>38</v>
      </c>
      <c r="N983" s="4" t="s">
        <v>38</v>
      </c>
      <c r="O983" s="4" t="s">
        <v>40</v>
      </c>
      <c r="P983" s="4" t="s">
        <v>38</v>
      </c>
      <c r="Q983" s="4" t="s">
        <v>38</v>
      </c>
      <c r="R983" s="4" t="s">
        <v>40</v>
      </c>
      <c r="S983" s="4" t="s">
        <v>41</v>
      </c>
      <c r="T983" s="4" t="s">
        <v>9427</v>
      </c>
      <c r="U983" s="4" t="s">
        <v>9148</v>
      </c>
      <c r="V983" s="4" t="s">
        <v>9093</v>
      </c>
      <c r="W983" s="4" t="s">
        <v>9094</v>
      </c>
      <c r="X983" s="4"/>
      <c r="Y983" s="4"/>
      <c r="Z983" s="4" t="s">
        <v>46</v>
      </c>
      <c r="AA983" s="4" t="s">
        <v>9235</v>
      </c>
      <c r="AB983" s="4"/>
      <c r="AC983" s="9">
        <v>1</v>
      </c>
      <c r="AD983" t="str">
        <f>VLOOKUP($T983,[1]NhanSu!$C$5:$M$229,11,0)</f>
        <v>SM0000171</v>
      </c>
    </row>
    <row r="984" spans="1:30" x14ac:dyDescent="0.45">
      <c r="A984" s="6" t="s">
        <v>9088</v>
      </c>
      <c r="B984" s="5">
        <v>2032</v>
      </c>
      <c r="C984" s="5" t="s">
        <v>9906</v>
      </c>
      <c r="D984" s="5" t="s">
        <v>9907</v>
      </c>
      <c r="E984" s="5" t="s">
        <v>9908</v>
      </c>
      <c r="F984" s="5" t="s">
        <v>666</v>
      </c>
      <c r="G984" s="5" t="s">
        <v>34</v>
      </c>
      <c r="H984" s="5" t="s">
        <v>54</v>
      </c>
      <c r="I984" s="5" t="s">
        <v>9909</v>
      </c>
      <c r="J984" s="5" t="s">
        <v>38</v>
      </c>
      <c r="K984" s="5" t="s">
        <v>38</v>
      </c>
      <c r="L984" s="5" t="s">
        <v>40</v>
      </c>
      <c r="M984" s="5" t="s">
        <v>38</v>
      </c>
      <c r="N984" s="5" t="s">
        <v>38</v>
      </c>
      <c r="O984" s="5" t="s">
        <v>40</v>
      </c>
      <c r="P984" s="5" t="s">
        <v>1034</v>
      </c>
      <c r="Q984" s="5" t="s">
        <v>38</v>
      </c>
      <c r="R984" s="5" t="s">
        <v>40</v>
      </c>
      <c r="S984" s="5" t="s">
        <v>41</v>
      </c>
      <c r="T984" s="5" t="s">
        <v>9427</v>
      </c>
      <c r="U984" s="5" t="s">
        <v>9148</v>
      </c>
      <c r="V984" s="5" t="s">
        <v>9093</v>
      </c>
      <c r="W984" s="5" t="s">
        <v>9094</v>
      </c>
      <c r="X984" s="5"/>
      <c r="Y984" s="5"/>
      <c r="Z984" s="5" t="s">
        <v>46</v>
      </c>
      <c r="AA984" s="5" t="s">
        <v>9235</v>
      </c>
      <c r="AB984" s="5"/>
      <c r="AC984" s="7">
        <v>1</v>
      </c>
      <c r="AD984" t="str">
        <f>VLOOKUP($T984,[1]NhanSu!$C$5:$M$229,11,0)</f>
        <v>SM0000171</v>
      </c>
    </row>
    <row r="985" spans="1:30" x14ac:dyDescent="0.45">
      <c r="A985" s="8" t="s">
        <v>9088</v>
      </c>
      <c r="B985" s="4">
        <v>2048</v>
      </c>
      <c r="C985" s="4" t="s">
        <v>9910</v>
      </c>
      <c r="D985" s="4" t="s">
        <v>9911</v>
      </c>
      <c r="E985" s="4" t="s">
        <v>2148</v>
      </c>
      <c r="F985" s="4" t="s">
        <v>2365</v>
      </c>
      <c r="G985" s="4" t="s">
        <v>177</v>
      </c>
      <c r="H985" s="4" t="s">
        <v>1177</v>
      </c>
      <c r="I985" s="4" t="s">
        <v>9912</v>
      </c>
      <c r="J985" s="4" t="s">
        <v>38</v>
      </c>
      <c r="K985" s="4" t="s">
        <v>38</v>
      </c>
      <c r="L985" s="4" t="s">
        <v>39</v>
      </c>
      <c r="M985" s="4" t="s">
        <v>37</v>
      </c>
      <c r="N985" s="4" t="s">
        <v>37</v>
      </c>
      <c r="O985" s="4" t="s">
        <v>39</v>
      </c>
      <c r="P985" s="4" t="s">
        <v>38</v>
      </c>
      <c r="Q985" s="4" t="s">
        <v>38</v>
      </c>
      <c r="R985" s="4" t="s">
        <v>39</v>
      </c>
      <c r="S985" s="4" t="s">
        <v>41</v>
      </c>
      <c r="T985" s="4" t="s">
        <v>9178</v>
      </c>
      <c r="U985" s="4" t="s">
        <v>9179</v>
      </c>
      <c r="V985" s="4" t="s">
        <v>9093</v>
      </c>
      <c r="W985" s="4" t="s">
        <v>9180</v>
      </c>
      <c r="X985" s="4"/>
      <c r="Y985" s="4"/>
      <c r="Z985" s="4" t="s">
        <v>46</v>
      </c>
      <c r="AA985" s="4" t="s">
        <v>9263</v>
      </c>
      <c r="AB985" s="4"/>
      <c r="AC985" s="9">
        <v>1</v>
      </c>
      <c r="AD985" t="str">
        <f>VLOOKUP($T985,[1]NhanSu!$C$5:$M$229,11,0)</f>
        <v>SM0000046</v>
      </c>
    </row>
    <row r="986" spans="1:30" x14ac:dyDescent="0.45">
      <c r="A986" s="6" t="s">
        <v>9088</v>
      </c>
      <c r="B986" s="5">
        <v>2087</v>
      </c>
      <c r="C986" s="5" t="s">
        <v>9916</v>
      </c>
      <c r="D986" s="5" t="s">
        <v>9917</v>
      </c>
      <c r="E986" s="5" t="s">
        <v>9918</v>
      </c>
      <c r="F986" s="5" t="s">
        <v>115</v>
      </c>
      <c r="G986" s="5" t="s">
        <v>34</v>
      </c>
      <c r="H986" s="5" t="s">
        <v>192</v>
      </c>
      <c r="I986" s="5" t="s">
        <v>2543</v>
      </c>
      <c r="J986" s="5" t="s">
        <v>38</v>
      </c>
      <c r="K986" s="5" t="s">
        <v>38</v>
      </c>
      <c r="L986" s="5" t="s">
        <v>40</v>
      </c>
      <c r="M986" s="5" t="s">
        <v>38</v>
      </c>
      <c r="N986" s="5" t="s">
        <v>38</v>
      </c>
      <c r="O986" s="5" t="s">
        <v>40</v>
      </c>
      <c r="P986" s="5" t="s">
        <v>38</v>
      </c>
      <c r="Q986" s="5" t="s">
        <v>38</v>
      </c>
      <c r="R986" s="5" t="s">
        <v>40</v>
      </c>
      <c r="S986" s="5" t="s">
        <v>41</v>
      </c>
      <c r="T986" s="5" t="s">
        <v>9099</v>
      </c>
      <c r="U986" s="5" t="s">
        <v>9100</v>
      </c>
      <c r="V986" s="5" t="s">
        <v>9093</v>
      </c>
      <c r="W986" s="5" t="s">
        <v>9101</v>
      </c>
      <c r="X986" s="5"/>
      <c r="Y986" s="5"/>
      <c r="Z986" s="5" t="s">
        <v>46</v>
      </c>
      <c r="AA986" s="5" t="s">
        <v>9119</v>
      </c>
      <c r="AB986" s="5"/>
      <c r="AC986" s="7">
        <v>1</v>
      </c>
      <c r="AD986" t="str">
        <f>VLOOKUP($T986,[1]NhanSu!$C$5:$M$229,11,0)</f>
        <v>SM0000048</v>
      </c>
    </row>
    <row r="987" spans="1:30" x14ac:dyDescent="0.45">
      <c r="A987" s="8" t="s">
        <v>9088</v>
      </c>
      <c r="B987" s="4">
        <v>2092</v>
      </c>
      <c r="C987" s="4" t="s">
        <v>9919</v>
      </c>
      <c r="D987" s="4" t="s">
        <v>9920</v>
      </c>
      <c r="E987" s="4" t="s">
        <v>9921</v>
      </c>
      <c r="F987" s="4" t="s">
        <v>115</v>
      </c>
      <c r="G987" s="4" t="s">
        <v>1624</v>
      </c>
      <c r="H987" s="4" t="s">
        <v>2625</v>
      </c>
      <c r="I987" s="4" t="s">
        <v>9922</v>
      </c>
      <c r="J987" s="4" t="s">
        <v>38</v>
      </c>
      <c r="K987" s="4" t="s">
        <v>38</v>
      </c>
      <c r="L987" s="4" t="s">
        <v>40</v>
      </c>
      <c r="M987" s="4" t="s">
        <v>38</v>
      </c>
      <c r="N987" s="4" t="s">
        <v>38</v>
      </c>
      <c r="O987" s="4" t="s">
        <v>40</v>
      </c>
      <c r="P987" s="4" t="s">
        <v>38</v>
      </c>
      <c r="Q987" s="4" t="s">
        <v>38</v>
      </c>
      <c r="R987" s="4" t="s">
        <v>40</v>
      </c>
      <c r="S987" s="4" t="s">
        <v>41</v>
      </c>
      <c r="T987" s="4" t="s">
        <v>9099</v>
      </c>
      <c r="U987" s="4" t="s">
        <v>9100</v>
      </c>
      <c r="V987" s="4" t="s">
        <v>9093</v>
      </c>
      <c r="W987" s="4" t="s">
        <v>9101</v>
      </c>
      <c r="X987" s="4"/>
      <c r="Y987" s="4"/>
      <c r="Z987" s="4" t="s">
        <v>46</v>
      </c>
      <c r="AA987" s="4" t="s">
        <v>9119</v>
      </c>
      <c r="AB987" s="4"/>
      <c r="AC987" s="9">
        <v>1</v>
      </c>
      <c r="AD987" t="str">
        <f>VLOOKUP($T987,[1]NhanSu!$C$5:$M$229,11,0)</f>
        <v>SM0000048</v>
      </c>
    </row>
    <row r="988" spans="1:30" x14ac:dyDescent="0.45">
      <c r="A988" s="6" t="s">
        <v>9088</v>
      </c>
      <c r="B988" s="5">
        <v>2106</v>
      </c>
      <c r="C988" s="5" t="s">
        <v>9925</v>
      </c>
      <c r="D988" s="5" t="s">
        <v>9926</v>
      </c>
      <c r="E988" s="5" t="s">
        <v>32</v>
      </c>
      <c r="F988" s="5" t="s">
        <v>53</v>
      </c>
      <c r="G988" s="5" t="s">
        <v>177</v>
      </c>
      <c r="H988" s="5" t="s">
        <v>54</v>
      </c>
      <c r="I988" s="5" t="s">
        <v>9927</v>
      </c>
      <c r="J988" s="5" t="s">
        <v>38</v>
      </c>
      <c r="K988" s="5" t="s">
        <v>38</v>
      </c>
      <c r="L988" s="5" t="s">
        <v>40</v>
      </c>
      <c r="M988" s="5" t="s">
        <v>38</v>
      </c>
      <c r="N988" s="5" t="s">
        <v>37</v>
      </c>
      <c r="O988" s="5" t="s">
        <v>39</v>
      </c>
      <c r="P988" s="5" t="s">
        <v>38</v>
      </c>
      <c r="Q988" s="5" t="s">
        <v>38</v>
      </c>
      <c r="R988" s="5" t="s">
        <v>40</v>
      </c>
      <c r="S988" s="5" t="s">
        <v>5169</v>
      </c>
      <c r="T988" s="5" t="s">
        <v>9648</v>
      </c>
      <c r="U988" s="5" t="s">
        <v>9649</v>
      </c>
      <c r="V988" s="5" t="s">
        <v>9093</v>
      </c>
      <c r="W988" s="5" t="s">
        <v>9101</v>
      </c>
      <c r="X988" s="5"/>
      <c r="Y988" s="5"/>
      <c r="Z988" s="5" t="s">
        <v>46</v>
      </c>
      <c r="AA988" s="5" t="s">
        <v>9119</v>
      </c>
      <c r="AB988" s="5"/>
      <c r="AC988" s="7">
        <v>1</v>
      </c>
      <c r="AD988" t="str">
        <f>VLOOKUP($T988,[1]NhanSu!$C$5:$M$229,11,0)</f>
        <v>SM0000049</v>
      </c>
    </row>
    <row r="989" spans="1:30" x14ac:dyDescent="0.45">
      <c r="A989" s="8" t="s">
        <v>9088</v>
      </c>
      <c r="B989" s="4">
        <v>2124</v>
      </c>
      <c r="C989" s="4" t="s">
        <v>9938</v>
      </c>
      <c r="D989" s="4" t="s">
        <v>9939</v>
      </c>
      <c r="E989" s="4" t="s">
        <v>9940</v>
      </c>
      <c r="F989" s="4" t="s">
        <v>53</v>
      </c>
      <c r="G989" s="4" t="s">
        <v>177</v>
      </c>
      <c r="H989" s="4" t="s">
        <v>708</v>
      </c>
      <c r="I989" s="4" t="s">
        <v>9941</v>
      </c>
      <c r="J989" s="4" t="s">
        <v>37</v>
      </c>
      <c r="K989" s="4" t="s">
        <v>37</v>
      </c>
      <c r="L989" s="4" t="s">
        <v>39</v>
      </c>
      <c r="M989" s="4" t="s">
        <v>37</v>
      </c>
      <c r="N989" s="4" t="s">
        <v>37</v>
      </c>
      <c r="O989" s="4" t="s">
        <v>39</v>
      </c>
      <c r="P989" s="4" t="s">
        <v>38</v>
      </c>
      <c r="Q989" s="4" t="s">
        <v>38</v>
      </c>
      <c r="R989" s="4" t="s">
        <v>39</v>
      </c>
      <c r="S989" s="4" t="s">
        <v>41</v>
      </c>
      <c r="T989" s="4" t="s">
        <v>9240</v>
      </c>
      <c r="U989" s="4" t="s">
        <v>9226</v>
      </c>
      <c r="V989" s="4" t="s">
        <v>9093</v>
      </c>
      <c r="W989" s="4" t="s">
        <v>9227</v>
      </c>
      <c r="X989" s="4"/>
      <c r="Y989" s="4"/>
      <c r="Z989" s="4" t="s">
        <v>46</v>
      </c>
      <c r="AA989" s="4" t="s">
        <v>9235</v>
      </c>
      <c r="AB989" s="4"/>
      <c r="AC989" s="9">
        <v>1</v>
      </c>
      <c r="AD989" t="str">
        <f>VLOOKUP($T989,[1]NhanSu!$C$5:$M$229,11,0)</f>
        <v>SM0000044</v>
      </c>
    </row>
    <row r="990" spans="1:30" x14ac:dyDescent="0.45">
      <c r="A990" s="6" t="s">
        <v>9088</v>
      </c>
      <c r="B990" s="5">
        <v>2133</v>
      </c>
      <c r="C990" s="5" t="s">
        <v>9945</v>
      </c>
      <c r="D990" s="5" t="s">
        <v>9946</v>
      </c>
      <c r="E990" s="5" t="s">
        <v>297</v>
      </c>
      <c r="F990" s="5" t="s">
        <v>166</v>
      </c>
      <c r="G990" s="5" t="s">
        <v>177</v>
      </c>
      <c r="H990" s="5" t="s">
        <v>54</v>
      </c>
      <c r="I990" s="5" t="s">
        <v>9947</v>
      </c>
      <c r="J990" s="5" t="s">
        <v>41</v>
      </c>
      <c r="K990" s="5" t="s">
        <v>41</v>
      </c>
      <c r="L990" s="5" t="s">
        <v>41</v>
      </c>
      <c r="M990" s="5" t="s">
        <v>41</v>
      </c>
      <c r="N990" s="5" t="s">
        <v>41</v>
      </c>
      <c r="O990" s="5" t="s">
        <v>41</v>
      </c>
      <c r="P990" s="5" t="s">
        <v>41</v>
      </c>
      <c r="Q990" s="5" t="s">
        <v>41</v>
      </c>
      <c r="R990" s="5" t="s">
        <v>41</v>
      </c>
      <c r="S990" s="5" t="s">
        <v>41</v>
      </c>
      <c r="T990" s="5" t="s">
        <v>9178</v>
      </c>
      <c r="U990" s="5" t="s">
        <v>9179</v>
      </c>
      <c r="V990" s="5" t="s">
        <v>9093</v>
      </c>
      <c r="W990" s="5" t="s">
        <v>9180</v>
      </c>
      <c r="X990" s="5"/>
      <c r="Y990" s="5"/>
      <c r="Z990" s="5" t="s">
        <v>46</v>
      </c>
      <c r="AA990" s="5" t="s">
        <v>9119</v>
      </c>
      <c r="AB990" s="5"/>
      <c r="AC990" s="7">
        <v>1</v>
      </c>
      <c r="AD990" t="str">
        <f>VLOOKUP($T990,[1]NhanSu!$C$5:$M$229,11,0)</f>
        <v>SM0000046</v>
      </c>
    </row>
    <row r="991" spans="1:30" x14ac:dyDescent="0.45">
      <c r="A991" s="8" t="s">
        <v>9088</v>
      </c>
      <c r="B991" s="4">
        <v>2167</v>
      </c>
      <c r="C991" s="4" t="s">
        <v>9952</v>
      </c>
      <c r="D991" s="4" t="s">
        <v>9953</v>
      </c>
      <c r="E991" s="4" t="s">
        <v>9954</v>
      </c>
      <c r="F991" s="4" t="s">
        <v>115</v>
      </c>
      <c r="G991" s="4" t="s">
        <v>34</v>
      </c>
      <c r="H991" s="4" t="s">
        <v>356</v>
      </c>
      <c r="I991" s="4" t="s">
        <v>1091</v>
      </c>
      <c r="J991" s="4" t="s">
        <v>38</v>
      </c>
      <c r="K991" s="4" t="s">
        <v>38</v>
      </c>
      <c r="L991" s="4" t="s">
        <v>40</v>
      </c>
      <c r="M991" s="4" t="s">
        <v>38</v>
      </c>
      <c r="N991" s="4" t="s">
        <v>38</v>
      </c>
      <c r="O991" s="4" t="s">
        <v>40</v>
      </c>
      <c r="P991" s="4" t="s">
        <v>38</v>
      </c>
      <c r="Q991" s="4" t="s">
        <v>38</v>
      </c>
      <c r="R991" s="4" t="s">
        <v>40</v>
      </c>
      <c r="S991" s="4" t="s">
        <v>41</v>
      </c>
      <c r="T991" s="4" t="s">
        <v>9099</v>
      </c>
      <c r="U991" s="4" t="s">
        <v>9100</v>
      </c>
      <c r="V991" s="4" t="s">
        <v>9093</v>
      </c>
      <c r="W991" s="4" t="s">
        <v>9101</v>
      </c>
      <c r="X991" s="4"/>
      <c r="Y991" s="4"/>
      <c r="Z991" s="4" t="s">
        <v>46</v>
      </c>
      <c r="AA991" s="4" t="s">
        <v>9119</v>
      </c>
      <c r="AB991" s="4"/>
      <c r="AC991" s="9">
        <v>1</v>
      </c>
      <c r="AD991" t="str">
        <f>VLOOKUP($T991,[1]NhanSu!$C$5:$M$229,11,0)</f>
        <v>SM0000048</v>
      </c>
    </row>
    <row r="992" spans="1:30" x14ac:dyDescent="0.45">
      <c r="A992" s="6" t="s">
        <v>9088</v>
      </c>
      <c r="B992" s="5">
        <v>2169</v>
      </c>
      <c r="C992" s="5" t="s">
        <v>9955</v>
      </c>
      <c r="D992" s="5" t="s">
        <v>9956</v>
      </c>
      <c r="E992" s="5" t="s">
        <v>9957</v>
      </c>
      <c r="F992" s="5" t="s">
        <v>53</v>
      </c>
      <c r="G992" s="5" t="s">
        <v>177</v>
      </c>
      <c r="H992" s="5" t="s">
        <v>1746</v>
      </c>
      <c r="I992" s="5" t="s">
        <v>9958</v>
      </c>
      <c r="J992" s="5" t="s">
        <v>38</v>
      </c>
      <c r="K992" s="5" t="s">
        <v>37</v>
      </c>
      <c r="L992" s="5" t="s">
        <v>39</v>
      </c>
      <c r="M992" s="5" t="s">
        <v>37</v>
      </c>
      <c r="N992" s="5" t="s">
        <v>37</v>
      </c>
      <c r="O992" s="5" t="s">
        <v>39</v>
      </c>
      <c r="P992" s="5" t="s">
        <v>38</v>
      </c>
      <c r="Q992" s="5" t="s">
        <v>38</v>
      </c>
      <c r="R992" s="5" t="s">
        <v>39</v>
      </c>
      <c r="S992" s="5" t="s">
        <v>41</v>
      </c>
      <c r="T992" s="5" t="s">
        <v>9240</v>
      </c>
      <c r="U992" s="5" t="s">
        <v>9205</v>
      </c>
      <c r="V992" s="5" t="s">
        <v>9093</v>
      </c>
      <c r="W992" s="5" t="s">
        <v>9227</v>
      </c>
      <c r="X992" s="5"/>
      <c r="Y992" s="5"/>
      <c r="Z992" s="5" t="s">
        <v>46</v>
      </c>
      <c r="AA992" s="5" t="s">
        <v>9095</v>
      </c>
      <c r="AB992" s="5"/>
      <c r="AC992" s="7">
        <v>1</v>
      </c>
      <c r="AD992" t="str">
        <f>VLOOKUP($T992,[1]NhanSu!$C$5:$M$229,11,0)</f>
        <v>SM0000044</v>
      </c>
    </row>
    <row r="993" spans="1:30" x14ac:dyDescent="0.45">
      <c r="A993" s="8" t="s">
        <v>9088</v>
      </c>
      <c r="B993" s="4">
        <v>2197</v>
      </c>
      <c r="C993" s="4" t="s">
        <v>9965</v>
      </c>
      <c r="D993" s="4" t="s">
        <v>9966</v>
      </c>
      <c r="E993" s="4" t="s">
        <v>113</v>
      </c>
      <c r="F993" s="4" t="s">
        <v>115</v>
      </c>
      <c r="G993" s="4" t="s">
        <v>177</v>
      </c>
      <c r="H993" s="4" t="s">
        <v>1648</v>
      </c>
      <c r="I993" s="4" t="s">
        <v>9967</v>
      </c>
      <c r="J993" s="4" t="s">
        <v>38</v>
      </c>
      <c r="K993" s="4" t="s">
        <v>38</v>
      </c>
      <c r="L993" s="4" t="s">
        <v>40</v>
      </c>
      <c r="M993" s="4" t="s">
        <v>37</v>
      </c>
      <c r="N993" s="4" t="s">
        <v>37</v>
      </c>
      <c r="O993" s="4" t="s">
        <v>39</v>
      </c>
      <c r="P993" s="4" t="s">
        <v>38</v>
      </c>
      <c r="Q993" s="4" t="s">
        <v>38</v>
      </c>
      <c r="R993" s="4" t="s">
        <v>40</v>
      </c>
      <c r="S993" s="4" t="s">
        <v>9968</v>
      </c>
      <c r="T993" s="4" t="s">
        <v>9199</v>
      </c>
      <c r="U993" s="4" t="s">
        <v>9200</v>
      </c>
      <c r="V993" s="4" t="s">
        <v>9093</v>
      </c>
      <c r="W993" s="4" t="s">
        <v>9180</v>
      </c>
      <c r="X993" s="4"/>
      <c r="Y993" s="4"/>
      <c r="Z993" s="4" t="s">
        <v>46</v>
      </c>
      <c r="AA993" s="4" t="s">
        <v>9119</v>
      </c>
      <c r="AB993" s="4"/>
      <c r="AC993" s="9">
        <v>1</v>
      </c>
      <c r="AD993" t="str">
        <f>VLOOKUP($T993,[1]NhanSu!$C$5:$M$229,11,0)</f>
        <v>SM0000047</v>
      </c>
    </row>
    <row r="994" spans="1:30" x14ac:dyDescent="0.45">
      <c r="A994" s="6" t="s">
        <v>9088</v>
      </c>
      <c r="B994" s="5">
        <v>2208</v>
      </c>
      <c r="C994" s="5" t="s">
        <v>9969</v>
      </c>
      <c r="D994" s="5" t="s">
        <v>9970</v>
      </c>
      <c r="E994" s="5" t="s">
        <v>9971</v>
      </c>
      <c r="F994" s="5" t="s">
        <v>53</v>
      </c>
      <c r="G994" s="5" t="s">
        <v>177</v>
      </c>
      <c r="H994" s="5" t="s">
        <v>1746</v>
      </c>
      <c r="I994" s="5" t="s">
        <v>9972</v>
      </c>
      <c r="J994" s="5" t="s">
        <v>37</v>
      </c>
      <c r="K994" s="5" t="s">
        <v>38</v>
      </c>
      <c r="L994" s="5" t="s">
        <v>39</v>
      </c>
      <c r="M994" s="5" t="s">
        <v>37</v>
      </c>
      <c r="N994" s="5" t="s">
        <v>37</v>
      </c>
      <c r="O994" s="5" t="s">
        <v>39</v>
      </c>
      <c r="P994" s="5" t="s">
        <v>38</v>
      </c>
      <c r="Q994" s="5" t="s">
        <v>38</v>
      </c>
      <c r="R994" s="5" t="s">
        <v>39</v>
      </c>
      <c r="S994" s="5" t="s">
        <v>41</v>
      </c>
      <c r="T994" s="5" t="s">
        <v>9240</v>
      </c>
      <c r="U994" s="5" t="s">
        <v>9226</v>
      </c>
      <c r="V994" s="5" t="s">
        <v>9093</v>
      </c>
      <c r="W994" s="5" t="s">
        <v>9227</v>
      </c>
      <c r="X994" s="5"/>
      <c r="Y994" s="5"/>
      <c r="Z994" s="5" t="s">
        <v>46</v>
      </c>
      <c r="AA994" s="5" t="s">
        <v>9095</v>
      </c>
      <c r="AB994" s="5"/>
      <c r="AC994" s="7">
        <v>1</v>
      </c>
      <c r="AD994" t="str">
        <f>VLOOKUP($T994,[1]NhanSu!$C$5:$M$229,11,0)</f>
        <v>SM0000044</v>
      </c>
    </row>
    <row r="995" spans="1:30" x14ac:dyDescent="0.45">
      <c r="A995" s="8" t="s">
        <v>9088</v>
      </c>
      <c r="B995" s="4">
        <v>2214</v>
      </c>
      <c r="C995" s="4" t="s">
        <v>9973</v>
      </c>
      <c r="D995" s="4" t="s">
        <v>9974</v>
      </c>
      <c r="E995" s="4" t="s">
        <v>9663</v>
      </c>
      <c r="F995" s="4" t="s">
        <v>1981</v>
      </c>
      <c r="G995" s="4" t="s">
        <v>34</v>
      </c>
      <c r="H995" s="4" t="s">
        <v>54</v>
      </c>
      <c r="I995" s="4" t="s">
        <v>2049</v>
      </c>
      <c r="J995" s="4" t="s">
        <v>38</v>
      </c>
      <c r="K995" s="4" t="s">
        <v>38</v>
      </c>
      <c r="L995" s="4" t="s">
        <v>40</v>
      </c>
      <c r="M995" s="4" t="s">
        <v>38</v>
      </c>
      <c r="N995" s="4" t="s">
        <v>38</v>
      </c>
      <c r="O995" s="4" t="s">
        <v>40</v>
      </c>
      <c r="P995" s="4" t="s">
        <v>38</v>
      </c>
      <c r="Q995" s="4" t="s">
        <v>38</v>
      </c>
      <c r="R995" s="4" t="s">
        <v>40</v>
      </c>
      <c r="S995" s="4" t="s">
        <v>41</v>
      </c>
      <c r="T995" s="4" t="s">
        <v>9099</v>
      </c>
      <c r="U995" s="4" t="s">
        <v>9100</v>
      </c>
      <c r="V995" s="4" t="s">
        <v>9093</v>
      </c>
      <c r="W995" s="4" t="s">
        <v>9101</v>
      </c>
      <c r="X995" s="4"/>
      <c r="Y995" s="4"/>
      <c r="Z995" s="4" t="s">
        <v>46</v>
      </c>
      <c r="AA995" s="4" t="s">
        <v>9119</v>
      </c>
      <c r="AB995" s="4"/>
      <c r="AC995" s="9">
        <v>1</v>
      </c>
      <c r="AD995" t="str">
        <f>VLOOKUP($T995,[1]NhanSu!$C$5:$M$229,11,0)</f>
        <v>SM0000048</v>
      </c>
    </row>
    <row r="996" spans="1:30" x14ac:dyDescent="0.45">
      <c r="A996" s="6" t="s">
        <v>9088</v>
      </c>
      <c r="B996" s="5">
        <v>2234</v>
      </c>
      <c r="C996" s="5" t="s">
        <v>9975</v>
      </c>
      <c r="D996" s="5" t="s">
        <v>6981</v>
      </c>
      <c r="E996" s="5" t="s">
        <v>9976</v>
      </c>
      <c r="F996" s="5" t="s">
        <v>9977</v>
      </c>
      <c r="G996" s="5" t="s">
        <v>34</v>
      </c>
      <c r="H996" s="5" t="s">
        <v>54</v>
      </c>
      <c r="I996" s="5" t="s">
        <v>9978</v>
      </c>
      <c r="J996" s="5" t="s">
        <v>38</v>
      </c>
      <c r="K996" s="5" t="s">
        <v>38</v>
      </c>
      <c r="L996" s="5" t="s">
        <v>40</v>
      </c>
      <c r="M996" s="5" t="s">
        <v>37</v>
      </c>
      <c r="N996" s="5" t="s">
        <v>37</v>
      </c>
      <c r="O996" s="5" t="s">
        <v>39</v>
      </c>
      <c r="P996" s="5" t="s">
        <v>38</v>
      </c>
      <c r="Q996" s="5" t="s">
        <v>38</v>
      </c>
      <c r="R996" s="5" t="s">
        <v>40</v>
      </c>
      <c r="S996" s="5" t="s">
        <v>41</v>
      </c>
      <c r="T996" s="5" t="s">
        <v>9142</v>
      </c>
      <c r="U996" s="5" t="s">
        <v>9143</v>
      </c>
      <c r="V996" s="5" t="s">
        <v>9093</v>
      </c>
      <c r="W996" s="5" t="s">
        <v>2978</v>
      </c>
      <c r="X996" s="5"/>
      <c r="Y996" s="5"/>
      <c r="Z996" s="5" t="s">
        <v>46</v>
      </c>
      <c r="AA996" s="5" t="s">
        <v>9263</v>
      </c>
      <c r="AB996" s="5" t="s">
        <v>3012</v>
      </c>
      <c r="AC996" s="7">
        <v>1</v>
      </c>
      <c r="AD996" t="str">
        <f>VLOOKUP($T996,[1]NhanSu!$C$5:$M$229,11,0)</f>
        <v>SM0000051</v>
      </c>
    </row>
    <row r="997" spans="1:30" x14ac:dyDescent="0.45">
      <c r="A997" s="8" t="s">
        <v>9088</v>
      </c>
      <c r="B997" s="4">
        <v>2236</v>
      </c>
      <c r="C997" s="4" t="s">
        <v>9979</v>
      </c>
      <c r="D997" s="4" t="s">
        <v>9980</v>
      </c>
      <c r="E997" s="4" t="s">
        <v>1229</v>
      </c>
      <c r="F997" s="4" t="s">
        <v>166</v>
      </c>
      <c r="G997" s="4" t="s">
        <v>150</v>
      </c>
      <c r="H997" s="4" t="s">
        <v>133</v>
      </c>
      <c r="I997" s="4" t="s">
        <v>9981</v>
      </c>
      <c r="J997" s="4" t="s">
        <v>38</v>
      </c>
      <c r="K997" s="4" t="s">
        <v>38</v>
      </c>
      <c r="L997" s="4" t="s">
        <v>40</v>
      </c>
      <c r="M997" s="4" t="s">
        <v>38</v>
      </c>
      <c r="N997" s="4" t="s">
        <v>38</v>
      </c>
      <c r="O997" s="4" t="s">
        <v>40</v>
      </c>
      <c r="P997" s="4" t="s">
        <v>38</v>
      </c>
      <c r="Q997" s="4" t="s">
        <v>38</v>
      </c>
      <c r="R997" s="4" t="s">
        <v>40</v>
      </c>
      <c r="S997" s="4" t="s">
        <v>41</v>
      </c>
      <c r="T997" s="4" t="s">
        <v>9099</v>
      </c>
      <c r="U997" s="4" t="s">
        <v>9100</v>
      </c>
      <c r="V997" s="4" t="s">
        <v>9093</v>
      </c>
      <c r="W997" s="4" t="s">
        <v>9101</v>
      </c>
      <c r="X997" s="4"/>
      <c r="Y997" s="4"/>
      <c r="Z997" s="4" t="s">
        <v>46</v>
      </c>
      <c r="AA997" s="4" t="s">
        <v>9119</v>
      </c>
      <c r="AB997" s="4"/>
      <c r="AC997" s="9">
        <v>1</v>
      </c>
      <c r="AD997" t="str">
        <f>VLOOKUP($T997,[1]NhanSu!$C$5:$M$229,11,0)</f>
        <v>SM0000048</v>
      </c>
    </row>
    <row r="998" spans="1:30" x14ac:dyDescent="0.45">
      <c r="A998" s="6" t="s">
        <v>9088</v>
      </c>
      <c r="B998" s="5">
        <v>2321</v>
      </c>
      <c r="C998" s="5" t="s">
        <v>10003</v>
      </c>
      <c r="D998" s="5" t="s">
        <v>9756</v>
      </c>
      <c r="E998" s="5" t="s">
        <v>2119</v>
      </c>
      <c r="F998" s="5" t="s">
        <v>426</v>
      </c>
      <c r="G998" s="5" t="s">
        <v>34</v>
      </c>
      <c r="H998" s="5" t="s">
        <v>356</v>
      </c>
      <c r="I998" s="5" t="s">
        <v>10004</v>
      </c>
      <c r="J998" s="5" t="s">
        <v>37</v>
      </c>
      <c r="K998" s="5" t="s">
        <v>37</v>
      </c>
      <c r="L998" s="5" t="s">
        <v>39</v>
      </c>
      <c r="M998" s="5" t="s">
        <v>56</v>
      </c>
      <c r="N998" s="5" t="s">
        <v>56</v>
      </c>
      <c r="O998" s="5" t="s">
        <v>39</v>
      </c>
      <c r="P998" s="5" t="s">
        <v>38</v>
      </c>
      <c r="Q998" s="5" t="s">
        <v>37</v>
      </c>
      <c r="R998" s="5" t="s">
        <v>39</v>
      </c>
      <c r="S998" s="5" t="s">
        <v>41</v>
      </c>
      <c r="T998" s="5" t="s">
        <v>9312</v>
      </c>
      <c r="U998" s="5" t="s">
        <v>9313</v>
      </c>
      <c r="V998" s="5" t="s">
        <v>9093</v>
      </c>
      <c r="W998" s="5" t="s">
        <v>9131</v>
      </c>
      <c r="X998" s="5"/>
      <c r="Y998" s="5"/>
      <c r="Z998" s="5" t="s">
        <v>46</v>
      </c>
      <c r="AA998" s="5" t="s">
        <v>9160</v>
      </c>
      <c r="AB998" s="5"/>
      <c r="AC998" s="7">
        <v>1</v>
      </c>
      <c r="AD998" t="str">
        <f>VLOOKUP($T998,[1]NhanSu!$C$5:$M$229,11,0)</f>
        <v>SM0000039</v>
      </c>
    </row>
    <row r="999" spans="1:30" x14ac:dyDescent="0.45">
      <c r="A999" s="8" t="s">
        <v>9088</v>
      </c>
      <c r="B999" s="4">
        <v>2371</v>
      </c>
      <c r="C999" s="4" t="s">
        <v>10005</v>
      </c>
      <c r="D999" s="4" t="s">
        <v>10006</v>
      </c>
      <c r="E999" s="4" t="s">
        <v>98</v>
      </c>
      <c r="F999" s="4" t="s">
        <v>461</v>
      </c>
      <c r="G999" s="4" t="s">
        <v>177</v>
      </c>
      <c r="H999" s="4" t="s">
        <v>546</v>
      </c>
      <c r="I999" s="4" t="s">
        <v>10007</v>
      </c>
      <c r="J999" s="4" t="s">
        <v>37</v>
      </c>
      <c r="K999" s="4" t="s">
        <v>37</v>
      </c>
      <c r="L999" s="4" t="s">
        <v>39</v>
      </c>
      <c r="M999" s="4" t="s">
        <v>38</v>
      </c>
      <c r="N999" s="4" t="s">
        <v>37</v>
      </c>
      <c r="O999" s="4" t="s">
        <v>39</v>
      </c>
      <c r="P999" s="4" t="s">
        <v>38</v>
      </c>
      <c r="Q999" s="4" t="s">
        <v>38</v>
      </c>
      <c r="R999" s="4" t="s">
        <v>40</v>
      </c>
      <c r="S999" s="4" t="s">
        <v>10008</v>
      </c>
      <c r="T999" s="4" t="s">
        <v>9147</v>
      </c>
      <c r="U999" s="4" t="s">
        <v>9148</v>
      </c>
      <c r="V999" s="4" t="s">
        <v>9093</v>
      </c>
      <c r="W999" s="4" t="s">
        <v>9094</v>
      </c>
      <c r="X999" s="4"/>
      <c r="Y999" s="4"/>
      <c r="Z999" s="4" t="s">
        <v>46</v>
      </c>
      <c r="AA999" s="4" t="s">
        <v>9095</v>
      </c>
      <c r="AB999" s="4"/>
      <c r="AC999" s="9">
        <v>1</v>
      </c>
      <c r="AD999" t="str">
        <f>VLOOKUP($T999,[1]NhanSu!$C$5:$M$229,11,0)</f>
        <v>SM0000040</v>
      </c>
    </row>
    <row r="1000" spans="1:30" x14ac:dyDescent="0.45">
      <c r="A1000" s="6" t="s">
        <v>9088</v>
      </c>
      <c r="B1000" s="5">
        <v>2376</v>
      </c>
      <c r="C1000" s="5" t="s">
        <v>10009</v>
      </c>
      <c r="D1000" s="5" t="s">
        <v>10010</v>
      </c>
      <c r="E1000" s="5" t="s">
        <v>206</v>
      </c>
      <c r="F1000" s="5" t="s">
        <v>53</v>
      </c>
      <c r="G1000" s="5" t="s">
        <v>34</v>
      </c>
      <c r="H1000" s="5" t="s">
        <v>54</v>
      </c>
      <c r="I1000" s="5" t="s">
        <v>1838</v>
      </c>
      <c r="J1000" s="5" t="s">
        <v>38</v>
      </c>
      <c r="K1000" s="5" t="s">
        <v>38</v>
      </c>
      <c r="L1000" s="5" t="s">
        <v>40</v>
      </c>
      <c r="M1000" s="5" t="s">
        <v>38</v>
      </c>
      <c r="N1000" s="5" t="s">
        <v>38</v>
      </c>
      <c r="O1000" s="5" t="s">
        <v>39</v>
      </c>
      <c r="P1000" s="5" t="s">
        <v>38</v>
      </c>
      <c r="Q1000" s="5" t="s">
        <v>38</v>
      </c>
      <c r="R1000" s="5" t="s">
        <v>40</v>
      </c>
      <c r="S1000" s="5" t="s">
        <v>41</v>
      </c>
      <c r="T1000" s="5" t="s">
        <v>9648</v>
      </c>
      <c r="U1000" s="5" t="s">
        <v>9649</v>
      </c>
      <c r="V1000" s="5" t="s">
        <v>9093</v>
      </c>
      <c r="W1000" s="5" t="s">
        <v>9101</v>
      </c>
      <c r="X1000" s="5"/>
      <c r="Y1000" s="5"/>
      <c r="Z1000" s="5" t="s">
        <v>46</v>
      </c>
      <c r="AA1000" s="5" t="s">
        <v>9095</v>
      </c>
      <c r="AB1000" s="5"/>
      <c r="AC1000" s="7">
        <v>1</v>
      </c>
      <c r="AD1000" t="str">
        <f>VLOOKUP($T1000,[1]NhanSu!$C$5:$M$229,11,0)</f>
        <v>SM0000049</v>
      </c>
    </row>
    <row r="1001" spans="1:30" x14ac:dyDescent="0.45">
      <c r="A1001" s="8" t="s">
        <v>9088</v>
      </c>
      <c r="B1001" s="4">
        <v>2382</v>
      </c>
      <c r="C1001" s="4" t="s">
        <v>10011</v>
      </c>
      <c r="D1001" s="4" t="s">
        <v>10012</v>
      </c>
      <c r="E1001" s="4" t="s">
        <v>265</v>
      </c>
      <c r="F1001" s="4" t="s">
        <v>53</v>
      </c>
      <c r="G1001" s="4" t="s">
        <v>150</v>
      </c>
      <c r="H1001" s="4" t="s">
        <v>1982</v>
      </c>
      <c r="I1001" s="4" t="s">
        <v>1838</v>
      </c>
      <c r="J1001" s="4" t="s">
        <v>38</v>
      </c>
      <c r="K1001" s="4" t="s">
        <v>38</v>
      </c>
      <c r="L1001" s="4" t="s">
        <v>40</v>
      </c>
      <c r="M1001" s="4" t="s">
        <v>38</v>
      </c>
      <c r="N1001" s="4" t="s">
        <v>38</v>
      </c>
      <c r="O1001" s="4" t="s">
        <v>40</v>
      </c>
      <c r="P1001" s="4" t="s">
        <v>38</v>
      </c>
      <c r="Q1001" s="4" t="s">
        <v>38</v>
      </c>
      <c r="R1001" s="4" t="s">
        <v>40</v>
      </c>
      <c r="S1001" s="4" t="s">
        <v>9647</v>
      </c>
      <c r="T1001" s="4" t="s">
        <v>9648</v>
      </c>
      <c r="U1001" s="4" t="s">
        <v>9649</v>
      </c>
      <c r="V1001" s="4" t="s">
        <v>9093</v>
      </c>
      <c r="W1001" s="4" t="s">
        <v>9101</v>
      </c>
      <c r="X1001" s="4"/>
      <c r="Y1001" s="4"/>
      <c r="Z1001" s="4" t="s">
        <v>46</v>
      </c>
      <c r="AA1001" s="4" t="s">
        <v>9095</v>
      </c>
      <c r="AB1001" s="4"/>
      <c r="AC1001" s="9">
        <v>1</v>
      </c>
      <c r="AD1001" t="str">
        <f>VLOOKUP($T1001,[1]NhanSu!$C$5:$M$229,11,0)</f>
        <v>SM0000049</v>
      </c>
    </row>
    <row r="1002" spans="1:30" x14ac:dyDescent="0.45">
      <c r="A1002" s="6" t="s">
        <v>9088</v>
      </c>
      <c r="B1002" s="5">
        <v>2387</v>
      </c>
      <c r="C1002" s="5" t="s">
        <v>10013</v>
      </c>
      <c r="D1002" s="5" t="s">
        <v>10014</v>
      </c>
      <c r="E1002" s="5" t="s">
        <v>10015</v>
      </c>
      <c r="F1002" s="5" t="s">
        <v>325</v>
      </c>
      <c r="G1002" s="5" t="s">
        <v>34</v>
      </c>
      <c r="H1002" s="5" t="s">
        <v>1263</v>
      </c>
      <c r="I1002" s="5" t="s">
        <v>9922</v>
      </c>
      <c r="J1002" s="5" t="s">
        <v>41</v>
      </c>
      <c r="K1002" s="5" t="s">
        <v>41</v>
      </c>
      <c r="L1002" s="5" t="s">
        <v>41</v>
      </c>
      <c r="M1002" s="5" t="s">
        <v>41</v>
      </c>
      <c r="N1002" s="5" t="s">
        <v>41</v>
      </c>
      <c r="O1002" s="5" t="s">
        <v>41</v>
      </c>
      <c r="P1002" s="5" t="s">
        <v>41</v>
      </c>
      <c r="Q1002" s="5" t="s">
        <v>41</v>
      </c>
      <c r="R1002" s="5" t="s">
        <v>41</v>
      </c>
      <c r="S1002" s="5" t="s">
        <v>41</v>
      </c>
      <c r="T1002" s="5" t="s">
        <v>9099</v>
      </c>
      <c r="U1002" s="5" t="s">
        <v>9100</v>
      </c>
      <c r="V1002" s="5" t="s">
        <v>9093</v>
      </c>
      <c r="W1002" s="5" t="s">
        <v>9101</v>
      </c>
      <c r="X1002" s="5"/>
      <c r="Y1002" s="5"/>
      <c r="Z1002" s="5" t="s">
        <v>46</v>
      </c>
      <c r="AA1002" s="5" t="s">
        <v>9119</v>
      </c>
      <c r="AB1002" s="5"/>
      <c r="AC1002" s="7">
        <v>1</v>
      </c>
      <c r="AD1002" t="str">
        <f>VLOOKUP($T1002,[1]NhanSu!$C$5:$M$229,11,0)</f>
        <v>SM0000048</v>
      </c>
    </row>
    <row r="1003" spans="1:30" x14ac:dyDescent="0.45">
      <c r="A1003" s="8" t="s">
        <v>9088</v>
      </c>
      <c r="B1003" s="4">
        <v>2395</v>
      </c>
      <c r="C1003" s="4" t="s">
        <v>10016</v>
      </c>
      <c r="D1003" s="4" t="s">
        <v>9002</v>
      </c>
      <c r="E1003" s="4" t="s">
        <v>10017</v>
      </c>
      <c r="F1003" s="4" t="s">
        <v>401</v>
      </c>
      <c r="G1003" s="4" t="s">
        <v>34</v>
      </c>
      <c r="H1003" s="4" t="s">
        <v>10018</v>
      </c>
      <c r="I1003" s="4" t="s">
        <v>10019</v>
      </c>
      <c r="J1003" s="4" t="s">
        <v>41</v>
      </c>
      <c r="K1003" s="4" t="s">
        <v>41</v>
      </c>
      <c r="L1003" s="4" t="s">
        <v>41</v>
      </c>
      <c r="M1003" s="4" t="s">
        <v>41</v>
      </c>
      <c r="N1003" s="4" t="s">
        <v>41</v>
      </c>
      <c r="O1003" s="4" t="s">
        <v>41</v>
      </c>
      <c r="P1003" s="4" t="s">
        <v>41</v>
      </c>
      <c r="Q1003" s="4" t="s">
        <v>41</v>
      </c>
      <c r="R1003" s="4" t="s">
        <v>41</v>
      </c>
      <c r="S1003" s="4" t="s">
        <v>41</v>
      </c>
      <c r="T1003" s="4" t="s">
        <v>9099</v>
      </c>
      <c r="U1003" s="4" t="s">
        <v>9100</v>
      </c>
      <c r="V1003" s="4" t="s">
        <v>9093</v>
      </c>
      <c r="W1003" s="4" t="s">
        <v>9101</v>
      </c>
      <c r="X1003" s="4"/>
      <c r="Y1003" s="4"/>
      <c r="Z1003" s="4" t="s">
        <v>46</v>
      </c>
      <c r="AA1003" s="4" t="s">
        <v>9119</v>
      </c>
      <c r="AB1003" s="4"/>
      <c r="AC1003" s="9">
        <v>1</v>
      </c>
      <c r="AD1003" t="str">
        <f>VLOOKUP($T1003,[1]NhanSu!$C$5:$M$229,11,0)</f>
        <v>SM0000048</v>
      </c>
    </row>
    <row r="1004" spans="1:30" x14ac:dyDescent="0.45">
      <c r="A1004" s="6" t="s">
        <v>9088</v>
      </c>
      <c r="B1004" s="5">
        <v>2407</v>
      </c>
      <c r="C1004" s="5" t="s">
        <v>10028</v>
      </c>
      <c r="D1004" s="5" t="s">
        <v>10029</v>
      </c>
      <c r="E1004" s="5" t="s">
        <v>10030</v>
      </c>
      <c r="F1004" s="5" t="s">
        <v>115</v>
      </c>
      <c r="G1004" s="5" t="s">
        <v>34</v>
      </c>
      <c r="H1004" s="5" t="s">
        <v>8400</v>
      </c>
      <c r="I1004" s="5" t="s">
        <v>10031</v>
      </c>
      <c r="J1004" s="5" t="s">
        <v>38</v>
      </c>
      <c r="K1004" s="5" t="s">
        <v>38</v>
      </c>
      <c r="L1004" s="5" t="s">
        <v>40</v>
      </c>
      <c r="M1004" s="5" t="s">
        <v>38</v>
      </c>
      <c r="N1004" s="5" t="s">
        <v>38</v>
      </c>
      <c r="O1004" s="5" t="s">
        <v>40</v>
      </c>
      <c r="P1004" s="5" t="s">
        <v>38</v>
      </c>
      <c r="Q1004" s="5" t="s">
        <v>38</v>
      </c>
      <c r="R1004" s="5" t="s">
        <v>40</v>
      </c>
      <c r="S1004" s="5" t="s">
        <v>41</v>
      </c>
      <c r="T1004" s="5" t="s">
        <v>9099</v>
      </c>
      <c r="U1004" s="5" t="s">
        <v>9100</v>
      </c>
      <c r="V1004" s="5" t="s">
        <v>9093</v>
      </c>
      <c r="W1004" s="5" t="s">
        <v>9101</v>
      </c>
      <c r="X1004" s="5"/>
      <c r="Y1004" s="5"/>
      <c r="Z1004" s="5" t="s">
        <v>46</v>
      </c>
      <c r="AA1004" s="5" t="s">
        <v>9119</v>
      </c>
      <c r="AB1004" s="5"/>
      <c r="AC1004" s="7">
        <v>1</v>
      </c>
      <c r="AD1004" t="str">
        <f>VLOOKUP($T1004,[1]NhanSu!$C$5:$M$229,11,0)</f>
        <v>SM0000048</v>
      </c>
    </row>
    <row r="1005" spans="1:30" x14ac:dyDescent="0.45">
      <c r="A1005" s="8" t="s">
        <v>9088</v>
      </c>
      <c r="B1005" s="4">
        <v>2408</v>
      </c>
      <c r="C1005" s="4" t="s">
        <v>10032</v>
      </c>
      <c r="D1005" s="4" t="s">
        <v>10033</v>
      </c>
      <c r="E1005" s="4" t="s">
        <v>10034</v>
      </c>
      <c r="F1005" s="4" t="s">
        <v>53</v>
      </c>
      <c r="G1005" s="4" t="s">
        <v>34</v>
      </c>
      <c r="H1005" s="4" t="s">
        <v>1184</v>
      </c>
      <c r="I1005" s="4" t="s">
        <v>10035</v>
      </c>
      <c r="J1005" s="4" t="s">
        <v>37</v>
      </c>
      <c r="K1005" s="4" t="s">
        <v>37</v>
      </c>
      <c r="L1005" s="4" t="s">
        <v>39</v>
      </c>
      <c r="M1005" s="4" t="s">
        <v>37</v>
      </c>
      <c r="N1005" s="4" t="s">
        <v>37</v>
      </c>
      <c r="O1005" s="4" t="s">
        <v>39</v>
      </c>
      <c r="P1005" s="4" t="s">
        <v>37</v>
      </c>
      <c r="Q1005" s="4" t="s">
        <v>37</v>
      </c>
      <c r="R1005" s="4" t="s">
        <v>39</v>
      </c>
      <c r="S1005" s="4" t="s">
        <v>41</v>
      </c>
      <c r="T1005" s="4" t="s">
        <v>9240</v>
      </c>
      <c r="U1005" s="4" t="s">
        <v>9205</v>
      </c>
      <c r="V1005" s="4" t="s">
        <v>9093</v>
      </c>
      <c r="W1005" s="4" t="s">
        <v>9227</v>
      </c>
      <c r="X1005" s="4"/>
      <c r="Y1005" s="4"/>
      <c r="Z1005" s="4" t="s">
        <v>46</v>
      </c>
      <c r="AA1005" s="4" t="s">
        <v>9095</v>
      </c>
      <c r="AB1005" s="4"/>
      <c r="AC1005" s="9">
        <v>1</v>
      </c>
      <c r="AD1005" t="str">
        <f>VLOOKUP($T1005,[1]NhanSu!$C$5:$M$229,11,0)</f>
        <v>SM0000044</v>
      </c>
    </row>
    <row r="1006" spans="1:30" x14ac:dyDescent="0.45">
      <c r="A1006" s="6" t="s">
        <v>9088</v>
      </c>
      <c r="B1006" s="5">
        <v>2413</v>
      </c>
      <c r="C1006" s="5" t="s">
        <v>10039</v>
      </c>
      <c r="D1006" s="5" t="s">
        <v>10040</v>
      </c>
      <c r="E1006" s="5" t="s">
        <v>10041</v>
      </c>
      <c r="F1006" s="5" t="s">
        <v>600</v>
      </c>
      <c r="G1006" s="5" t="s">
        <v>34</v>
      </c>
      <c r="H1006" s="5" t="s">
        <v>54</v>
      </c>
      <c r="I1006" s="5" t="s">
        <v>10042</v>
      </c>
      <c r="J1006" s="5" t="s">
        <v>38</v>
      </c>
      <c r="K1006" s="5" t="s">
        <v>38</v>
      </c>
      <c r="L1006" s="5" t="s">
        <v>40</v>
      </c>
      <c r="M1006" s="5" t="s">
        <v>37</v>
      </c>
      <c r="N1006" s="5" t="s">
        <v>37</v>
      </c>
      <c r="O1006" s="5" t="s">
        <v>39</v>
      </c>
      <c r="P1006" s="5" t="s">
        <v>38</v>
      </c>
      <c r="Q1006" s="5" t="s">
        <v>38</v>
      </c>
      <c r="R1006" s="5" t="s">
        <v>40</v>
      </c>
      <c r="S1006" s="5" t="s">
        <v>10043</v>
      </c>
      <c r="T1006" s="5" t="s">
        <v>9298</v>
      </c>
      <c r="U1006" s="5" t="s">
        <v>9299</v>
      </c>
      <c r="V1006" s="5" t="s">
        <v>9093</v>
      </c>
      <c r="W1006" s="5" t="s">
        <v>2978</v>
      </c>
      <c r="X1006" s="5"/>
      <c r="Y1006" s="5"/>
      <c r="Z1006" s="5" t="s">
        <v>46</v>
      </c>
      <c r="AA1006" s="5" t="s">
        <v>9160</v>
      </c>
      <c r="AB1006" s="5"/>
      <c r="AC1006" s="7">
        <v>1</v>
      </c>
      <c r="AD1006" t="str">
        <f>VLOOKUP($T1006,[1]NhanSu!$C$5:$M$229,11,0)</f>
        <v>SM0000189</v>
      </c>
    </row>
    <row r="1007" spans="1:30" x14ac:dyDescent="0.45">
      <c r="A1007" s="8" t="s">
        <v>9088</v>
      </c>
      <c r="B1007" s="4">
        <v>2435</v>
      </c>
      <c r="C1007" s="4" t="s">
        <v>10044</v>
      </c>
      <c r="D1007" s="4" t="s">
        <v>10045</v>
      </c>
      <c r="E1007" s="4" t="s">
        <v>10046</v>
      </c>
      <c r="F1007" s="4" t="s">
        <v>53</v>
      </c>
      <c r="G1007" s="4" t="s">
        <v>34</v>
      </c>
      <c r="H1007" s="4" t="s">
        <v>1736</v>
      </c>
      <c r="I1007" s="4" t="s">
        <v>10047</v>
      </c>
      <c r="J1007" s="4" t="s">
        <v>38</v>
      </c>
      <c r="K1007" s="4" t="s">
        <v>38</v>
      </c>
      <c r="L1007" s="4" t="s">
        <v>40</v>
      </c>
      <c r="M1007" s="4" t="s">
        <v>37</v>
      </c>
      <c r="N1007" s="4" t="s">
        <v>37</v>
      </c>
      <c r="O1007" s="4" t="s">
        <v>39</v>
      </c>
      <c r="P1007" s="4" t="s">
        <v>38</v>
      </c>
      <c r="Q1007" s="4" t="s">
        <v>38</v>
      </c>
      <c r="R1007" s="4" t="s">
        <v>40</v>
      </c>
      <c r="S1007" s="4" t="s">
        <v>41</v>
      </c>
      <c r="T1007" s="4" t="s">
        <v>9199</v>
      </c>
      <c r="U1007" s="4" t="s">
        <v>9200</v>
      </c>
      <c r="V1007" s="4" t="s">
        <v>9093</v>
      </c>
      <c r="W1007" s="4" t="s">
        <v>9180</v>
      </c>
      <c r="X1007" s="4"/>
      <c r="Y1007" s="4"/>
      <c r="Z1007" s="4" t="s">
        <v>46</v>
      </c>
      <c r="AA1007" s="4" t="s">
        <v>9119</v>
      </c>
      <c r="AB1007" s="4"/>
      <c r="AC1007" s="9">
        <v>1</v>
      </c>
      <c r="AD1007" t="str">
        <f>VLOOKUP($T1007,[1]NhanSu!$C$5:$M$229,11,0)</f>
        <v>SM0000047</v>
      </c>
    </row>
    <row r="1008" spans="1:30" x14ac:dyDescent="0.45">
      <c r="A1008" s="6" t="s">
        <v>9088</v>
      </c>
      <c r="B1008" s="5">
        <v>2441</v>
      </c>
      <c r="C1008" s="5" t="s">
        <v>10048</v>
      </c>
      <c r="D1008" s="5" t="s">
        <v>10049</v>
      </c>
      <c r="E1008" s="5" t="s">
        <v>338</v>
      </c>
      <c r="F1008" s="5" t="s">
        <v>53</v>
      </c>
      <c r="G1008" s="5" t="s">
        <v>34</v>
      </c>
      <c r="H1008" s="5" t="s">
        <v>54</v>
      </c>
      <c r="I1008" s="5" t="s">
        <v>10050</v>
      </c>
      <c r="J1008" s="5" t="s">
        <v>38</v>
      </c>
      <c r="K1008" s="5" t="s">
        <v>38</v>
      </c>
      <c r="L1008" s="5" t="s">
        <v>40</v>
      </c>
      <c r="M1008" s="5" t="s">
        <v>56</v>
      </c>
      <c r="N1008" s="5" t="s">
        <v>37</v>
      </c>
      <c r="O1008" s="5" t="s">
        <v>40</v>
      </c>
      <c r="P1008" s="5" t="s">
        <v>38</v>
      </c>
      <c r="Q1008" s="5" t="s">
        <v>38</v>
      </c>
      <c r="R1008" s="5" t="s">
        <v>40</v>
      </c>
      <c r="S1008" s="5" t="s">
        <v>10051</v>
      </c>
      <c r="T1008" s="5" t="s">
        <v>9142</v>
      </c>
      <c r="U1008" s="5" t="s">
        <v>9143</v>
      </c>
      <c r="V1008" s="5" t="s">
        <v>9093</v>
      </c>
      <c r="W1008" s="5" t="s">
        <v>2978</v>
      </c>
      <c r="X1008" s="5"/>
      <c r="Y1008" s="5"/>
      <c r="Z1008" s="5" t="s">
        <v>46</v>
      </c>
      <c r="AA1008" s="5" t="s">
        <v>9160</v>
      </c>
      <c r="AB1008" s="5"/>
      <c r="AC1008" s="7">
        <v>1</v>
      </c>
      <c r="AD1008" t="str">
        <f>VLOOKUP($T1008,[1]NhanSu!$C$5:$M$229,11,0)</f>
        <v>SM0000051</v>
      </c>
    </row>
    <row r="1009" spans="1:30" x14ac:dyDescent="0.45">
      <c r="A1009" s="8" t="s">
        <v>9088</v>
      </c>
      <c r="B1009" s="4">
        <v>2453</v>
      </c>
      <c r="C1009" s="4" t="s">
        <v>10055</v>
      </c>
      <c r="D1009" s="4" t="s">
        <v>10056</v>
      </c>
      <c r="E1009" s="4" t="s">
        <v>2580</v>
      </c>
      <c r="F1009" s="4" t="s">
        <v>53</v>
      </c>
      <c r="G1009" s="4" t="s">
        <v>34</v>
      </c>
      <c r="H1009" s="4" t="s">
        <v>863</v>
      </c>
      <c r="I1009" s="4" t="s">
        <v>2866</v>
      </c>
      <c r="J1009" s="4" t="s">
        <v>38</v>
      </c>
      <c r="K1009" s="4" t="s">
        <v>38</v>
      </c>
      <c r="L1009" s="4" t="s">
        <v>39</v>
      </c>
      <c r="M1009" s="4" t="s">
        <v>37</v>
      </c>
      <c r="N1009" s="4" t="s">
        <v>37</v>
      </c>
      <c r="O1009" s="4" t="s">
        <v>39</v>
      </c>
      <c r="P1009" s="4" t="s">
        <v>38</v>
      </c>
      <c r="Q1009" s="4" t="s">
        <v>38</v>
      </c>
      <c r="R1009" s="4" t="s">
        <v>39</v>
      </c>
      <c r="S1009" s="4" t="s">
        <v>41</v>
      </c>
      <c r="T1009" s="4" t="s">
        <v>9178</v>
      </c>
      <c r="U1009" s="4" t="s">
        <v>9179</v>
      </c>
      <c r="V1009" s="4" t="s">
        <v>9093</v>
      </c>
      <c r="W1009" s="4" t="s">
        <v>9180</v>
      </c>
      <c r="X1009" s="4"/>
      <c r="Y1009" s="4"/>
      <c r="Z1009" s="4" t="s">
        <v>46</v>
      </c>
      <c r="AA1009" s="4" t="s">
        <v>9119</v>
      </c>
      <c r="AB1009" s="4"/>
      <c r="AC1009" s="9">
        <v>1</v>
      </c>
      <c r="AD1009" t="str">
        <f>VLOOKUP($T1009,[1]NhanSu!$C$5:$M$229,11,0)</f>
        <v>SM0000046</v>
      </c>
    </row>
    <row r="1010" spans="1:30" x14ac:dyDescent="0.45">
      <c r="A1010" s="6" t="s">
        <v>9088</v>
      </c>
      <c r="B1010" s="5">
        <v>2478</v>
      </c>
      <c r="C1010" s="5" t="s">
        <v>10071</v>
      </c>
      <c r="D1010" s="5" t="s">
        <v>9002</v>
      </c>
      <c r="E1010" s="5" t="s">
        <v>371</v>
      </c>
      <c r="F1010" s="5" t="s">
        <v>53</v>
      </c>
      <c r="G1010" s="5" t="s">
        <v>177</v>
      </c>
      <c r="H1010" s="5" t="s">
        <v>1177</v>
      </c>
      <c r="I1010" s="5" t="s">
        <v>10072</v>
      </c>
      <c r="J1010" s="5" t="s">
        <v>38</v>
      </c>
      <c r="K1010" s="5" t="s">
        <v>38</v>
      </c>
      <c r="L1010" s="5" t="s">
        <v>40</v>
      </c>
      <c r="M1010" s="5" t="s">
        <v>37</v>
      </c>
      <c r="N1010" s="5" t="s">
        <v>37</v>
      </c>
      <c r="O1010" s="5" t="s">
        <v>40</v>
      </c>
      <c r="P1010" s="5" t="s">
        <v>38</v>
      </c>
      <c r="Q1010" s="5" t="s">
        <v>38</v>
      </c>
      <c r="R1010" s="5" t="s">
        <v>40</v>
      </c>
      <c r="S1010" s="5" t="s">
        <v>41</v>
      </c>
      <c r="T1010" s="5" t="s">
        <v>9199</v>
      </c>
      <c r="U1010" s="5" t="s">
        <v>9200</v>
      </c>
      <c r="V1010" s="5" t="s">
        <v>9093</v>
      </c>
      <c r="W1010" s="5" t="s">
        <v>9180</v>
      </c>
      <c r="X1010" s="5"/>
      <c r="Y1010" s="5"/>
      <c r="Z1010" s="5" t="s">
        <v>46</v>
      </c>
      <c r="AA1010" s="5" t="s">
        <v>9095</v>
      </c>
      <c r="AB1010" s="5" t="s">
        <v>2999</v>
      </c>
      <c r="AC1010" s="7">
        <v>1</v>
      </c>
      <c r="AD1010" t="str">
        <f>VLOOKUP($T1010,[1]NhanSu!$C$5:$M$229,11,0)</f>
        <v>SM0000047</v>
      </c>
    </row>
    <row r="1011" spans="1:30" x14ac:dyDescent="0.45">
      <c r="A1011" s="8" t="s">
        <v>9088</v>
      </c>
      <c r="B1011" s="4">
        <v>2502</v>
      </c>
      <c r="C1011" s="4" t="s">
        <v>10081</v>
      </c>
      <c r="D1011" s="4" t="s">
        <v>10082</v>
      </c>
      <c r="E1011" s="4" t="s">
        <v>2702</v>
      </c>
      <c r="F1011" s="4" t="s">
        <v>53</v>
      </c>
      <c r="G1011" s="4" t="s">
        <v>177</v>
      </c>
      <c r="H1011" s="4" t="s">
        <v>1025</v>
      </c>
      <c r="I1011" s="4" t="s">
        <v>10083</v>
      </c>
      <c r="J1011" s="4" t="s">
        <v>38</v>
      </c>
      <c r="K1011" s="4" t="s">
        <v>38</v>
      </c>
      <c r="L1011" s="4" t="s">
        <v>40</v>
      </c>
      <c r="M1011" s="4" t="s">
        <v>56</v>
      </c>
      <c r="N1011" s="4" t="s">
        <v>56</v>
      </c>
      <c r="O1011" s="4" t="s">
        <v>39</v>
      </c>
      <c r="P1011" s="4" t="s">
        <v>38</v>
      </c>
      <c r="Q1011" s="4" t="s">
        <v>38</v>
      </c>
      <c r="R1011" s="4" t="s">
        <v>40</v>
      </c>
      <c r="S1011" s="4" t="s">
        <v>41</v>
      </c>
      <c r="T1011" s="4" t="s">
        <v>9199</v>
      </c>
      <c r="U1011" s="4" t="s">
        <v>9200</v>
      </c>
      <c r="V1011" s="4" t="s">
        <v>9093</v>
      </c>
      <c r="W1011" s="4" t="s">
        <v>9180</v>
      </c>
      <c r="X1011" s="4"/>
      <c r="Y1011" s="4"/>
      <c r="Z1011" s="4" t="s">
        <v>46</v>
      </c>
      <c r="AA1011" s="4" t="s">
        <v>9119</v>
      </c>
      <c r="AB1011" s="4"/>
      <c r="AC1011" s="9">
        <v>1</v>
      </c>
      <c r="AD1011" t="str">
        <f>VLOOKUP($T1011,[1]NhanSu!$C$5:$M$229,11,0)</f>
        <v>SM0000047</v>
      </c>
    </row>
    <row r="1012" spans="1:30" x14ac:dyDescent="0.45">
      <c r="A1012" s="6" t="s">
        <v>9088</v>
      </c>
      <c r="B1012" s="5">
        <v>2523</v>
      </c>
      <c r="C1012" s="5" t="s">
        <v>10087</v>
      </c>
      <c r="D1012" s="5" t="s">
        <v>10088</v>
      </c>
      <c r="E1012" s="5" t="s">
        <v>10089</v>
      </c>
      <c r="F1012" s="5" t="s">
        <v>115</v>
      </c>
      <c r="G1012" s="5" t="s">
        <v>1458</v>
      </c>
      <c r="H1012" s="5" t="s">
        <v>378</v>
      </c>
      <c r="I1012" s="5" t="s">
        <v>2049</v>
      </c>
      <c r="J1012" s="5" t="s">
        <v>41</v>
      </c>
      <c r="K1012" s="5" t="s">
        <v>41</v>
      </c>
      <c r="L1012" s="5" t="s">
        <v>41</v>
      </c>
      <c r="M1012" s="5" t="s">
        <v>41</v>
      </c>
      <c r="N1012" s="5" t="s">
        <v>41</v>
      </c>
      <c r="O1012" s="5" t="s">
        <v>41</v>
      </c>
      <c r="P1012" s="5" t="s">
        <v>41</v>
      </c>
      <c r="Q1012" s="5" t="s">
        <v>41</v>
      </c>
      <c r="R1012" s="5" t="s">
        <v>41</v>
      </c>
      <c r="S1012" s="5" t="s">
        <v>41</v>
      </c>
      <c r="T1012" s="5" t="s">
        <v>9099</v>
      </c>
      <c r="U1012" s="5" t="s">
        <v>9100</v>
      </c>
      <c r="V1012" s="5" t="s">
        <v>9093</v>
      </c>
      <c r="W1012" s="5" t="s">
        <v>9101</v>
      </c>
      <c r="X1012" s="5"/>
      <c r="Y1012" s="5"/>
      <c r="Z1012" s="5" t="s">
        <v>46</v>
      </c>
      <c r="AA1012" s="5" t="s">
        <v>9119</v>
      </c>
      <c r="AB1012" s="5"/>
      <c r="AC1012" s="7">
        <v>1</v>
      </c>
      <c r="AD1012" t="str">
        <f>VLOOKUP($T1012,[1]NhanSu!$C$5:$M$229,11,0)</f>
        <v>SM0000048</v>
      </c>
    </row>
    <row r="1013" spans="1:30" x14ac:dyDescent="0.45">
      <c r="A1013" s="8" t="s">
        <v>9088</v>
      </c>
      <c r="B1013" s="4">
        <v>2534</v>
      </c>
      <c r="C1013" s="4" t="s">
        <v>10094</v>
      </c>
      <c r="D1013" s="4" t="s">
        <v>10095</v>
      </c>
      <c r="E1013" s="4" t="s">
        <v>148</v>
      </c>
      <c r="F1013" s="4" t="s">
        <v>53</v>
      </c>
      <c r="G1013" s="4" t="s">
        <v>177</v>
      </c>
      <c r="H1013" s="4" t="s">
        <v>54</v>
      </c>
      <c r="I1013" s="4" t="s">
        <v>6477</v>
      </c>
      <c r="J1013" s="4" t="s">
        <v>38</v>
      </c>
      <c r="K1013" s="4" t="s">
        <v>38</v>
      </c>
      <c r="L1013" s="4" t="s">
        <v>40</v>
      </c>
      <c r="M1013" s="4" t="s">
        <v>38</v>
      </c>
      <c r="N1013" s="4" t="s">
        <v>38</v>
      </c>
      <c r="O1013" s="4" t="s">
        <v>40</v>
      </c>
      <c r="P1013" s="4" t="s">
        <v>38</v>
      </c>
      <c r="Q1013" s="4" t="s">
        <v>38</v>
      </c>
      <c r="R1013" s="4" t="s">
        <v>40</v>
      </c>
      <c r="S1013" s="4" t="s">
        <v>41</v>
      </c>
      <c r="T1013" s="4" t="s">
        <v>9129</v>
      </c>
      <c r="U1013" s="4" t="s">
        <v>9130</v>
      </c>
      <c r="V1013" s="4" t="s">
        <v>9093</v>
      </c>
      <c r="W1013" s="4" t="s">
        <v>9131</v>
      </c>
      <c r="X1013" s="4"/>
      <c r="Y1013" s="4"/>
      <c r="Z1013" s="4" t="s">
        <v>46</v>
      </c>
      <c r="AA1013" s="4" t="s">
        <v>9160</v>
      </c>
      <c r="AB1013" s="4"/>
      <c r="AC1013" s="9">
        <v>1</v>
      </c>
      <c r="AD1013" t="str">
        <f>VLOOKUP($T1013,[1]NhanSu!$C$5:$M$229,11,0)</f>
        <v>SM0000045</v>
      </c>
    </row>
    <row r="1014" spans="1:30" x14ac:dyDescent="0.45">
      <c r="A1014" s="6" t="s">
        <v>9088</v>
      </c>
      <c r="B1014" s="5">
        <v>2535</v>
      </c>
      <c r="C1014" s="5" t="s">
        <v>10096</v>
      </c>
      <c r="D1014" s="5" t="s">
        <v>10097</v>
      </c>
      <c r="E1014" s="5" t="s">
        <v>1886</v>
      </c>
      <c r="F1014" s="5" t="s">
        <v>53</v>
      </c>
      <c r="G1014" s="5" t="s">
        <v>34</v>
      </c>
      <c r="H1014" s="5" t="s">
        <v>1188</v>
      </c>
      <c r="I1014" s="5" t="s">
        <v>2274</v>
      </c>
      <c r="J1014" s="5" t="s">
        <v>38</v>
      </c>
      <c r="K1014" s="5" t="s">
        <v>38</v>
      </c>
      <c r="L1014" s="5" t="s">
        <v>39</v>
      </c>
      <c r="M1014" s="5" t="s">
        <v>38</v>
      </c>
      <c r="N1014" s="5" t="s">
        <v>38</v>
      </c>
      <c r="O1014" s="5" t="s">
        <v>39</v>
      </c>
      <c r="P1014" s="5" t="s">
        <v>38</v>
      </c>
      <c r="Q1014" s="5" t="s">
        <v>38</v>
      </c>
      <c r="R1014" s="5" t="s">
        <v>39</v>
      </c>
      <c r="S1014" s="5" t="s">
        <v>41</v>
      </c>
      <c r="T1014" s="5" t="s">
        <v>9158</v>
      </c>
      <c r="U1014" s="5" t="s">
        <v>9159</v>
      </c>
      <c r="V1014" s="5" t="s">
        <v>9093</v>
      </c>
      <c r="W1014" s="5" t="s">
        <v>2978</v>
      </c>
      <c r="X1014" s="5"/>
      <c r="Y1014" s="5"/>
      <c r="Z1014" s="5" t="s">
        <v>46</v>
      </c>
      <c r="AA1014" s="5" t="s">
        <v>9160</v>
      </c>
      <c r="AB1014" s="5"/>
      <c r="AC1014" s="7">
        <v>1</v>
      </c>
      <c r="AD1014" t="str">
        <f>VLOOKUP($T1014,[1]NhanSu!$C$5:$M$229,11,0)</f>
        <v>SM0000050</v>
      </c>
    </row>
    <row r="1015" spans="1:30" x14ac:dyDescent="0.45">
      <c r="A1015" s="8" t="s">
        <v>9088</v>
      </c>
      <c r="B1015" s="4">
        <v>2608</v>
      </c>
      <c r="C1015" s="4" t="s">
        <v>10119</v>
      </c>
      <c r="D1015" s="4" t="s">
        <v>10120</v>
      </c>
      <c r="E1015" s="4" t="s">
        <v>10121</v>
      </c>
      <c r="F1015" s="4" t="s">
        <v>115</v>
      </c>
      <c r="G1015" s="4" t="s">
        <v>177</v>
      </c>
      <c r="H1015" s="4" t="s">
        <v>1188</v>
      </c>
      <c r="I1015" s="4" t="s">
        <v>10122</v>
      </c>
      <c r="J1015" s="4" t="s">
        <v>37</v>
      </c>
      <c r="K1015" s="4" t="s">
        <v>37</v>
      </c>
      <c r="L1015" s="4" t="s">
        <v>39</v>
      </c>
      <c r="M1015" s="4" t="s">
        <v>37</v>
      </c>
      <c r="N1015" s="4" t="s">
        <v>37</v>
      </c>
      <c r="O1015" s="4" t="s">
        <v>39</v>
      </c>
      <c r="P1015" s="4" t="s">
        <v>37</v>
      </c>
      <c r="Q1015" s="4" t="s">
        <v>37</v>
      </c>
      <c r="R1015" s="4" t="s">
        <v>39</v>
      </c>
      <c r="S1015" s="4" t="s">
        <v>41</v>
      </c>
      <c r="T1015" s="4" t="s">
        <v>9240</v>
      </c>
      <c r="U1015" s="4" t="s">
        <v>9226</v>
      </c>
      <c r="V1015" s="4" t="s">
        <v>9093</v>
      </c>
      <c r="W1015" s="4" t="s">
        <v>9227</v>
      </c>
      <c r="X1015" s="4"/>
      <c r="Y1015" s="4"/>
      <c r="Z1015" s="4" t="s">
        <v>46</v>
      </c>
      <c r="AA1015" s="4" t="s">
        <v>9235</v>
      </c>
      <c r="AB1015" s="4"/>
      <c r="AC1015" s="9">
        <v>1</v>
      </c>
      <c r="AD1015" t="str">
        <f>VLOOKUP($T1015,[1]NhanSu!$C$5:$M$229,11,0)</f>
        <v>SM0000044</v>
      </c>
    </row>
    <row r="1016" spans="1:30" x14ac:dyDescent="0.45">
      <c r="A1016" s="6" t="s">
        <v>9088</v>
      </c>
      <c r="B1016" s="5">
        <v>2638</v>
      </c>
      <c r="C1016" s="5" t="s">
        <v>10138</v>
      </c>
      <c r="D1016" s="5" t="s">
        <v>10139</v>
      </c>
      <c r="E1016" s="5" t="s">
        <v>261</v>
      </c>
      <c r="F1016" s="5" t="s">
        <v>1882</v>
      </c>
      <c r="G1016" s="5" t="s">
        <v>34</v>
      </c>
      <c r="H1016" s="5" t="s">
        <v>54</v>
      </c>
      <c r="I1016" s="5" t="s">
        <v>2218</v>
      </c>
      <c r="J1016" s="5" t="s">
        <v>38</v>
      </c>
      <c r="K1016" s="5" t="s">
        <v>38</v>
      </c>
      <c r="L1016" s="5" t="s">
        <v>40</v>
      </c>
      <c r="M1016" s="5" t="s">
        <v>38</v>
      </c>
      <c r="N1016" s="5" t="s">
        <v>56</v>
      </c>
      <c r="O1016" s="5" t="s">
        <v>40</v>
      </c>
      <c r="P1016" s="5" t="s">
        <v>38</v>
      </c>
      <c r="Q1016" s="5" t="s">
        <v>38</v>
      </c>
      <c r="R1016" s="5" t="s">
        <v>40</v>
      </c>
      <c r="S1016" s="5" t="s">
        <v>10140</v>
      </c>
      <c r="T1016" s="5" t="s">
        <v>9142</v>
      </c>
      <c r="U1016" s="5" t="s">
        <v>9143</v>
      </c>
      <c r="V1016" s="5" t="s">
        <v>9093</v>
      </c>
      <c r="W1016" s="5" t="s">
        <v>2978</v>
      </c>
      <c r="X1016" s="5"/>
      <c r="Y1016" s="5"/>
      <c r="Z1016" s="5" t="s">
        <v>46</v>
      </c>
      <c r="AA1016" s="5" t="s">
        <v>9160</v>
      </c>
      <c r="AB1016" s="5"/>
      <c r="AC1016" s="7">
        <v>1</v>
      </c>
      <c r="AD1016" t="str">
        <f>VLOOKUP($T1016,[1]NhanSu!$C$5:$M$229,11,0)</f>
        <v>SM0000051</v>
      </c>
    </row>
    <row r="1017" spans="1:30" x14ac:dyDescent="0.45">
      <c r="A1017" s="8" t="s">
        <v>9088</v>
      </c>
      <c r="B1017" s="4">
        <v>2655</v>
      </c>
      <c r="C1017" s="4" t="s">
        <v>10141</v>
      </c>
      <c r="D1017" s="4" t="s">
        <v>10142</v>
      </c>
      <c r="E1017" s="4" t="s">
        <v>10143</v>
      </c>
      <c r="F1017" s="4" t="s">
        <v>115</v>
      </c>
      <c r="G1017" s="4" t="s">
        <v>34</v>
      </c>
      <c r="H1017" s="4" t="s">
        <v>214</v>
      </c>
      <c r="I1017" s="4" t="s">
        <v>9224</v>
      </c>
      <c r="J1017" s="4" t="s">
        <v>37</v>
      </c>
      <c r="K1017" s="4" t="s">
        <v>37</v>
      </c>
      <c r="L1017" s="4" t="s">
        <v>39</v>
      </c>
      <c r="M1017" s="4" t="s">
        <v>37</v>
      </c>
      <c r="N1017" s="4" t="s">
        <v>37</v>
      </c>
      <c r="O1017" s="4" t="s">
        <v>39</v>
      </c>
      <c r="P1017" s="4" t="s">
        <v>37</v>
      </c>
      <c r="Q1017" s="4" t="s">
        <v>37</v>
      </c>
      <c r="R1017" s="4" t="s">
        <v>39</v>
      </c>
      <c r="S1017" s="4" t="s">
        <v>41</v>
      </c>
      <c r="T1017" s="4" t="s">
        <v>9225</v>
      </c>
      <c r="U1017" s="4" t="s">
        <v>9226</v>
      </c>
      <c r="V1017" s="4" t="s">
        <v>9093</v>
      </c>
      <c r="W1017" s="4" t="s">
        <v>9227</v>
      </c>
      <c r="X1017" s="4"/>
      <c r="Y1017" s="4"/>
      <c r="Z1017" s="4" t="s">
        <v>46</v>
      </c>
      <c r="AA1017" s="4" t="s">
        <v>9235</v>
      </c>
      <c r="AB1017" s="4"/>
      <c r="AC1017" s="9">
        <v>1</v>
      </c>
      <c r="AD1017" t="str">
        <f>VLOOKUP($T1017,[1]NhanSu!$C$5:$M$229,11,0)</f>
        <v>SM0000042</v>
      </c>
    </row>
    <row r="1018" spans="1:30" x14ac:dyDescent="0.45">
      <c r="A1018" s="6" t="s">
        <v>9088</v>
      </c>
      <c r="B1018" s="5">
        <v>2659</v>
      </c>
      <c r="C1018" s="5" t="s">
        <v>10146</v>
      </c>
      <c r="D1018" s="5" t="s">
        <v>10147</v>
      </c>
      <c r="E1018" s="5" t="s">
        <v>6613</v>
      </c>
      <c r="F1018" s="5" t="s">
        <v>10148</v>
      </c>
      <c r="G1018" s="5" t="s">
        <v>34</v>
      </c>
      <c r="H1018" s="5" t="s">
        <v>546</v>
      </c>
      <c r="I1018" s="5" t="s">
        <v>10149</v>
      </c>
      <c r="J1018" s="5" t="s">
        <v>38</v>
      </c>
      <c r="K1018" s="5" t="s">
        <v>38</v>
      </c>
      <c r="L1018" s="5" t="s">
        <v>40</v>
      </c>
      <c r="M1018" s="5" t="s">
        <v>38</v>
      </c>
      <c r="N1018" s="5" t="s">
        <v>38</v>
      </c>
      <c r="O1018" s="5" t="s">
        <v>40</v>
      </c>
      <c r="P1018" s="5" t="s">
        <v>38</v>
      </c>
      <c r="Q1018" s="5" t="s">
        <v>38</v>
      </c>
      <c r="R1018" s="5" t="s">
        <v>40</v>
      </c>
      <c r="S1018" s="5" t="s">
        <v>41</v>
      </c>
      <c r="T1018" s="5" t="s">
        <v>9648</v>
      </c>
      <c r="U1018" s="5" t="s">
        <v>9649</v>
      </c>
      <c r="V1018" s="5" t="s">
        <v>9093</v>
      </c>
      <c r="W1018" s="5" t="s">
        <v>9101</v>
      </c>
      <c r="X1018" s="5"/>
      <c r="Y1018" s="5"/>
      <c r="Z1018" s="5" t="s">
        <v>46</v>
      </c>
      <c r="AA1018" s="5" t="s">
        <v>9119</v>
      </c>
      <c r="AB1018" s="5"/>
      <c r="AC1018" s="7">
        <v>1</v>
      </c>
      <c r="AD1018" t="str">
        <f>VLOOKUP($T1018,[1]NhanSu!$C$5:$M$229,11,0)</f>
        <v>SM0000049</v>
      </c>
    </row>
    <row r="1019" spans="1:30" x14ac:dyDescent="0.45">
      <c r="A1019" s="8" t="s">
        <v>9088</v>
      </c>
      <c r="B1019" s="4">
        <v>2662</v>
      </c>
      <c r="C1019" s="4" t="s">
        <v>10152</v>
      </c>
      <c r="D1019" s="4" t="s">
        <v>10153</v>
      </c>
      <c r="E1019" s="4" t="s">
        <v>529</v>
      </c>
      <c r="F1019" s="4" t="s">
        <v>53</v>
      </c>
      <c r="G1019" s="4" t="s">
        <v>177</v>
      </c>
      <c r="H1019" s="4" t="s">
        <v>685</v>
      </c>
      <c r="I1019" s="4" t="s">
        <v>9839</v>
      </c>
      <c r="J1019" s="4" t="s">
        <v>38</v>
      </c>
      <c r="K1019" s="4" t="s">
        <v>38</v>
      </c>
      <c r="L1019" s="4" t="s">
        <v>40</v>
      </c>
      <c r="M1019" s="4" t="s">
        <v>38</v>
      </c>
      <c r="N1019" s="4" t="s">
        <v>38</v>
      </c>
      <c r="O1019" s="4" t="s">
        <v>40</v>
      </c>
      <c r="P1019" s="4" t="s">
        <v>38</v>
      </c>
      <c r="Q1019" s="4" t="s">
        <v>38</v>
      </c>
      <c r="R1019" s="4" t="s">
        <v>40</v>
      </c>
      <c r="S1019" s="4" t="s">
        <v>5662</v>
      </c>
      <c r="T1019" s="4" t="s">
        <v>9158</v>
      </c>
      <c r="U1019" s="4" t="s">
        <v>9159</v>
      </c>
      <c r="V1019" s="4" t="s">
        <v>9093</v>
      </c>
      <c r="W1019" s="4" t="s">
        <v>2978</v>
      </c>
      <c r="X1019" s="4"/>
      <c r="Y1019" s="4"/>
      <c r="Z1019" s="4" t="s">
        <v>46</v>
      </c>
      <c r="AA1019" s="4" t="s">
        <v>9160</v>
      </c>
      <c r="AB1019" s="4"/>
      <c r="AC1019" s="9">
        <v>1</v>
      </c>
      <c r="AD1019" t="str">
        <f>VLOOKUP($T1019,[1]NhanSu!$C$5:$M$229,11,0)</f>
        <v>SM0000050</v>
      </c>
    </row>
    <row r="1020" spans="1:30" x14ac:dyDescent="0.45">
      <c r="A1020" s="6" t="s">
        <v>9088</v>
      </c>
      <c r="B1020" s="5">
        <v>2683</v>
      </c>
      <c r="C1020" s="5" t="s">
        <v>10165</v>
      </c>
      <c r="D1020" s="5" t="s">
        <v>10166</v>
      </c>
      <c r="E1020" s="5" t="s">
        <v>32</v>
      </c>
      <c r="F1020" s="5" t="s">
        <v>53</v>
      </c>
      <c r="G1020" s="5" t="s">
        <v>177</v>
      </c>
      <c r="H1020" s="5" t="s">
        <v>54</v>
      </c>
      <c r="I1020" s="5" t="s">
        <v>9899</v>
      </c>
      <c r="J1020" s="5" t="s">
        <v>41</v>
      </c>
      <c r="K1020" s="5" t="s">
        <v>41</v>
      </c>
      <c r="L1020" s="5" t="s">
        <v>41</v>
      </c>
      <c r="M1020" s="5" t="s">
        <v>41</v>
      </c>
      <c r="N1020" s="5" t="s">
        <v>41</v>
      </c>
      <c r="O1020" s="5" t="s">
        <v>41</v>
      </c>
      <c r="P1020" s="5" t="s">
        <v>41</v>
      </c>
      <c r="Q1020" s="5" t="s">
        <v>41</v>
      </c>
      <c r="R1020" s="5" t="s">
        <v>41</v>
      </c>
      <c r="S1020" s="5" t="s">
        <v>41</v>
      </c>
      <c r="T1020" s="5" t="s">
        <v>9158</v>
      </c>
      <c r="U1020" s="5" t="s">
        <v>9159</v>
      </c>
      <c r="V1020" s="5" t="s">
        <v>9093</v>
      </c>
      <c r="W1020" s="5" t="s">
        <v>2978</v>
      </c>
      <c r="X1020" s="5"/>
      <c r="Y1020" s="5"/>
      <c r="Z1020" s="5" t="s">
        <v>46</v>
      </c>
      <c r="AA1020" s="5" t="s">
        <v>9160</v>
      </c>
      <c r="AB1020" s="5"/>
      <c r="AC1020" s="7">
        <v>1</v>
      </c>
      <c r="AD1020" t="str">
        <f>VLOOKUP($T1020,[1]NhanSu!$C$5:$M$229,11,0)</f>
        <v>SM0000050</v>
      </c>
    </row>
    <row r="1021" spans="1:30" x14ac:dyDescent="0.45">
      <c r="A1021" s="8" t="s">
        <v>9088</v>
      </c>
      <c r="B1021" s="4">
        <v>2691</v>
      </c>
      <c r="C1021" s="4" t="s">
        <v>10170</v>
      </c>
      <c r="D1021" s="4" t="s">
        <v>10171</v>
      </c>
      <c r="E1021" s="4" t="s">
        <v>10172</v>
      </c>
      <c r="F1021" s="4" t="s">
        <v>115</v>
      </c>
      <c r="G1021" s="4" t="s">
        <v>177</v>
      </c>
      <c r="H1021" s="4" t="s">
        <v>214</v>
      </c>
      <c r="I1021" s="4" t="s">
        <v>10173</v>
      </c>
      <c r="J1021" s="4" t="s">
        <v>37</v>
      </c>
      <c r="K1021" s="4" t="s">
        <v>37</v>
      </c>
      <c r="L1021" s="4" t="s">
        <v>39</v>
      </c>
      <c r="M1021" s="4" t="s">
        <v>37</v>
      </c>
      <c r="N1021" s="4" t="s">
        <v>37</v>
      </c>
      <c r="O1021" s="4" t="s">
        <v>39</v>
      </c>
      <c r="P1021" s="4" t="s">
        <v>37</v>
      </c>
      <c r="Q1021" s="4" t="s">
        <v>37</v>
      </c>
      <c r="R1021" s="4" t="s">
        <v>39</v>
      </c>
      <c r="S1021" s="4" t="s">
        <v>41</v>
      </c>
      <c r="T1021" s="4" t="s">
        <v>9240</v>
      </c>
      <c r="U1021" s="4" t="s">
        <v>9205</v>
      </c>
      <c r="V1021" s="4" t="s">
        <v>9093</v>
      </c>
      <c r="W1021" s="4" t="s">
        <v>9227</v>
      </c>
      <c r="X1021" s="4"/>
      <c r="Y1021" s="4"/>
      <c r="Z1021" s="4" t="s">
        <v>46</v>
      </c>
      <c r="AA1021" s="4" t="s">
        <v>9235</v>
      </c>
      <c r="AB1021" s="4"/>
      <c r="AC1021" s="9">
        <v>1</v>
      </c>
      <c r="AD1021" t="str">
        <f>VLOOKUP($T1021,[1]NhanSu!$C$5:$M$229,11,0)</f>
        <v>SM0000044</v>
      </c>
    </row>
    <row r="1022" spans="1:30" x14ac:dyDescent="0.45">
      <c r="A1022" s="6" t="s">
        <v>9088</v>
      </c>
      <c r="B1022" s="5">
        <v>2693</v>
      </c>
      <c r="C1022" s="5" t="s">
        <v>10174</v>
      </c>
      <c r="D1022" s="5" t="s">
        <v>5905</v>
      </c>
      <c r="E1022" s="5" t="s">
        <v>108</v>
      </c>
      <c r="F1022" s="5" t="s">
        <v>53</v>
      </c>
      <c r="G1022" s="5" t="s">
        <v>177</v>
      </c>
      <c r="H1022" s="5" t="s">
        <v>54</v>
      </c>
      <c r="I1022" s="5" t="s">
        <v>9899</v>
      </c>
      <c r="J1022" s="5" t="s">
        <v>38</v>
      </c>
      <c r="K1022" s="5" t="s">
        <v>38</v>
      </c>
      <c r="L1022" s="5" t="s">
        <v>40</v>
      </c>
      <c r="M1022" s="5" t="s">
        <v>38</v>
      </c>
      <c r="N1022" s="5" t="s">
        <v>38</v>
      </c>
      <c r="O1022" s="5" t="s">
        <v>40</v>
      </c>
      <c r="P1022" s="5" t="s">
        <v>38</v>
      </c>
      <c r="Q1022" s="5" t="s">
        <v>38</v>
      </c>
      <c r="R1022" s="5" t="s">
        <v>40</v>
      </c>
      <c r="S1022" s="5" t="s">
        <v>5662</v>
      </c>
      <c r="T1022" s="5" t="s">
        <v>9158</v>
      </c>
      <c r="U1022" s="5" t="s">
        <v>9159</v>
      </c>
      <c r="V1022" s="5" t="s">
        <v>9093</v>
      </c>
      <c r="W1022" s="5" t="s">
        <v>2978</v>
      </c>
      <c r="X1022" s="5"/>
      <c r="Y1022" s="5"/>
      <c r="Z1022" s="5" t="s">
        <v>46</v>
      </c>
      <c r="AA1022" s="5" t="s">
        <v>9160</v>
      </c>
      <c r="AB1022" s="5" t="s">
        <v>3012</v>
      </c>
      <c r="AC1022" s="7">
        <v>1</v>
      </c>
      <c r="AD1022" t="str">
        <f>VLOOKUP($T1022,[1]NhanSu!$C$5:$M$229,11,0)</f>
        <v>SM0000050</v>
      </c>
    </row>
    <row r="1023" spans="1:30" x14ac:dyDescent="0.45">
      <c r="A1023" s="8" t="s">
        <v>9088</v>
      </c>
      <c r="B1023" s="4">
        <v>2753</v>
      </c>
      <c r="C1023" s="4" t="s">
        <v>10185</v>
      </c>
      <c r="D1023" s="4" t="s">
        <v>10186</v>
      </c>
      <c r="E1023" s="4" t="s">
        <v>74</v>
      </c>
      <c r="F1023" s="4" t="s">
        <v>53</v>
      </c>
      <c r="G1023" s="4" t="s">
        <v>34</v>
      </c>
      <c r="H1023" s="4" t="s">
        <v>54</v>
      </c>
      <c r="I1023" s="4" t="s">
        <v>9652</v>
      </c>
      <c r="J1023" s="4" t="s">
        <v>38</v>
      </c>
      <c r="K1023" s="4" t="s">
        <v>38</v>
      </c>
      <c r="L1023" s="4" t="s">
        <v>40</v>
      </c>
      <c r="M1023" s="4" t="s">
        <v>38</v>
      </c>
      <c r="N1023" s="4" t="s">
        <v>38</v>
      </c>
      <c r="O1023" s="4" t="s">
        <v>40</v>
      </c>
      <c r="P1023" s="4" t="s">
        <v>38</v>
      </c>
      <c r="Q1023" s="4" t="s">
        <v>38</v>
      </c>
      <c r="R1023" s="4" t="s">
        <v>40</v>
      </c>
      <c r="S1023" s="4" t="s">
        <v>41</v>
      </c>
      <c r="T1023" s="4" t="s">
        <v>9158</v>
      </c>
      <c r="U1023" s="4" t="s">
        <v>9159</v>
      </c>
      <c r="V1023" s="4" t="s">
        <v>9093</v>
      </c>
      <c r="W1023" s="4" t="s">
        <v>2978</v>
      </c>
      <c r="X1023" s="4"/>
      <c r="Y1023" s="4"/>
      <c r="Z1023" s="4" t="s">
        <v>46</v>
      </c>
      <c r="AA1023" s="4" t="s">
        <v>9160</v>
      </c>
      <c r="AB1023" s="4"/>
      <c r="AC1023" s="9">
        <v>1</v>
      </c>
      <c r="AD1023" t="str">
        <f>VLOOKUP($T1023,[1]NhanSu!$C$5:$M$229,11,0)</f>
        <v>SM0000050</v>
      </c>
    </row>
    <row r="1024" spans="1:30" x14ac:dyDescent="0.45">
      <c r="A1024" s="6" t="s">
        <v>9088</v>
      </c>
      <c r="B1024" s="5">
        <v>2768</v>
      </c>
      <c r="C1024" s="5" t="s">
        <v>10187</v>
      </c>
      <c r="D1024" s="5" t="s">
        <v>10188</v>
      </c>
      <c r="E1024" s="5" t="s">
        <v>338</v>
      </c>
      <c r="F1024" s="5" t="s">
        <v>53</v>
      </c>
      <c r="G1024" s="5" t="s">
        <v>34</v>
      </c>
      <c r="H1024" s="5" t="s">
        <v>685</v>
      </c>
      <c r="I1024" s="5" t="s">
        <v>9839</v>
      </c>
      <c r="J1024" s="5" t="s">
        <v>38</v>
      </c>
      <c r="K1024" s="5" t="s">
        <v>38</v>
      </c>
      <c r="L1024" s="5" t="s">
        <v>40</v>
      </c>
      <c r="M1024" s="5" t="s">
        <v>38</v>
      </c>
      <c r="N1024" s="5" t="s">
        <v>38</v>
      </c>
      <c r="O1024" s="5" t="s">
        <v>40</v>
      </c>
      <c r="P1024" s="5" t="s">
        <v>38</v>
      </c>
      <c r="Q1024" s="5" t="s">
        <v>38</v>
      </c>
      <c r="R1024" s="5" t="s">
        <v>40</v>
      </c>
      <c r="S1024" s="5" t="s">
        <v>41</v>
      </c>
      <c r="T1024" s="5" t="s">
        <v>9158</v>
      </c>
      <c r="U1024" s="5" t="s">
        <v>9159</v>
      </c>
      <c r="V1024" s="5" t="s">
        <v>9093</v>
      </c>
      <c r="W1024" s="5" t="s">
        <v>2978</v>
      </c>
      <c r="X1024" s="5"/>
      <c r="Y1024" s="5"/>
      <c r="Z1024" s="5" t="s">
        <v>46</v>
      </c>
      <c r="AA1024" s="5" t="s">
        <v>9160</v>
      </c>
      <c r="AB1024" s="5"/>
      <c r="AC1024" s="7">
        <v>1</v>
      </c>
      <c r="AD1024" t="str">
        <f>VLOOKUP($T1024,[1]NhanSu!$C$5:$M$229,11,0)</f>
        <v>SM0000050</v>
      </c>
    </row>
    <row r="1025" spans="1:30" x14ac:dyDescent="0.45">
      <c r="A1025" s="8" t="s">
        <v>9088</v>
      </c>
      <c r="B1025" s="4">
        <v>2777</v>
      </c>
      <c r="C1025" s="4" t="s">
        <v>10192</v>
      </c>
      <c r="D1025" s="4" t="s">
        <v>10193</v>
      </c>
      <c r="E1025" s="4" t="s">
        <v>857</v>
      </c>
      <c r="F1025" s="4" t="s">
        <v>224</v>
      </c>
      <c r="G1025" s="4" t="s">
        <v>34</v>
      </c>
      <c r="H1025" s="4" t="s">
        <v>54</v>
      </c>
      <c r="I1025" s="4" t="s">
        <v>10194</v>
      </c>
      <c r="J1025" s="4" t="s">
        <v>38</v>
      </c>
      <c r="K1025" s="4" t="s">
        <v>38</v>
      </c>
      <c r="L1025" s="4" t="s">
        <v>40</v>
      </c>
      <c r="M1025" s="4" t="s">
        <v>38</v>
      </c>
      <c r="N1025" s="4" t="s">
        <v>38</v>
      </c>
      <c r="O1025" s="4" t="s">
        <v>40</v>
      </c>
      <c r="P1025" s="4" t="s">
        <v>38</v>
      </c>
      <c r="Q1025" s="4" t="s">
        <v>38</v>
      </c>
      <c r="R1025" s="4" t="s">
        <v>40</v>
      </c>
      <c r="S1025" s="4" t="s">
        <v>10195</v>
      </c>
      <c r="T1025" s="4" t="s">
        <v>9427</v>
      </c>
      <c r="U1025" s="4" t="s">
        <v>9148</v>
      </c>
      <c r="V1025" s="4" t="s">
        <v>9093</v>
      </c>
      <c r="W1025" s="4" t="s">
        <v>9094</v>
      </c>
      <c r="X1025" s="4"/>
      <c r="Y1025" s="4"/>
      <c r="Z1025" s="4" t="s">
        <v>46</v>
      </c>
      <c r="AA1025" s="4" t="s">
        <v>9235</v>
      </c>
      <c r="AB1025" s="4"/>
      <c r="AC1025" s="9">
        <v>1</v>
      </c>
      <c r="AD1025" t="str">
        <f>VLOOKUP($T1025,[1]NhanSu!$C$5:$M$229,11,0)</f>
        <v>SM0000171</v>
      </c>
    </row>
    <row r="1026" spans="1:30" x14ac:dyDescent="0.45">
      <c r="A1026" s="6" t="s">
        <v>9088</v>
      </c>
      <c r="B1026" s="5">
        <v>2874</v>
      </c>
      <c r="C1026" s="5" t="s">
        <v>10217</v>
      </c>
      <c r="D1026" s="5" t="s">
        <v>10218</v>
      </c>
      <c r="E1026" s="5" t="s">
        <v>291</v>
      </c>
      <c r="F1026" s="5" t="s">
        <v>10219</v>
      </c>
      <c r="G1026" s="5" t="s">
        <v>177</v>
      </c>
      <c r="H1026" s="5" t="s">
        <v>54</v>
      </c>
      <c r="I1026" s="5" t="s">
        <v>10220</v>
      </c>
      <c r="J1026" s="5" t="s">
        <v>38</v>
      </c>
      <c r="K1026" s="5" t="s">
        <v>38</v>
      </c>
      <c r="L1026" s="5" t="s">
        <v>40</v>
      </c>
      <c r="M1026" s="5" t="s">
        <v>38</v>
      </c>
      <c r="N1026" s="5" t="s">
        <v>38</v>
      </c>
      <c r="O1026" s="5" t="s">
        <v>39</v>
      </c>
      <c r="P1026" s="5" t="s">
        <v>38</v>
      </c>
      <c r="Q1026" s="5" t="s">
        <v>38</v>
      </c>
      <c r="R1026" s="5" t="s">
        <v>40</v>
      </c>
      <c r="S1026" s="5" t="s">
        <v>10221</v>
      </c>
      <c r="T1026" s="5" t="s">
        <v>9298</v>
      </c>
      <c r="U1026" s="5" t="s">
        <v>9299</v>
      </c>
      <c r="V1026" s="5" t="s">
        <v>9093</v>
      </c>
      <c r="W1026" s="5" t="s">
        <v>2978</v>
      </c>
      <c r="X1026" s="5"/>
      <c r="Y1026" s="5"/>
      <c r="Z1026" s="5" t="s">
        <v>46</v>
      </c>
      <c r="AA1026" s="5" t="s">
        <v>9160</v>
      </c>
      <c r="AB1026" s="5"/>
      <c r="AC1026" s="7">
        <v>1</v>
      </c>
      <c r="AD1026" t="str">
        <f>VLOOKUP($T1026,[1]NhanSu!$C$5:$M$229,11,0)</f>
        <v>SM0000189</v>
      </c>
    </row>
    <row r="1027" spans="1:30" x14ac:dyDescent="0.45">
      <c r="A1027" s="8" t="s">
        <v>9088</v>
      </c>
      <c r="B1027" s="4">
        <v>2883</v>
      </c>
      <c r="C1027" s="4" t="s">
        <v>10227</v>
      </c>
      <c r="D1027" s="4" t="s">
        <v>10228</v>
      </c>
      <c r="E1027" s="4" t="s">
        <v>10229</v>
      </c>
      <c r="F1027" s="4" t="s">
        <v>10230</v>
      </c>
      <c r="G1027" s="4" t="s">
        <v>177</v>
      </c>
      <c r="H1027" s="4" t="s">
        <v>54</v>
      </c>
      <c r="I1027" s="4" t="s">
        <v>10231</v>
      </c>
      <c r="J1027" s="4" t="s">
        <v>38</v>
      </c>
      <c r="K1027" s="4" t="s">
        <v>38</v>
      </c>
      <c r="L1027" s="4" t="s">
        <v>40</v>
      </c>
      <c r="M1027" s="4" t="s">
        <v>37</v>
      </c>
      <c r="N1027" s="4" t="s">
        <v>37</v>
      </c>
      <c r="O1027" s="4" t="s">
        <v>39</v>
      </c>
      <c r="P1027" s="4" t="s">
        <v>38</v>
      </c>
      <c r="Q1027" s="4" t="s">
        <v>38</v>
      </c>
      <c r="R1027" s="4" t="s">
        <v>40</v>
      </c>
      <c r="S1027" s="4" t="s">
        <v>10232</v>
      </c>
      <c r="T1027" s="4" t="s">
        <v>9298</v>
      </c>
      <c r="U1027" s="4" t="s">
        <v>9299</v>
      </c>
      <c r="V1027" s="4" t="s">
        <v>9093</v>
      </c>
      <c r="W1027" s="4" t="s">
        <v>2978</v>
      </c>
      <c r="X1027" s="4"/>
      <c r="Y1027" s="4"/>
      <c r="Z1027" s="4" t="s">
        <v>46</v>
      </c>
      <c r="AA1027" s="4" t="s">
        <v>9160</v>
      </c>
      <c r="AB1027" s="4"/>
      <c r="AC1027" s="9">
        <v>1</v>
      </c>
      <c r="AD1027" t="str">
        <f>VLOOKUP($T1027,[1]NhanSu!$C$5:$M$229,11,0)</f>
        <v>SM0000189</v>
      </c>
    </row>
    <row r="1028" spans="1:30" x14ac:dyDescent="0.45">
      <c r="A1028" s="6" t="s">
        <v>9088</v>
      </c>
      <c r="B1028" s="5">
        <v>2958</v>
      </c>
      <c r="C1028" s="5" t="s">
        <v>10254</v>
      </c>
      <c r="D1028" s="5" t="s">
        <v>2585</v>
      </c>
      <c r="E1028" s="5" t="s">
        <v>2282</v>
      </c>
      <c r="F1028" s="5" t="s">
        <v>10255</v>
      </c>
      <c r="G1028" s="5" t="s">
        <v>34</v>
      </c>
      <c r="H1028" s="5" t="s">
        <v>54</v>
      </c>
      <c r="I1028" s="5" t="s">
        <v>10256</v>
      </c>
      <c r="J1028" s="5" t="s">
        <v>37</v>
      </c>
      <c r="K1028" s="5" t="s">
        <v>38</v>
      </c>
      <c r="L1028" s="5" t="s">
        <v>40</v>
      </c>
      <c r="M1028" s="5" t="s">
        <v>38</v>
      </c>
      <c r="N1028" s="5" t="s">
        <v>38</v>
      </c>
      <c r="O1028" s="5" t="s">
        <v>39</v>
      </c>
      <c r="P1028" s="5" t="s">
        <v>38</v>
      </c>
      <c r="Q1028" s="5" t="s">
        <v>38</v>
      </c>
      <c r="R1028" s="5" t="s">
        <v>40</v>
      </c>
      <c r="S1028" s="5" t="s">
        <v>41</v>
      </c>
      <c r="T1028" s="5" t="s">
        <v>9142</v>
      </c>
      <c r="U1028" s="5" t="s">
        <v>9143</v>
      </c>
      <c r="V1028" s="5" t="s">
        <v>9093</v>
      </c>
      <c r="W1028" s="5" t="s">
        <v>2978</v>
      </c>
      <c r="X1028" s="5"/>
      <c r="Y1028" s="5"/>
      <c r="Z1028" s="5" t="s">
        <v>46</v>
      </c>
      <c r="AA1028" s="5" t="s">
        <v>9095</v>
      </c>
      <c r="AB1028" s="5" t="s">
        <v>117</v>
      </c>
      <c r="AC1028" s="7">
        <v>1</v>
      </c>
      <c r="AD1028" t="str">
        <f>VLOOKUP($T1028,[1]NhanSu!$C$5:$M$229,11,0)</f>
        <v>SM0000051</v>
      </c>
    </row>
    <row r="1029" spans="1:30" x14ac:dyDescent="0.45">
      <c r="A1029" s="8" t="s">
        <v>9088</v>
      </c>
      <c r="B1029" s="4">
        <v>2965</v>
      </c>
      <c r="C1029" s="4" t="s">
        <v>10260</v>
      </c>
      <c r="D1029" s="4" t="s">
        <v>10261</v>
      </c>
      <c r="E1029" s="4" t="s">
        <v>10262</v>
      </c>
      <c r="F1029" s="4" t="s">
        <v>53</v>
      </c>
      <c r="G1029" s="4" t="s">
        <v>177</v>
      </c>
      <c r="H1029" s="4" t="s">
        <v>1280</v>
      </c>
      <c r="I1029" s="4" t="s">
        <v>10263</v>
      </c>
      <c r="J1029" s="4" t="s">
        <v>38</v>
      </c>
      <c r="K1029" s="4" t="s">
        <v>38</v>
      </c>
      <c r="L1029" s="4" t="s">
        <v>39</v>
      </c>
      <c r="M1029" s="4" t="s">
        <v>37</v>
      </c>
      <c r="N1029" s="4" t="s">
        <v>38</v>
      </c>
      <c r="O1029" s="4" t="s">
        <v>39</v>
      </c>
      <c r="P1029" s="4" t="s">
        <v>38</v>
      </c>
      <c r="Q1029" s="4" t="s">
        <v>38</v>
      </c>
      <c r="R1029" s="4" t="s">
        <v>40</v>
      </c>
      <c r="S1029" s="4" t="s">
        <v>2992</v>
      </c>
      <c r="T1029" s="4" t="s">
        <v>9648</v>
      </c>
      <c r="U1029" s="4" t="s">
        <v>9649</v>
      </c>
      <c r="V1029" s="4" t="s">
        <v>9093</v>
      </c>
      <c r="W1029" s="4" t="s">
        <v>9101</v>
      </c>
      <c r="X1029" s="4"/>
      <c r="Y1029" s="4"/>
      <c r="Z1029" s="4" t="s">
        <v>46</v>
      </c>
      <c r="AA1029" s="4" t="s">
        <v>9095</v>
      </c>
      <c r="AB1029" s="4"/>
      <c r="AC1029" s="9">
        <v>1</v>
      </c>
      <c r="AD1029" t="str">
        <f>VLOOKUP($T1029,[1]NhanSu!$C$5:$M$229,11,0)</f>
        <v>SM0000049</v>
      </c>
    </row>
    <row r="1030" spans="1:30" x14ac:dyDescent="0.45">
      <c r="A1030" s="6" t="s">
        <v>9088</v>
      </c>
      <c r="B1030" s="5">
        <v>2967</v>
      </c>
      <c r="C1030" s="5" t="s">
        <v>10264</v>
      </c>
      <c r="D1030" s="5" t="s">
        <v>10265</v>
      </c>
      <c r="E1030" s="5" t="s">
        <v>10266</v>
      </c>
      <c r="F1030" s="5" t="s">
        <v>53</v>
      </c>
      <c r="G1030" s="5" t="s">
        <v>34</v>
      </c>
      <c r="H1030" s="5" t="s">
        <v>54</v>
      </c>
      <c r="I1030" s="5" t="s">
        <v>10267</v>
      </c>
      <c r="J1030" s="5" t="s">
        <v>38</v>
      </c>
      <c r="K1030" s="5" t="s">
        <v>38</v>
      </c>
      <c r="L1030" s="5" t="s">
        <v>40</v>
      </c>
      <c r="M1030" s="5" t="s">
        <v>38</v>
      </c>
      <c r="N1030" s="5" t="s">
        <v>38</v>
      </c>
      <c r="O1030" s="5" t="s">
        <v>40</v>
      </c>
      <c r="P1030" s="5" t="s">
        <v>38</v>
      </c>
      <c r="Q1030" s="5" t="s">
        <v>38</v>
      </c>
      <c r="R1030" s="5" t="s">
        <v>40</v>
      </c>
      <c r="S1030" s="5" t="s">
        <v>10268</v>
      </c>
      <c r="T1030" s="5" t="s">
        <v>9298</v>
      </c>
      <c r="U1030" s="5" t="s">
        <v>9299</v>
      </c>
      <c r="V1030" s="5" t="s">
        <v>9093</v>
      </c>
      <c r="W1030" s="5" t="s">
        <v>2978</v>
      </c>
      <c r="X1030" s="5"/>
      <c r="Y1030" s="5"/>
      <c r="Z1030" s="5" t="s">
        <v>46</v>
      </c>
      <c r="AA1030" s="5" t="s">
        <v>9160</v>
      </c>
      <c r="AB1030" s="5"/>
      <c r="AC1030" s="7">
        <v>1</v>
      </c>
      <c r="AD1030" t="str">
        <f>VLOOKUP($T1030,[1]NhanSu!$C$5:$M$229,11,0)</f>
        <v>SM0000189</v>
      </c>
    </row>
    <row r="1031" spans="1:30" x14ac:dyDescent="0.45">
      <c r="A1031" s="8" t="s">
        <v>9088</v>
      </c>
      <c r="B1031" s="4">
        <v>2971</v>
      </c>
      <c r="C1031" s="4" t="s">
        <v>10272</v>
      </c>
      <c r="D1031" s="4" t="s">
        <v>10273</v>
      </c>
      <c r="E1031" s="4" t="s">
        <v>10274</v>
      </c>
      <c r="F1031" s="4" t="s">
        <v>2196</v>
      </c>
      <c r="G1031" s="4" t="s">
        <v>177</v>
      </c>
      <c r="H1031" s="4" t="s">
        <v>214</v>
      </c>
      <c r="I1031" s="4" t="s">
        <v>10275</v>
      </c>
      <c r="J1031" s="4" t="s">
        <v>38</v>
      </c>
      <c r="K1031" s="4" t="s">
        <v>38</v>
      </c>
      <c r="L1031" s="4" t="s">
        <v>40</v>
      </c>
      <c r="M1031" s="4" t="s">
        <v>38</v>
      </c>
      <c r="N1031" s="4" t="s">
        <v>37</v>
      </c>
      <c r="O1031" s="4" t="s">
        <v>39</v>
      </c>
      <c r="P1031" s="4" t="s">
        <v>38</v>
      </c>
      <c r="Q1031" s="4" t="s">
        <v>38</v>
      </c>
      <c r="R1031" s="4" t="s">
        <v>40</v>
      </c>
      <c r="S1031" s="4" t="s">
        <v>10276</v>
      </c>
      <c r="T1031" s="4" t="s">
        <v>9298</v>
      </c>
      <c r="U1031" s="4" t="s">
        <v>9299</v>
      </c>
      <c r="V1031" s="4" t="s">
        <v>9093</v>
      </c>
      <c r="W1031" s="4" t="s">
        <v>2978</v>
      </c>
      <c r="X1031" s="4"/>
      <c r="Y1031" s="4"/>
      <c r="Z1031" s="4" t="s">
        <v>46</v>
      </c>
      <c r="AA1031" s="4" t="s">
        <v>9095</v>
      </c>
      <c r="AB1031" s="4"/>
      <c r="AC1031" s="9">
        <v>1</v>
      </c>
      <c r="AD1031" t="str">
        <f>VLOOKUP($T1031,[1]NhanSu!$C$5:$M$229,11,0)</f>
        <v>SM0000189</v>
      </c>
    </row>
    <row r="1032" spans="1:30" x14ac:dyDescent="0.45">
      <c r="A1032" s="6" t="s">
        <v>9088</v>
      </c>
      <c r="B1032" s="5">
        <v>3009</v>
      </c>
      <c r="C1032" s="5" t="s">
        <v>10279</v>
      </c>
      <c r="D1032" s="5" t="s">
        <v>7462</v>
      </c>
      <c r="E1032" s="5" t="s">
        <v>2876</v>
      </c>
      <c r="F1032" s="5" t="s">
        <v>1871</v>
      </c>
      <c r="G1032" s="5" t="s">
        <v>34</v>
      </c>
      <c r="H1032" s="5" t="s">
        <v>54</v>
      </c>
      <c r="I1032" s="5" t="s">
        <v>10280</v>
      </c>
      <c r="J1032" s="5" t="s">
        <v>38</v>
      </c>
      <c r="K1032" s="5" t="s">
        <v>38</v>
      </c>
      <c r="L1032" s="5" t="s">
        <v>40</v>
      </c>
      <c r="M1032" s="5" t="s">
        <v>38</v>
      </c>
      <c r="N1032" s="5" t="s">
        <v>38</v>
      </c>
      <c r="O1032" s="5" t="s">
        <v>40</v>
      </c>
      <c r="P1032" s="5" t="s">
        <v>38</v>
      </c>
      <c r="Q1032" s="5" t="s">
        <v>38</v>
      </c>
      <c r="R1032" s="5" t="s">
        <v>40</v>
      </c>
      <c r="S1032" s="5" t="s">
        <v>41</v>
      </c>
      <c r="T1032" s="5" t="s">
        <v>9158</v>
      </c>
      <c r="U1032" s="5" t="s">
        <v>9159</v>
      </c>
      <c r="V1032" s="5" t="s">
        <v>9093</v>
      </c>
      <c r="W1032" s="5" t="s">
        <v>2978</v>
      </c>
      <c r="X1032" s="5"/>
      <c r="Y1032" s="5"/>
      <c r="Z1032" s="5" t="s">
        <v>46</v>
      </c>
      <c r="AA1032" s="5" t="s">
        <v>9160</v>
      </c>
      <c r="AB1032" s="5" t="s">
        <v>3012</v>
      </c>
      <c r="AC1032" s="7">
        <v>1</v>
      </c>
      <c r="AD1032" t="str">
        <f>VLOOKUP($T1032,[1]NhanSu!$C$5:$M$229,11,0)</f>
        <v>SM0000050</v>
      </c>
    </row>
    <row r="1033" spans="1:30" x14ac:dyDescent="0.45">
      <c r="A1033" s="8" t="s">
        <v>9088</v>
      </c>
      <c r="B1033" s="4">
        <v>3017</v>
      </c>
      <c r="C1033" s="4" t="s">
        <v>10281</v>
      </c>
      <c r="D1033" s="4" t="s">
        <v>10282</v>
      </c>
      <c r="E1033" s="4" t="s">
        <v>10283</v>
      </c>
      <c r="F1033" s="4" t="s">
        <v>2432</v>
      </c>
      <c r="G1033" s="4" t="s">
        <v>177</v>
      </c>
      <c r="H1033" s="4" t="s">
        <v>214</v>
      </c>
      <c r="I1033" s="4" t="s">
        <v>10284</v>
      </c>
      <c r="J1033" s="4" t="s">
        <v>38</v>
      </c>
      <c r="K1033" s="4" t="s">
        <v>38</v>
      </c>
      <c r="L1033" s="4" t="s">
        <v>40</v>
      </c>
      <c r="M1033" s="4" t="s">
        <v>38</v>
      </c>
      <c r="N1033" s="4" t="s">
        <v>38</v>
      </c>
      <c r="O1033" s="4" t="s">
        <v>40</v>
      </c>
      <c r="P1033" s="4" t="s">
        <v>38</v>
      </c>
      <c r="Q1033" s="4" t="s">
        <v>38</v>
      </c>
      <c r="R1033" s="4" t="s">
        <v>40</v>
      </c>
      <c r="S1033" s="4" t="s">
        <v>10285</v>
      </c>
      <c r="T1033" s="4" t="s">
        <v>9298</v>
      </c>
      <c r="U1033" s="4" t="s">
        <v>9299</v>
      </c>
      <c r="V1033" s="4" t="s">
        <v>9093</v>
      </c>
      <c r="W1033" s="4" t="s">
        <v>2978</v>
      </c>
      <c r="X1033" s="4"/>
      <c r="Y1033" s="4"/>
      <c r="Z1033" s="4" t="s">
        <v>46</v>
      </c>
      <c r="AA1033" s="4" t="s">
        <v>9160</v>
      </c>
      <c r="AB1033" s="4"/>
      <c r="AC1033" s="9">
        <v>1</v>
      </c>
      <c r="AD1033" t="str">
        <f>VLOOKUP($T1033,[1]NhanSu!$C$5:$M$229,11,0)</f>
        <v>SM0000189</v>
      </c>
    </row>
    <row r="1034" spans="1:30" x14ac:dyDescent="0.45">
      <c r="A1034" s="6" t="s">
        <v>9088</v>
      </c>
      <c r="B1034" s="5">
        <v>3031</v>
      </c>
      <c r="C1034" s="5" t="s">
        <v>10288</v>
      </c>
      <c r="D1034" s="5" t="s">
        <v>10289</v>
      </c>
      <c r="E1034" s="5" t="s">
        <v>10290</v>
      </c>
      <c r="F1034" s="5" t="s">
        <v>10291</v>
      </c>
      <c r="G1034" s="5" t="s">
        <v>34</v>
      </c>
      <c r="H1034" s="5" t="s">
        <v>214</v>
      </c>
      <c r="I1034" s="5" t="s">
        <v>10292</v>
      </c>
      <c r="J1034" s="5" t="s">
        <v>38</v>
      </c>
      <c r="K1034" s="5" t="s">
        <v>38</v>
      </c>
      <c r="L1034" s="5" t="s">
        <v>40</v>
      </c>
      <c r="M1034" s="5" t="s">
        <v>38</v>
      </c>
      <c r="N1034" s="5" t="s">
        <v>38</v>
      </c>
      <c r="O1034" s="5" t="s">
        <v>40</v>
      </c>
      <c r="P1034" s="5" t="s">
        <v>38</v>
      </c>
      <c r="Q1034" s="5" t="s">
        <v>38</v>
      </c>
      <c r="R1034" s="5" t="s">
        <v>40</v>
      </c>
      <c r="S1034" s="5" t="s">
        <v>10293</v>
      </c>
      <c r="T1034" s="5" t="s">
        <v>9298</v>
      </c>
      <c r="U1034" s="5" t="s">
        <v>9299</v>
      </c>
      <c r="V1034" s="5" t="s">
        <v>9093</v>
      </c>
      <c r="W1034" s="5" t="s">
        <v>2978</v>
      </c>
      <c r="X1034" s="5"/>
      <c r="Y1034" s="5"/>
      <c r="Z1034" s="5" t="s">
        <v>46</v>
      </c>
      <c r="AA1034" s="5" t="s">
        <v>9263</v>
      </c>
      <c r="AB1034" s="5"/>
      <c r="AC1034" s="7">
        <v>1</v>
      </c>
      <c r="AD1034" t="str">
        <f>VLOOKUP($T1034,[1]NhanSu!$C$5:$M$229,11,0)</f>
        <v>SM0000189</v>
      </c>
    </row>
    <row r="1035" spans="1:30" x14ac:dyDescent="0.45">
      <c r="A1035" s="8" t="s">
        <v>9088</v>
      </c>
      <c r="B1035" s="4">
        <v>3042</v>
      </c>
      <c r="C1035" s="4" t="s">
        <v>10296</v>
      </c>
      <c r="D1035" s="4" t="s">
        <v>10297</v>
      </c>
      <c r="E1035" s="4" t="s">
        <v>296</v>
      </c>
      <c r="F1035" s="4" t="s">
        <v>53</v>
      </c>
      <c r="G1035" s="4" t="s">
        <v>34</v>
      </c>
      <c r="H1035" s="4" t="s">
        <v>214</v>
      </c>
      <c r="I1035" s="4" t="s">
        <v>10298</v>
      </c>
      <c r="J1035" s="4" t="s">
        <v>38</v>
      </c>
      <c r="K1035" s="4" t="s">
        <v>38</v>
      </c>
      <c r="L1035" s="4" t="s">
        <v>40</v>
      </c>
      <c r="M1035" s="4" t="s">
        <v>38</v>
      </c>
      <c r="N1035" s="4" t="s">
        <v>38</v>
      </c>
      <c r="O1035" s="4" t="s">
        <v>40</v>
      </c>
      <c r="P1035" s="4" t="s">
        <v>38</v>
      </c>
      <c r="Q1035" s="4" t="s">
        <v>38</v>
      </c>
      <c r="R1035" s="4" t="s">
        <v>40</v>
      </c>
      <c r="S1035" s="4" t="s">
        <v>41</v>
      </c>
      <c r="T1035" s="4" t="s">
        <v>9158</v>
      </c>
      <c r="U1035" s="4" t="s">
        <v>9159</v>
      </c>
      <c r="V1035" s="4" t="s">
        <v>9093</v>
      </c>
      <c r="W1035" s="4" t="s">
        <v>2978</v>
      </c>
      <c r="X1035" s="4"/>
      <c r="Y1035" s="4"/>
      <c r="Z1035" s="4" t="s">
        <v>46</v>
      </c>
      <c r="AA1035" s="4" t="s">
        <v>9160</v>
      </c>
      <c r="AB1035" s="4"/>
      <c r="AC1035" s="9">
        <v>1</v>
      </c>
      <c r="AD1035" t="str">
        <f>VLOOKUP($T1035,[1]NhanSu!$C$5:$M$229,11,0)</f>
        <v>SM0000050</v>
      </c>
    </row>
    <row r="1036" spans="1:30" x14ac:dyDescent="0.45">
      <c r="A1036" s="6" t="s">
        <v>9088</v>
      </c>
      <c r="B1036" s="5">
        <v>3045</v>
      </c>
      <c r="C1036" s="5" t="s">
        <v>10299</v>
      </c>
      <c r="D1036" s="5" t="s">
        <v>10300</v>
      </c>
      <c r="E1036" s="5" t="s">
        <v>5884</v>
      </c>
      <c r="F1036" s="5" t="s">
        <v>3264</v>
      </c>
      <c r="G1036" s="5" t="s">
        <v>34</v>
      </c>
      <c r="H1036" s="5" t="s">
        <v>5951</v>
      </c>
      <c r="I1036" s="5" t="s">
        <v>10301</v>
      </c>
      <c r="J1036" s="5" t="s">
        <v>37</v>
      </c>
      <c r="K1036" s="5" t="s">
        <v>37</v>
      </c>
      <c r="L1036" s="5" t="s">
        <v>39</v>
      </c>
      <c r="M1036" s="5" t="s">
        <v>38</v>
      </c>
      <c r="N1036" s="5" t="s">
        <v>37</v>
      </c>
      <c r="O1036" s="5" t="s">
        <v>39</v>
      </c>
      <c r="P1036" s="5" t="s">
        <v>38</v>
      </c>
      <c r="Q1036" s="5" t="s">
        <v>38</v>
      </c>
      <c r="R1036" s="5" t="s">
        <v>40</v>
      </c>
      <c r="S1036" s="5" t="s">
        <v>41</v>
      </c>
      <c r="T1036" s="5" t="s">
        <v>9147</v>
      </c>
      <c r="U1036" s="5" t="s">
        <v>9148</v>
      </c>
      <c r="V1036" s="5" t="s">
        <v>9093</v>
      </c>
      <c r="W1036" s="5" t="s">
        <v>9094</v>
      </c>
      <c r="X1036" s="5"/>
      <c r="Y1036" s="5"/>
      <c r="Z1036" s="5" t="s">
        <v>46</v>
      </c>
      <c r="AA1036" s="5" t="s">
        <v>9263</v>
      </c>
      <c r="AB1036" s="5"/>
      <c r="AC1036" s="7">
        <v>1</v>
      </c>
      <c r="AD1036" t="str">
        <f>VLOOKUP($T1036,[1]NhanSu!$C$5:$M$229,11,0)</f>
        <v>SM0000040</v>
      </c>
    </row>
    <row r="1037" spans="1:30" x14ac:dyDescent="0.45">
      <c r="A1037" s="8" t="s">
        <v>9088</v>
      </c>
      <c r="B1037" s="4">
        <v>3063</v>
      </c>
      <c r="C1037" s="4" t="s">
        <v>10302</v>
      </c>
      <c r="D1037" s="4" t="s">
        <v>10303</v>
      </c>
      <c r="E1037" s="4" t="s">
        <v>10304</v>
      </c>
      <c r="F1037" s="4" t="s">
        <v>10305</v>
      </c>
      <c r="G1037" s="4" t="s">
        <v>34</v>
      </c>
      <c r="H1037" s="4" t="s">
        <v>214</v>
      </c>
      <c r="I1037" s="4" t="s">
        <v>10306</v>
      </c>
      <c r="J1037" s="4" t="s">
        <v>38</v>
      </c>
      <c r="K1037" s="4" t="s">
        <v>38</v>
      </c>
      <c r="L1037" s="4" t="s">
        <v>40</v>
      </c>
      <c r="M1037" s="4" t="s">
        <v>38</v>
      </c>
      <c r="N1037" s="4" t="s">
        <v>38</v>
      </c>
      <c r="O1037" s="4" t="s">
        <v>39</v>
      </c>
      <c r="P1037" s="4" t="s">
        <v>38</v>
      </c>
      <c r="Q1037" s="4" t="s">
        <v>38</v>
      </c>
      <c r="R1037" s="4" t="s">
        <v>40</v>
      </c>
      <c r="S1037" s="4" t="s">
        <v>10307</v>
      </c>
      <c r="T1037" s="4" t="s">
        <v>9298</v>
      </c>
      <c r="U1037" s="4" t="s">
        <v>9299</v>
      </c>
      <c r="V1037" s="4" t="s">
        <v>9093</v>
      </c>
      <c r="W1037" s="4" t="s">
        <v>2978</v>
      </c>
      <c r="X1037" s="4"/>
      <c r="Y1037" s="4"/>
      <c r="Z1037" s="4" t="s">
        <v>46</v>
      </c>
      <c r="AA1037" s="4" t="s">
        <v>9160</v>
      </c>
      <c r="AB1037" s="4"/>
      <c r="AC1037" s="9">
        <v>1</v>
      </c>
      <c r="AD1037" t="str">
        <f>VLOOKUP($T1037,[1]NhanSu!$C$5:$M$229,11,0)</f>
        <v>SM0000189</v>
      </c>
    </row>
    <row r="1038" spans="1:30" x14ac:dyDescent="0.45">
      <c r="A1038" s="6" t="s">
        <v>9088</v>
      </c>
      <c r="B1038" s="5">
        <v>3113</v>
      </c>
      <c r="C1038" s="5" t="s">
        <v>10309</v>
      </c>
      <c r="D1038" s="5" t="s">
        <v>10310</v>
      </c>
      <c r="E1038" s="5" t="s">
        <v>967</v>
      </c>
      <c r="F1038" s="5" t="s">
        <v>930</v>
      </c>
      <c r="G1038" s="5" t="s">
        <v>34</v>
      </c>
      <c r="H1038" s="5" t="s">
        <v>54</v>
      </c>
      <c r="I1038" s="5" t="s">
        <v>10311</v>
      </c>
      <c r="J1038" s="5" t="s">
        <v>38</v>
      </c>
      <c r="K1038" s="5" t="s">
        <v>38</v>
      </c>
      <c r="L1038" s="5" t="s">
        <v>40</v>
      </c>
      <c r="M1038" s="5" t="s">
        <v>38</v>
      </c>
      <c r="N1038" s="5" t="s">
        <v>38</v>
      </c>
      <c r="O1038" s="5" t="s">
        <v>40</v>
      </c>
      <c r="P1038" s="5" t="s">
        <v>38</v>
      </c>
      <c r="Q1038" s="5" t="s">
        <v>38</v>
      </c>
      <c r="R1038" s="5" t="s">
        <v>40</v>
      </c>
      <c r="S1038" s="5" t="s">
        <v>10312</v>
      </c>
      <c r="T1038" s="5" t="s">
        <v>9298</v>
      </c>
      <c r="U1038" s="5" t="s">
        <v>9299</v>
      </c>
      <c r="V1038" s="5" t="s">
        <v>9093</v>
      </c>
      <c r="W1038" s="5" t="s">
        <v>2978</v>
      </c>
      <c r="X1038" s="5"/>
      <c r="Y1038" s="5"/>
      <c r="Z1038" s="5" t="s">
        <v>46</v>
      </c>
      <c r="AA1038" s="5" t="s">
        <v>9160</v>
      </c>
      <c r="AB1038" s="5"/>
      <c r="AC1038" s="7">
        <v>1</v>
      </c>
      <c r="AD1038" t="str">
        <f>VLOOKUP($T1038,[1]NhanSu!$C$5:$M$229,11,0)</f>
        <v>SM0000189</v>
      </c>
    </row>
    <row r="1039" spans="1:30" x14ac:dyDescent="0.45">
      <c r="A1039" s="8" t="s">
        <v>9088</v>
      </c>
      <c r="B1039" s="4">
        <v>3120</v>
      </c>
      <c r="C1039" s="4" t="s">
        <v>10313</v>
      </c>
      <c r="D1039" s="4" t="s">
        <v>10314</v>
      </c>
      <c r="E1039" s="4" t="s">
        <v>10315</v>
      </c>
      <c r="F1039" s="4" t="s">
        <v>934</v>
      </c>
      <c r="G1039" s="4" t="s">
        <v>177</v>
      </c>
      <c r="H1039" s="4" t="s">
        <v>356</v>
      </c>
      <c r="I1039" s="4" t="s">
        <v>10316</v>
      </c>
      <c r="J1039" s="4" t="s">
        <v>38</v>
      </c>
      <c r="K1039" s="4" t="s">
        <v>38</v>
      </c>
      <c r="L1039" s="4" t="s">
        <v>40</v>
      </c>
      <c r="M1039" s="4" t="s">
        <v>38</v>
      </c>
      <c r="N1039" s="4" t="s">
        <v>37</v>
      </c>
      <c r="O1039" s="4" t="s">
        <v>39</v>
      </c>
      <c r="P1039" s="4" t="s">
        <v>38</v>
      </c>
      <c r="Q1039" s="4" t="s">
        <v>38</v>
      </c>
      <c r="R1039" s="4" t="s">
        <v>40</v>
      </c>
      <c r="S1039" s="4" t="s">
        <v>10317</v>
      </c>
      <c r="T1039" s="4" t="s">
        <v>9298</v>
      </c>
      <c r="U1039" s="4" t="s">
        <v>9299</v>
      </c>
      <c r="V1039" s="4" t="s">
        <v>9093</v>
      </c>
      <c r="W1039" s="4" t="s">
        <v>2978</v>
      </c>
      <c r="X1039" s="4"/>
      <c r="Y1039" s="4"/>
      <c r="Z1039" s="4" t="s">
        <v>46</v>
      </c>
      <c r="AA1039" s="4" t="s">
        <v>9160</v>
      </c>
      <c r="AB1039" s="4"/>
      <c r="AC1039" s="9">
        <v>1</v>
      </c>
      <c r="AD1039" t="str">
        <f>VLOOKUP($T1039,[1]NhanSu!$C$5:$M$229,11,0)</f>
        <v>SM0000189</v>
      </c>
    </row>
    <row r="1040" spans="1:30" x14ac:dyDescent="0.45">
      <c r="A1040" s="6" t="s">
        <v>9088</v>
      </c>
      <c r="B1040" s="5">
        <v>3156</v>
      </c>
      <c r="C1040" s="5" t="s">
        <v>10318</v>
      </c>
      <c r="D1040" s="5" t="s">
        <v>10319</v>
      </c>
      <c r="E1040" s="5" t="s">
        <v>10320</v>
      </c>
      <c r="F1040" s="5" t="s">
        <v>417</v>
      </c>
      <c r="G1040" s="5" t="s">
        <v>177</v>
      </c>
      <c r="H1040" s="5" t="s">
        <v>546</v>
      </c>
      <c r="I1040" s="5" t="s">
        <v>10321</v>
      </c>
      <c r="J1040" s="5" t="s">
        <v>38</v>
      </c>
      <c r="K1040" s="5" t="s">
        <v>38</v>
      </c>
      <c r="L1040" s="5" t="s">
        <v>40</v>
      </c>
      <c r="M1040" s="5" t="s">
        <v>38</v>
      </c>
      <c r="N1040" s="5" t="s">
        <v>38</v>
      </c>
      <c r="O1040" s="5" t="s">
        <v>39</v>
      </c>
      <c r="P1040" s="5" t="s">
        <v>38</v>
      </c>
      <c r="Q1040" s="5" t="s">
        <v>38</v>
      </c>
      <c r="R1040" s="5" t="s">
        <v>39</v>
      </c>
      <c r="S1040" s="5" t="s">
        <v>10322</v>
      </c>
      <c r="T1040" s="5" t="s">
        <v>9298</v>
      </c>
      <c r="U1040" s="5" t="s">
        <v>9299</v>
      </c>
      <c r="V1040" s="5" t="s">
        <v>9093</v>
      </c>
      <c r="W1040" s="5" t="s">
        <v>2978</v>
      </c>
      <c r="X1040" s="5"/>
      <c r="Y1040" s="5"/>
      <c r="Z1040" s="5" t="s">
        <v>46</v>
      </c>
      <c r="AA1040" s="5" t="s">
        <v>9160</v>
      </c>
      <c r="AB1040" s="5"/>
      <c r="AC1040" s="7">
        <v>1</v>
      </c>
      <c r="AD1040" t="str">
        <f>VLOOKUP($T1040,[1]NhanSu!$C$5:$M$229,11,0)</f>
        <v>SM0000189</v>
      </c>
    </row>
    <row r="1041" spans="1:30" x14ac:dyDescent="0.45">
      <c r="A1041" s="8" t="s">
        <v>9088</v>
      </c>
      <c r="B1041" s="4">
        <v>3165</v>
      </c>
      <c r="C1041" s="4" t="s">
        <v>10326</v>
      </c>
      <c r="D1041" s="4" t="s">
        <v>10327</v>
      </c>
      <c r="E1041" s="4" t="s">
        <v>98</v>
      </c>
      <c r="F1041" s="4" t="s">
        <v>3932</v>
      </c>
      <c r="G1041" s="4" t="s">
        <v>150</v>
      </c>
      <c r="H1041" s="4" t="s">
        <v>1177</v>
      </c>
      <c r="I1041" s="4" t="s">
        <v>10328</v>
      </c>
      <c r="J1041" s="4" t="s">
        <v>38</v>
      </c>
      <c r="K1041" s="4" t="s">
        <v>37</v>
      </c>
      <c r="L1041" s="4" t="s">
        <v>39</v>
      </c>
      <c r="M1041" s="4" t="s">
        <v>38</v>
      </c>
      <c r="N1041" s="4" t="s">
        <v>37</v>
      </c>
      <c r="O1041" s="4" t="s">
        <v>39</v>
      </c>
      <c r="P1041" s="4" t="s">
        <v>38</v>
      </c>
      <c r="Q1041" s="4" t="s">
        <v>38</v>
      </c>
      <c r="R1041" s="4" t="s">
        <v>40</v>
      </c>
      <c r="S1041" s="4" t="s">
        <v>41</v>
      </c>
      <c r="T1041" s="4" t="s">
        <v>9147</v>
      </c>
      <c r="U1041" s="4" t="s">
        <v>9148</v>
      </c>
      <c r="V1041" s="4" t="s">
        <v>9093</v>
      </c>
      <c r="W1041" s="4" t="s">
        <v>9094</v>
      </c>
      <c r="X1041" s="4"/>
      <c r="Y1041" s="4"/>
      <c r="Z1041" s="4" t="s">
        <v>46</v>
      </c>
      <c r="AA1041" s="4" t="s">
        <v>9263</v>
      </c>
      <c r="AB1041" s="4"/>
      <c r="AC1041" s="9">
        <v>1</v>
      </c>
      <c r="AD1041" t="str">
        <f>VLOOKUP($T1041,[1]NhanSu!$C$5:$M$229,11,0)</f>
        <v>SM0000040</v>
      </c>
    </row>
    <row r="1042" spans="1:30" x14ac:dyDescent="0.45">
      <c r="A1042" s="6" t="s">
        <v>9088</v>
      </c>
      <c r="B1042" s="5">
        <v>3234</v>
      </c>
      <c r="C1042" s="5" t="s">
        <v>10344</v>
      </c>
      <c r="D1042" s="5" t="s">
        <v>10345</v>
      </c>
      <c r="E1042" s="5" t="s">
        <v>69</v>
      </c>
      <c r="F1042" s="5" t="s">
        <v>456</v>
      </c>
      <c r="G1042" s="5" t="s">
        <v>34</v>
      </c>
      <c r="H1042" s="5" t="s">
        <v>1177</v>
      </c>
      <c r="I1042" s="5" t="s">
        <v>10346</v>
      </c>
      <c r="J1042" s="5" t="s">
        <v>38</v>
      </c>
      <c r="K1042" s="5" t="s">
        <v>37</v>
      </c>
      <c r="L1042" s="5" t="s">
        <v>40</v>
      </c>
      <c r="M1042" s="5" t="s">
        <v>37</v>
      </c>
      <c r="N1042" s="5" t="s">
        <v>37</v>
      </c>
      <c r="O1042" s="5" t="s">
        <v>39</v>
      </c>
      <c r="P1042" s="5" t="s">
        <v>38</v>
      </c>
      <c r="Q1042" s="5" t="s">
        <v>38</v>
      </c>
      <c r="R1042" s="5" t="s">
        <v>40</v>
      </c>
      <c r="S1042" s="5" t="s">
        <v>41</v>
      </c>
      <c r="T1042" s="5" t="s">
        <v>9147</v>
      </c>
      <c r="U1042" s="5" t="s">
        <v>9148</v>
      </c>
      <c r="V1042" s="5" t="s">
        <v>9093</v>
      </c>
      <c r="W1042" s="5" t="s">
        <v>9094</v>
      </c>
      <c r="X1042" s="5"/>
      <c r="Y1042" s="5"/>
      <c r="Z1042" s="5" t="s">
        <v>46</v>
      </c>
      <c r="AA1042" s="5" t="s">
        <v>9235</v>
      </c>
      <c r="AB1042" s="5"/>
      <c r="AC1042" s="7">
        <v>1</v>
      </c>
      <c r="AD1042" t="str">
        <f>VLOOKUP($T1042,[1]NhanSu!$C$5:$M$229,11,0)</f>
        <v>SM0000040</v>
      </c>
    </row>
    <row r="1043" spans="1:30" x14ac:dyDescent="0.45">
      <c r="A1043" s="8" t="s">
        <v>10363</v>
      </c>
      <c r="B1043" s="4">
        <v>26</v>
      </c>
      <c r="C1043" s="4" t="s">
        <v>10386</v>
      </c>
      <c r="D1043" s="4" t="s">
        <v>10387</v>
      </c>
      <c r="E1043" s="4" t="s">
        <v>8163</v>
      </c>
      <c r="F1043" s="4" t="s">
        <v>53</v>
      </c>
      <c r="G1043" s="4" t="s">
        <v>1624</v>
      </c>
      <c r="H1043" s="4" t="s">
        <v>214</v>
      </c>
      <c r="I1043" s="4" t="s">
        <v>10388</v>
      </c>
      <c r="J1043" s="4" t="s">
        <v>38</v>
      </c>
      <c r="K1043" s="4" t="s">
        <v>38</v>
      </c>
      <c r="L1043" s="4" t="s">
        <v>40</v>
      </c>
      <c r="M1043" s="4" t="s">
        <v>38</v>
      </c>
      <c r="N1043" s="4" t="s">
        <v>38</v>
      </c>
      <c r="O1043" s="4" t="s">
        <v>40</v>
      </c>
      <c r="P1043" s="4" t="s">
        <v>38</v>
      </c>
      <c r="Q1043" s="4" t="s">
        <v>38</v>
      </c>
      <c r="R1043" s="4" t="s">
        <v>40</v>
      </c>
      <c r="S1043" s="4" t="s">
        <v>10389</v>
      </c>
      <c r="T1043" s="4" t="s">
        <v>10374</v>
      </c>
      <c r="U1043" s="4" t="s">
        <v>10368</v>
      </c>
      <c r="V1043" s="4" t="s">
        <v>10369</v>
      </c>
      <c r="W1043" s="4" t="s">
        <v>10370</v>
      </c>
      <c r="X1043" s="4"/>
      <c r="Y1043" s="4"/>
      <c r="Z1043" s="4" t="s">
        <v>46</v>
      </c>
      <c r="AA1043" s="4" t="s">
        <v>10390</v>
      </c>
      <c r="AB1043" s="4" t="s">
        <v>2999</v>
      </c>
      <c r="AC1043" s="9">
        <v>1</v>
      </c>
      <c r="AD1043" t="str">
        <f>VLOOKUP($T1043,[1]NhanSu!$C$5:$M$229,11,0)</f>
        <v>SM0000056</v>
      </c>
    </row>
    <row r="1044" spans="1:30" x14ac:dyDescent="0.45">
      <c r="A1044" s="6" t="s">
        <v>10363</v>
      </c>
      <c r="B1044" s="5">
        <v>35</v>
      </c>
      <c r="C1044" s="5" t="s">
        <v>10394</v>
      </c>
      <c r="D1044" s="5" t="s">
        <v>10395</v>
      </c>
      <c r="E1044" s="5" t="s">
        <v>2326</v>
      </c>
      <c r="F1044" s="5" t="s">
        <v>10396</v>
      </c>
      <c r="G1044" s="5" t="s">
        <v>34</v>
      </c>
      <c r="H1044" s="5" t="s">
        <v>54</v>
      </c>
      <c r="I1044" s="5" t="s">
        <v>10397</v>
      </c>
      <c r="J1044" s="5" t="s">
        <v>38</v>
      </c>
      <c r="K1044" s="5" t="s">
        <v>38</v>
      </c>
      <c r="L1044" s="5" t="s">
        <v>40</v>
      </c>
      <c r="M1044" s="5" t="s">
        <v>38</v>
      </c>
      <c r="N1044" s="5" t="s">
        <v>37</v>
      </c>
      <c r="O1044" s="5" t="s">
        <v>39</v>
      </c>
      <c r="P1044" s="5" t="s">
        <v>38</v>
      </c>
      <c r="Q1044" s="5" t="s">
        <v>38</v>
      </c>
      <c r="R1044" s="5" t="s">
        <v>40</v>
      </c>
      <c r="S1044" s="5" t="s">
        <v>10398</v>
      </c>
      <c r="T1044" s="5" t="s">
        <v>10367</v>
      </c>
      <c r="U1044" s="5" t="s">
        <v>10368</v>
      </c>
      <c r="V1044" s="5" t="s">
        <v>10369</v>
      </c>
      <c r="W1044" s="5" t="s">
        <v>10399</v>
      </c>
      <c r="X1044" s="5"/>
      <c r="Y1044" s="5"/>
      <c r="Z1044" s="5" t="s">
        <v>46</v>
      </c>
      <c r="AA1044" s="5" t="s">
        <v>10390</v>
      </c>
      <c r="AB1044" s="5" t="s">
        <v>2999</v>
      </c>
      <c r="AC1044" s="7">
        <v>1</v>
      </c>
      <c r="AD1044" t="str">
        <f>VLOOKUP($T1044,[1]NhanSu!$C$5:$M$229,11,0)</f>
        <v>SM0000055</v>
      </c>
    </row>
    <row r="1045" spans="1:30" x14ac:dyDescent="0.45">
      <c r="A1045" s="8" t="s">
        <v>10363</v>
      </c>
      <c r="B1045" s="4">
        <v>37</v>
      </c>
      <c r="C1045" s="4" t="s">
        <v>10400</v>
      </c>
      <c r="D1045" s="4" t="s">
        <v>10401</v>
      </c>
      <c r="E1045" s="4" t="s">
        <v>10402</v>
      </c>
      <c r="F1045" s="4" t="s">
        <v>10403</v>
      </c>
      <c r="G1045" s="4" t="s">
        <v>34</v>
      </c>
      <c r="H1045" s="4" t="s">
        <v>402</v>
      </c>
      <c r="I1045" s="4" t="s">
        <v>10404</v>
      </c>
      <c r="J1045" s="4" t="s">
        <v>38</v>
      </c>
      <c r="K1045" s="4" t="s">
        <v>38</v>
      </c>
      <c r="L1045" s="4" t="s">
        <v>40</v>
      </c>
      <c r="M1045" s="4" t="s">
        <v>37</v>
      </c>
      <c r="N1045" s="4" t="s">
        <v>37</v>
      </c>
      <c r="O1045" s="4" t="s">
        <v>39</v>
      </c>
      <c r="P1045" s="4" t="s">
        <v>38</v>
      </c>
      <c r="Q1045" s="4" t="s">
        <v>38</v>
      </c>
      <c r="R1045" s="4" t="s">
        <v>40</v>
      </c>
      <c r="S1045" s="4" t="s">
        <v>10405</v>
      </c>
      <c r="T1045" s="4" t="s">
        <v>10367</v>
      </c>
      <c r="U1045" s="4" t="s">
        <v>10368</v>
      </c>
      <c r="V1045" s="4" t="s">
        <v>10369</v>
      </c>
      <c r="W1045" s="4" t="s">
        <v>10399</v>
      </c>
      <c r="X1045" s="4"/>
      <c r="Y1045" s="4"/>
      <c r="Z1045" s="4" t="s">
        <v>46</v>
      </c>
      <c r="AA1045" s="4" t="s">
        <v>10390</v>
      </c>
      <c r="AB1045" s="4" t="s">
        <v>2999</v>
      </c>
      <c r="AC1045" s="9">
        <v>1</v>
      </c>
      <c r="AD1045" t="str">
        <f>VLOOKUP($T1045,[1]NhanSu!$C$5:$M$229,11,0)</f>
        <v>SM0000055</v>
      </c>
    </row>
    <row r="1046" spans="1:30" x14ac:dyDescent="0.45">
      <c r="A1046" s="6" t="s">
        <v>10363</v>
      </c>
      <c r="B1046" s="5">
        <v>45</v>
      </c>
      <c r="C1046" s="5" t="s">
        <v>10406</v>
      </c>
      <c r="D1046" s="5" t="s">
        <v>10407</v>
      </c>
      <c r="E1046" s="5" t="s">
        <v>2035</v>
      </c>
      <c r="F1046" s="5" t="s">
        <v>2365</v>
      </c>
      <c r="G1046" s="5" t="s">
        <v>34</v>
      </c>
      <c r="H1046" s="5" t="s">
        <v>214</v>
      </c>
      <c r="I1046" s="5" t="s">
        <v>10408</v>
      </c>
      <c r="J1046" s="5" t="s">
        <v>38</v>
      </c>
      <c r="K1046" s="5" t="s">
        <v>38</v>
      </c>
      <c r="L1046" s="5" t="s">
        <v>40</v>
      </c>
      <c r="M1046" s="5" t="s">
        <v>37</v>
      </c>
      <c r="N1046" s="5" t="s">
        <v>37</v>
      </c>
      <c r="O1046" s="5" t="s">
        <v>39</v>
      </c>
      <c r="P1046" s="5" t="s">
        <v>38</v>
      </c>
      <c r="Q1046" s="5" t="s">
        <v>37</v>
      </c>
      <c r="R1046" s="5" t="s">
        <v>39</v>
      </c>
      <c r="S1046" s="5" t="s">
        <v>10409</v>
      </c>
      <c r="T1046" s="5" t="s">
        <v>10374</v>
      </c>
      <c r="U1046" s="5" t="s">
        <v>10368</v>
      </c>
      <c r="V1046" s="5" t="s">
        <v>10369</v>
      </c>
      <c r="W1046" s="5" t="s">
        <v>10399</v>
      </c>
      <c r="X1046" s="5"/>
      <c r="Y1046" s="5"/>
      <c r="Z1046" s="5" t="s">
        <v>46</v>
      </c>
      <c r="AA1046" s="5" t="s">
        <v>10390</v>
      </c>
      <c r="AB1046" s="5" t="s">
        <v>117</v>
      </c>
      <c r="AC1046" s="7">
        <v>1</v>
      </c>
      <c r="AD1046" t="str">
        <f>VLOOKUP($T1046,[1]NhanSu!$C$5:$M$229,11,0)</f>
        <v>SM0000056</v>
      </c>
    </row>
    <row r="1047" spans="1:30" x14ac:dyDescent="0.45">
      <c r="A1047" s="8" t="s">
        <v>10363</v>
      </c>
      <c r="B1047" s="4">
        <v>63</v>
      </c>
      <c r="C1047" s="4" t="s">
        <v>10410</v>
      </c>
      <c r="D1047" s="4" t="s">
        <v>10411</v>
      </c>
      <c r="E1047" s="4" t="s">
        <v>1865</v>
      </c>
      <c r="F1047" s="4" t="s">
        <v>829</v>
      </c>
      <c r="G1047" s="4" t="s">
        <v>34</v>
      </c>
      <c r="H1047" s="4" t="s">
        <v>1263</v>
      </c>
      <c r="I1047" s="4" t="s">
        <v>10412</v>
      </c>
      <c r="J1047" s="4" t="s">
        <v>56</v>
      </c>
      <c r="K1047" s="4" t="s">
        <v>37</v>
      </c>
      <c r="L1047" s="4" t="s">
        <v>39</v>
      </c>
      <c r="M1047" s="4" t="s">
        <v>56</v>
      </c>
      <c r="N1047" s="4" t="s">
        <v>56</v>
      </c>
      <c r="O1047" s="4" t="s">
        <v>39</v>
      </c>
      <c r="P1047" s="4" t="s">
        <v>37</v>
      </c>
      <c r="Q1047" s="4" t="s">
        <v>37</v>
      </c>
      <c r="R1047" s="4" t="s">
        <v>39</v>
      </c>
      <c r="S1047" s="4" t="s">
        <v>10413</v>
      </c>
      <c r="T1047" s="4" t="s">
        <v>10367</v>
      </c>
      <c r="U1047" s="4" t="s">
        <v>10368</v>
      </c>
      <c r="V1047" s="4" t="s">
        <v>10369</v>
      </c>
      <c r="W1047" s="4" t="s">
        <v>10399</v>
      </c>
      <c r="X1047" s="4"/>
      <c r="Y1047" s="4"/>
      <c r="Z1047" s="4" t="s">
        <v>46</v>
      </c>
      <c r="AA1047" s="4" t="s">
        <v>10390</v>
      </c>
      <c r="AB1047" s="4" t="s">
        <v>117</v>
      </c>
      <c r="AC1047" s="9">
        <v>1</v>
      </c>
      <c r="AD1047" t="str">
        <f>VLOOKUP($T1047,[1]NhanSu!$C$5:$M$229,11,0)</f>
        <v>SM0000055</v>
      </c>
    </row>
    <row r="1048" spans="1:30" x14ac:dyDescent="0.45">
      <c r="A1048" s="6" t="s">
        <v>10363</v>
      </c>
      <c r="B1048" s="5">
        <v>66</v>
      </c>
      <c r="C1048" s="5" t="s">
        <v>10414</v>
      </c>
      <c r="D1048" s="5" t="s">
        <v>10415</v>
      </c>
      <c r="E1048" s="5" t="s">
        <v>1802</v>
      </c>
      <c r="F1048" s="5" t="s">
        <v>2365</v>
      </c>
      <c r="G1048" s="5" t="s">
        <v>34</v>
      </c>
      <c r="H1048" s="5" t="s">
        <v>54</v>
      </c>
      <c r="I1048" s="5" t="s">
        <v>10408</v>
      </c>
      <c r="J1048" s="5" t="s">
        <v>56</v>
      </c>
      <c r="K1048" s="5" t="s">
        <v>56</v>
      </c>
      <c r="L1048" s="5" t="s">
        <v>39</v>
      </c>
      <c r="M1048" s="5" t="s">
        <v>56</v>
      </c>
      <c r="N1048" s="5" t="s">
        <v>56</v>
      </c>
      <c r="O1048" s="5" t="s">
        <v>39</v>
      </c>
      <c r="P1048" s="5" t="s">
        <v>38</v>
      </c>
      <c r="Q1048" s="5" t="s">
        <v>37</v>
      </c>
      <c r="R1048" s="5" t="s">
        <v>40</v>
      </c>
      <c r="S1048" s="5" t="s">
        <v>41</v>
      </c>
      <c r="T1048" s="5" t="s">
        <v>10367</v>
      </c>
      <c r="U1048" s="5" t="s">
        <v>10368</v>
      </c>
      <c r="V1048" s="5" t="s">
        <v>10369</v>
      </c>
      <c r="W1048" s="5" t="s">
        <v>10399</v>
      </c>
      <c r="X1048" s="5"/>
      <c r="Y1048" s="5"/>
      <c r="Z1048" s="5" t="s">
        <v>46</v>
      </c>
      <c r="AA1048" s="5" t="s">
        <v>10390</v>
      </c>
      <c r="AB1048" s="5" t="s">
        <v>117</v>
      </c>
      <c r="AC1048" s="7">
        <v>1</v>
      </c>
      <c r="AD1048" t="str">
        <f>VLOOKUP($T1048,[1]NhanSu!$C$5:$M$229,11,0)</f>
        <v>SM0000055</v>
      </c>
    </row>
    <row r="1049" spans="1:30" x14ac:dyDescent="0.45">
      <c r="A1049" s="8" t="s">
        <v>10363</v>
      </c>
      <c r="B1049" s="4">
        <v>85</v>
      </c>
      <c r="C1049" s="4" t="s">
        <v>10416</v>
      </c>
      <c r="D1049" s="4" t="s">
        <v>10417</v>
      </c>
      <c r="E1049" s="4" t="s">
        <v>1657</v>
      </c>
      <c r="F1049" s="4" t="s">
        <v>115</v>
      </c>
      <c r="G1049" s="4" t="s">
        <v>177</v>
      </c>
      <c r="H1049" s="4" t="s">
        <v>171</v>
      </c>
      <c r="I1049" s="4" t="s">
        <v>10418</v>
      </c>
      <c r="J1049" s="4" t="s">
        <v>38</v>
      </c>
      <c r="K1049" s="4" t="s">
        <v>38</v>
      </c>
      <c r="L1049" s="4" t="s">
        <v>40</v>
      </c>
      <c r="M1049" s="4" t="s">
        <v>38</v>
      </c>
      <c r="N1049" s="4" t="s">
        <v>38</v>
      </c>
      <c r="O1049" s="4" t="s">
        <v>39</v>
      </c>
      <c r="P1049" s="4" t="s">
        <v>38</v>
      </c>
      <c r="Q1049" s="4" t="s">
        <v>38</v>
      </c>
      <c r="R1049" s="4" t="s">
        <v>40</v>
      </c>
      <c r="S1049" s="4" t="s">
        <v>41</v>
      </c>
      <c r="T1049" s="4" t="s">
        <v>10419</v>
      </c>
      <c r="U1049" s="4" t="s">
        <v>10420</v>
      </c>
      <c r="V1049" s="4" t="s">
        <v>10369</v>
      </c>
      <c r="W1049" s="4" t="s">
        <v>10421</v>
      </c>
      <c r="X1049" s="4"/>
      <c r="Y1049" s="4"/>
      <c r="Z1049" s="4" t="s">
        <v>46</v>
      </c>
      <c r="AA1049" s="4" t="s">
        <v>10422</v>
      </c>
      <c r="AB1049" s="4" t="s">
        <v>117</v>
      </c>
      <c r="AC1049" s="9">
        <v>1</v>
      </c>
      <c r="AD1049" t="str">
        <f>VLOOKUP($T1049,[1]NhanSu!$C$5:$M$229,11,0)</f>
        <v>SM0000170</v>
      </c>
    </row>
    <row r="1050" spans="1:30" x14ac:dyDescent="0.45">
      <c r="A1050" s="6" t="s">
        <v>10363</v>
      </c>
      <c r="B1050" s="5">
        <v>121</v>
      </c>
      <c r="C1050" s="5" t="s">
        <v>10432</v>
      </c>
      <c r="D1050" s="5" t="s">
        <v>10433</v>
      </c>
      <c r="E1050" s="5" t="s">
        <v>522</v>
      </c>
      <c r="F1050" s="5" t="s">
        <v>325</v>
      </c>
      <c r="G1050" s="5" t="s">
        <v>34</v>
      </c>
      <c r="H1050" s="5" t="s">
        <v>54</v>
      </c>
      <c r="I1050" s="5" t="s">
        <v>10434</v>
      </c>
      <c r="J1050" s="5" t="s">
        <v>1034</v>
      </c>
      <c r="K1050" s="5" t="s">
        <v>775</v>
      </c>
      <c r="L1050" s="5" t="s">
        <v>39</v>
      </c>
      <c r="M1050" s="5" t="s">
        <v>38</v>
      </c>
      <c r="N1050" s="5" t="s">
        <v>38</v>
      </c>
      <c r="O1050" s="5" t="s">
        <v>39</v>
      </c>
      <c r="P1050" s="5" t="s">
        <v>37</v>
      </c>
      <c r="Q1050" s="5" t="s">
        <v>38</v>
      </c>
      <c r="R1050" s="5" t="s">
        <v>40</v>
      </c>
      <c r="S1050" s="5" t="s">
        <v>41</v>
      </c>
      <c r="T1050" s="5" t="s">
        <v>10367</v>
      </c>
      <c r="U1050" s="5" t="s">
        <v>10368</v>
      </c>
      <c r="V1050" s="5" t="s">
        <v>10369</v>
      </c>
      <c r="W1050" s="5" t="s">
        <v>10370</v>
      </c>
      <c r="X1050" s="5"/>
      <c r="Y1050" s="5"/>
      <c r="Z1050" s="5" t="s">
        <v>46</v>
      </c>
      <c r="AA1050" s="5" t="s">
        <v>10390</v>
      </c>
      <c r="AB1050" s="5" t="s">
        <v>117</v>
      </c>
      <c r="AC1050" s="7">
        <v>1</v>
      </c>
      <c r="AD1050" t="str">
        <f>VLOOKUP($T1050,[1]NhanSu!$C$5:$M$229,11,0)</f>
        <v>SM0000055</v>
      </c>
    </row>
    <row r="1051" spans="1:30" x14ac:dyDescent="0.45">
      <c r="A1051" s="8" t="s">
        <v>10363</v>
      </c>
      <c r="B1051" s="4">
        <v>138</v>
      </c>
      <c r="C1051" s="4" t="s">
        <v>10435</v>
      </c>
      <c r="D1051" s="4" t="s">
        <v>10436</v>
      </c>
      <c r="E1051" s="4" t="s">
        <v>10437</v>
      </c>
      <c r="F1051" s="4" t="s">
        <v>224</v>
      </c>
      <c r="G1051" s="4" t="s">
        <v>34</v>
      </c>
      <c r="H1051" s="4" t="s">
        <v>8400</v>
      </c>
      <c r="I1051" s="4" t="s">
        <v>10438</v>
      </c>
      <c r="J1051" s="4" t="s">
        <v>37</v>
      </c>
      <c r="K1051" s="4" t="s">
        <v>37</v>
      </c>
      <c r="L1051" s="4" t="s">
        <v>40</v>
      </c>
      <c r="M1051" s="4" t="s">
        <v>56</v>
      </c>
      <c r="N1051" s="4" t="s">
        <v>37</v>
      </c>
      <c r="O1051" s="4" t="s">
        <v>39</v>
      </c>
      <c r="P1051" s="4" t="s">
        <v>38</v>
      </c>
      <c r="Q1051" s="4" t="s">
        <v>38</v>
      </c>
      <c r="R1051" s="4" t="s">
        <v>40</v>
      </c>
      <c r="S1051" s="4" t="s">
        <v>627</v>
      </c>
      <c r="T1051" s="4" t="s">
        <v>10439</v>
      </c>
      <c r="U1051" s="4" t="s">
        <v>10368</v>
      </c>
      <c r="V1051" s="4" t="s">
        <v>10369</v>
      </c>
      <c r="W1051" s="4" t="s">
        <v>10440</v>
      </c>
      <c r="X1051" s="4"/>
      <c r="Y1051" s="4"/>
      <c r="Z1051" s="4" t="s">
        <v>46</v>
      </c>
      <c r="AA1051" s="4" t="s">
        <v>10441</v>
      </c>
      <c r="AB1051" s="4" t="s">
        <v>3012</v>
      </c>
      <c r="AC1051" s="9">
        <v>1</v>
      </c>
      <c r="AD1051" t="str">
        <f>VLOOKUP($T1051,[1]NhanSu!$C$5:$M$229,11,0)</f>
        <v>SM0000064</v>
      </c>
    </row>
    <row r="1052" spans="1:30" x14ac:dyDescent="0.45">
      <c r="A1052" s="6" t="s">
        <v>10363</v>
      </c>
      <c r="B1052" s="5">
        <v>195</v>
      </c>
      <c r="C1052" s="5" t="s">
        <v>10447</v>
      </c>
      <c r="D1052" s="5" t="s">
        <v>10448</v>
      </c>
      <c r="E1052" s="5" t="s">
        <v>2389</v>
      </c>
      <c r="F1052" s="5" t="s">
        <v>10449</v>
      </c>
      <c r="G1052" s="5" t="s">
        <v>34</v>
      </c>
      <c r="H1052" s="5" t="s">
        <v>1706</v>
      </c>
      <c r="I1052" s="5" t="s">
        <v>10450</v>
      </c>
      <c r="J1052" s="5" t="s">
        <v>775</v>
      </c>
      <c r="K1052" s="5" t="s">
        <v>775</v>
      </c>
      <c r="L1052" s="5" t="s">
        <v>39</v>
      </c>
      <c r="M1052" s="5" t="s">
        <v>38</v>
      </c>
      <c r="N1052" s="5" t="s">
        <v>38</v>
      </c>
      <c r="O1052" s="5" t="s">
        <v>39</v>
      </c>
      <c r="P1052" s="5" t="s">
        <v>38</v>
      </c>
      <c r="Q1052" s="5" t="s">
        <v>38</v>
      </c>
      <c r="R1052" s="5" t="s">
        <v>40</v>
      </c>
      <c r="S1052" s="5" t="s">
        <v>41</v>
      </c>
      <c r="T1052" s="5" t="s">
        <v>10367</v>
      </c>
      <c r="U1052" s="5" t="s">
        <v>10368</v>
      </c>
      <c r="V1052" s="5" t="s">
        <v>10369</v>
      </c>
      <c r="W1052" s="5" t="s">
        <v>10370</v>
      </c>
      <c r="X1052" s="5"/>
      <c r="Y1052" s="5"/>
      <c r="Z1052" s="5" t="s">
        <v>46</v>
      </c>
      <c r="AA1052" s="5" t="s">
        <v>9263</v>
      </c>
      <c r="AB1052" s="5" t="s">
        <v>3012</v>
      </c>
      <c r="AC1052" s="7">
        <v>1</v>
      </c>
      <c r="AD1052" t="str">
        <f>VLOOKUP($T1052,[1]NhanSu!$C$5:$M$229,11,0)</f>
        <v>SM0000055</v>
      </c>
    </row>
    <row r="1053" spans="1:30" x14ac:dyDescent="0.45">
      <c r="A1053" s="8" t="s">
        <v>10363</v>
      </c>
      <c r="B1053" s="4">
        <v>233</v>
      </c>
      <c r="C1053" s="4" t="s">
        <v>10451</v>
      </c>
      <c r="D1053" s="4" t="s">
        <v>10452</v>
      </c>
      <c r="E1053" s="4" t="s">
        <v>10453</v>
      </c>
      <c r="F1053" s="4" t="s">
        <v>76</v>
      </c>
      <c r="G1053" s="4" t="s">
        <v>177</v>
      </c>
      <c r="H1053" s="4" t="s">
        <v>54</v>
      </c>
      <c r="I1053" s="4" t="s">
        <v>10454</v>
      </c>
      <c r="J1053" s="4" t="s">
        <v>38</v>
      </c>
      <c r="K1053" s="4" t="s">
        <v>38</v>
      </c>
      <c r="L1053" s="4" t="s">
        <v>40</v>
      </c>
      <c r="M1053" s="4" t="s">
        <v>38</v>
      </c>
      <c r="N1053" s="4" t="s">
        <v>38</v>
      </c>
      <c r="O1053" s="4" t="s">
        <v>40</v>
      </c>
      <c r="P1053" s="4" t="s">
        <v>38</v>
      </c>
      <c r="Q1053" s="4" t="s">
        <v>38</v>
      </c>
      <c r="R1053" s="4" t="s">
        <v>40</v>
      </c>
      <c r="S1053" s="4" t="s">
        <v>41</v>
      </c>
      <c r="T1053" s="4" t="s">
        <v>10431</v>
      </c>
      <c r="U1053" s="4" t="s">
        <v>10420</v>
      </c>
      <c r="V1053" s="4" t="s">
        <v>10369</v>
      </c>
      <c r="W1053" s="4" t="s">
        <v>10421</v>
      </c>
      <c r="X1053" s="4"/>
      <c r="Y1053" s="4"/>
      <c r="Z1053" s="4" t="s">
        <v>46</v>
      </c>
      <c r="AA1053" s="4" t="s">
        <v>10390</v>
      </c>
      <c r="AB1053" s="4" t="s">
        <v>2999</v>
      </c>
      <c r="AC1053" s="9">
        <v>1</v>
      </c>
      <c r="AD1053" t="str">
        <f>VLOOKUP($T1053,[1]NhanSu!$C$5:$M$229,11,0)</f>
        <v>SM0000052</v>
      </c>
    </row>
    <row r="1054" spans="1:30" x14ac:dyDescent="0.45">
      <c r="A1054" s="6" t="s">
        <v>10363</v>
      </c>
      <c r="B1054" s="5">
        <v>339</v>
      </c>
      <c r="C1054" s="5" t="s">
        <v>10461</v>
      </c>
      <c r="D1054" s="5" t="s">
        <v>10462</v>
      </c>
      <c r="E1054" s="5" t="s">
        <v>10463</v>
      </c>
      <c r="F1054" s="5" t="s">
        <v>331</v>
      </c>
      <c r="G1054" s="5" t="s">
        <v>177</v>
      </c>
      <c r="H1054" s="5" t="s">
        <v>3620</v>
      </c>
      <c r="I1054" s="5" t="s">
        <v>10464</v>
      </c>
      <c r="J1054" s="5" t="s">
        <v>38</v>
      </c>
      <c r="K1054" s="5" t="s">
        <v>38</v>
      </c>
      <c r="L1054" s="5" t="s">
        <v>40</v>
      </c>
      <c r="M1054" s="5" t="s">
        <v>38</v>
      </c>
      <c r="N1054" s="5" t="s">
        <v>38</v>
      </c>
      <c r="O1054" s="5" t="s">
        <v>40</v>
      </c>
      <c r="P1054" s="5" t="s">
        <v>38</v>
      </c>
      <c r="Q1054" s="5" t="s">
        <v>38</v>
      </c>
      <c r="R1054" s="5" t="s">
        <v>40</v>
      </c>
      <c r="S1054" s="5" t="s">
        <v>41</v>
      </c>
      <c r="T1054" s="5" t="s">
        <v>10419</v>
      </c>
      <c r="U1054" s="5" t="s">
        <v>10420</v>
      </c>
      <c r="V1054" s="5" t="s">
        <v>10369</v>
      </c>
      <c r="W1054" s="5" t="s">
        <v>10421</v>
      </c>
      <c r="X1054" s="5"/>
      <c r="Y1054" s="5"/>
      <c r="Z1054" s="5" t="s">
        <v>46</v>
      </c>
      <c r="AA1054" s="5" t="s">
        <v>10390</v>
      </c>
      <c r="AB1054" s="5" t="s">
        <v>2999</v>
      </c>
      <c r="AC1054" s="7">
        <v>1</v>
      </c>
      <c r="AD1054" t="str">
        <f>VLOOKUP($T1054,[1]NhanSu!$C$5:$M$229,11,0)</f>
        <v>SM0000170</v>
      </c>
    </row>
    <row r="1055" spans="1:30" x14ac:dyDescent="0.45">
      <c r="A1055" s="8" t="s">
        <v>10363</v>
      </c>
      <c r="B1055" s="4">
        <v>378</v>
      </c>
      <c r="C1055" s="4" t="s">
        <v>10470</v>
      </c>
      <c r="D1055" s="4" t="s">
        <v>3807</v>
      </c>
      <c r="E1055" s="4" t="s">
        <v>3918</v>
      </c>
      <c r="F1055" s="4" t="s">
        <v>166</v>
      </c>
      <c r="G1055" s="4" t="s">
        <v>34</v>
      </c>
      <c r="H1055" s="4" t="s">
        <v>214</v>
      </c>
      <c r="I1055" s="4" t="s">
        <v>10471</v>
      </c>
      <c r="J1055" s="4" t="s">
        <v>38</v>
      </c>
      <c r="K1055" s="4" t="s">
        <v>38</v>
      </c>
      <c r="L1055" s="4" t="s">
        <v>40</v>
      </c>
      <c r="M1055" s="4" t="s">
        <v>37</v>
      </c>
      <c r="N1055" s="4" t="s">
        <v>56</v>
      </c>
      <c r="O1055" s="4" t="s">
        <v>39</v>
      </c>
      <c r="P1055" s="4" t="s">
        <v>38</v>
      </c>
      <c r="Q1055" s="4" t="s">
        <v>38</v>
      </c>
      <c r="R1055" s="4" t="s">
        <v>40</v>
      </c>
      <c r="S1055" s="4" t="s">
        <v>41</v>
      </c>
      <c r="T1055" s="4" t="s">
        <v>10472</v>
      </c>
      <c r="U1055" s="4" t="s">
        <v>10473</v>
      </c>
      <c r="V1055" s="4" t="s">
        <v>10369</v>
      </c>
      <c r="W1055" s="4" t="s">
        <v>10474</v>
      </c>
      <c r="X1055" s="4"/>
      <c r="Y1055" s="4"/>
      <c r="Z1055" s="4" t="s">
        <v>46</v>
      </c>
      <c r="AA1055" s="4" t="s">
        <v>10390</v>
      </c>
      <c r="AB1055" s="4" t="s">
        <v>2999</v>
      </c>
      <c r="AC1055" s="9">
        <v>1</v>
      </c>
      <c r="AD1055" t="str">
        <f>VLOOKUP($T1055,[1]NhanSu!$C$5:$M$229,11,0)</f>
        <v>SM0000059</v>
      </c>
    </row>
    <row r="1056" spans="1:30" x14ac:dyDescent="0.45">
      <c r="A1056" s="6" t="s">
        <v>10363</v>
      </c>
      <c r="B1056" s="5">
        <v>1038</v>
      </c>
      <c r="C1056" s="5" t="s">
        <v>10496</v>
      </c>
      <c r="D1056" s="5" t="s">
        <v>10497</v>
      </c>
      <c r="E1056" s="5" t="s">
        <v>219</v>
      </c>
      <c r="F1056" s="5" t="s">
        <v>53</v>
      </c>
      <c r="G1056" s="5" t="s">
        <v>34</v>
      </c>
      <c r="H1056" s="5" t="s">
        <v>685</v>
      </c>
      <c r="I1056" s="5" t="s">
        <v>10498</v>
      </c>
      <c r="J1056" s="5" t="s">
        <v>38</v>
      </c>
      <c r="K1056" s="5" t="s">
        <v>38</v>
      </c>
      <c r="L1056" s="5" t="s">
        <v>40</v>
      </c>
      <c r="M1056" s="5" t="s">
        <v>38</v>
      </c>
      <c r="N1056" s="5" t="s">
        <v>38</v>
      </c>
      <c r="O1056" s="5" t="s">
        <v>40</v>
      </c>
      <c r="P1056" s="5" t="s">
        <v>38</v>
      </c>
      <c r="Q1056" s="5" t="s">
        <v>38</v>
      </c>
      <c r="R1056" s="5" t="s">
        <v>40</v>
      </c>
      <c r="S1056" s="5" t="s">
        <v>41</v>
      </c>
      <c r="T1056" s="5" t="s">
        <v>10499</v>
      </c>
      <c r="U1056" s="5" t="s">
        <v>10500</v>
      </c>
      <c r="V1056" s="5" t="s">
        <v>10369</v>
      </c>
      <c r="W1056" s="5" t="s">
        <v>10440</v>
      </c>
      <c r="X1056" s="5"/>
      <c r="Y1056" s="5"/>
      <c r="Z1056" s="5" t="s">
        <v>46</v>
      </c>
      <c r="AA1056" s="5" t="s">
        <v>10422</v>
      </c>
      <c r="AB1056" s="5" t="s">
        <v>117</v>
      </c>
      <c r="AC1056" s="7">
        <v>1</v>
      </c>
      <c r="AD1056" t="str">
        <f>VLOOKUP($T1056,[1]NhanSu!$C$5:$M$229,11,0)</f>
        <v>SM0000061</v>
      </c>
    </row>
    <row r="1057" spans="1:30" x14ac:dyDescent="0.45">
      <c r="A1057" s="8" t="s">
        <v>10363</v>
      </c>
      <c r="B1057" s="4">
        <v>1103</v>
      </c>
      <c r="C1057" s="4" t="s">
        <v>10515</v>
      </c>
      <c r="D1057" s="4" t="s">
        <v>10516</v>
      </c>
      <c r="E1057" s="4" t="s">
        <v>143</v>
      </c>
      <c r="F1057" s="4" t="s">
        <v>934</v>
      </c>
      <c r="G1057" s="4" t="s">
        <v>34</v>
      </c>
      <c r="H1057" s="4" t="s">
        <v>35</v>
      </c>
      <c r="I1057" s="4" t="s">
        <v>10517</v>
      </c>
      <c r="J1057" s="4" t="s">
        <v>38</v>
      </c>
      <c r="K1057" s="4" t="s">
        <v>38</v>
      </c>
      <c r="L1057" s="4" t="s">
        <v>39</v>
      </c>
      <c r="M1057" s="4" t="s">
        <v>38</v>
      </c>
      <c r="N1057" s="4" t="s">
        <v>38</v>
      </c>
      <c r="O1057" s="4" t="s">
        <v>39</v>
      </c>
      <c r="P1057" s="4" t="s">
        <v>38</v>
      </c>
      <c r="Q1057" s="4" t="s">
        <v>38</v>
      </c>
      <c r="R1057" s="4" t="s">
        <v>39</v>
      </c>
      <c r="S1057" s="4" t="s">
        <v>627</v>
      </c>
      <c r="T1057" s="4" t="s">
        <v>10518</v>
      </c>
      <c r="U1057" s="4" t="s">
        <v>10519</v>
      </c>
      <c r="V1057" s="4" t="s">
        <v>10369</v>
      </c>
      <c r="W1057" s="4" t="s">
        <v>10370</v>
      </c>
      <c r="X1057" s="4"/>
      <c r="Y1057" s="4"/>
      <c r="Z1057" s="4" t="s">
        <v>46</v>
      </c>
      <c r="AA1057" s="4" t="s">
        <v>10520</v>
      </c>
      <c r="AB1057" s="4" t="s">
        <v>117</v>
      </c>
      <c r="AC1057" s="9">
        <v>1</v>
      </c>
      <c r="AD1057" t="str">
        <f>VLOOKUP($T1057,[1]NhanSu!$C$5:$M$229,11,0)</f>
        <v>SM0000172</v>
      </c>
    </row>
    <row r="1058" spans="1:30" x14ac:dyDescent="0.45">
      <c r="A1058" s="6" t="s">
        <v>10363</v>
      </c>
      <c r="B1058" s="5">
        <v>1167</v>
      </c>
      <c r="C1058" s="5" t="s">
        <v>10529</v>
      </c>
      <c r="D1058" s="5" t="s">
        <v>10530</v>
      </c>
      <c r="E1058" s="5" t="s">
        <v>330</v>
      </c>
      <c r="F1058" s="5" t="s">
        <v>292</v>
      </c>
      <c r="G1058" s="5" t="s">
        <v>34</v>
      </c>
      <c r="H1058" s="5" t="s">
        <v>1263</v>
      </c>
      <c r="I1058" s="5" t="s">
        <v>10531</v>
      </c>
      <c r="J1058" s="5" t="s">
        <v>38</v>
      </c>
      <c r="K1058" s="5" t="s">
        <v>38</v>
      </c>
      <c r="L1058" s="5" t="s">
        <v>39</v>
      </c>
      <c r="M1058" s="5" t="s">
        <v>38</v>
      </c>
      <c r="N1058" s="5" t="s">
        <v>38</v>
      </c>
      <c r="O1058" s="5" t="s">
        <v>40</v>
      </c>
      <c r="P1058" s="5" t="s">
        <v>38</v>
      </c>
      <c r="Q1058" s="5" t="s">
        <v>38</v>
      </c>
      <c r="R1058" s="5" t="s">
        <v>40</v>
      </c>
      <c r="S1058" s="5" t="s">
        <v>41</v>
      </c>
      <c r="T1058" s="5" t="s">
        <v>10499</v>
      </c>
      <c r="U1058" s="5" t="s">
        <v>10500</v>
      </c>
      <c r="V1058" s="5" t="s">
        <v>10369</v>
      </c>
      <c r="W1058" s="5" t="s">
        <v>10440</v>
      </c>
      <c r="X1058" s="5"/>
      <c r="Y1058" s="5"/>
      <c r="Z1058" s="5" t="s">
        <v>46</v>
      </c>
      <c r="AA1058" s="5" t="s">
        <v>10390</v>
      </c>
      <c r="AB1058" s="5" t="s">
        <v>2999</v>
      </c>
      <c r="AC1058" s="7">
        <v>1</v>
      </c>
      <c r="AD1058" t="str">
        <f>VLOOKUP($T1058,[1]NhanSu!$C$5:$M$229,11,0)</f>
        <v>SM0000061</v>
      </c>
    </row>
    <row r="1059" spans="1:30" x14ac:dyDescent="0.45">
      <c r="A1059" s="8" t="s">
        <v>10363</v>
      </c>
      <c r="B1059" s="4">
        <v>1168</v>
      </c>
      <c r="C1059" s="4" t="s">
        <v>10532</v>
      </c>
      <c r="D1059" s="4" t="s">
        <v>10533</v>
      </c>
      <c r="E1059" s="4" t="s">
        <v>128</v>
      </c>
      <c r="F1059" s="4" t="s">
        <v>4431</v>
      </c>
      <c r="G1059" s="4" t="s">
        <v>177</v>
      </c>
      <c r="H1059" s="4" t="s">
        <v>1263</v>
      </c>
      <c r="I1059" s="4" t="s">
        <v>10534</v>
      </c>
      <c r="J1059" s="4" t="s">
        <v>38</v>
      </c>
      <c r="K1059" s="4" t="s">
        <v>38</v>
      </c>
      <c r="L1059" s="4" t="s">
        <v>40</v>
      </c>
      <c r="M1059" s="4" t="s">
        <v>38</v>
      </c>
      <c r="N1059" s="4" t="s">
        <v>38</v>
      </c>
      <c r="O1059" s="4" t="s">
        <v>40</v>
      </c>
      <c r="P1059" s="4" t="s">
        <v>38</v>
      </c>
      <c r="Q1059" s="4" t="s">
        <v>38</v>
      </c>
      <c r="R1059" s="4" t="s">
        <v>40</v>
      </c>
      <c r="S1059" s="4" t="s">
        <v>41</v>
      </c>
      <c r="T1059" s="4" t="s">
        <v>10499</v>
      </c>
      <c r="U1059" s="4" t="s">
        <v>10500</v>
      </c>
      <c r="V1059" s="4" t="s">
        <v>10369</v>
      </c>
      <c r="W1059" s="4" t="s">
        <v>10440</v>
      </c>
      <c r="X1059" s="4"/>
      <c r="Y1059" s="4"/>
      <c r="Z1059" s="4" t="s">
        <v>46</v>
      </c>
      <c r="AA1059" s="4" t="s">
        <v>10390</v>
      </c>
      <c r="AB1059" s="4" t="s">
        <v>2999</v>
      </c>
      <c r="AC1059" s="9">
        <v>1</v>
      </c>
      <c r="AD1059" t="str">
        <f>VLOOKUP($T1059,[1]NhanSu!$C$5:$M$229,11,0)</f>
        <v>SM0000061</v>
      </c>
    </row>
    <row r="1060" spans="1:30" x14ac:dyDescent="0.45">
      <c r="A1060" s="6" t="s">
        <v>10363</v>
      </c>
      <c r="B1060" s="5">
        <v>1170</v>
      </c>
      <c r="C1060" s="5" t="s">
        <v>10535</v>
      </c>
      <c r="D1060" s="5" t="s">
        <v>10536</v>
      </c>
      <c r="E1060" s="5" t="s">
        <v>127</v>
      </c>
      <c r="F1060" s="5" t="s">
        <v>280</v>
      </c>
      <c r="G1060" s="5" t="s">
        <v>150</v>
      </c>
      <c r="H1060" s="5" t="s">
        <v>192</v>
      </c>
      <c r="I1060" s="5" t="s">
        <v>10537</v>
      </c>
      <c r="J1060" s="5" t="s">
        <v>38</v>
      </c>
      <c r="K1060" s="5" t="s">
        <v>38</v>
      </c>
      <c r="L1060" s="5" t="s">
        <v>40</v>
      </c>
      <c r="M1060" s="5" t="s">
        <v>38</v>
      </c>
      <c r="N1060" s="5" t="s">
        <v>38</v>
      </c>
      <c r="O1060" s="5" t="s">
        <v>40</v>
      </c>
      <c r="P1060" s="5" t="s">
        <v>38</v>
      </c>
      <c r="Q1060" s="5" t="s">
        <v>38</v>
      </c>
      <c r="R1060" s="5" t="s">
        <v>40</v>
      </c>
      <c r="S1060" s="5" t="s">
        <v>10538</v>
      </c>
      <c r="T1060" s="5" t="s">
        <v>10499</v>
      </c>
      <c r="U1060" s="5" t="s">
        <v>10500</v>
      </c>
      <c r="V1060" s="5" t="s">
        <v>10369</v>
      </c>
      <c r="W1060" s="5" t="s">
        <v>10440</v>
      </c>
      <c r="X1060" s="5"/>
      <c r="Y1060" s="5"/>
      <c r="Z1060" s="5" t="s">
        <v>46</v>
      </c>
      <c r="AA1060" s="5" t="s">
        <v>10390</v>
      </c>
      <c r="AB1060" s="5" t="s">
        <v>2999</v>
      </c>
      <c r="AC1060" s="7">
        <v>1</v>
      </c>
      <c r="AD1060" t="str">
        <f>VLOOKUP($T1060,[1]NhanSu!$C$5:$M$229,11,0)</f>
        <v>SM0000061</v>
      </c>
    </row>
    <row r="1061" spans="1:30" x14ac:dyDescent="0.45">
      <c r="A1061" s="8" t="s">
        <v>10363</v>
      </c>
      <c r="B1061" s="4">
        <v>1350</v>
      </c>
      <c r="C1061" s="4" t="s">
        <v>10562</v>
      </c>
      <c r="D1061" s="4" t="s">
        <v>10563</v>
      </c>
      <c r="E1061" s="4" t="s">
        <v>10564</v>
      </c>
      <c r="F1061" s="4" t="s">
        <v>286</v>
      </c>
      <c r="G1061" s="4" t="s">
        <v>34</v>
      </c>
      <c r="H1061" s="4" t="s">
        <v>2426</v>
      </c>
      <c r="I1061" s="4" t="s">
        <v>10565</v>
      </c>
      <c r="J1061" s="4" t="s">
        <v>38</v>
      </c>
      <c r="K1061" s="4" t="s">
        <v>38</v>
      </c>
      <c r="L1061" s="4" t="s">
        <v>39</v>
      </c>
      <c r="M1061" s="4" t="s">
        <v>38</v>
      </c>
      <c r="N1061" s="4" t="s">
        <v>38</v>
      </c>
      <c r="O1061" s="4" t="s">
        <v>39</v>
      </c>
      <c r="P1061" s="4" t="s">
        <v>38</v>
      </c>
      <c r="Q1061" s="4" t="s">
        <v>38</v>
      </c>
      <c r="R1061" s="4" t="s">
        <v>39</v>
      </c>
      <c r="S1061" s="4" t="s">
        <v>4783</v>
      </c>
      <c r="T1061" s="4" t="s">
        <v>10518</v>
      </c>
      <c r="U1061" s="4" t="s">
        <v>10519</v>
      </c>
      <c r="V1061" s="4" t="s">
        <v>10369</v>
      </c>
      <c r="W1061" s="4" t="s">
        <v>10370</v>
      </c>
      <c r="X1061" s="4"/>
      <c r="Y1061" s="4"/>
      <c r="Z1061" s="4" t="s">
        <v>46</v>
      </c>
      <c r="AA1061" s="4" t="s">
        <v>10520</v>
      </c>
      <c r="AB1061" s="4" t="s">
        <v>117</v>
      </c>
      <c r="AC1061" s="9">
        <v>1</v>
      </c>
      <c r="AD1061" t="str">
        <f>VLOOKUP($T1061,[1]NhanSu!$C$5:$M$229,11,0)</f>
        <v>SM0000172</v>
      </c>
    </row>
    <row r="1062" spans="1:30" x14ac:dyDescent="0.45">
      <c r="A1062" s="6" t="s">
        <v>10363</v>
      </c>
      <c r="B1062" s="5">
        <v>1382</v>
      </c>
      <c r="C1062" s="5" t="s">
        <v>10576</v>
      </c>
      <c r="D1062" s="5" t="s">
        <v>10577</v>
      </c>
      <c r="E1062" s="5" t="s">
        <v>10578</v>
      </c>
      <c r="F1062" s="5" t="s">
        <v>166</v>
      </c>
      <c r="G1062" s="5" t="s">
        <v>34</v>
      </c>
      <c r="H1062" s="5" t="s">
        <v>402</v>
      </c>
      <c r="I1062" s="5" t="s">
        <v>10579</v>
      </c>
      <c r="J1062" s="5" t="s">
        <v>38</v>
      </c>
      <c r="K1062" s="5" t="s">
        <v>38</v>
      </c>
      <c r="L1062" s="5" t="s">
        <v>39</v>
      </c>
      <c r="M1062" s="5" t="s">
        <v>38</v>
      </c>
      <c r="N1062" s="5" t="s">
        <v>38</v>
      </c>
      <c r="O1062" s="5" t="s">
        <v>39</v>
      </c>
      <c r="P1062" s="5" t="s">
        <v>38</v>
      </c>
      <c r="Q1062" s="5" t="s">
        <v>38</v>
      </c>
      <c r="R1062" s="5" t="s">
        <v>39</v>
      </c>
      <c r="S1062" s="5" t="s">
        <v>4783</v>
      </c>
      <c r="T1062" s="5" t="s">
        <v>10518</v>
      </c>
      <c r="U1062" s="5" t="s">
        <v>10519</v>
      </c>
      <c r="V1062" s="5" t="s">
        <v>10369</v>
      </c>
      <c r="W1062" s="5" t="s">
        <v>10370</v>
      </c>
      <c r="X1062" s="5"/>
      <c r="Y1062" s="5"/>
      <c r="Z1062" s="5" t="s">
        <v>46</v>
      </c>
      <c r="AA1062" s="5" t="s">
        <v>10520</v>
      </c>
      <c r="AB1062" s="5" t="s">
        <v>2999</v>
      </c>
      <c r="AC1062" s="7">
        <v>1</v>
      </c>
      <c r="AD1062" t="str">
        <f>VLOOKUP($T1062,[1]NhanSu!$C$5:$M$229,11,0)</f>
        <v>SM0000172</v>
      </c>
    </row>
    <row r="1063" spans="1:30" x14ac:dyDescent="0.45">
      <c r="A1063" s="8" t="s">
        <v>10363</v>
      </c>
      <c r="B1063" s="4">
        <v>1390</v>
      </c>
      <c r="C1063" s="4" t="s">
        <v>10580</v>
      </c>
      <c r="D1063" s="4" t="s">
        <v>10581</v>
      </c>
      <c r="E1063" s="4" t="s">
        <v>10582</v>
      </c>
      <c r="F1063" s="4" t="s">
        <v>224</v>
      </c>
      <c r="G1063" s="4" t="s">
        <v>150</v>
      </c>
      <c r="H1063" s="4" t="s">
        <v>697</v>
      </c>
      <c r="I1063" s="4" t="s">
        <v>10583</v>
      </c>
      <c r="J1063" s="4" t="s">
        <v>38</v>
      </c>
      <c r="K1063" s="4" t="s">
        <v>38</v>
      </c>
      <c r="L1063" s="4" t="s">
        <v>39</v>
      </c>
      <c r="M1063" s="4" t="s">
        <v>38</v>
      </c>
      <c r="N1063" s="4" t="s">
        <v>38</v>
      </c>
      <c r="O1063" s="4" t="s">
        <v>39</v>
      </c>
      <c r="P1063" s="4" t="s">
        <v>38</v>
      </c>
      <c r="Q1063" s="4" t="s">
        <v>38</v>
      </c>
      <c r="R1063" s="4" t="s">
        <v>39</v>
      </c>
      <c r="S1063" s="4" t="s">
        <v>4783</v>
      </c>
      <c r="T1063" s="4" t="s">
        <v>10518</v>
      </c>
      <c r="U1063" s="4" t="s">
        <v>10519</v>
      </c>
      <c r="V1063" s="4" t="s">
        <v>10369</v>
      </c>
      <c r="W1063" s="4" t="s">
        <v>10370</v>
      </c>
      <c r="X1063" s="4"/>
      <c r="Y1063" s="4"/>
      <c r="Z1063" s="4" t="s">
        <v>46</v>
      </c>
      <c r="AA1063" s="4" t="s">
        <v>10520</v>
      </c>
      <c r="AB1063" s="4" t="s">
        <v>2999</v>
      </c>
      <c r="AC1063" s="9">
        <v>1</v>
      </c>
      <c r="AD1063" t="str">
        <f>VLOOKUP($T1063,[1]NhanSu!$C$5:$M$229,11,0)</f>
        <v>SM0000172</v>
      </c>
    </row>
    <row r="1064" spans="1:30" x14ac:dyDescent="0.45">
      <c r="A1064" s="6" t="s">
        <v>10363</v>
      </c>
      <c r="B1064" s="5">
        <v>1432</v>
      </c>
      <c r="C1064" s="5" t="s">
        <v>10591</v>
      </c>
      <c r="D1064" s="5" t="s">
        <v>3330</v>
      </c>
      <c r="E1064" s="5" t="s">
        <v>148</v>
      </c>
      <c r="F1064" s="5" t="s">
        <v>53</v>
      </c>
      <c r="G1064" s="5" t="s">
        <v>34</v>
      </c>
      <c r="H1064" s="5" t="s">
        <v>54</v>
      </c>
      <c r="I1064" s="5" t="s">
        <v>10592</v>
      </c>
      <c r="J1064" s="5" t="s">
        <v>38</v>
      </c>
      <c r="K1064" s="5" t="s">
        <v>38</v>
      </c>
      <c r="L1064" s="5" t="s">
        <v>40</v>
      </c>
      <c r="M1064" s="5" t="s">
        <v>38</v>
      </c>
      <c r="N1064" s="5" t="s">
        <v>38</v>
      </c>
      <c r="O1064" s="5" t="s">
        <v>40</v>
      </c>
      <c r="P1064" s="5" t="s">
        <v>38</v>
      </c>
      <c r="Q1064" s="5" t="s">
        <v>38</v>
      </c>
      <c r="R1064" s="5" t="s">
        <v>40</v>
      </c>
      <c r="S1064" s="5" t="s">
        <v>41</v>
      </c>
      <c r="T1064" s="5" t="s">
        <v>10499</v>
      </c>
      <c r="U1064" s="5" t="s">
        <v>10500</v>
      </c>
      <c r="V1064" s="5" t="s">
        <v>10369</v>
      </c>
      <c r="W1064" s="5" t="s">
        <v>10440</v>
      </c>
      <c r="X1064" s="5"/>
      <c r="Y1064" s="5"/>
      <c r="Z1064" s="5" t="s">
        <v>46</v>
      </c>
      <c r="AA1064" s="5" t="s">
        <v>10422</v>
      </c>
      <c r="AB1064" s="5" t="s">
        <v>2999</v>
      </c>
      <c r="AC1064" s="7">
        <v>1</v>
      </c>
      <c r="AD1064" t="str">
        <f>VLOOKUP($T1064,[1]NhanSu!$C$5:$M$229,11,0)</f>
        <v>SM0000061</v>
      </c>
    </row>
    <row r="1065" spans="1:30" x14ac:dyDescent="0.45">
      <c r="A1065" s="8" t="s">
        <v>10363</v>
      </c>
      <c r="B1065" s="4">
        <v>1439</v>
      </c>
      <c r="C1065" s="4" t="s">
        <v>10593</v>
      </c>
      <c r="D1065" s="4" t="s">
        <v>10594</v>
      </c>
      <c r="E1065" s="4" t="s">
        <v>529</v>
      </c>
      <c r="F1065" s="4" t="s">
        <v>426</v>
      </c>
      <c r="G1065" s="4" t="s">
        <v>177</v>
      </c>
      <c r="H1065" s="4" t="s">
        <v>685</v>
      </c>
      <c r="I1065" s="4" t="s">
        <v>10595</v>
      </c>
      <c r="J1065" s="4" t="s">
        <v>38</v>
      </c>
      <c r="K1065" s="4" t="s">
        <v>38</v>
      </c>
      <c r="L1065" s="4" t="s">
        <v>40</v>
      </c>
      <c r="M1065" s="4" t="s">
        <v>38</v>
      </c>
      <c r="N1065" s="4" t="s">
        <v>38</v>
      </c>
      <c r="O1065" s="4" t="s">
        <v>39</v>
      </c>
      <c r="P1065" s="4" t="s">
        <v>38</v>
      </c>
      <c r="Q1065" s="4" t="s">
        <v>38</v>
      </c>
      <c r="R1065" s="4" t="s">
        <v>40</v>
      </c>
      <c r="S1065" s="4" t="s">
        <v>41</v>
      </c>
      <c r="T1065" s="4" t="s">
        <v>10499</v>
      </c>
      <c r="U1065" s="4" t="s">
        <v>10500</v>
      </c>
      <c r="V1065" s="4" t="s">
        <v>10369</v>
      </c>
      <c r="W1065" s="4" t="s">
        <v>10440</v>
      </c>
      <c r="X1065" s="4"/>
      <c r="Y1065" s="4"/>
      <c r="Z1065" s="4" t="s">
        <v>46</v>
      </c>
      <c r="AA1065" s="4" t="s">
        <v>10422</v>
      </c>
      <c r="AB1065" s="4" t="s">
        <v>117</v>
      </c>
      <c r="AC1065" s="9">
        <v>1</v>
      </c>
      <c r="AD1065" t="str">
        <f>VLOOKUP($T1065,[1]NhanSu!$C$5:$M$229,11,0)</f>
        <v>SM0000061</v>
      </c>
    </row>
    <row r="1066" spans="1:30" x14ac:dyDescent="0.45">
      <c r="A1066" s="6" t="s">
        <v>10363</v>
      </c>
      <c r="B1066" s="5">
        <v>1503</v>
      </c>
      <c r="C1066" s="5" t="s">
        <v>10596</v>
      </c>
      <c r="D1066" s="5" t="s">
        <v>10597</v>
      </c>
      <c r="E1066" s="5" t="s">
        <v>1699</v>
      </c>
      <c r="F1066" s="5" t="s">
        <v>1611</v>
      </c>
      <c r="G1066" s="5" t="s">
        <v>34</v>
      </c>
      <c r="H1066" s="5" t="s">
        <v>546</v>
      </c>
      <c r="I1066" s="5" t="s">
        <v>10598</v>
      </c>
      <c r="J1066" s="5" t="s">
        <v>38</v>
      </c>
      <c r="K1066" s="5" t="s">
        <v>38</v>
      </c>
      <c r="L1066" s="5" t="s">
        <v>40</v>
      </c>
      <c r="M1066" s="5" t="s">
        <v>38</v>
      </c>
      <c r="N1066" s="5" t="s">
        <v>38</v>
      </c>
      <c r="O1066" s="5" t="s">
        <v>40</v>
      </c>
      <c r="P1066" s="5" t="s">
        <v>38</v>
      </c>
      <c r="Q1066" s="5" t="s">
        <v>38</v>
      </c>
      <c r="R1066" s="5" t="s">
        <v>40</v>
      </c>
      <c r="S1066" s="5" t="s">
        <v>41</v>
      </c>
      <c r="T1066" s="5" t="s">
        <v>10493</v>
      </c>
      <c r="U1066" s="5" t="s">
        <v>10494</v>
      </c>
      <c r="V1066" s="5" t="s">
        <v>10369</v>
      </c>
      <c r="W1066" s="5" t="s">
        <v>10495</v>
      </c>
      <c r="X1066" s="5"/>
      <c r="Y1066" s="5"/>
      <c r="Z1066" s="5" t="s">
        <v>46</v>
      </c>
      <c r="AA1066" s="5" t="s">
        <v>10599</v>
      </c>
      <c r="AB1066" s="5" t="s">
        <v>117</v>
      </c>
      <c r="AC1066" s="7">
        <v>1</v>
      </c>
      <c r="AD1066" t="str">
        <f>VLOOKUP($T1066,[1]NhanSu!$C$5:$M$229,11,0)</f>
        <v>SM0000063</v>
      </c>
    </row>
    <row r="1067" spans="1:30" x14ac:dyDescent="0.45">
      <c r="A1067" s="8" t="s">
        <v>10363</v>
      </c>
      <c r="B1067" s="4">
        <v>1673</v>
      </c>
      <c r="C1067" s="4" t="s">
        <v>10621</v>
      </c>
      <c r="D1067" s="4" t="s">
        <v>10622</v>
      </c>
      <c r="E1067" s="4" t="s">
        <v>10623</v>
      </c>
      <c r="F1067" s="4" t="s">
        <v>53</v>
      </c>
      <c r="G1067" s="4" t="s">
        <v>34</v>
      </c>
      <c r="H1067" s="4" t="s">
        <v>54</v>
      </c>
      <c r="I1067" s="4" t="s">
        <v>10624</v>
      </c>
      <c r="J1067" s="4" t="s">
        <v>38</v>
      </c>
      <c r="K1067" s="4" t="s">
        <v>38</v>
      </c>
      <c r="L1067" s="4" t="s">
        <v>39</v>
      </c>
      <c r="M1067" s="4" t="s">
        <v>38</v>
      </c>
      <c r="N1067" s="4" t="s">
        <v>38</v>
      </c>
      <c r="O1067" s="4" t="s">
        <v>39</v>
      </c>
      <c r="P1067" s="4" t="s">
        <v>38</v>
      </c>
      <c r="Q1067" s="4" t="s">
        <v>38</v>
      </c>
      <c r="R1067" s="4" t="s">
        <v>40</v>
      </c>
      <c r="S1067" s="4" t="s">
        <v>4783</v>
      </c>
      <c r="T1067" s="4" t="s">
        <v>10518</v>
      </c>
      <c r="U1067" s="4" t="s">
        <v>10519</v>
      </c>
      <c r="V1067" s="4" t="s">
        <v>10369</v>
      </c>
      <c r="W1067" s="4" t="s">
        <v>10370</v>
      </c>
      <c r="X1067" s="4"/>
      <c r="Y1067" s="4"/>
      <c r="Z1067" s="4" t="s">
        <v>46</v>
      </c>
      <c r="AA1067" s="4" t="s">
        <v>10520</v>
      </c>
      <c r="AB1067" s="4"/>
      <c r="AC1067" s="9">
        <v>1</v>
      </c>
      <c r="AD1067" t="str">
        <f>VLOOKUP($T1067,[1]NhanSu!$C$5:$M$229,11,0)</f>
        <v>SM0000172</v>
      </c>
    </row>
    <row r="1068" spans="1:30" x14ac:dyDescent="0.45">
      <c r="A1068" s="6" t="s">
        <v>10363</v>
      </c>
      <c r="B1068" s="5">
        <v>1767</v>
      </c>
      <c r="C1068" s="5" t="s">
        <v>10625</v>
      </c>
      <c r="D1068" s="5" t="s">
        <v>10626</v>
      </c>
      <c r="E1068" s="5" t="s">
        <v>10627</v>
      </c>
      <c r="F1068" s="5" t="s">
        <v>4705</v>
      </c>
      <c r="G1068" s="5" t="s">
        <v>34</v>
      </c>
      <c r="H1068" s="5" t="s">
        <v>54</v>
      </c>
      <c r="I1068" s="5" t="s">
        <v>10628</v>
      </c>
      <c r="J1068" s="5" t="s">
        <v>38</v>
      </c>
      <c r="K1068" s="5" t="s">
        <v>38</v>
      </c>
      <c r="L1068" s="5" t="s">
        <v>40</v>
      </c>
      <c r="M1068" s="5" t="s">
        <v>38</v>
      </c>
      <c r="N1068" s="5" t="s">
        <v>38</v>
      </c>
      <c r="O1068" s="5" t="s">
        <v>39</v>
      </c>
      <c r="P1068" s="5" t="s">
        <v>38</v>
      </c>
      <c r="Q1068" s="5" t="s">
        <v>38</v>
      </c>
      <c r="R1068" s="5" t="s">
        <v>40</v>
      </c>
      <c r="S1068" s="5" t="s">
        <v>10524</v>
      </c>
      <c r="T1068" s="5" t="s">
        <v>10525</v>
      </c>
      <c r="U1068" s="5" t="s">
        <v>10519</v>
      </c>
      <c r="V1068" s="5" t="s">
        <v>10369</v>
      </c>
      <c r="W1068" s="5" t="s">
        <v>10399</v>
      </c>
      <c r="X1068" s="5"/>
      <c r="Y1068" s="5"/>
      <c r="Z1068" s="5" t="s">
        <v>46</v>
      </c>
      <c r="AA1068" s="5" t="s">
        <v>10520</v>
      </c>
      <c r="AB1068" s="5"/>
      <c r="AC1068" s="7">
        <v>1</v>
      </c>
      <c r="AD1068" t="str">
        <f>VLOOKUP($T1068,[1]NhanSu!$C$5:$M$229,11,0)</f>
        <v>SM0000173</v>
      </c>
    </row>
    <row r="1069" spans="1:30" x14ac:dyDescent="0.45">
      <c r="A1069" s="8" t="s">
        <v>10363</v>
      </c>
      <c r="B1069" s="4">
        <v>1772</v>
      </c>
      <c r="C1069" s="4" t="s">
        <v>10629</v>
      </c>
      <c r="D1069" s="4" t="s">
        <v>10630</v>
      </c>
      <c r="E1069" s="4" t="s">
        <v>128</v>
      </c>
      <c r="F1069" s="4" t="s">
        <v>4241</v>
      </c>
      <c r="G1069" s="4" t="s">
        <v>177</v>
      </c>
      <c r="H1069" s="4" t="s">
        <v>356</v>
      </c>
      <c r="I1069" s="4" t="s">
        <v>10631</v>
      </c>
      <c r="J1069" s="4" t="s">
        <v>38</v>
      </c>
      <c r="K1069" s="4" t="s">
        <v>38</v>
      </c>
      <c r="L1069" s="4" t="s">
        <v>40</v>
      </c>
      <c r="M1069" s="4" t="s">
        <v>38</v>
      </c>
      <c r="N1069" s="4" t="s">
        <v>38</v>
      </c>
      <c r="O1069" s="4" t="s">
        <v>39</v>
      </c>
      <c r="P1069" s="4" t="s">
        <v>38</v>
      </c>
      <c r="Q1069" s="4" t="s">
        <v>38</v>
      </c>
      <c r="R1069" s="4" t="s">
        <v>40</v>
      </c>
      <c r="S1069" s="4" t="s">
        <v>41</v>
      </c>
      <c r="T1069" s="4" t="s">
        <v>10499</v>
      </c>
      <c r="U1069" s="4" t="s">
        <v>10500</v>
      </c>
      <c r="V1069" s="4" t="s">
        <v>10369</v>
      </c>
      <c r="W1069" s="4" t="s">
        <v>10440</v>
      </c>
      <c r="X1069" s="4"/>
      <c r="Y1069" s="4"/>
      <c r="Z1069" s="4" t="s">
        <v>46</v>
      </c>
      <c r="AA1069" s="4" t="s">
        <v>10422</v>
      </c>
      <c r="AB1069" s="4" t="s">
        <v>117</v>
      </c>
      <c r="AC1069" s="9">
        <v>1</v>
      </c>
      <c r="AD1069" t="str">
        <f>VLOOKUP($T1069,[1]NhanSu!$C$5:$M$229,11,0)</f>
        <v>SM0000061</v>
      </c>
    </row>
    <row r="1070" spans="1:30" x14ac:dyDescent="0.45">
      <c r="A1070" s="6" t="s">
        <v>10363</v>
      </c>
      <c r="B1070" s="5">
        <v>1786</v>
      </c>
      <c r="C1070" s="5" t="s">
        <v>10632</v>
      </c>
      <c r="D1070" s="5" t="s">
        <v>10633</v>
      </c>
      <c r="E1070" s="5" t="s">
        <v>1912</v>
      </c>
      <c r="F1070" s="5" t="s">
        <v>166</v>
      </c>
      <c r="G1070" s="5" t="s">
        <v>34</v>
      </c>
      <c r="H1070" s="5" t="s">
        <v>685</v>
      </c>
      <c r="I1070" s="5" t="s">
        <v>10634</v>
      </c>
      <c r="J1070" s="5" t="s">
        <v>37</v>
      </c>
      <c r="K1070" s="5" t="s">
        <v>37</v>
      </c>
      <c r="L1070" s="5" t="s">
        <v>39</v>
      </c>
      <c r="M1070" s="5" t="s">
        <v>37</v>
      </c>
      <c r="N1070" s="5" t="s">
        <v>37</v>
      </c>
      <c r="O1070" s="5" t="s">
        <v>39</v>
      </c>
      <c r="P1070" s="5" t="s">
        <v>38</v>
      </c>
      <c r="Q1070" s="5" t="s">
        <v>38</v>
      </c>
      <c r="R1070" s="5" t="s">
        <v>39</v>
      </c>
      <c r="S1070" s="5" t="s">
        <v>41</v>
      </c>
      <c r="T1070" s="5" t="s">
        <v>10493</v>
      </c>
      <c r="U1070" s="5" t="s">
        <v>10494</v>
      </c>
      <c r="V1070" s="5" t="s">
        <v>10369</v>
      </c>
      <c r="W1070" s="5" t="s">
        <v>10495</v>
      </c>
      <c r="X1070" s="5"/>
      <c r="Y1070" s="5"/>
      <c r="Z1070" s="5" t="s">
        <v>46</v>
      </c>
      <c r="AA1070" s="5" t="s">
        <v>10599</v>
      </c>
      <c r="AB1070" s="5" t="s">
        <v>3101</v>
      </c>
      <c r="AC1070" s="7">
        <v>1</v>
      </c>
      <c r="AD1070" t="str">
        <f>VLOOKUP($T1070,[1]NhanSu!$C$5:$M$229,11,0)</f>
        <v>SM0000063</v>
      </c>
    </row>
    <row r="1071" spans="1:30" x14ac:dyDescent="0.45">
      <c r="A1071" s="8" t="s">
        <v>10363</v>
      </c>
      <c r="B1071" s="4">
        <v>1787</v>
      </c>
      <c r="C1071" s="4" t="s">
        <v>10635</v>
      </c>
      <c r="D1071" s="4" t="s">
        <v>10636</v>
      </c>
      <c r="E1071" s="4" t="s">
        <v>1155</v>
      </c>
      <c r="F1071" s="4" t="s">
        <v>5040</v>
      </c>
      <c r="G1071" s="4" t="s">
        <v>34</v>
      </c>
      <c r="H1071" s="4" t="s">
        <v>319</v>
      </c>
      <c r="I1071" s="4" t="s">
        <v>10637</v>
      </c>
      <c r="J1071" s="4" t="s">
        <v>37</v>
      </c>
      <c r="K1071" s="4" t="s">
        <v>37</v>
      </c>
      <c r="L1071" s="4" t="s">
        <v>39</v>
      </c>
      <c r="M1071" s="4" t="s">
        <v>37</v>
      </c>
      <c r="N1071" s="4" t="s">
        <v>37</v>
      </c>
      <c r="O1071" s="4" t="s">
        <v>39</v>
      </c>
      <c r="P1071" s="4" t="s">
        <v>38</v>
      </c>
      <c r="Q1071" s="4" t="s">
        <v>38</v>
      </c>
      <c r="R1071" s="4" t="s">
        <v>39</v>
      </c>
      <c r="S1071" s="4" t="s">
        <v>41</v>
      </c>
      <c r="T1071" s="4" t="s">
        <v>10493</v>
      </c>
      <c r="U1071" s="4" t="s">
        <v>10494</v>
      </c>
      <c r="V1071" s="4" t="s">
        <v>10369</v>
      </c>
      <c r="W1071" s="4" t="s">
        <v>10495</v>
      </c>
      <c r="X1071" s="4"/>
      <c r="Y1071" s="4"/>
      <c r="Z1071" s="4" t="s">
        <v>46</v>
      </c>
      <c r="AA1071" s="4" t="s">
        <v>10599</v>
      </c>
      <c r="AB1071" s="4" t="s">
        <v>2999</v>
      </c>
      <c r="AC1071" s="9">
        <v>1</v>
      </c>
      <c r="AD1071" t="str">
        <f>VLOOKUP($T1071,[1]NhanSu!$C$5:$M$229,11,0)</f>
        <v>SM0000063</v>
      </c>
    </row>
    <row r="1072" spans="1:30" x14ac:dyDescent="0.45">
      <c r="A1072" s="6" t="s">
        <v>10363</v>
      </c>
      <c r="B1072" s="5">
        <v>1788</v>
      </c>
      <c r="C1072" s="5" t="s">
        <v>10638</v>
      </c>
      <c r="D1072" s="5" t="s">
        <v>10639</v>
      </c>
      <c r="E1072" s="5" t="s">
        <v>10640</v>
      </c>
      <c r="F1072" s="5" t="s">
        <v>2365</v>
      </c>
      <c r="G1072" s="5" t="s">
        <v>34</v>
      </c>
      <c r="H1072" s="5" t="s">
        <v>214</v>
      </c>
      <c r="I1072" s="5" t="s">
        <v>10641</v>
      </c>
      <c r="J1072" s="5" t="s">
        <v>38</v>
      </c>
      <c r="K1072" s="5" t="s">
        <v>38</v>
      </c>
      <c r="L1072" s="5" t="s">
        <v>39</v>
      </c>
      <c r="M1072" s="5" t="s">
        <v>38</v>
      </c>
      <c r="N1072" s="5" t="s">
        <v>38</v>
      </c>
      <c r="O1072" s="5" t="s">
        <v>39</v>
      </c>
      <c r="P1072" s="5" t="s">
        <v>38</v>
      </c>
      <c r="Q1072" s="5" t="s">
        <v>38</v>
      </c>
      <c r="R1072" s="5" t="s">
        <v>40</v>
      </c>
      <c r="S1072" s="5" t="s">
        <v>4783</v>
      </c>
      <c r="T1072" s="5" t="s">
        <v>10518</v>
      </c>
      <c r="U1072" s="5" t="s">
        <v>10519</v>
      </c>
      <c r="V1072" s="5" t="s">
        <v>10369</v>
      </c>
      <c r="W1072" s="5" t="s">
        <v>10399</v>
      </c>
      <c r="X1072" s="5"/>
      <c r="Y1072" s="5"/>
      <c r="Z1072" s="5" t="s">
        <v>46</v>
      </c>
      <c r="AA1072" s="5" t="s">
        <v>10520</v>
      </c>
      <c r="AB1072" s="5"/>
      <c r="AC1072" s="7">
        <v>1</v>
      </c>
      <c r="AD1072" t="str">
        <f>VLOOKUP($T1072,[1]NhanSu!$C$5:$M$229,11,0)</f>
        <v>SM0000172</v>
      </c>
    </row>
    <row r="1073" spans="1:30" x14ac:dyDescent="0.45">
      <c r="A1073" s="8" t="s">
        <v>10363</v>
      </c>
      <c r="B1073" s="4">
        <v>1879</v>
      </c>
      <c r="C1073" s="4" t="s">
        <v>10654</v>
      </c>
      <c r="D1073" s="4" t="s">
        <v>10655</v>
      </c>
      <c r="E1073" s="4" t="s">
        <v>10656</v>
      </c>
      <c r="F1073" s="4" t="s">
        <v>10657</v>
      </c>
      <c r="G1073" s="4" t="s">
        <v>34</v>
      </c>
      <c r="H1073" s="4" t="s">
        <v>457</v>
      </c>
      <c r="I1073" s="4" t="s">
        <v>10658</v>
      </c>
      <c r="J1073" s="4" t="s">
        <v>38</v>
      </c>
      <c r="K1073" s="4" t="s">
        <v>38</v>
      </c>
      <c r="L1073" s="4" t="s">
        <v>40</v>
      </c>
      <c r="M1073" s="4" t="s">
        <v>38</v>
      </c>
      <c r="N1073" s="4" t="s">
        <v>38</v>
      </c>
      <c r="O1073" s="4" t="s">
        <v>40</v>
      </c>
      <c r="P1073" s="4" t="s">
        <v>38</v>
      </c>
      <c r="Q1073" s="4" t="s">
        <v>38</v>
      </c>
      <c r="R1073" s="4" t="s">
        <v>40</v>
      </c>
      <c r="S1073" s="4" t="s">
        <v>41</v>
      </c>
      <c r="T1073" s="4" t="s">
        <v>10505</v>
      </c>
      <c r="U1073" s="4" t="s">
        <v>10506</v>
      </c>
      <c r="V1073" s="4" t="s">
        <v>10369</v>
      </c>
      <c r="W1073" s="4" t="s">
        <v>10474</v>
      </c>
      <c r="X1073" s="4"/>
      <c r="Y1073" s="4"/>
      <c r="Z1073" s="4" t="s">
        <v>46</v>
      </c>
      <c r="AA1073" s="4" t="s">
        <v>10520</v>
      </c>
      <c r="AB1073" s="4" t="s">
        <v>2999</v>
      </c>
      <c r="AC1073" s="9">
        <v>1</v>
      </c>
      <c r="AD1073" t="str">
        <f>VLOOKUP($T1073,[1]NhanSu!$C$5:$M$229,11,0)</f>
        <v>SM0000169</v>
      </c>
    </row>
    <row r="1074" spans="1:30" x14ac:dyDescent="0.45">
      <c r="A1074" s="6" t="s">
        <v>10363</v>
      </c>
      <c r="B1074" s="5">
        <v>1900</v>
      </c>
      <c r="C1074" s="5" t="s">
        <v>10666</v>
      </c>
      <c r="D1074" s="5" t="s">
        <v>10667</v>
      </c>
      <c r="E1074" s="5" t="s">
        <v>1267</v>
      </c>
      <c r="F1074" s="5" t="s">
        <v>10668</v>
      </c>
      <c r="G1074" s="5" t="s">
        <v>177</v>
      </c>
      <c r="H1074" s="5" t="s">
        <v>1188</v>
      </c>
      <c r="I1074" s="5" t="s">
        <v>10669</v>
      </c>
      <c r="J1074" s="5" t="s">
        <v>38</v>
      </c>
      <c r="K1074" s="5" t="s">
        <v>38</v>
      </c>
      <c r="L1074" s="5" t="s">
        <v>40</v>
      </c>
      <c r="M1074" s="5" t="s">
        <v>38</v>
      </c>
      <c r="N1074" s="5" t="s">
        <v>38</v>
      </c>
      <c r="O1074" s="5" t="s">
        <v>40</v>
      </c>
      <c r="P1074" s="5" t="s">
        <v>38</v>
      </c>
      <c r="Q1074" s="5" t="s">
        <v>38</v>
      </c>
      <c r="R1074" s="5" t="s">
        <v>40</v>
      </c>
      <c r="S1074" s="5" t="s">
        <v>10670</v>
      </c>
      <c r="T1074" s="5" t="s">
        <v>10505</v>
      </c>
      <c r="U1074" s="5" t="s">
        <v>10506</v>
      </c>
      <c r="V1074" s="5" t="s">
        <v>10369</v>
      </c>
      <c r="W1074" s="5" t="s">
        <v>10474</v>
      </c>
      <c r="X1074" s="5"/>
      <c r="Y1074" s="5"/>
      <c r="Z1074" s="5" t="s">
        <v>46</v>
      </c>
      <c r="AA1074" s="5" t="s">
        <v>10520</v>
      </c>
      <c r="AB1074" s="5" t="s">
        <v>117</v>
      </c>
      <c r="AC1074" s="7">
        <v>1</v>
      </c>
      <c r="AD1074" t="str">
        <f>VLOOKUP($T1074,[1]NhanSu!$C$5:$M$229,11,0)</f>
        <v>SM0000169</v>
      </c>
    </row>
    <row r="1075" spans="1:30" x14ac:dyDescent="0.45">
      <c r="A1075" s="8" t="s">
        <v>10363</v>
      </c>
      <c r="B1075" s="4">
        <v>1933</v>
      </c>
      <c r="C1075" s="4" t="s">
        <v>10683</v>
      </c>
      <c r="D1075" s="4" t="s">
        <v>10684</v>
      </c>
      <c r="E1075" s="4" t="s">
        <v>10685</v>
      </c>
      <c r="F1075" s="4" t="s">
        <v>10686</v>
      </c>
      <c r="G1075" s="4" t="s">
        <v>34</v>
      </c>
      <c r="H1075" s="4" t="s">
        <v>214</v>
      </c>
      <c r="I1075" s="4" t="s">
        <v>10687</v>
      </c>
      <c r="J1075" s="4" t="s">
        <v>38</v>
      </c>
      <c r="K1075" s="4" t="s">
        <v>38</v>
      </c>
      <c r="L1075" s="4" t="s">
        <v>40</v>
      </c>
      <c r="M1075" s="4" t="s">
        <v>38</v>
      </c>
      <c r="N1075" s="4" t="s">
        <v>38</v>
      </c>
      <c r="O1075" s="4" t="s">
        <v>40</v>
      </c>
      <c r="P1075" s="4" t="s">
        <v>38</v>
      </c>
      <c r="Q1075" s="4" t="s">
        <v>38</v>
      </c>
      <c r="R1075" s="4" t="s">
        <v>40</v>
      </c>
      <c r="S1075" s="4" t="s">
        <v>4783</v>
      </c>
      <c r="T1075" s="4" t="s">
        <v>10518</v>
      </c>
      <c r="U1075" s="4" t="s">
        <v>10519</v>
      </c>
      <c r="V1075" s="4" t="s">
        <v>10369</v>
      </c>
      <c r="W1075" s="4" t="s">
        <v>10399</v>
      </c>
      <c r="X1075" s="4"/>
      <c r="Y1075" s="4"/>
      <c r="Z1075" s="4" t="s">
        <v>46</v>
      </c>
      <c r="AA1075" s="4" t="s">
        <v>10520</v>
      </c>
      <c r="AB1075" s="4" t="s">
        <v>2999</v>
      </c>
      <c r="AC1075" s="9">
        <v>1</v>
      </c>
      <c r="AD1075" t="str">
        <f>VLOOKUP($T1075,[1]NhanSu!$C$5:$M$229,11,0)</f>
        <v>SM0000172</v>
      </c>
    </row>
    <row r="1076" spans="1:30" x14ac:dyDescent="0.45">
      <c r="A1076" s="6" t="s">
        <v>10363</v>
      </c>
      <c r="B1076" s="5">
        <v>2112</v>
      </c>
      <c r="C1076" s="5" t="s">
        <v>10693</v>
      </c>
      <c r="D1076" s="5" t="s">
        <v>10694</v>
      </c>
      <c r="E1076" s="5" t="s">
        <v>8741</v>
      </c>
      <c r="F1076" s="5" t="s">
        <v>10695</v>
      </c>
      <c r="G1076" s="5" t="s">
        <v>177</v>
      </c>
      <c r="H1076" s="5" t="s">
        <v>319</v>
      </c>
      <c r="I1076" s="5" t="s">
        <v>10696</v>
      </c>
      <c r="J1076" s="5" t="s">
        <v>38</v>
      </c>
      <c r="K1076" s="5" t="s">
        <v>38</v>
      </c>
      <c r="L1076" s="5" t="s">
        <v>40</v>
      </c>
      <c r="M1076" s="5" t="s">
        <v>37</v>
      </c>
      <c r="N1076" s="5" t="s">
        <v>37</v>
      </c>
      <c r="O1076" s="5" t="s">
        <v>39</v>
      </c>
      <c r="P1076" s="5" t="s">
        <v>38</v>
      </c>
      <c r="Q1076" s="5" t="s">
        <v>38</v>
      </c>
      <c r="R1076" s="5" t="s">
        <v>40</v>
      </c>
      <c r="S1076" s="5" t="s">
        <v>10697</v>
      </c>
      <c r="T1076" s="5" t="s">
        <v>10505</v>
      </c>
      <c r="U1076" s="5" t="s">
        <v>10506</v>
      </c>
      <c r="V1076" s="5" t="s">
        <v>10369</v>
      </c>
      <c r="W1076" s="5" t="s">
        <v>10474</v>
      </c>
      <c r="X1076" s="5"/>
      <c r="Y1076" s="5"/>
      <c r="Z1076" s="5" t="s">
        <v>46</v>
      </c>
      <c r="AA1076" s="5" t="s">
        <v>10520</v>
      </c>
      <c r="AB1076" s="5" t="s">
        <v>2999</v>
      </c>
      <c r="AC1076" s="7">
        <v>1</v>
      </c>
      <c r="AD1076" t="str">
        <f>VLOOKUP($T1076,[1]NhanSu!$C$5:$M$229,11,0)</f>
        <v>SM0000169</v>
      </c>
    </row>
    <row r="1077" spans="1:30" x14ac:dyDescent="0.45">
      <c r="A1077" s="8" t="s">
        <v>10363</v>
      </c>
      <c r="B1077" s="4">
        <v>2153</v>
      </c>
      <c r="C1077" s="4" t="s">
        <v>10708</v>
      </c>
      <c r="D1077" s="4" t="s">
        <v>10709</v>
      </c>
      <c r="E1077" s="4" t="s">
        <v>10710</v>
      </c>
      <c r="F1077" s="4" t="s">
        <v>3244</v>
      </c>
      <c r="G1077" s="4" t="s">
        <v>34</v>
      </c>
      <c r="H1077" s="4" t="s">
        <v>685</v>
      </c>
      <c r="I1077" s="4" t="s">
        <v>10711</v>
      </c>
      <c r="J1077" s="4" t="s">
        <v>38</v>
      </c>
      <c r="K1077" s="4" t="s">
        <v>38</v>
      </c>
      <c r="L1077" s="4" t="s">
        <v>40</v>
      </c>
      <c r="M1077" s="4" t="s">
        <v>38</v>
      </c>
      <c r="N1077" s="4" t="s">
        <v>38</v>
      </c>
      <c r="O1077" s="4" t="s">
        <v>40</v>
      </c>
      <c r="P1077" s="4" t="s">
        <v>38</v>
      </c>
      <c r="Q1077" s="4" t="s">
        <v>38</v>
      </c>
      <c r="R1077" s="4" t="s">
        <v>40</v>
      </c>
      <c r="S1077" s="4" t="s">
        <v>4783</v>
      </c>
      <c r="T1077" s="4" t="s">
        <v>10518</v>
      </c>
      <c r="U1077" s="4" t="s">
        <v>10519</v>
      </c>
      <c r="V1077" s="4" t="s">
        <v>10369</v>
      </c>
      <c r="W1077" s="4" t="s">
        <v>10370</v>
      </c>
      <c r="X1077" s="4"/>
      <c r="Y1077" s="4"/>
      <c r="Z1077" s="4" t="s">
        <v>46</v>
      </c>
      <c r="AA1077" s="4" t="s">
        <v>10520</v>
      </c>
      <c r="AB1077" s="4" t="s">
        <v>117</v>
      </c>
      <c r="AC1077" s="9">
        <v>1</v>
      </c>
      <c r="AD1077" t="str">
        <f>VLOOKUP($T1077,[1]NhanSu!$C$5:$M$229,11,0)</f>
        <v>SM0000172</v>
      </c>
    </row>
    <row r="1078" spans="1:30" x14ac:dyDescent="0.45">
      <c r="A1078" s="6" t="s">
        <v>10363</v>
      </c>
      <c r="B1078" s="5">
        <v>2665</v>
      </c>
      <c r="C1078" s="5" t="s">
        <v>10727</v>
      </c>
      <c r="D1078" s="5" t="s">
        <v>10728</v>
      </c>
      <c r="E1078" s="5" t="s">
        <v>1610</v>
      </c>
      <c r="F1078" s="5" t="s">
        <v>339</v>
      </c>
      <c r="G1078" s="5" t="s">
        <v>34</v>
      </c>
      <c r="H1078" s="5" t="s">
        <v>214</v>
      </c>
      <c r="I1078" s="5" t="s">
        <v>10729</v>
      </c>
      <c r="J1078" s="5" t="s">
        <v>38</v>
      </c>
      <c r="K1078" s="5" t="s">
        <v>38</v>
      </c>
      <c r="L1078" s="5" t="s">
        <v>40</v>
      </c>
      <c r="M1078" s="5" t="s">
        <v>38</v>
      </c>
      <c r="N1078" s="5" t="s">
        <v>38</v>
      </c>
      <c r="O1078" s="5" t="s">
        <v>40</v>
      </c>
      <c r="P1078" s="5" t="s">
        <v>38</v>
      </c>
      <c r="Q1078" s="5" t="s">
        <v>38</v>
      </c>
      <c r="R1078" s="5" t="s">
        <v>40</v>
      </c>
      <c r="S1078" s="5" t="s">
        <v>627</v>
      </c>
      <c r="T1078" s="5" t="s">
        <v>10518</v>
      </c>
      <c r="U1078" s="5" t="s">
        <v>10519</v>
      </c>
      <c r="V1078" s="5" t="s">
        <v>10369</v>
      </c>
      <c r="W1078" s="5" t="s">
        <v>10370</v>
      </c>
      <c r="X1078" s="5"/>
      <c r="Y1078" s="5"/>
      <c r="Z1078" s="5" t="s">
        <v>46</v>
      </c>
      <c r="AA1078" s="5" t="s">
        <v>10520</v>
      </c>
      <c r="AB1078" s="5"/>
      <c r="AC1078" s="7">
        <v>1</v>
      </c>
      <c r="AD1078" t="str">
        <f>VLOOKUP($T1078,[1]NhanSu!$C$5:$M$229,11,0)</f>
        <v>SM0000172</v>
      </c>
    </row>
    <row r="1079" spans="1:30" x14ac:dyDescent="0.45">
      <c r="A1079" s="8" t="s">
        <v>10363</v>
      </c>
      <c r="B1079" s="4">
        <v>2678</v>
      </c>
      <c r="C1079" s="4" t="s">
        <v>10734</v>
      </c>
      <c r="D1079" s="4" t="s">
        <v>10735</v>
      </c>
      <c r="E1079" s="4" t="s">
        <v>7160</v>
      </c>
      <c r="F1079" s="4" t="s">
        <v>1471</v>
      </c>
      <c r="G1079" s="4" t="s">
        <v>34</v>
      </c>
      <c r="H1079" s="4" t="s">
        <v>54</v>
      </c>
      <c r="I1079" s="4" t="s">
        <v>10736</v>
      </c>
      <c r="J1079" s="4" t="s">
        <v>38</v>
      </c>
      <c r="K1079" s="4" t="s">
        <v>38</v>
      </c>
      <c r="L1079" s="4" t="s">
        <v>40</v>
      </c>
      <c r="M1079" s="4" t="s">
        <v>38</v>
      </c>
      <c r="N1079" s="4" t="s">
        <v>38</v>
      </c>
      <c r="O1079" s="4" t="s">
        <v>39</v>
      </c>
      <c r="P1079" s="4" t="s">
        <v>38</v>
      </c>
      <c r="Q1079" s="4" t="s">
        <v>38</v>
      </c>
      <c r="R1079" s="4" t="s">
        <v>40</v>
      </c>
      <c r="S1079" s="4" t="s">
        <v>4783</v>
      </c>
      <c r="T1079" s="4" t="s">
        <v>10525</v>
      </c>
      <c r="U1079" s="4" t="s">
        <v>10519</v>
      </c>
      <c r="V1079" s="4" t="s">
        <v>10369</v>
      </c>
      <c r="W1079" s="4" t="s">
        <v>10370</v>
      </c>
      <c r="X1079" s="4"/>
      <c r="Y1079" s="4"/>
      <c r="Z1079" s="4" t="s">
        <v>46</v>
      </c>
      <c r="AA1079" s="4" t="s">
        <v>10520</v>
      </c>
      <c r="AB1079" s="4" t="s">
        <v>2999</v>
      </c>
      <c r="AC1079" s="9">
        <v>1</v>
      </c>
      <c r="AD1079" t="str">
        <f>VLOOKUP($T1079,[1]NhanSu!$C$5:$M$229,11,0)</f>
        <v>SM0000173</v>
      </c>
    </row>
    <row r="1080" spans="1:30" x14ac:dyDescent="0.45">
      <c r="A1080" s="6" t="s">
        <v>10363</v>
      </c>
      <c r="B1080" s="5">
        <v>2695</v>
      </c>
      <c r="C1080" s="5" t="s">
        <v>10737</v>
      </c>
      <c r="D1080" s="5" t="s">
        <v>10738</v>
      </c>
      <c r="E1080" s="5" t="s">
        <v>1360</v>
      </c>
      <c r="F1080" s="5" t="s">
        <v>10739</v>
      </c>
      <c r="G1080" s="5" t="s">
        <v>34</v>
      </c>
      <c r="H1080" s="5" t="s">
        <v>1025</v>
      </c>
      <c r="I1080" s="5" t="s">
        <v>10740</v>
      </c>
      <c r="J1080" s="5" t="s">
        <v>38</v>
      </c>
      <c r="K1080" s="5" t="s">
        <v>38</v>
      </c>
      <c r="L1080" s="5" t="s">
        <v>40</v>
      </c>
      <c r="M1080" s="5" t="s">
        <v>38</v>
      </c>
      <c r="N1080" s="5" t="s">
        <v>38</v>
      </c>
      <c r="O1080" s="5" t="s">
        <v>40</v>
      </c>
      <c r="P1080" s="5" t="s">
        <v>38</v>
      </c>
      <c r="Q1080" s="5" t="s">
        <v>38</v>
      </c>
      <c r="R1080" s="5" t="s">
        <v>40</v>
      </c>
      <c r="S1080" s="5" t="s">
        <v>4783</v>
      </c>
      <c r="T1080" s="5" t="s">
        <v>10518</v>
      </c>
      <c r="U1080" s="5" t="s">
        <v>10519</v>
      </c>
      <c r="V1080" s="5" t="s">
        <v>10369</v>
      </c>
      <c r="W1080" s="5" t="s">
        <v>10370</v>
      </c>
      <c r="X1080" s="5"/>
      <c r="Y1080" s="5"/>
      <c r="Z1080" s="5" t="s">
        <v>46</v>
      </c>
      <c r="AA1080" s="5" t="s">
        <v>10520</v>
      </c>
      <c r="AB1080" s="5" t="s">
        <v>117</v>
      </c>
      <c r="AC1080" s="7">
        <v>1</v>
      </c>
      <c r="AD1080" t="str">
        <f>VLOOKUP($T1080,[1]NhanSu!$C$5:$M$229,11,0)</f>
        <v>SM0000172</v>
      </c>
    </row>
    <row r="1081" spans="1:30" x14ac:dyDescent="0.45">
      <c r="A1081" s="8" t="s">
        <v>10363</v>
      </c>
      <c r="B1081" s="4">
        <v>3053</v>
      </c>
      <c r="C1081" s="4" t="s">
        <v>10762</v>
      </c>
      <c r="D1081" s="4" t="s">
        <v>10763</v>
      </c>
      <c r="E1081" s="4" t="s">
        <v>261</v>
      </c>
      <c r="F1081" s="4" t="s">
        <v>99</v>
      </c>
      <c r="G1081" s="4" t="s">
        <v>150</v>
      </c>
      <c r="H1081" s="4" t="s">
        <v>1188</v>
      </c>
      <c r="I1081" s="4" t="s">
        <v>10764</v>
      </c>
      <c r="J1081" s="4" t="s">
        <v>38</v>
      </c>
      <c r="K1081" s="4" t="s">
        <v>38</v>
      </c>
      <c r="L1081" s="4" t="s">
        <v>40</v>
      </c>
      <c r="M1081" s="4" t="s">
        <v>37</v>
      </c>
      <c r="N1081" s="4" t="s">
        <v>38</v>
      </c>
      <c r="O1081" s="4" t="s">
        <v>39</v>
      </c>
      <c r="P1081" s="4" t="s">
        <v>38</v>
      </c>
      <c r="Q1081" s="4" t="s">
        <v>38</v>
      </c>
      <c r="R1081" s="4" t="s">
        <v>40</v>
      </c>
      <c r="S1081" s="4" t="s">
        <v>10765</v>
      </c>
      <c r="T1081" s="4" t="s">
        <v>10499</v>
      </c>
      <c r="U1081" s="4" t="s">
        <v>10500</v>
      </c>
      <c r="V1081" s="4" t="s">
        <v>10369</v>
      </c>
      <c r="W1081" s="4" t="s">
        <v>10440</v>
      </c>
      <c r="X1081" s="4"/>
      <c r="Y1081" s="4"/>
      <c r="Z1081" s="4" t="s">
        <v>46</v>
      </c>
      <c r="AA1081" s="4" t="s">
        <v>10422</v>
      </c>
      <c r="AB1081" s="4" t="s">
        <v>117</v>
      </c>
      <c r="AC1081" s="9">
        <v>1</v>
      </c>
      <c r="AD1081" t="str">
        <f>VLOOKUP($T1081,[1]NhanSu!$C$5:$M$229,11,0)</f>
        <v>SM0000061</v>
      </c>
    </row>
    <row r="1082" spans="1:30" x14ac:dyDescent="0.45">
      <c r="A1082" s="6" t="s">
        <v>10363</v>
      </c>
      <c r="B1082" s="5">
        <v>3148</v>
      </c>
      <c r="C1082" s="5" t="s">
        <v>10766</v>
      </c>
      <c r="D1082" s="5" t="s">
        <v>10767</v>
      </c>
      <c r="E1082" s="5" t="s">
        <v>10768</v>
      </c>
      <c r="F1082" s="5" t="s">
        <v>461</v>
      </c>
      <c r="G1082" s="5" t="s">
        <v>34</v>
      </c>
      <c r="H1082" s="5" t="s">
        <v>1280</v>
      </c>
      <c r="I1082" s="5" t="s">
        <v>10769</v>
      </c>
      <c r="J1082" s="5" t="s">
        <v>38</v>
      </c>
      <c r="K1082" s="5" t="s">
        <v>38</v>
      </c>
      <c r="L1082" s="5" t="s">
        <v>40</v>
      </c>
      <c r="M1082" s="5" t="s">
        <v>38</v>
      </c>
      <c r="N1082" s="5" t="s">
        <v>38</v>
      </c>
      <c r="O1082" s="5" t="s">
        <v>40</v>
      </c>
      <c r="P1082" s="5" t="s">
        <v>38</v>
      </c>
      <c r="Q1082" s="5" t="s">
        <v>38</v>
      </c>
      <c r="R1082" s="5" t="s">
        <v>40</v>
      </c>
      <c r="S1082" s="5" t="s">
        <v>4783</v>
      </c>
      <c r="T1082" s="5" t="s">
        <v>10518</v>
      </c>
      <c r="U1082" s="5" t="s">
        <v>10519</v>
      </c>
      <c r="V1082" s="5" t="s">
        <v>10369</v>
      </c>
      <c r="W1082" s="5" t="s">
        <v>10399</v>
      </c>
      <c r="X1082" s="5"/>
      <c r="Y1082" s="5"/>
      <c r="Z1082" s="5" t="s">
        <v>46</v>
      </c>
      <c r="AA1082" s="5" t="s">
        <v>10520</v>
      </c>
      <c r="AB1082" s="5" t="s">
        <v>2999</v>
      </c>
      <c r="AC1082" s="7">
        <v>1</v>
      </c>
      <c r="AD1082" t="str">
        <f>VLOOKUP($T1082,[1]NhanSu!$C$5:$M$229,11,0)</f>
        <v>SM0000172</v>
      </c>
    </row>
  </sheetData>
  <autoFilter ref="A1:AD1082" xr:uid="{F5DB138B-9772-4960-AE53-1B80C79ACCF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
  <sheetViews>
    <sheetView workbookViewId="0">
      <selection activeCell="B4" sqref="B4"/>
    </sheetView>
  </sheetViews>
  <sheetFormatPr defaultRowHeight="14.25" x14ac:dyDescent="0.45"/>
  <cols>
    <col min="1" max="1" width="12.9296875" customWidth="1"/>
  </cols>
  <sheetData>
    <row r="1" spans="1:3" x14ac:dyDescent="0.45">
      <c r="A1" s="10" t="s">
        <v>10779</v>
      </c>
      <c r="B1" s="10"/>
      <c r="C1" s="10"/>
    </row>
    <row r="2" spans="1:3" x14ac:dyDescent="0.45">
      <c r="A2" t="s">
        <v>10780</v>
      </c>
      <c r="B2">
        <f>COUNTIF(QLKV_gui_ket_qua_ra_soat[Xác định kết quả tốt (đánh dấu x)], "X")</f>
        <v>1686</v>
      </c>
    </row>
    <row r="3" spans="1:3" x14ac:dyDescent="0.45">
      <c r="A3" t="s">
        <v>10781</v>
      </c>
      <c r="B3">
        <f>COUNTIF(QLKV_gui_ket_qua_ra_soat[Bỏ khỏi khảo sát (đánh dấu x)],"X")</f>
        <v>106</v>
      </c>
    </row>
    <row r="4" spans="1:3" x14ac:dyDescent="0.45">
      <c r="A4" t="s">
        <v>10782</v>
      </c>
      <c r="B4">
        <f>COUNTIF(QLKV_gui_ket_qua_ra_soat[Yêu cầu khảo sát lại ( đánh dấu x)],"X")</f>
        <v>1081</v>
      </c>
    </row>
  </sheetData>
  <mergeCells count="1">
    <mergeCell ref="A1:C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8A145BB-B711-4FBD-B965-BAD0EC534C4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QLKV gui ket qua ra soat</vt:lpstr>
      <vt:lpstr>Số điểm bỏ khảo sát</vt:lpstr>
      <vt:lpstr>Số điểm khảo sát lại</vt:lpstr>
      <vt:lpstr>Đánh giá</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Trần Thị Nga</cp:lastModifiedBy>
  <dcterms:created xsi:type="dcterms:W3CDTF">2015-06-05T18:17:20Z</dcterms:created>
  <dcterms:modified xsi:type="dcterms:W3CDTF">2026-10-02T04:17:27Z</dcterms:modified>
</cp:coreProperties>
</file>